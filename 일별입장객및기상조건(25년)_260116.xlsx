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기획팀(기획)\4.기획업무\기타\2026_한국외대\전달자료\"/>
    </mc:Choice>
  </mc:AlternateContent>
  <xr:revisionPtr revIDLastSave="0" documentId="13_ncr:1_{A0E54A35-8407-4827-B6AF-FCD1AFFF5A8C}" xr6:coauthVersionLast="47" xr6:coauthVersionMax="47" xr10:uidLastSave="{00000000-0000-0000-0000-000000000000}"/>
  <bookViews>
    <workbookView xWindow="-28920" yWindow="-120" windowWidth="29040" windowHeight="15720" activeTab="11" xr2:uid="{00000000-000D-0000-FFFF-FFFF00000000}"/>
  </bookViews>
  <sheets>
    <sheet name="1월" sheetId="64" r:id="rId1"/>
    <sheet name="2월" sheetId="65" r:id="rId2"/>
    <sheet name="3월" sheetId="66" r:id="rId3"/>
    <sheet name="4월" sheetId="67" r:id="rId4"/>
    <sheet name="5월" sheetId="68" r:id="rId5"/>
    <sheet name="6월" sheetId="69" r:id="rId6"/>
    <sheet name="7월" sheetId="70" r:id="rId7"/>
    <sheet name="8월" sheetId="71" r:id="rId8"/>
    <sheet name="9월" sheetId="72" r:id="rId9"/>
    <sheet name="10월" sheetId="73" r:id="rId10"/>
    <sheet name="11월" sheetId="74" r:id="rId11"/>
    <sheet name="12월" sheetId="75" r:id="rId12"/>
  </sheets>
  <calcPr calcId="191029"/>
</workbook>
</file>

<file path=xl/calcChain.xml><?xml version="1.0" encoding="utf-8"?>
<calcChain xmlns="http://schemas.openxmlformats.org/spreadsheetml/2006/main">
  <c r="I36" i="69" l="1"/>
  <c r="I36" i="68"/>
  <c r="I36" i="67"/>
  <c r="I36" i="65"/>
  <c r="H36" i="65"/>
  <c r="H36" i="68" l="1"/>
  <c r="H36" i="69"/>
  <c r="I36" i="75"/>
  <c r="H36" i="75"/>
  <c r="I36" i="74"/>
  <c r="H36" i="74"/>
  <c r="I36" i="73"/>
  <c r="H36" i="73"/>
  <c r="I36" i="72"/>
  <c r="H36" i="72"/>
  <c r="I36" i="71"/>
  <c r="H36" i="71"/>
  <c r="I36" i="70"/>
  <c r="H36" i="70"/>
  <c r="H36" i="67"/>
  <c r="I36" i="66"/>
  <c r="H36" i="66"/>
  <c r="H36" i="64"/>
  <c r="H37" i="64" s="1"/>
  <c r="H37" i="65" s="1"/>
  <c r="I36" i="64"/>
  <c r="I37" i="64" s="1"/>
  <c r="I37" i="65" s="1"/>
  <c r="I37" i="66" l="1"/>
  <c r="I37" i="67" s="1"/>
  <c r="I37" i="68" s="1"/>
  <c r="I37" i="69" s="1"/>
  <c r="I37" i="70" s="1"/>
  <c r="I37" i="71" s="1"/>
  <c r="H37" i="66"/>
  <c r="H37" i="67" s="1"/>
  <c r="H37" i="68" s="1"/>
  <c r="H37" i="69" s="1"/>
  <c r="H37" i="70" s="1"/>
  <c r="H37" i="71" s="1"/>
  <c r="H37" i="72" s="1"/>
  <c r="H37" i="73" s="1"/>
  <c r="H37" i="74" s="1"/>
  <c r="H37" i="75" s="1"/>
  <c r="I37" i="72" l="1"/>
  <c r="I37" i="73" s="1"/>
  <c r="I37" i="74" s="1"/>
  <c r="I37" i="7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9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7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A31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임시공휴일</t>
        </r>
      </text>
    </comment>
    <comment ref="C31" authorId="0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2" authorId="0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구름많음
</t>
        </r>
      </text>
    </comment>
    <comment ref="C35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7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  <comment ref="C8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  <comment ref="C9" authorId="0" shapeId="0" xr:uid="{00000000-0006-0000-01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  <comment ref="C10" authorId="0" shapeId="0" xr:uid="{00000000-0006-0000-01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대설주의보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한파주의보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~),</t>
        </r>
        <r>
          <rPr>
            <sz val="9"/>
            <color indexed="81"/>
            <rFont val="돋움"/>
            <family val="3"/>
            <charset val="129"/>
          </rPr>
          <t>구릅조금</t>
        </r>
      </text>
    </comment>
    <comment ref="C11" authorId="0" shapeId="0" xr:uid="{00000000-0006-0000-01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대설주의보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  <comment ref="C12" authorId="0" shapeId="0" xr:uid="{00000000-0006-0000-01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한파주의보</t>
        </r>
      </text>
    </comment>
    <comment ref="C14" authorId="0" shapeId="0" xr:uid="{00000000-0006-0000-01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>(13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~14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16" authorId="0" shapeId="0" xr:uid="{00000000-0006-0000-01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5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6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A7" authorId="0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대체휴일</t>
        </r>
      </text>
    </comment>
    <comment ref="C8" authorId="0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6" authorId="0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오후비</t>
        </r>
        <r>
          <rPr>
            <sz val="9"/>
            <color indexed="81"/>
            <rFont val="Tahoma"/>
            <family val="2"/>
          </rPr>
          <t>(16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~),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17" authorId="0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20" authorId="0" shapeId="0" xr:uid="{00000000-0006-0000-02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2" authorId="0" shapeId="0" xr:uid="{00000000-0006-0000-02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9" authorId="0" shapeId="0" xr:uid="{00000000-0006-0000-02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30" authorId="0" shapeId="0" xr:uid="{00000000-0006-0000-02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미세먼지</t>
        </r>
      </text>
    </comment>
    <comment ref="C31" authorId="0" shapeId="0" xr:uid="{00000000-0006-0000-02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황사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미세먼지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6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9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3" authorId="0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비예보</t>
        </r>
      </text>
    </comment>
    <comment ref="C17" authorId="0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18" authorId="0" shapeId="0" xr:uid="{00000000-0006-0000-03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3" authorId="0" shapeId="0" xr:uid="{00000000-0006-0000-03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6" authorId="0" shapeId="0" xr:uid="{00000000-0006-0000-03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5" authorId="0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7" authorId="0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(~10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)</t>
        </r>
      </text>
    </comment>
    <comment ref="C9" authorId="0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A10" authorId="0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대체휴일</t>
        </r>
      </text>
    </comment>
    <comment ref="C13" authorId="0" shapeId="0" xr:uid="{00000000-0006-0000-04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4" authorId="0" shapeId="0" xr:uid="{00000000-0006-0000-04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 xml:space="preserve"> : ~13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, 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40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~19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9" authorId="0" shapeId="0" xr:uid="{00000000-0006-0000-04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(~9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)</t>
        </r>
      </text>
    </comment>
    <comment ref="C20" authorId="0" shapeId="0" xr:uid="{00000000-0006-0000-04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1" authorId="0" shapeId="0" xr:uid="{00000000-0006-0000-04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23" authorId="0" shapeId="0" xr:uid="{00000000-0006-0000-04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오후비예보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25" authorId="0" shapeId="0" xr:uid="{00000000-0006-0000-04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비예보</t>
        </r>
      </text>
    </comment>
    <comment ref="C27" authorId="0" shapeId="0" xr:uid="{00000000-0006-0000-0400-00000D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오후비예보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6" authorId="0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비예보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A7" authorId="0" shapeId="0" xr:uid="{00000000-0006-0000-05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대통령선거일</t>
        </r>
      </text>
    </comment>
    <comment ref="C17" authorId="0" shapeId="0" xr:uid="{00000000-0006-0000-05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</t>
        </r>
      </text>
    </comment>
    <comment ref="C19" authorId="0" shapeId="0" xr:uid="{00000000-0006-0000-05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4" authorId="0" shapeId="0" xr:uid="{00000000-0006-0000-05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8" authorId="0" shapeId="0" xr:uid="{00000000-0006-0000-05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9" authorId="0" shapeId="0" xr:uid="{00000000-0006-0000-05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0" authorId="0" shapeId="0" xr:uid="{00000000-0006-0000-05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비예보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5" authorId="0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12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17" authorId="0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</t>
        </r>
      </text>
    </comment>
    <comment ref="C18" authorId="0" shapeId="0" xr:uid="{00000000-0006-0000-06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19" authorId="0" shapeId="0" xr:uid="{00000000-0006-0000-0600-000008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0" authorId="0" shapeId="0" xr:uid="{00000000-0006-0000-0600-000009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1" authorId="0" shapeId="0" xr:uid="{00000000-0006-0000-0600-00000A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2" authorId="0" shapeId="0" xr:uid="{00000000-0006-0000-0600-00000B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3" authorId="0" shapeId="0" xr:uid="{00000000-0006-0000-0600-00000C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5" authorId="0" shapeId="0" xr:uid="{00000000-0006-0000-0600-00000D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6" authorId="0" shapeId="0" xr:uid="{00000000-0006-0000-0600-00000E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  <author>이수경</author>
  </authors>
  <commentList>
    <comment ref="C7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(16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~)</t>
        </r>
      </text>
    </comment>
    <comment ref="C8" authorId="0" shapeId="0" xr:uid="{00000000-0006-0000-0700-000003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10" authorId="0" shapeId="0" xr:uid="{00000000-0006-0000-0700-000004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7" authorId="0" shapeId="0" xr:uid="{00000000-0006-0000-0700-000005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2" authorId="0" shapeId="0" xr:uid="{00000000-0006-0000-0700-000006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저녁비</t>
        </r>
        <r>
          <rPr>
            <sz val="9"/>
            <color indexed="81"/>
            <rFont val="Tahoma"/>
            <family val="2"/>
          </rPr>
          <t>(19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~), 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3" authorId="0" shapeId="0" xr:uid="{00000000-0006-0000-0700-000007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비예보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9" authorId="1" shapeId="0" xr:uid="{00000000-0006-0000-0700-000009000000}">
      <text>
        <r>
          <rPr>
            <b/>
            <sz val="9"/>
            <color indexed="81"/>
            <rFont val="돋움"/>
            <family val="3"/>
            <charset val="129"/>
          </rPr>
          <t>이수경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35" authorId="1" shapeId="0" xr:uid="{00000000-0006-0000-0700-00000A000000}">
      <text>
        <r>
          <rPr>
            <b/>
            <sz val="9"/>
            <color indexed="81"/>
            <rFont val="돋움"/>
            <family val="3"/>
            <charset val="129"/>
          </rPr>
          <t>이수경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이수경</author>
    <author>김묵주</author>
  </authors>
  <commentList>
    <comment ref="C5" authorId="0" shapeId="0" xr:uid="{00000000-0006-0000-0800-000002000000}">
      <text>
        <r>
          <rPr>
            <b/>
            <sz val="9"/>
            <color indexed="81"/>
            <rFont val="돋움"/>
            <family val="3"/>
            <charset val="129"/>
          </rPr>
          <t>이수경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0" authorId="0" shapeId="0" xr:uid="{00000000-0006-0000-0800-000003000000}">
      <text>
        <r>
          <rPr>
            <b/>
            <sz val="9"/>
            <color indexed="81"/>
            <rFont val="돋움"/>
            <family val="3"/>
            <charset val="129"/>
          </rPr>
          <t>이수경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16" authorId="0" shapeId="0" xr:uid="{00000000-0006-0000-0800-000004000000}">
      <text>
        <r>
          <rPr>
            <b/>
            <sz val="9"/>
            <color indexed="81"/>
            <rFont val="돋움"/>
            <family val="3"/>
            <charset val="129"/>
          </rPr>
          <t>이수경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비예보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한때비</t>
        </r>
        <r>
          <rPr>
            <sz val="9"/>
            <color indexed="81"/>
            <rFont val="Tahoma"/>
            <family val="2"/>
          </rPr>
          <t>)</t>
        </r>
      </text>
    </comment>
    <comment ref="C17" authorId="0" shapeId="0" xr:uid="{00000000-0006-0000-0800-000005000000}">
      <text>
        <r>
          <rPr>
            <b/>
            <sz val="9"/>
            <color indexed="81"/>
            <rFont val="돋움"/>
            <family val="3"/>
            <charset val="129"/>
          </rPr>
          <t>이수경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비예보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한때비</t>
        </r>
        <r>
          <rPr>
            <sz val="9"/>
            <color indexed="81"/>
            <rFont val="Tahoma"/>
            <family val="2"/>
          </rPr>
          <t>)</t>
        </r>
      </text>
    </comment>
    <comment ref="C21" authorId="1" shapeId="0" xr:uid="{4DA091E4-E5C0-4488-AC2C-3DF3BE3BBB2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3" authorId="1" shapeId="0" xr:uid="{582BE929-02D0-4BE8-BDAD-D3FB14EF186D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8" authorId="1" shapeId="0" xr:uid="{8CC499A2-19DE-4854-B8DA-55B61DC3A757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32" authorId="1" shapeId="0" xr:uid="{8DD14395-AD88-483B-AB9A-BC558CAE8154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비예보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7" authorId="0" shapeId="0" xr:uid="{BEC86FEE-B3C1-4231-A89C-7D6A37358856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8" authorId="0" shapeId="0" xr:uid="{1CAE11B2-A3BE-49C9-AED9-7D5109E68F33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오전비</t>
        </r>
        <r>
          <rPr>
            <sz val="9"/>
            <color indexed="81"/>
            <rFont val="Tahoma"/>
            <family val="2"/>
          </rPr>
          <t>(~11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)</t>
        </r>
      </text>
    </comment>
    <comment ref="C9" authorId="0" shapeId="0" xr:uid="{855CF4F2-8135-4FCC-9D9F-3D2AC4101EFE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한때비</t>
        </r>
      </text>
    </comment>
    <comment ref="C10" authorId="0" shapeId="0" xr:uid="{7C17BE4E-762F-45FE-8D80-0C40494AEA2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1" authorId="0" shapeId="0" xr:uid="{4175E78A-2676-4DC7-8193-6867D2CB9EDC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A12" authorId="0" shapeId="0" xr:uid="{00000000-0006-0000-0900-000002000000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대체휴일</t>
        </r>
      </text>
    </comment>
    <comment ref="C14" authorId="0" shapeId="0" xr:uid="{8FABE87A-5E4B-4BE8-BB42-25753B6751F6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5" authorId="0" shapeId="0" xr:uid="{C7D93C1F-BACB-4C4E-9AC7-DDB47B1882C1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~),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7" authorId="0" shapeId="0" xr:uid="{416701BE-B9AF-4FC5-8375-C50822374B2D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8" authorId="0" shapeId="0" xr:uid="{2A42C0D7-2C01-444A-B660-09D8CD03ED84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오전비예보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19" authorId="0" shapeId="0" xr:uid="{B91504EB-14FF-4C72-AB50-6C86337167F8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저녁비</t>
        </r>
        <r>
          <rPr>
            <sz val="9"/>
            <color indexed="81"/>
            <rFont val="Tahoma"/>
            <family val="2"/>
          </rPr>
          <t>(17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~)</t>
        </r>
      </text>
    </comment>
    <comment ref="C20" authorId="0" shapeId="0" xr:uid="{4EDB1A7E-1F56-4775-B9D3-38D0DF5621C3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비예보</t>
        </r>
      </text>
    </comment>
    <comment ref="C21" authorId="0" shapeId="0" xr:uid="{52F96B64-FC07-484F-841C-1F7D920F9AEE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:15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>~</t>
        </r>
      </text>
    </comment>
    <comment ref="C30" authorId="0" shapeId="0" xr:uid="{7F289D63-2184-44E6-8A24-697C66353743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(11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~13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28" authorId="0" shapeId="0" xr:uid="{95628497-B17B-48FC-9B09-EB208914A018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구름조금</t>
        </r>
      </text>
    </comment>
    <comment ref="C29" authorId="0" shapeId="0" xr:uid="{52D79A0E-F7BD-4632-99AB-F6092457F20D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(~9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1" authorId="0" shapeId="0" xr:uid="{DA52129F-3DF5-439F-B6BD-12DBEF4F9082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김묵주</author>
  </authors>
  <commentList>
    <comment ref="C8" authorId="0" shapeId="0" xr:uid="{93D1DEB0-5759-4D46-96A6-FB7A8FA2B8C2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눈</t>
        </r>
        <r>
          <rPr>
            <sz val="9"/>
            <color indexed="81"/>
            <rFont val="Tahoma"/>
            <family val="2"/>
          </rPr>
          <t xml:space="preserve"> : 18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~
</t>
        </r>
        <r>
          <rPr>
            <sz val="9"/>
            <color indexed="81"/>
            <rFont val="돋움"/>
            <family val="3"/>
            <charset val="129"/>
          </rPr>
          <t>대설주의보</t>
        </r>
      </text>
    </comment>
    <comment ref="C17" authorId="0" shapeId="0" xr:uid="{040EE6CE-E971-433A-81E5-3470EEF9B382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0" authorId="0" shapeId="0" xr:uid="{30B47E28-6A34-4197-9AA5-BB5633633CDA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24" authorId="0" shapeId="0" xr:uid="{6F680D51-B464-4E6B-B1AE-43F2E49558B3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구름많음</t>
        </r>
      </text>
    </comment>
    <comment ref="C27" authorId="0" shapeId="0" xr:uid="{93949344-452C-4C38-B8FD-A81F965518CA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~), </t>
        </r>
        <r>
          <rPr>
            <sz val="9"/>
            <color indexed="81"/>
            <rFont val="돋움"/>
            <family val="3"/>
            <charset val="129"/>
          </rPr>
          <t>흐림</t>
        </r>
      </text>
    </comment>
    <comment ref="C32" authorId="0" shapeId="0" xr:uid="{9C05AE1D-18F4-424D-8DA5-6DB488CD5137}">
      <text>
        <r>
          <rPr>
            <b/>
            <sz val="9"/>
            <color indexed="81"/>
            <rFont val="돋움"/>
            <family val="3"/>
            <charset val="129"/>
          </rPr>
          <t>김묵주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비예보</t>
        </r>
      </text>
    </comment>
  </commentList>
</comments>
</file>

<file path=xl/sharedStrings.xml><?xml version="1.0" encoding="utf-8"?>
<sst xmlns="http://schemas.openxmlformats.org/spreadsheetml/2006/main" count="1664" uniqueCount="164">
  <si>
    <t>월   계</t>
    <phoneticPr fontId="3" type="noConversion"/>
  </si>
  <si>
    <t>요일</t>
    <phoneticPr fontId="3" type="noConversion"/>
  </si>
  <si>
    <t>일자</t>
    <phoneticPr fontId="3" type="noConversion"/>
  </si>
  <si>
    <t>1월</t>
    <phoneticPr fontId="3" type="noConversion"/>
  </si>
  <si>
    <t>연   계</t>
    <phoneticPr fontId="3" type="noConversion"/>
  </si>
  <si>
    <t>금</t>
  </si>
  <si>
    <t>토</t>
  </si>
  <si>
    <t>일</t>
  </si>
  <si>
    <t>월</t>
  </si>
  <si>
    <t>화</t>
  </si>
  <si>
    <t>수</t>
  </si>
  <si>
    <t>목</t>
  </si>
  <si>
    <t>날씨</t>
    <phoneticPr fontId="3" type="noConversion"/>
  </si>
  <si>
    <t>최저</t>
    <phoneticPr fontId="3" type="noConversion"/>
  </si>
  <si>
    <t>최고</t>
    <phoneticPr fontId="3" type="noConversion"/>
  </si>
  <si>
    <t>기온(℃)</t>
    <phoneticPr fontId="3" type="noConversion"/>
  </si>
  <si>
    <t>운영시간</t>
    <phoneticPr fontId="3" type="noConversion"/>
  </si>
  <si>
    <t>폐장</t>
    <phoneticPr fontId="3" type="noConversion"/>
  </si>
  <si>
    <t>개장</t>
    <phoneticPr fontId="3" type="noConversion"/>
  </si>
  <si>
    <t>A</t>
    <phoneticPr fontId="3" type="noConversion"/>
  </si>
  <si>
    <t>실입장객</t>
    <phoneticPr fontId="3" type="noConversion"/>
  </si>
  <si>
    <t>일간보고</t>
    <phoneticPr fontId="3" type="noConversion"/>
  </si>
  <si>
    <t>주간보고</t>
    <phoneticPr fontId="3" type="noConversion"/>
  </si>
  <si>
    <t>매표입장객</t>
    <phoneticPr fontId="3" type="noConversion"/>
  </si>
  <si>
    <t>2월</t>
    <phoneticPr fontId="3" type="noConversion"/>
  </si>
  <si>
    <t>3월</t>
    <phoneticPr fontId="3" type="noConversion"/>
  </si>
  <si>
    <t>4월</t>
    <phoneticPr fontId="3" type="noConversion"/>
  </si>
  <si>
    <t>월   계</t>
    <phoneticPr fontId="3" type="noConversion"/>
  </si>
  <si>
    <t>연   계</t>
    <phoneticPr fontId="3" type="noConversion"/>
  </si>
  <si>
    <t>5월</t>
    <phoneticPr fontId="3" type="noConversion"/>
  </si>
  <si>
    <t>6월</t>
    <phoneticPr fontId="3" type="noConversion"/>
  </si>
  <si>
    <t>7월</t>
    <phoneticPr fontId="3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</si>
  <si>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</si>
  <si>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</si>
  <si>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</si>
  <si>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</si>
  <si>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</si>
  <si>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주간보고</t>
    <phoneticPr fontId="3" type="noConversion"/>
  </si>
  <si>
    <t>월</t>
    <phoneticPr fontId="3" type="noConversion"/>
  </si>
  <si>
    <t>화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</si>
  <si>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</si>
  <si>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</si>
  <si>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</si>
  <si>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수</t>
    <phoneticPr fontId="3" type="noConversion"/>
  </si>
  <si>
    <t>일</t>
    <phoneticPr fontId="3" type="noConversion"/>
  </si>
  <si>
    <t>10시</t>
  </si>
  <si>
    <t>10시</t>
    <phoneticPr fontId="3" type="noConversion"/>
  </si>
  <si>
    <t>20시</t>
  </si>
  <si>
    <t>19시</t>
  </si>
  <si>
    <t>19시</t>
    <phoneticPr fontId="3" type="noConversion"/>
  </si>
  <si>
    <t>20시</t>
    <phoneticPr fontId="3" type="noConversion"/>
  </si>
  <si>
    <t>21시</t>
  </si>
  <si>
    <t>21시</t>
    <phoneticPr fontId="3" type="noConversion"/>
  </si>
  <si>
    <t>22시</t>
    <phoneticPr fontId="3" type="noConversion"/>
  </si>
  <si>
    <t>구름조금</t>
    <phoneticPr fontId="3" type="noConversion"/>
  </si>
  <si>
    <t>맑음</t>
    <phoneticPr fontId="3" type="noConversion"/>
  </si>
  <si>
    <t>눈예보(구름조금)</t>
    <phoneticPr fontId="3" type="noConversion"/>
  </si>
  <si>
    <t>눈</t>
    <phoneticPr fontId="3" type="noConversion"/>
  </si>
  <si>
    <t>구름많음(미세먼지)</t>
    <phoneticPr fontId="3" type="noConversion"/>
  </si>
  <si>
    <t>맑음(한때눈)</t>
    <phoneticPr fontId="3" type="noConversion"/>
  </si>
  <si>
    <t>구름조금(한파)</t>
    <phoneticPr fontId="3" type="noConversion"/>
  </si>
  <si>
    <t>맑음(한파)</t>
    <phoneticPr fontId="3" type="noConversion"/>
  </si>
  <si>
    <t>오후눈(미세먼지)</t>
    <phoneticPr fontId="3" type="noConversion"/>
  </si>
  <si>
    <t>구름조금(미세먼지)</t>
    <phoneticPr fontId="3" type="noConversion"/>
  </si>
  <si>
    <t>구름많음(한때눈)</t>
    <phoneticPr fontId="3" type="noConversion"/>
  </si>
  <si>
    <t>맑음(미세먼지)</t>
    <phoneticPr fontId="3" type="noConversion"/>
  </si>
  <si>
    <t>구름많음</t>
    <phoneticPr fontId="3" type="noConversion"/>
  </si>
  <si>
    <t>22시</t>
  </si>
  <si>
    <t>구름조금(한때눈)</t>
    <phoneticPr fontId="3" type="noConversion"/>
  </si>
  <si>
    <t>오후눈(한파)</t>
    <phoneticPr fontId="3" type="noConversion"/>
  </si>
  <si>
    <t>오전눈(한파)</t>
    <phoneticPr fontId="3" type="noConversion"/>
  </si>
  <si>
    <t>오전눈/오후비</t>
    <phoneticPr fontId="3" type="noConversion"/>
  </si>
  <si>
    <t>오후비(미세먼지)</t>
    <phoneticPr fontId="3" type="noConversion"/>
  </si>
  <si>
    <t>비(한때눈)</t>
    <phoneticPr fontId="3" type="noConversion"/>
  </si>
  <si>
    <t>비예보(구름많음)</t>
    <phoneticPr fontId="3" type="noConversion"/>
  </si>
  <si>
    <t>눈(~15시30분)</t>
    <phoneticPr fontId="3" type="noConversion"/>
  </si>
  <si>
    <t>18시</t>
    <phoneticPr fontId="3" type="noConversion"/>
  </si>
  <si>
    <t>구름조금(황사)</t>
    <phoneticPr fontId="3" type="noConversion"/>
  </si>
  <si>
    <t>오전비(비예보)</t>
    <phoneticPr fontId="3" type="noConversion"/>
  </si>
  <si>
    <t>눈(대설주의보)</t>
    <phoneticPr fontId="3" type="noConversion"/>
  </si>
  <si>
    <t>9시30분</t>
    <phoneticPr fontId="3" type="noConversion"/>
  </si>
  <si>
    <t>비예보(한때비)</t>
    <phoneticPr fontId="3" type="noConversion"/>
  </si>
  <si>
    <t>오전눈(구름조금)</t>
    <phoneticPr fontId="3" type="noConversion"/>
  </si>
  <si>
    <t>9시30분</t>
  </si>
  <si>
    <t>비예보(미세먼지)</t>
    <phoneticPr fontId="3" type="noConversion"/>
  </si>
  <si>
    <t>비</t>
    <phoneticPr fontId="3" type="noConversion"/>
  </si>
  <si>
    <t>저녁비(미세먼지)</t>
    <phoneticPr fontId="3" type="noConversion"/>
  </si>
  <si>
    <t>오후비(흐림)</t>
    <phoneticPr fontId="3" type="noConversion"/>
  </si>
  <si>
    <t>비(미세먼지)</t>
    <phoneticPr fontId="3" type="noConversion"/>
  </si>
  <si>
    <t>8시30분</t>
    <phoneticPr fontId="3" type="noConversion"/>
  </si>
  <si>
    <t>오전비(구름많음)</t>
    <phoneticPr fontId="3" type="noConversion"/>
  </si>
  <si>
    <t>비예보(흐림)</t>
    <phoneticPr fontId="3" type="noConversion"/>
  </si>
  <si>
    <t>구름많음(저녁비)</t>
    <phoneticPr fontId="3" type="noConversion"/>
  </si>
  <si>
    <t>비예보(구름많음</t>
    <phoneticPr fontId="3" type="noConversion"/>
  </si>
  <si>
    <t>맑음(소나기)</t>
    <phoneticPr fontId="3" type="noConversion"/>
  </si>
  <si>
    <t>오전비(미세먼지)</t>
    <phoneticPr fontId="3" type="noConversion"/>
  </si>
  <si>
    <t>구름많음(한때비)</t>
    <phoneticPr fontId="3" type="noConversion"/>
  </si>
  <si>
    <t>비(호우주의보)</t>
    <phoneticPr fontId="3" type="noConversion"/>
  </si>
  <si>
    <t>맑음</t>
    <phoneticPr fontId="3" type="noConversion"/>
  </si>
  <si>
    <t>구름조금</t>
    <phoneticPr fontId="3" type="noConversion"/>
  </si>
  <si>
    <t>구름많음</t>
    <phoneticPr fontId="3" type="noConversion"/>
  </si>
  <si>
    <t>21시</t>
    <phoneticPr fontId="3" type="noConversion"/>
  </si>
  <si>
    <t>22시</t>
    <phoneticPr fontId="3" type="noConversion"/>
  </si>
  <si>
    <t>18시</t>
    <phoneticPr fontId="3" type="noConversion"/>
  </si>
  <si>
    <t>흐림(한때비)</t>
    <phoneticPr fontId="3" type="noConversion"/>
  </si>
  <si>
    <t>비예보(저녁비)</t>
    <phoneticPr fontId="3" type="noConversion"/>
  </si>
  <si>
    <t>흐림</t>
    <phoneticPr fontId="3" type="noConversion"/>
  </si>
  <si>
    <t>구름많음(폭염주의보)</t>
    <phoneticPr fontId="3" type="noConversion"/>
  </si>
  <si>
    <t>폭염주의보(한때비)</t>
    <phoneticPr fontId="3" type="noConversion"/>
  </si>
  <si>
    <t>흐림(폭염주의보)</t>
    <phoneticPr fontId="3" type="noConversion"/>
  </si>
  <si>
    <t>구름많음(폭염경보)</t>
    <phoneticPr fontId="3" type="noConversion"/>
  </si>
  <si>
    <t>폭염경보(저녁비)</t>
    <phoneticPr fontId="3" type="noConversion"/>
  </si>
  <si>
    <t>구름조금(폭염경보)</t>
    <phoneticPr fontId="3" type="noConversion"/>
  </si>
  <si>
    <t>맑음(폭염경보)</t>
    <phoneticPr fontId="3" type="noConversion"/>
  </si>
  <si>
    <t>오후비(구름많음)</t>
    <phoneticPr fontId="3" type="noConversion"/>
  </si>
  <si>
    <t>폭염주의보(소나기)</t>
    <phoneticPr fontId="3" type="noConversion"/>
  </si>
  <si>
    <t>흐림(폭염경보)</t>
    <phoneticPr fontId="3" type="noConversion"/>
  </si>
  <si>
    <t>오후비(폭염경보)</t>
    <phoneticPr fontId="3" type="noConversion"/>
  </si>
  <si>
    <t>비예보(폭염주의보)</t>
    <phoneticPr fontId="3" type="noConversion"/>
  </si>
  <si>
    <t>구름조금(폭염주의보)</t>
    <phoneticPr fontId="3" type="noConversion"/>
  </si>
  <si>
    <t>비(~17시)</t>
    <phoneticPr fontId="3" type="noConversion"/>
  </si>
  <si>
    <t>오전비(흐림)</t>
    <phoneticPr fontId="3" type="noConversion"/>
  </si>
  <si>
    <t>비예보(폭염주의보)</t>
    <phoneticPr fontId="3" type="noConversion"/>
  </si>
  <si>
    <t>구름많음(폭염주의보)</t>
    <phoneticPr fontId="3" type="noConversion"/>
  </si>
  <si>
    <t>구름많음(폭염주의보)</t>
    <phoneticPr fontId="3" type="noConversion"/>
  </si>
  <si>
    <t>맑음(폭염주의보)</t>
    <phoneticPr fontId="3" type="noConversion"/>
  </si>
  <si>
    <t>구름조금(폭염주의보)</t>
    <phoneticPr fontId="3" type="noConversion"/>
  </si>
  <si>
    <t>구름조금(폭염주의보)</t>
    <phoneticPr fontId="3" type="noConversion"/>
  </si>
  <si>
    <t>비예보(폭염경보)</t>
    <phoneticPr fontId="3" type="noConversion"/>
  </si>
  <si>
    <t>오전비(구름많음)</t>
    <phoneticPr fontId="3" type="noConversion"/>
  </si>
  <si>
    <t>구름많음</t>
    <phoneticPr fontId="3" type="noConversion"/>
  </si>
  <si>
    <t>구름많음(폭염주의보)</t>
    <phoneticPr fontId="3" type="noConversion"/>
  </si>
  <si>
    <t>구름조금(폭염주의보)</t>
    <phoneticPr fontId="3" type="noConversion"/>
  </si>
  <si>
    <t>폭염주의보(소나기)</t>
    <phoneticPr fontId="3" type="noConversion"/>
  </si>
  <si>
    <t>구름많음</t>
    <phoneticPr fontId="3" type="noConversion"/>
  </si>
  <si>
    <t>10시</t>
    <phoneticPr fontId="3" type="noConversion"/>
  </si>
  <si>
    <t>22시</t>
    <phoneticPr fontId="3" type="noConversion"/>
  </si>
  <si>
    <t>10시</t>
    <phoneticPr fontId="3" type="noConversion"/>
  </si>
  <si>
    <t>19시</t>
    <phoneticPr fontId="3" type="noConversion"/>
  </si>
  <si>
    <t>19시</t>
    <phoneticPr fontId="3" type="noConversion"/>
  </si>
  <si>
    <t>19시</t>
    <phoneticPr fontId="3" type="noConversion"/>
  </si>
  <si>
    <t>10시</t>
    <phoneticPr fontId="3" type="noConversion"/>
  </si>
  <si>
    <t>22시</t>
    <phoneticPr fontId="3" type="noConversion"/>
  </si>
  <si>
    <t>9시30분</t>
    <phoneticPr fontId="3" type="noConversion"/>
  </si>
  <si>
    <t>비</t>
    <phoneticPr fontId="3" type="noConversion"/>
  </si>
  <si>
    <t>구름조금</t>
    <phoneticPr fontId="3" type="noConversion"/>
  </si>
  <si>
    <t>오전비(구름많음)</t>
    <phoneticPr fontId="3" type="noConversion"/>
  </si>
  <si>
    <t>21시</t>
    <phoneticPr fontId="3" type="noConversion"/>
  </si>
  <si>
    <t>10시</t>
    <phoneticPr fontId="3" type="noConversion"/>
  </si>
  <si>
    <t>구름많음</t>
    <phoneticPr fontId="3" type="noConversion"/>
  </si>
  <si>
    <t>9시30분</t>
    <phoneticPr fontId="3" type="noConversion"/>
  </si>
  <si>
    <t>22시</t>
    <phoneticPr fontId="3" type="noConversion"/>
  </si>
  <si>
    <t>맑음</t>
    <phoneticPr fontId="3" type="noConversion"/>
  </si>
  <si>
    <t>구름많음</t>
    <phoneticPr fontId="3" type="noConversion"/>
  </si>
  <si>
    <t>구름조금</t>
    <phoneticPr fontId="3" type="noConversion"/>
  </si>
  <si>
    <t>오전비(흐림)</t>
    <phoneticPr fontId="3" type="noConversion"/>
  </si>
  <si>
    <t>흐림(한때비)</t>
    <phoneticPr fontId="3" type="noConversion"/>
  </si>
  <si>
    <t>비예보(한때비)</t>
    <phoneticPr fontId="3" type="noConversion"/>
  </si>
  <si>
    <t>22시30분</t>
    <phoneticPr fontId="3" type="noConversion"/>
  </si>
  <si>
    <t>비예보(구름조금)</t>
    <phoneticPr fontId="3" type="noConversion"/>
  </si>
  <si>
    <t>맑음(한파주의보)</t>
    <phoneticPr fontId="3" type="noConversion"/>
  </si>
  <si>
    <t>구름조금(저녁비)</t>
    <phoneticPr fontId="3" type="noConversion"/>
  </si>
  <si>
    <t>맑음(저녁눈)</t>
    <phoneticPr fontId="3" type="noConversion"/>
  </si>
  <si>
    <t>구름많음(비예보)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</si>
</sst>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_ * #,##0_ ;_ * \-#,##0_ ;_ * &quot;-&quot;_ ;_ @_ "/>
    <numFmt numFmtId="177" formatCode="_ * #,##0.00_ ;_ * &quot;₩&quot;&quot;₩&quot;&quot;₩&quot;&quot;₩&quot;&quot;₩&quot;&quot;₩&quot;&quot;₩&quot;\-#,##0.00_ ;_ * &quot;-&quot;??_ ;_ @_ 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0_ "/>
    <numFmt numFmtId="182" formatCode="0.0%"/>
    <numFmt numFmtId="183" formatCode="_-* #,##0.0000_-;\-* #,##0.0000_-;_-* &quot;-&quot;_-;_-@_-"/>
    <numFmt numFmtId="184" formatCode="_-* #,##0.000_-;\-* #,##0.000_-;_-* &quot;-&quot;_-;_-@_-"/>
    <numFmt numFmtId="185" formatCode="_-* #,##0.00000_-;\-* #,##0.00000_-;_-* &quot;-&quot;_-;_-@_-"/>
    <numFmt numFmtId="187" formatCode="0.0_ "/>
  </numFmts>
  <fonts count="2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0"/>
      <color indexed="10"/>
      <name val="돋움"/>
      <family val="3"/>
      <charset val="129"/>
    </font>
    <font>
      <sz val="11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1"/>
      <color rgb="FF00206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rgb="FF0070C0"/>
      <name val="돋움"/>
      <family val="3"/>
      <charset val="129"/>
    </font>
    <font>
      <b/>
      <sz val="10"/>
      <color rgb="FF0070C0"/>
      <name val="돋움"/>
      <family val="3"/>
      <charset val="129"/>
    </font>
    <font>
      <sz val="8"/>
      <color rgb="FFFF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176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92">
    <xf numFmtId="0" fontId="0" fillId="0" borderId="0" xfId="0"/>
    <xf numFmtId="0" fontId="11" fillId="0" borderId="0" xfId="0" applyFont="1"/>
    <xf numFmtId="0" fontId="11" fillId="0" borderId="0" xfId="0" applyFont="1" applyAlignment="1">
      <alignment vertical="center"/>
    </xf>
    <xf numFmtId="41" fontId="12" fillId="0" borderId="0" xfId="7" applyFont="1" applyAlignment="1">
      <alignment vertical="center"/>
    </xf>
    <xf numFmtId="41" fontId="11" fillId="0" borderId="0" xfId="0" applyNumberFormat="1" applyFont="1"/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2" fillId="0" borderId="0" xfId="0" applyFont="1"/>
    <xf numFmtId="0" fontId="14" fillId="2" borderId="1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41" fontId="16" fillId="0" borderId="19" xfId="7" applyFont="1" applyBorder="1" applyAlignment="1">
      <alignment horizontal="center" vertical="center"/>
    </xf>
    <xf numFmtId="41" fontId="16" fillId="0" borderId="21" xfId="7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shrinkToFit="1"/>
    </xf>
    <xf numFmtId="0" fontId="4" fillId="2" borderId="26" xfId="0" applyFont="1" applyFill="1" applyBorder="1" applyAlignment="1">
      <alignment horizontal="center" vertical="center"/>
    </xf>
    <xf numFmtId="181" fontId="14" fillId="5" borderId="24" xfId="0" quotePrefix="1" applyNumberFormat="1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181" fontId="14" fillId="5" borderId="25" xfId="0" applyNumberFormat="1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181" fontId="14" fillId="5" borderId="5" xfId="0" applyNumberFormat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41" fontId="16" fillId="0" borderId="20" xfId="7" applyFont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 shrinkToFit="1"/>
    </xf>
    <xf numFmtId="181" fontId="14" fillId="5" borderId="16" xfId="0" applyNumberFormat="1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41" fontId="16" fillId="0" borderId="45" xfId="7" applyFont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 shrinkToFit="1"/>
    </xf>
    <xf numFmtId="0" fontId="14" fillId="2" borderId="4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shrinkToFit="1"/>
    </xf>
    <xf numFmtId="0" fontId="12" fillId="5" borderId="8" xfId="0" applyFont="1" applyFill="1" applyBorder="1" applyAlignment="1">
      <alignment horizontal="center" vertical="center" wrapText="1"/>
    </xf>
    <xf numFmtId="41" fontId="13" fillId="0" borderId="19" xfId="7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81" fontId="12" fillId="5" borderId="5" xfId="0" applyNumberFormat="1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41" fontId="13" fillId="0" borderId="20" xfId="7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81" fontId="12" fillId="5" borderId="25" xfId="0" applyNumberFormat="1" applyFont="1" applyFill="1" applyBorder="1" applyAlignment="1">
      <alignment horizontal="center" vertical="center" shrinkToFit="1"/>
    </xf>
    <xf numFmtId="0" fontId="12" fillId="5" borderId="3" xfId="0" applyFont="1" applyFill="1" applyBorder="1" applyAlignment="1">
      <alignment horizontal="center" vertical="center" shrinkToFit="1"/>
    </xf>
    <xf numFmtId="41" fontId="13" fillId="0" borderId="21" xfId="7" applyFont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 shrinkToFi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shrinkToFit="1"/>
    </xf>
    <xf numFmtId="0" fontId="12" fillId="2" borderId="47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 shrinkToFit="1"/>
    </xf>
    <xf numFmtId="181" fontId="12" fillId="5" borderId="49" xfId="0" applyNumberFormat="1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41" fontId="13" fillId="0" borderId="51" xfId="7" applyFont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 shrinkToFit="1"/>
    </xf>
    <xf numFmtId="181" fontId="22" fillId="5" borderId="24" xfId="0" quotePrefix="1" applyNumberFormat="1" applyFont="1" applyFill="1" applyBorder="1" applyAlignment="1">
      <alignment horizontal="center" vertical="center" wrapText="1"/>
    </xf>
    <xf numFmtId="41" fontId="23" fillId="0" borderId="19" xfId="7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 shrinkToFit="1"/>
    </xf>
    <xf numFmtId="181" fontId="22" fillId="5" borderId="25" xfId="0" applyNumberFormat="1" applyFont="1" applyFill="1" applyBorder="1" applyAlignment="1">
      <alignment horizontal="center" vertical="center" wrapText="1" shrinkToFit="1"/>
    </xf>
    <xf numFmtId="0" fontId="22" fillId="5" borderId="3" xfId="0" applyFont="1" applyFill="1" applyBorder="1" applyAlignment="1">
      <alignment horizontal="center" vertical="center" wrapText="1"/>
    </xf>
    <xf numFmtId="41" fontId="23" fillId="0" borderId="21" xfId="7" applyFont="1" applyBorder="1" applyAlignment="1">
      <alignment horizontal="center" vertical="center"/>
    </xf>
    <xf numFmtId="181" fontId="22" fillId="5" borderId="25" xfId="0" applyNumberFormat="1" applyFont="1" applyFill="1" applyBorder="1" applyAlignment="1">
      <alignment horizontal="center" vertical="center" wrapText="1"/>
    </xf>
    <xf numFmtId="181" fontId="14" fillId="5" borderId="16" xfId="0" applyNumberFormat="1" applyFont="1" applyFill="1" applyBorder="1" applyAlignment="1">
      <alignment horizontal="center" vertical="center" wrapText="1" shrinkToFit="1"/>
    </xf>
    <xf numFmtId="0" fontId="14" fillId="2" borderId="52" xfId="0" applyFont="1" applyFill="1" applyBorder="1" applyAlignment="1">
      <alignment horizontal="center" vertical="center"/>
    </xf>
    <xf numFmtId="0" fontId="14" fillId="2" borderId="53" xfId="0" applyFont="1" applyFill="1" applyBorder="1" applyAlignment="1">
      <alignment horizontal="center" vertical="center"/>
    </xf>
    <xf numFmtId="0" fontId="14" fillId="5" borderId="53" xfId="0" applyFont="1" applyFill="1" applyBorder="1" applyAlignment="1">
      <alignment horizontal="center" vertical="center" shrinkToFit="1"/>
    </xf>
    <xf numFmtId="181" fontId="14" fillId="5" borderId="54" xfId="0" quotePrefix="1" applyNumberFormat="1" applyFont="1" applyFill="1" applyBorder="1" applyAlignment="1">
      <alignment horizontal="center" vertical="center" wrapText="1"/>
    </xf>
    <xf numFmtId="41" fontId="16" fillId="0" borderId="56" xfId="7" applyFont="1" applyBorder="1" applyAlignment="1">
      <alignment horizontal="center" vertical="center"/>
    </xf>
    <xf numFmtId="181" fontId="12" fillId="5" borderId="5" xfId="0" applyNumberFormat="1" applyFont="1" applyFill="1" applyBorder="1" applyAlignment="1">
      <alignment horizontal="center" vertical="center" wrapText="1" shrinkToFit="1"/>
    </xf>
    <xf numFmtId="181" fontId="12" fillId="5" borderId="24" xfId="0" quotePrefix="1" applyNumberFormat="1" applyFont="1" applyFill="1" applyBorder="1" applyAlignment="1">
      <alignment horizontal="center" vertical="center" wrapText="1"/>
    </xf>
    <xf numFmtId="181" fontId="22" fillId="5" borderId="25" xfId="0" applyNumberFormat="1" applyFont="1" applyFill="1" applyBorder="1" applyAlignment="1">
      <alignment horizontal="center" vertical="center" shrinkToFit="1"/>
    </xf>
    <xf numFmtId="0" fontId="22" fillId="5" borderId="3" xfId="0" applyFont="1" applyFill="1" applyBorder="1" applyAlignment="1">
      <alignment horizontal="center" vertical="center" shrinkToFit="1"/>
    </xf>
    <xf numFmtId="181" fontId="12" fillId="5" borderId="5" xfId="0" applyNumberFormat="1" applyFont="1" applyFill="1" applyBorder="1" applyAlignment="1">
      <alignment horizontal="center" vertical="center" shrinkToFit="1"/>
    </xf>
    <xf numFmtId="0" fontId="12" fillId="5" borderId="12" xfId="0" applyFont="1" applyFill="1" applyBorder="1" applyAlignment="1">
      <alignment horizontal="center" vertical="center" shrinkToFit="1"/>
    </xf>
    <xf numFmtId="0" fontId="14" fillId="2" borderId="47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 vertical="center"/>
    </xf>
    <xf numFmtId="0" fontId="14" fillId="5" borderId="48" xfId="0" applyFont="1" applyFill="1" applyBorder="1" applyAlignment="1">
      <alignment horizontal="center" vertical="center" shrinkToFit="1"/>
    </xf>
    <xf numFmtId="41" fontId="16" fillId="0" borderId="51" xfId="7" applyFont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 shrinkToFit="1"/>
    </xf>
    <xf numFmtId="181" fontId="12" fillId="5" borderId="58" xfId="0" applyNumberFormat="1" applyFont="1" applyFill="1" applyBorder="1" applyAlignment="1">
      <alignment horizontal="center" vertical="center" wrapText="1"/>
    </xf>
    <xf numFmtId="41" fontId="13" fillId="0" borderId="22" xfId="7" applyFont="1" applyBorder="1" applyAlignment="1">
      <alignment horizontal="center" vertical="center"/>
    </xf>
    <xf numFmtId="181" fontId="14" fillId="5" borderId="16" xfId="0" applyNumberFormat="1" applyFont="1" applyFill="1" applyBorder="1" applyAlignment="1">
      <alignment horizontal="center" vertical="center" shrinkToFit="1"/>
    </xf>
    <xf numFmtId="0" fontId="14" fillId="5" borderId="18" xfId="0" applyFont="1" applyFill="1" applyBorder="1" applyAlignment="1">
      <alignment horizontal="center" vertical="center" shrinkToFit="1"/>
    </xf>
    <xf numFmtId="0" fontId="14" fillId="5" borderId="6" xfId="0" applyFont="1" applyFill="1" applyBorder="1" applyAlignment="1">
      <alignment horizontal="center" vertical="center" shrinkToFit="1"/>
    </xf>
    <xf numFmtId="182" fontId="11" fillId="0" borderId="0" xfId="16" applyNumberFormat="1" applyFont="1" applyAlignment="1"/>
    <xf numFmtId="3" fontId="11" fillId="0" borderId="0" xfId="0" applyNumberFormat="1" applyFont="1"/>
    <xf numFmtId="184" fontId="11" fillId="0" borderId="0" xfId="0" applyNumberFormat="1" applyFont="1"/>
    <xf numFmtId="181" fontId="12" fillId="5" borderId="25" xfId="0" applyNumberFormat="1" applyFont="1" applyFill="1" applyBorder="1" applyAlignment="1">
      <alignment horizontal="center" vertical="center" wrapText="1"/>
    </xf>
    <xf numFmtId="181" fontId="12" fillId="5" borderId="25" xfId="0" applyNumberFormat="1" applyFont="1" applyFill="1" applyBorder="1" applyAlignment="1">
      <alignment horizontal="center" vertical="center" wrapText="1" shrinkToFit="1"/>
    </xf>
    <xf numFmtId="181" fontId="12" fillId="5" borderId="49" xfId="0" applyNumberFormat="1" applyFont="1" applyFill="1" applyBorder="1" applyAlignment="1">
      <alignment horizontal="center" vertical="center" shrinkToFit="1"/>
    </xf>
    <xf numFmtId="0" fontId="12" fillId="5" borderId="50" xfId="0" applyFont="1" applyFill="1" applyBorder="1" applyAlignment="1">
      <alignment horizontal="center" vertical="center" shrinkToFit="1"/>
    </xf>
    <xf numFmtId="181" fontId="14" fillId="5" borderId="25" xfId="0" applyNumberFormat="1" applyFont="1" applyFill="1" applyBorder="1" applyAlignment="1">
      <alignment horizontal="center" vertical="center" shrinkToFit="1"/>
    </xf>
    <xf numFmtId="0" fontId="14" fillId="5" borderId="3" xfId="0" applyFont="1" applyFill="1" applyBorder="1" applyAlignment="1">
      <alignment horizontal="center" vertical="center" shrinkToFit="1"/>
    </xf>
    <xf numFmtId="0" fontId="12" fillId="5" borderId="8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50" xfId="0" applyFont="1" applyFill="1" applyBorder="1" applyAlignment="1">
      <alignment horizontal="center" vertical="center"/>
    </xf>
    <xf numFmtId="181" fontId="12" fillId="5" borderId="5" xfId="0" applyNumberFormat="1" applyFont="1" applyFill="1" applyBorder="1" applyAlignment="1">
      <alignment horizontal="center" vertical="center"/>
    </xf>
    <xf numFmtId="181" fontId="12" fillId="5" borderId="25" xfId="0" applyNumberFormat="1" applyFont="1" applyFill="1" applyBorder="1" applyAlignment="1">
      <alignment horizontal="center" vertical="center"/>
    </xf>
    <xf numFmtId="181" fontId="22" fillId="5" borderId="25" xfId="0" applyNumberFormat="1" applyFont="1" applyFill="1" applyBorder="1" applyAlignment="1">
      <alignment horizontal="center" vertical="center"/>
    </xf>
    <xf numFmtId="181" fontId="14" fillId="5" borderId="16" xfId="0" applyNumberFormat="1" applyFont="1" applyFill="1" applyBorder="1" applyAlignment="1">
      <alignment horizontal="center" vertical="center"/>
    </xf>
    <xf numFmtId="0" fontId="15" fillId="0" borderId="0" xfId="0" applyFont="1"/>
    <xf numFmtId="41" fontId="15" fillId="0" borderId="0" xfId="0" applyNumberFormat="1" applyFont="1"/>
    <xf numFmtId="0" fontId="17" fillId="0" borderId="0" xfId="0" applyFont="1"/>
    <xf numFmtId="181" fontId="12" fillId="5" borderId="24" xfId="0" applyNumberFormat="1" applyFont="1" applyFill="1" applyBorder="1" applyAlignment="1">
      <alignment horizontal="center" vertical="center" wrapText="1"/>
    </xf>
    <xf numFmtId="181" fontId="14" fillId="5" borderId="24" xfId="0" applyNumberFormat="1" applyFont="1" applyFill="1" applyBorder="1" applyAlignment="1">
      <alignment horizontal="center" vertical="center" wrapText="1"/>
    </xf>
    <xf numFmtId="185" fontId="11" fillId="0" borderId="0" xfId="0" applyNumberFormat="1" applyFont="1"/>
    <xf numFmtId="181" fontId="14" fillId="5" borderId="49" xfId="0" applyNumberFormat="1" applyFont="1" applyFill="1" applyBorder="1" applyAlignment="1">
      <alignment horizontal="center" vertical="center" wrapText="1"/>
    </xf>
    <xf numFmtId="0" fontId="14" fillId="5" borderId="50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/>
    </xf>
    <xf numFmtId="181" fontId="14" fillId="5" borderId="24" xfId="0" applyNumberFormat="1" applyFont="1" applyFill="1" applyBorder="1" applyAlignment="1">
      <alignment horizontal="center" vertical="center" shrinkToFit="1"/>
    </xf>
    <xf numFmtId="0" fontId="14" fillId="5" borderId="8" xfId="0" applyFont="1" applyFill="1" applyBorder="1" applyAlignment="1">
      <alignment horizontal="center" vertical="center" shrinkToFit="1"/>
    </xf>
    <xf numFmtId="181" fontId="14" fillId="5" borderId="54" xfId="0" applyNumberFormat="1" applyFont="1" applyFill="1" applyBorder="1" applyAlignment="1">
      <alignment horizontal="center" vertical="center" wrapText="1"/>
    </xf>
    <xf numFmtId="181" fontId="14" fillId="5" borderId="5" xfId="0" applyNumberFormat="1" applyFont="1" applyFill="1" applyBorder="1" applyAlignment="1">
      <alignment horizontal="center" vertical="center" shrinkToFit="1"/>
    </xf>
    <xf numFmtId="0" fontId="14" fillId="5" borderId="12" xfId="0" applyFont="1" applyFill="1" applyBorder="1" applyAlignment="1">
      <alignment horizontal="center" vertical="center" shrinkToFit="1"/>
    </xf>
    <xf numFmtId="181" fontId="14" fillId="5" borderId="25" xfId="0" applyNumberFormat="1" applyFont="1" applyFill="1" applyBorder="1" applyAlignment="1">
      <alignment horizontal="center" vertical="center" wrapText="1" shrinkToFit="1"/>
    </xf>
    <xf numFmtId="181" fontId="12" fillId="5" borderId="49" xfId="0" applyNumberFormat="1" applyFont="1" applyFill="1" applyBorder="1" applyAlignment="1">
      <alignment horizontal="center" vertical="center"/>
    </xf>
    <xf numFmtId="181" fontId="12" fillId="5" borderId="24" xfId="0" quotePrefix="1" applyNumberFormat="1" applyFont="1" applyFill="1" applyBorder="1" applyAlignment="1">
      <alignment horizontal="center" vertical="center"/>
    </xf>
    <xf numFmtId="181" fontId="12" fillId="5" borderId="24" xfId="0" applyNumberFormat="1" applyFont="1" applyFill="1" applyBorder="1" applyAlignment="1">
      <alignment horizontal="center" vertical="center"/>
    </xf>
    <xf numFmtId="181" fontId="12" fillId="5" borderId="24" xfId="0" applyNumberFormat="1" applyFont="1" applyFill="1" applyBorder="1" applyAlignment="1">
      <alignment horizontal="center" vertical="center" shrinkToFit="1"/>
    </xf>
    <xf numFmtId="0" fontId="12" fillId="5" borderId="8" xfId="0" applyFont="1" applyFill="1" applyBorder="1" applyAlignment="1">
      <alignment horizontal="center" vertical="center" shrinkToFit="1"/>
    </xf>
    <xf numFmtId="181" fontId="22" fillId="5" borderId="24" xfId="0" applyNumberFormat="1" applyFont="1" applyFill="1" applyBorder="1" applyAlignment="1">
      <alignment horizontal="center" vertical="center" wrapText="1"/>
    </xf>
    <xf numFmtId="0" fontId="22" fillId="2" borderId="47" xfId="0" applyFont="1" applyFill="1" applyBorder="1" applyAlignment="1">
      <alignment horizontal="center" vertical="center"/>
    </xf>
    <xf numFmtId="0" fontId="22" fillId="2" borderId="48" xfId="0" applyFont="1" applyFill="1" applyBorder="1" applyAlignment="1">
      <alignment horizontal="center" vertical="center"/>
    </xf>
    <xf numFmtId="0" fontId="22" fillId="5" borderId="48" xfId="0" applyFont="1" applyFill="1" applyBorder="1" applyAlignment="1">
      <alignment horizontal="center" vertical="center" shrinkToFit="1"/>
    </xf>
    <xf numFmtId="181" fontId="22" fillId="5" borderId="49" xfId="0" applyNumberFormat="1" applyFont="1" applyFill="1" applyBorder="1" applyAlignment="1">
      <alignment horizontal="center" vertical="center" wrapText="1"/>
    </xf>
    <xf numFmtId="41" fontId="23" fillId="0" borderId="51" xfId="7" applyFont="1" applyBorder="1" applyAlignment="1">
      <alignment horizontal="center" vertical="center"/>
    </xf>
    <xf numFmtId="41" fontId="0" fillId="0" borderId="0" xfId="0" applyNumberFormat="1"/>
    <xf numFmtId="183" fontId="11" fillId="0" borderId="0" xfId="0" applyNumberFormat="1" applyFont="1"/>
    <xf numFmtId="187" fontId="12" fillId="0" borderId="0" xfId="0" applyNumberFormat="1" applyFont="1"/>
    <xf numFmtId="0" fontId="22" fillId="5" borderId="8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181" fontId="22" fillId="5" borderId="49" xfId="0" applyNumberFormat="1" applyFont="1" applyFill="1" applyBorder="1" applyAlignment="1">
      <alignment horizontal="center" vertical="center" shrinkToFit="1"/>
    </xf>
    <xf numFmtId="0" fontId="22" fillId="5" borderId="50" xfId="0" applyFont="1" applyFill="1" applyBorder="1" applyAlignment="1">
      <alignment horizontal="center" vertical="center" shrinkToFit="1"/>
    </xf>
    <xf numFmtId="0" fontId="14" fillId="5" borderId="55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 wrapText="1"/>
    </xf>
    <xf numFmtId="41" fontId="13" fillId="3" borderId="38" xfId="7" applyFont="1" applyFill="1" applyBorder="1" applyAlignment="1">
      <alignment horizontal="center" vertical="center"/>
    </xf>
    <xf numFmtId="41" fontId="13" fillId="3" borderId="13" xfId="7" applyFont="1" applyFill="1" applyBorder="1" applyAlignment="1">
      <alignment horizontal="center" vertical="center"/>
    </xf>
    <xf numFmtId="41" fontId="13" fillId="3" borderId="39" xfId="7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41" fontId="13" fillId="4" borderId="38" xfId="7" applyFont="1" applyFill="1" applyBorder="1" applyAlignment="1">
      <alignment horizontal="center" vertical="center"/>
    </xf>
    <xf numFmtId="41" fontId="13" fillId="4" borderId="13" xfId="7" applyFont="1" applyFill="1" applyBorder="1" applyAlignment="1">
      <alignment horizontal="center" vertical="center"/>
    </xf>
    <xf numFmtId="41" fontId="13" fillId="4" borderId="39" xfId="7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 wrapText="1"/>
    </xf>
    <xf numFmtId="0" fontId="5" fillId="5" borderId="59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 wrapText="1"/>
    </xf>
    <xf numFmtId="0" fontId="5" fillId="6" borderId="59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/>
    </xf>
    <xf numFmtId="41" fontId="16" fillId="0" borderId="61" xfId="7" applyFont="1" applyBorder="1" applyAlignment="1">
      <alignment horizontal="center" vertical="center"/>
    </xf>
    <xf numFmtId="41" fontId="13" fillId="0" borderId="59" xfId="7" applyFont="1" applyBorder="1" applyAlignment="1">
      <alignment horizontal="center" vertical="center"/>
    </xf>
    <xf numFmtId="41" fontId="23" fillId="0" borderId="59" xfId="7" applyFont="1" applyBorder="1" applyAlignment="1">
      <alignment horizontal="center" vertical="center"/>
    </xf>
    <xf numFmtId="41" fontId="16" fillId="0" borderId="62" xfId="7" applyFont="1" applyBorder="1" applyAlignment="1">
      <alignment horizontal="center" vertical="center"/>
    </xf>
    <xf numFmtId="41" fontId="13" fillId="0" borderId="63" xfId="7" applyFont="1" applyBorder="1" applyAlignment="1">
      <alignment horizontal="center" vertical="center"/>
    </xf>
    <xf numFmtId="41" fontId="16" fillId="0" borderId="63" xfId="7" applyFont="1" applyBorder="1" applyAlignment="1">
      <alignment horizontal="center" vertical="center"/>
    </xf>
    <xf numFmtId="41" fontId="16" fillId="0" borderId="59" xfId="7" applyFont="1" applyBorder="1" applyAlignment="1">
      <alignment horizontal="center" vertical="center"/>
    </xf>
    <xf numFmtId="41" fontId="13" fillId="0" borderId="64" xfId="7" applyFont="1" applyBorder="1" applyAlignment="1">
      <alignment horizontal="center" vertical="center"/>
    </xf>
    <xf numFmtId="41" fontId="13" fillId="4" borderId="38" xfId="7" applyFont="1" applyFill="1" applyBorder="1" applyAlignment="1">
      <alignment vertical="center"/>
    </xf>
    <xf numFmtId="41" fontId="13" fillId="4" borderId="65" xfId="7" applyFont="1" applyFill="1" applyBorder="1" applyAlignment="1">
      <alignment vertical="center"/>
    </xf>
    <xf numFmtId="41" fontId="13" fillId="3" borderId="38" xfId="7" applyFont="1" applyFill="1" applyBorder="1" applyAlignment="1">
      <alignment vertical="center"/>
    </xf>
    <xf numFmtId="41" fontId="13" fillId="3" borderId="65" xfId="7" applyFont="1" applyFill="1" applyBorder="1" applyAlignment="1">
      <alignment vertical="center"/>
    </xf>
    <xf numFmtId="41" fontId="23" fillId="0" borderId="61" xfId="7" applyFont="1" applyBorder="1" applyAlignment="1">
      <alignment horizontal="center" vertical="center"/>
    </xf>
    <xf numFmtId="41" fontId="13" fillId="0" borderId="66" xfId="7" applyFont="1" applyBorder="1" applyAlignment="1">
      <alignment horizontal="center" vertical="center"/>
    </xf>
    <xf numFmtId="41" fontId="13" fillId="0" borderId="61" xfId="7" applyFont="1" applyBorder="1" applyAlignment="1">
      <alignment horizontal="center" vertical="center"/>
    </xf>
    <xf numFmtId="41" fontId="23" fillId="0" borderId="64" xfId="7" applyFont="1" applyBorder="1" applyAlignment="1">
      <alignment horizontal="center" vertical="center"/>
    </xf>
    <xf numFmtId="41" fontId="16" fillId="0" borderId="67" xfId="7" applyFont="1" applyBorder="1" applyAlignment="1">
      <alignment horizontal="center" vertical="center"/>
    </xf>
    <xf numFmtId="41" fontId="16" fillId="0" borderId="64" xfId="7" applyFont="1" applyBorder="1" applyAlignment="1">
      <alignment horizontal="center" vertical="center"/>
    </xf>
  </cellXfs>
  <cellStyles count="17">
    <cellStyle name="Comma [0]_laroux" xfId="1" xr:uid="{00000000-0005-0000-0000-000000000000}"/>
    <cellStyle name="Comma_laroux" xfId="2" xr:uid="{00000000-0005-0000-0000-000001000000}"/>
    <cellStyle name="Currency [0]_laroux" xfId="3" xr:uid="{00000000-0005-0000-0000-000002000000}"/>
    <cellStyle name="Currency_laroux" xfId="4" xr:uid="{00000000-0005-0000-0000-000003000000}"/>
    <cellStyle name="Normal_Certs Q2" xfId="5" xr:uid="{00000000-0005-0000-0000-000004000000}"/>
    <cellStyle name="백분율" xfId="16" builtinId="5"/>
    <cellStyle name="백분율 2" xfId="6" xr:uid="{00000000-0005-0000-0000-000006000000}"/>
    <cellStyle name="쉼표 [0]" xfId="7" builtinId="6"/>
    <cellStyle name="쉼표 [0] 5" xfId="8" xr:uid="{00000000-0005-0000-0000-000008000000}"/>
    <cellStyle name="콤마 [0]_급여지급" xfId="9" xr:uid="{00000000-0005-0000-0000-000009000000}"/>
    <cellStyle name="콤마_승인업체" xfId="10" xr:uid="{00000000-0005-0000-0000-00000A000000}"/>
    <cellStyle name="표준" xfId="0" builtinId="0"/>
    <cellStyle name="표준 11" xfId="11" xr:uid="{00000000-0005-0000-0000-00000C000000}"/>
    <cellStyle name="표준 2" xfId="12" xr:uid="{00000000-0005-0000-0000-00000D000000}"/>
    <cellStyle name="표준 3" xfId="13" xr:uid="{00000000-0005-0000-0000-00000E000000}"/>
    <cellStyle name="표준 4" xfId="14" xr:uid="{00000000-0005-0000-0000-00000F000000}"/>
    <cellStyle name="표준 5" xfId="15" xr:uid="{00000000-0005-0000-0000-000010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J37"/>
  <sheetViews>
    <sheetView workbookViewId="0">
      <selection activeCell="N15" sqref="N15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10" s="2" customFormat="1" ht="21" customHeight="1" x14ac:dyDescent="0.15">
      <c r="A1" s="162" t="s">
        <v>3</v>
      </c>
      <c r="B1" s="163"/>
      <c r="C1" s="163"/>
      <c r="D1" s="163"/>
      <c r="E1" s="163"/>
      <c r="F1" s="163"/>
      <c r="G1" s="163"/>
      <c r="H1" s="163"/>
      <c r="I1" s="164"/>
    </row>
    <row r="2" spans="1:10" s="2" customFormat="1" ht="22.5" customHeight="1" x14ac:dyDescent="0.15">
      <c r="A2" s="154" t="s">
        <v>2</v>
      </c>
      <c r="B2" s="157" t="s">
        <v>1</v>
      </c>
      <c r="C2" s="148" t="s">
        <v>12</v>
      </c>
      <c r="D2" s="148" t="s">
        <v>15</v>
      </c>
      <c r="E2" s="149"/>
      <c r="F2" s="148" t="s">
        <v>16</v>
      </c>
      <c r="G2" s="152"/>
      <c r="H2" s="168" t="s">
        <v>22</v>
      </c>
      <c r="I2" s="169" t="s">
        <v>21</v>
      </c>
    </row>
    <row r="3" spans="1:10" s="2" customFormat="1" ht="18.75" customHeight="1" x14ac:dyDescent="0.15">
      <c r="A3" s="155"/>
      <c r="B3" s="165"/>
      <c r="C3" s="166"/>
      <c r="D3" s="150"/>
      <c r="E3" s="151"/>
      <c r="F3" s="150"/>
      <c r="G3" s="153"/>
      <c r="H3" s="170" t="s">
        <v>23</v>
      </c>
      <c r="I3" s="171" t="s">
        <v>20</v>
      </c>
    </row>
    <row r="4" spans="1:10" s="2" customFormat="1" ht="18.75" customHeight="1" x14ac:dyDescent="0.15">
      <c r="A4" s="156"/>
      <c r="B4" s="158"/>
      <c r="C4" s="167"/>
      <c r="D4" s="14" t="s">
        <v>13</v>
      </c>
      <c r="E4" s="14" t="s">
        <v>14</v>
      </c>
      <c r="F4" s="14" t="s">
        <v>18</v>
      </c>
      <c r="G4" s="16" t="s">
        <v>17</v>
      </c>
      <c r="H4" s="172"/>
      <c r="I4" s="173" t="s">
        <v>19</v>
      </c>
    </row>
    <row r="5" spans="1:10" s="110" customFormat="1" ht="23.1" customHeight="1" x14ac:dyDescent="0.15">
      <c r="A5" s="7">
        <v>1</v>
      </c>
      <c r="B5" s="8" t="s">
        <v>43</v>
      </c>
      <c r="C5" s="90" t="s">
        <v>54</v>
      </c>
      <c r="D5" s="17">
        <v>-3</v>
      </c>
      <c r="E5" s="17">
        <v>9</v>
      </c>
      <c r="F5" s="114" t="s">
        <v>46</v>
      </c>
      <c r="G5" s="18" t="s">
        <v>50</v>
      </c>
      <c r="H5" s="12">
        <v>2946</v>
      </c>
      <c r="I5" s="174">
        <v>4138</v>
      </c>
      <c r="J5" s="111"/>
    </row>
    <row r="6" spans="1:10" customFormat="1" ht="23.1" customHeight="1" x14ac:dyDescent="0.15">
      <c r="A6" s="41">
        <v>2</v>
      </c>
      <c r="B6" s="42" t="s">
        <v>40</v>
      </c>
      <c r="C6" s="33" t="s">
        <v>55</v>
      </c>
      <c r="D6" s="94">
        <v>-3</v>
      </c>
      <c r="E6" s="94">
        <v>6</v>
      </c>
      <c r="F6" s="94" t="s">
        <v>45</v>
      </c>
      <c r="G6" s="47" t="s">
        <v>49</v>
      </c>
      <c r="H6" s="45">
        <v>1068</v>
      </c>
      <c r="I6" s="175">
        <v>1324</v>
      </c>
      <c r="J6" s="111"/>
    </row>
    <row r="7" spans="1:10" customFormat="1" ht="23.1" customHeight="1" x14ac:dyDescent="0.15">
      <c r="A7" s="41">
        <v>3</v>
      </c>
      <c r="B7" s="42" t="s">
        <v>5</v>
      </c>
      <c r="C7" s="33" t="s">
        <v>56</v>
      </c>
      <c r="D7" s="94">
        <v>-5</v>
      </c>
      <c r="E7" s="94">
        <v>3</v>
      </c>
      <c r="F7" s="94" t="s">
        <v>45</v>
      </c>
      <c r="G7" s="47" t="s">
        <v>50</v>
      </c>
      <c r="H7" s="45">
        <v>1145</v>
      </c>
      <c r="I7" s="175">
        <v>1396</v>
      </c>
      <c r="J7" s="111"/>
    </row>
    <row r="8" spans="1:10" s="112" customFormat="1" ht="23.1" customHeight="1" x14ac:dyDescent="0.15">
      <c r="A8" s="60">
        <v>4</v>
      </c>
      <c r="B8" s="61" t="s">
        <v>6</v>
      </c>
      <c r="C8" s="62" t="s">
        <v>55</v>
      </c>
      <c r="D8" s="75">
        <v>-5</v>
      </c>
      <c r="E8" s="75">
        <v>6</v>
      </c>
      <c r="F8" s="75" t="s">
        <v>45</v>
      </c>
      <c r="G8" s="76" t="s">
        <v>52</v>
      </c>
      <c r="H8" s="65">
        <v>4218</v>
      </c>
      <c r="I8" s="176">
        <v>5235</v>
      </c>
      <c r="J8" s="111"/>
    </row>
    <row r="9" spans="1:10" s="110" customFormat="1" ht="23.1" customHeight="1" x14ac:dyDescent="0.15">
      <c r="A9" s="30">
        <v>5</v>
      </c>
      <c r="B9" s="24" t="s">
        <v>7</v>
      </c>
      <c r="C9" s="25" t="s">
        <v>57</v>
      </c>
      <c r="D9" s="26">
        <v>-1</v>
      </c>
      <c r="E9" s="26">
        <v>3</v>
      </c>
      <c r="F9" s="26" t="s">
        <v>45</v>
      </c>
      <c r="G9" s="27" t="s">
        <v>50</v>
      </c>
      <c r="H9" s="28">
        <v>689</v>
      </c>
      <c r="I9" s="177">
        <v>1094</v>
      </c>
      <c r="J9" s="111"/>
    </row>
    <row r="10" spans="1:10" customFormat="1" ht="23.1" customHeight="1" x14ac:dyDescent="0.15">
      <c r="A10" s="36">
        <v>6</v>
      </c>
      <c r="B10" s="37" t="s">
        <v>8</v>
      </c>
      <c r="C10" s="48" t="s">
        <v>58</v>
      </c>
      <c r="D10" s="38">
        <v>-3</v>
      </c>
      <c r="E10" s="38">
        <v>3</v>
      </c>
      <c r="F10" s="38" t="s">
        <v>45</v>
      </c>
      <c r="G10" s="39" t="s">
        <v>48</v>
      </c>
      <c r="H10" s="40">
        <v>571</v>
      </c>
      <c r="I10" s="178">
        <v>714</v>
      </c>
      <c r="J10" s="111"/>
    </row>
    <row r="11" spans="1:10" customFormat="1" ht="23.1" customHeight="1" x14ac:dyDescent="0.15">
      <c r="A11" s="41">
        <v>7</v>
      </c>
      <c r="B11" s="42" t="s">
        <v>9</v>
      </c>
      <c r="C11" s="33" t="s">
        <v>59</v>
      </c>
      <c r="D11" s="94">
        <v>-6</v>
      </c>
      <c r="E11" s="94">
        <v>2</v>
      </c>
      <c r="F11" s="94" t="s">
        <v>45</v>
      </c>
      <c r="G11" s="47" t="s">
        <v>48</v>
      </c>
      <c r="H11" s="45">
        <v>580</v>
      </c>
      <c r="I11" s="175">
        <v>681</v>
      </c>
      <c r="J11" s="111"/>
    </row>
    <row r="12" spans="1:10" customFormat="1" ht="23.1" customHeight="1" x14ac:dyDescent="0.15">
      <c r="A12" s="41">
        <v>8</v>
      </c>
      <c r="B12" s="42" t="s">
        <v>10</v>
      </c>
      <c r="C12" s="33" t="s">
        <v>60</v>
      </c>
      <c r="D12" s="95">
        <v>-6</v>
      </c>
      <c r="E12" s="95">
        <v>0</v>
      </c>
      <c r="F12" s="95" t="s">
        <v>45</v>
      </c>
      <c r="G12" s="47" t="s">
        <v>48</v>
      </c>
      <c r="H12" s="45">
        <v>538</v>
      </c>
      <c r="I12" s="175">
        <v>612</v>
      </c>
      <c r="J12" s="111"/>
    </row>
    <row r="13" spans="1:10" customFormat="1" ht="23.1" customHeight="1" x14ac:dyDescent="0.15">
      <c r="A13" s="41">
        <v>9</v>
      </c>
      <c r="B13" s="42" t="s">
        <v>11</v>
      </c>
      <c r="C13" s="33" t="s">
        <v>61</v>
      </c>
      <c r="D13" s="95">
        <v>-12</v>
      </c>
      <c r="E13" s="95">
        <v>-6</v>
      </c>
      <c r="F13" s="95" t="s">
        <v>45</v>
      </c>
      <c r="G13" s="47" t="s">
        <v>48</v>
      </c>
      <c r="H13" s="45">
        <v>391</v>
      </c>
      <c r="I13" s="175">
        <v>418</v>
      </c>
      <c r="J13" s="111"/>
    </row>
    <row r="14" spans="1:10" customFormat="1" ht="23.1" customHeight="1" x14ac:dyDescent="0.15">
      <c r="A14" s="41">
        <v>10</v>
      </c>
      <c r="B14" s="42" t="s">
        <v>5</v>
      </c>
      <c r="C14" s="33" t="s">
        <v>61</v>
      </c>
      <c r="D14" s="94">
        <v>-12</v>
      </c>
      <c r="E14" s="94">
        <v>-2</v>
      </c>
      <c r="F14" s="94" t="s">
        <v>45</v>
      </c>
      <c r="G14" s="47" t="s">
        <v>50</v>
      </c>
      <c r="H14" s="45">
        <v>696</v>
      </c>
      <c r="I14" s="175">
        <v>738</v>
      </c>
      <c r="J14" s="111"/>
    </row>
    <row r="15" spans="1:10" s="112" customFormat="1" ht="23.1" customHeight="1" x14ac:dyDescent="0.15">
      <c r="A15" s="60">
        <v>11</v>
      </c>
      <c r="B15" s="61" t="s">
        <v>6</v>
      </c>
      <c r="C15" s="62" t="s">
        <v>61</v>
      </c>
      <c r="D15" s="66">
        <v>-10</v>
      </c>
      <c r="E15" s="66">
        <v>0</v>
      </c>
      <c r="F15" s="66" t="s">
        <v>45</v>
      </c>
      <c r="G15" s="64" t="s">
        <v>52</v>
      </c>
      <c r="H15" s="65">
        <v>4815</v>
      </c>
      <c r="I15" s="176">
        <v>5264</v>
      </c>
      <c r="J15" s="111"/>
    </row>
    <row r="16" spans="1:10" s="110" customFormat="1" ht="23.1" customHeight="1" x14ac:dyDescent="0.15">
      <c r="A16" s="30">
        <v>12</v>
      </c>
      <c r="B16" s="24" t="s">
        <v>7</v>
      </c>
      <c r="C16" s="25" t="s">
        <v>61</v>
      </c>
      <c r="D16" s="26">
        <v>-8</v>
      </c>
      <c r="E16" s="26">
        <v>3</v>
      </c>
      <c r="F16" s="26" t="s">
        <v>45</v>
      </c>
      <c r="G16" s="27" t="s">
        <v>50</v>
      </c>
      <c r="H16" s="28">
        <v>2224</v>
      </c>
      <c r="I16" s="177">
        <v>3167</v>
      </c>
      <c r="J16" s="111"/>
    </row>
    <row r="17" spans="1:10" customFormat="1" ht="23.1" customHeight="1" x14ac:dyDescent="0.15">
      <c r="A17" s="36">
        <v>13</v>
      </c>
      <c r="B17" s="37" t="s">
        <v>8</v>
      </c>
      <c r="C17" s="48" t="s">
        <v>62</v>
      </c>
      <c r="D17" s="38">
        <v>-6</v>
      </c>
      <c r="E17" s="38">
        <v>4</v>
      </c>
      <c r="F17" s="38" t="s">
        <v>45</v>
      </c>
      <c r="G17" s="39" t="s">
        <v>49</v>
      </c>
      <c r="H17" s="40">
        <v>910</v>
      </c>
      <c r="I17" s="178">
        <v>1010</v>
      </c>
      <c r="J17" s="111"/>
    </row>
    <row r="18" spans="1:10" customFormat="1" ht="23.1" customHeight="1" x14ac:dyDescent="0.15">
      <c r="A18" s="41">
        <v>14</v>
      </c>
      <c r="B18" s="42" t="s">
        <v>9</v>
      </c>
      <c r="C18" s="33" t="s">
        <v>63</v>
      </c>
      <c r="D18" s="94">
        <v>-2</v>
      </c>
      <c r="E18" s="94">
        <v>5</v>
      </c>
      <c r="F18" s="94" t="s">
        <v>45</v>
      </c>
      <c r="G18" s="47" t="s">
        <v>49</v>
      </c>
      <c r="H18" s="45">
        <v>1252</v>
      </c>
      <c r="I18" s="175">
        <v>1393</v>
      </c>
      <c r="J18" s="111"/>
    </row>
    <row r="19" spans="1:10" customFormat="1" ht="23.1" customHeight="1" x14ac:dyDescent="0.15">
      <c r="A19" s="41">
        <v>15</v>
      </c>
      <c r="B19" s="42" t="s">
        <v>10</v>
      </c>
      <c r="C19" s="33" t="s">
        <v>55</v>
      </c>
      <c r="D19" s="94">
        <v>-5</v>
      </c>
      <c r="E19" s="94">
        <v>0</v>
      </c>
      <c r="F19" s="94" t="s">
        <v>45</v>
      </c>
      <c r="G19" s="47" t="s">
        <v>49</v>
      </c>
      <c r="H19" s="45">
        <v>1061</v>
      </c>
      <c r="I19" s="175">
        <v>1126</v>
      </c>
      <c r="J19" s="111"/>
    </row>
    <row r="20" spans="1:10" customFormat="1" ht="23.1" customHeight="1" x14ac:dyDescent="0.15">
      <c r="A20" s="41">
        <v>16</v>
      </c>
      <c r="B20" s="42" t="s">
        <v>11</v>
      </c>
      <c r="C20" s="33" t="s">
        <v>64</v>
      </c>
      <c r="D20" s="94">
        <v>-5</v>
      </c>
      <c r="E20" s="94">
        <v>3</v>
      </c>
      <c r="F20" s="94" t="s">
        <v>45</v>
      </c>
      <c r="G20" s="47" t="s">
        <v>49</v>
      </c>
      <c r="H20" s="45">
        <v>1200</v>
      </c>
      <c r="I20" s="175">
        <v>1319</v>
      </c>
      <c r="J20" s="111"/>
    </row>
    <row r="21" spans="1:10" customFormat="1" ht="23.1" customHeight="1" x14ac:dyDescent="0.15">
      <c r="A21" s="41">
        <v>17</v>
      </c>
      <c r="B21" s="42" t="s">
        <v>5</v>
      </c>
      <c r="C21" s="33" t="s">
        <v>55</v>
      </c>
      <c r="D21" s="94">
        <v>-5</v>
      </c>
      <c r="E21" s="94">
        <v>6</v>
      </c>
      <c r="F21" s="94" t="s">
        <v>45</v>
      </c>
      <c r="G21" s="47" t="s">
        <v>50</v>
      </c>
      <c r="H21" s="45">
        <v>2140</v>
      </c>
      <c r="I21" s="175">
        <v>2534</v>
      </c>
      <c r="J21" s="111"/>
    </row>
    <row r="22" spans="1:10" s="112" customFormat="1" ht="23.1" customHeight="1" x14ac:dyDescent="0.15">
      <c r="A22" s="60">
        <v>18</v>
      </c>
      <c r="B22" s="61" t="s">
        <v>6</v>
      </c>
      <c r="C22" s="62" t="s">
        <v>55</v>
      </c>
      <c r="D22" s="66">
        <v>-4</v>
      </c>
      <c r="E22" s="66">
        <v>8</v>
      </c>
      <c r="F22" s="66" t="s">
        <v>45</v>
      </c>
      <c r="G22" s="64" t="s">
        <v>52</v>
      </c>
      <c r="H22" s="65">
        <v>7535</v>
      </c>
      <c r="I22" s="176">
        <v>8780</v>
      </c>
      <c r="J22" s="111"/>
    </row>
    <row r="23" spans="1:10" s="110" customFormat="1" ht="23.1" customHeight="1" x14ac:dyDescent="0.15">
      <c r="A23" s="30">
        <v>19</v>
      </c>
      <c r="B23" s="24" t="s">
        <v>7</v>
      </c>
      <c r="C23" s="25" t="s">
        <v>58</v>
      </c>
      <c r="D23" s="26">
        <v>-1</v>
      </c>
      <c r="E23" s="26">
        <v>9</v>
      </c>
      <c r="F23" s="26" t="s">
        <v>45</v>
      </c>
      <c r="G23" s="27" t="s">
        <v>50</v>
      </c>
      <c r="H23" s="28">
        <v>3915</v>
      </c>
      <c r="I23" s="177">
        <v>5493</v>
      </c>
      <c r="J23" s="111"/>
    </row>
    <row r="24" spans="1:10" customFormat="1" ht="23.1" customHeight="1" x14ac:dyDescent="0.15">
      <c r="A24" s="36">
        <v>20</v>
      </c>
      <c r="B24" s="37" t="s">
        <v>8</v>
      </c>
      <c r="C24" s="48" t="s">
        <v>63</v>
      </c>
      <c r="D24" s="38">
        <v>1</v>
      </c>
      <c r="E24" s="38">
        <v>8</v>
      </c>
      <c r="F24" s="38" t="s">
        <v>45</v>
      </c>
      <c r="G24" s="39" t="s">
        <v>48</v>
      </c>
      <c r="H24" s="40">
        <v>952</v>
      </c>
      <c r="I24" s="178">
        <v>1107</v>
      </c>
      <c r="J24" s="111"/>
    </row>
    <row r="25" spans="1:10" customFormat="1" ht="23.1" customHeight="1" x14ac:dyDescent="0.15">
      <c r="A25" s="41">
        <v>21</v>
      </c>
      <c r="B25" s="42" t="s">
        <v>9</v>
      </c>
      <c r="C25" s="33" t="s">
        <v>65</v>
      </c>
      <c r="D25" s="94">
        <v>-1</v>
      </c>
      <c r="E25" s="94">
        <v>6</v>
      </c>
      <c r="F25" s="94" t="s">
        <v>45</v>
      </c>
      <c r="G25" s="47" t="s">
        <v>48</v>
      </c>
      <c r="H25" s="45">
        <v>1129</v>
      </c>
      <c r="I25" s="175">
        <v>1186</v>
      </c>
      <c r="J25" s="111"/>
    </row>
    <row r="26" spans="1:10" customFormat="1" ht="23.1" customHeight="1" x14ac:dyDescent="0.15">
      <c r="A26" s="41">
        <v>22</v>
      </c>
      <c r="B26" s="42" t="s">
        <v>10</v>
      </c>
      <c r="C26" s="33" t="s">
        <v>63</v>
      </c>
      <c r="D26" s="94">
        <v>1</v>
      </c>
      <c r="E26" s="94">
        <v>8</v>
      </c>
      <c r="F26" s="94" t="s">
        <v>45</v>
      </c>
      <c r="G26" s="47" t="s">
        <v>48</v>
      </c>
      <c r="H26" s="45">
        <v>792</v>
      </c>
      <c r="I26" s="175">
        <v>853</v>
      </c>
      <c r="J26" s="111"/>
    </row>
    <row r="27" spans="1:10" customFormat="1" ht="23.1" customHeight="1" x14ac:dyDescent="0.15">
      <c r="A27" s="41">
        <v>23</v>
      </c>
      <c r="B27" s="42" t="s">
        <v>11</v>
      </c>
      <c r="C27" s="33" t="s">
        <v>65</v>
      </c>
      <c r="D27" s="94">
        <v>-2</v>
      </c>
      <c r="E27" s="94">
        <v>8</v>
      </c>
      <c r="F27" s="94" t="s">
        <v>45</v>
      </c>
      <c r="G27" s="47" t="s">
        <v>48</v>
      </c>
      <c r="H27" s="45">
        <v>1188</v>
      </c>
      <c r="I27" s="175">
        <v>1334</v>
      </c>
      <c r="J27" s="111"/>
    </row>
    <row r="28" spans="1:10" s="110" customFormat="1" ht="23.1" customHeight="1" x14ac:dyDescent="0.15">
      <c r="A28" s="41">
        <v>24</v>
      </c>
      <c r="B28" s="42" t="s">
        <v>5</v>
      </c>
      <c r="C28" s="33" t="s">
        <v>55</v>
      </c>
      <c r="D28" s="94">
        <v>-3</v>
      </c>
      <c r="E28" s="94">
        <v>11</v>
      </c>
      <c r="F28" s="94" t="s">
        <v>45</v>
      </c>
      <c r="G28" s="47" t="s">
        <v>50</v>
      </c>
      <c r="H28" s="45">
        <v>1148</v>
      </c>
      <c r="I28" s="175">
        <v>1300</v>
      </c>
      <c r="J28" s="111"/>
    </row>
    <row r="29" spans="1:10" s="110" customFormat="1" ht="23.1" customHeight="1" x14ac:dyDescent="0.15">
      <c r="A29" s="60">
        <v>25</v>
      </c>
      <c r="B29" s="61" t="s">
        <v>6</v>
      </c>
      <c r="C29" s="62" t="s">
        <v>55</v>
      </c>
      <c r="D29" s="66">
        <v>1</v>
      </c>
      <c r="E29" s="66">
        <v>11</v>
      </c>
      <c r="F29" s="66" t="s">
        <v>45</v>
      </c>
      <c r="G29" s="64" t="s">
        <v>52</v>
      </c>
      <c r="H29" s="65">
        <v>6611</v>
      </c>
      <c r="I29" s="176">
        <v>7911</v>
      </c>
      <c r="J29" s="111"/>
    </row>
    <row r="30" spans="1:10" s="110" customFormat="1" ht="23.1" customHeight="1" x14ac:dyDescent="0.15">
      <c r="A30" s="30">
        <v>26</v>
      </c>
      <c r="B30" s="24" t="s">
        <v>7</v>
      </c>
      <c r="C30" s="25" t="s">
        <v>66</v>
      </c>
      <c r="D30" s="26">
        <v>2</v>
      </c>
      <c r="E30" s="26">
        <v>8</v>
      </c>
      <c r="F30" s="26" t="s">
        <v>45</v>
      </c>
      <c r="G30" s="27" t="s">
        <v>52</v>
      </c>
      <c r="H30" s="28">
        <v>8156</v>
      </c>
      <c r="I30" s="177">
        <v>9758</v>
      </c>
      <c r="J30" s="111"/>
    </row>
    <row r="31" spans="1:10" s="110" customFormat="1" ht="23.1" customHeight="1" x14ac:dyDescent="0.15">
      <c r="A31" s="10">
        <v>27</v>
      </c>
      <c r="B31" s="11" t="s">
        <v>8</v>
      </c>
      <c r="C31" s="29" t="s">
        <v>57</v>
      </c>
      <c r="D31" s="21">
        <v>-3</v>
      </c>
      <c r="E31" s="21">
        <v>5</v>
      </c>
      <c r="F31" s="21" t="s">
        <v>45</v>
      </c>
      <c r="G31" s="22" t="s">
        <v>49</v>
      </c>
      <c r="H31" s="23">
        <v>2078</v>
      </c>
      <c r="I31" s="179">
        <v>2555</v>
      </c>
      <c r="J31" s="111"/>
    </row>
    <row r="32" spans="1:10" customFormat="1" ht="23.1" customHeight="1" x14ac:dyDescent="0.15">
      <c r="A32" s="5">
        <v>28</v>
      </c>
      <c r="B32" s="6" t="s">
        <v>9</v>
      </c>
      <c r="C32" s="15" t="s">
        <v>57</v>
      </c>
      <c r="D32" s="19">
        <v>-5</v>
      </c>
      <c r="E32" s="19">
        <v>-3</v>
      </c>
      <c r="F32" s="19" t="s">
        <v>45</v>
      </c>
      <c r="G32" s="20" t="s">
        <v>49</v>
      </c>
      <c r="H32" s="13">
        <v>1123</v>
      </c>
      <c r="I32" s="180">
        <v>1291</v>
      </c>
      <c r="J32" s="111"/>
    </row>
    <row r="33" spans="1:10" customFormat="1" ht="23.1" customHeight="1" x14ac:dyDescent="0.15">
      <c r="A33" s="5">
        <v>29</v>
      </c>
      <c r="B33" s="6" t="s">
        <v>10</v>
      </c>
      <c r="C33" s="15" t="s">
        <v>68</v>
      </c>
      <c r="D33" s="19">
        <v>-6</v>
      </c>
      <c r="E33" s="19">
        <v>-1</v>
      </c>
      <c r="F33" s="19" t="s">
        <v>45</v>
      </c>
      <c r="G33" s="20" t="s">
        <v>50</v>
      </c>
      <c r="H33" s="13">
        <v>1811</v>
      </c>
      <c r="I33" s="180">
        <v>2168</v>
      </c>
      <c r="J33" s="111"/>
    </row>
    <row r="34" spans="1:10" customFormat="1" ht="23.25" customHeight="1" x14ac:dyDescent="0.15">
      <c r="A34" s="5">
        <v>30</v>
      </c>
      <c r="B34" s="6" t="s">
        <v>11</v>
      </c>
      <c r="C34" s="15" t="s">
        <v>66</v>
      </c>
      <c r="D34" s="19">
        <v>-8</v>
      </c>
      <c r="E34" s="19">
        <v>-1</v>
      </c>
      <c r="F34" s="19" t="s">
        <v>45</v>
      </c>
      <c r="G34" s="20" t="s">
        <v>50</v>
      </c>
      <c r="H34" s="13">
        <v>2078</v>
      </c>
      <c r="I34" s="180">
        <v>2568</v>
      </c>
      <c r="J34" s="111"/>
    </row>
    <row r="35" spans="1:10" customFormat="1" ht="23.1" customHeight="1" thickBot="1" x14ac:dyDescent="0.2">
      <c r="A35" s="49">
        <v>31</v>
      </c>
      <c r="B35" s="50" t="s">
        <v>5</v>
      </c>
      <c r="C35" s="51" t="s">
        <v>57</v>
      </c>
      <c r="D35" s="52">
        <v>-3</v>
      </c>
      <c r="E35" s="52">
        <v>1</v>
      </c>
      <c r="F35" s="52" t="s">
        <v>45</v>
      </c>
      <c r="G35" s="53" t="s">
        <v>50</v>
      </c>
      <c r="H35" s="54">
        <v>1549</v>
      </c>
      <c r="I35" s="181">
        <v>1777</v>
      </c>
      <c r="J35" s="111"/>
    </row>
    <row r="36" spans="1:10" s="3" customFormat="1" ht="21" customHeight="1" thickBot="1" x14ac:dyDescent="0.2">
      <c r="A36" s="159" t="s">
        <v>0</v>
      </c>
      <c r="B36" s="160"/>
      <c r="C36" s="160"/>
      <c r="D36" s="160"/>
      <c r="E36" s="160"/>
      <c r="F36" s="160"/>
      <c r="G36" s="161"/>
      <c r="H36" s="182">
        <f t="shared" ref="H36:I36" si="0">SUM(H5:H35)</f>
        <v>66509</v>
      </c>
      <c r="I36" s="183">
        <f t="shared" si="0"/>
        <v>80244</v>
      </c>
    </row>
    <row r="37" spans="1:10" s="3" customFormat="1" ht="21" customHeight="1" thickBot="1" x14ac:dyDescent="0.2">
      <c r="A37" s="145" t="s">
        <v>4</v>
      </c>
      <c r="B37" s="146"/>
      <c r="C37" s="146"/>
      <c r="D37" s="146"/>
      <c r="E37" s="146"/>
      <c r="F37" s="146"/>
      <c r="G37" s="147"/>
      <c r="H37" s="184">
        <f t="shared" ref="H37:I37" si="1">H36</f>
        <v>66509</v>
      </c>
      <c r="I37" s="185">
        <f t="shared" si="1"/>
        <v>80244</v>
      </c>
    </row>
  </sheetData>
  <mergeCells count="9">
    <mergeCell ref="B2:B4"/>
    <mergeCell ref="C2:C4"/>
    <mergeCell ref="A1:I1"/>
    <mergeCell ref="A37:G37"/>
    <mergeCell ref="D2:E3"/>
    <mergeCell ref="F2:G3"/>
    <mergeCell ref="A2:A4"/>
    <mergeCell ref="A36:G36"/>
    <mergeCell ref="H3:H4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I48"/>
  <sheetViews>
    <sheetView topLeftCell="A25" workbookViewId="0">
      <selection activeCell="I35" sqref="I35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62" t="s">
        <v>24</v>
      </c>
      <c r="B1" s="163"/>
      <c r="C1" s="163"/>
      <c r="D1" s="163"/>
      <c r="E1" s="163"/>
      <c r="F1" s="163"/>
      <c r="G1" s="163"/>
      <c r="H1" s="163"/>
      <c r="I1" s="164"/>
    </row>
    <row r="2" spans="1:9" s="2" customFormat="1" ht="22.5" customHeight="1" x14ac:dyDescent="0.15">
      <c r="A2" s="154" t="s">
        <v>2</v>
      </c>
      <c r="B2" s="157" t="s">
        <v>1</v>
      </c>
      <c r="C2" s="148" t="s">
        <v>12</v>
      </c>
      <c r="D2" s="148" t="s">
        <v>15</v>
      </c>
      <c r="E2" s="149"/>
      <c r="F2" s="148" t="s">
        <v>16</v>
      </c>
      <c r="G2" s="152"/>
      <c r="H2" s="168" t="s">
        <v>22</v>
      </c>
      <c r="I2" s="169" t="s">
        <v>21</v>
      </c>
    </row>
    <row r="3" spans="1:9" s="2" customFormat="1" ht="18.75" customHeight="1" x14ac:dyDescent="0.15">
      <c r="A3" s="155"/>
      <c r="B3" s="165"/>
      <c r="C3" s="166"/>
      <c r="D3" s="150"/>
      <c r="E3" s="151"/>
      <c r="F3" s="150"/>
      <c r="G3" s="153"/>
      <c r="H3" s="170" t="s">
        <v>23</v>
      </c>
      <c r="I3" s="171" t="s">
        <v>20</v>
      </c>
    </row>
    <row r="4" spans="1:9" s="2" customFormat="1" ht="18.75" customHeight="1" x14ac:dyDescent="0.15">
      <c r="A4" s="156"/>
      <c r="B4" s="158"/>
      <c r="C4" s="167"/>
      <c r="D4" s="14" t="s">
        <v>13</v>
      </c>
      <c r="E4" s="14" t="s">
        <v>14</v>
      </c>
      <c r="F4" s="14" t="s">
        <v>18</v>
      </c>
      <c r="G4" s="16" t="s">
        <v>17</v>
      </c>
      <c r="H4" s="172"/>
      <c r="I4" s="173" t="s">
        <v>19</v>
      </c>
    </row>
    <row r="5" spans="1:9" s="110" customFormat="1" ht="23.1" customHeight="1" x14ac:dyDescent="0.15">
      <c r="A5" s="55">
        <v>1</v>
      </c>
      <c r="B5" s="56" t="s">
        <v>42</v>
      </c>
      <c r="C5" s="57" t="s">
        <v>54</v>
      </c>
      <c r="D5" s="58">
        <v>-2</v>
      </c>
      <c r="E5" s="58">
        <v>8</v>
      </c>
      <c r="F5" s="130" t="s">
        <v>46</v>
      </c>
      <c r="G5" s="139" t="s">
        <v>52</v>
      </c>
      <c r="H5" s="59">
        <v>3879</v>
      </c>
      <c r="I5" s="186">
        <v>5114</v>
      </c>
    </row>
    <row r="6" spans="1:9" customFormat="1" ht="23.1" customHeight="1" x14ac:dyDescent="0.15">
      <c r="A6" s="30">
        <v>2</v>
      </c>
      <c r="B6" s="24" t="s">
        <v>44</v>
      </c>
      <c r="C6" s="25" t="s">
        <v>54</v>
      </c>
      <c r="D6" s="26">
        <v>-3</v>
      </c>
      <c r="E6" s="26">
        <v>7</v>
      </c>
      <c r="F6" s="26" t="s">
        <v>46</v>
      </c>
      <c r="G6" s="27" t="s">
        <v>50</v>
      </c>
      <c r="H6" s="28">
        <v>3880</v>
      </c>
      <c r="I6" s="177">
        <v>5534</v>
      </c>
    </row>
    <row r="7" spans="1:9" customFormat="1" ht="23.1" customHeight="1" x14ac:dyDescent="0.15">
      <c r="A7" s="36">
        <v>3</v>
      </c>
      <c r="B7" s="37" t="s">
        <v>8</v>
      </c>
      <c r="C7" s="48" t="s">
        <v>61</v>
      </c>
      <c r="D7" s="38">
        <v>-8</v>
      </c>
      <c r="E7" s="38">
        <v>1</v>
      </c>
      <c r="F7" s="38" t="s">
        <v>46</v>
      </c>
      <c r="G7" s="39" t="s">
        <v>49</v>
      </c>
      <c r="H7" s="40">
        <v>672</v>
      </c>
      <c r="I7" s="178">
        <v>730</v>
      </c>
    </row>
    <row r="8" spans="1:9" s="112" customFormat="1" ht="23.1" customHeight="1" x14ac:dyDescent="0.15">
      <c r="A8" s="41">
        <v>4</v>
      </c>
      <c r="B8" s="42" t="s">
        <v>9</v>
      </c>
      <c r="C8" s="33" t="s">
        <v>61</v>
      </c>
      <c r="D8" s="43">
        <v>-12</v>
      </c>
      <c r="E8" s="43">
        <v>-5</v>
      </c>
      <c r="F8" s="43" t="s">
        <v>46</v>
      </c>
      <c r="G8" s="44" t="s">
        <v>49</v>
      </c>
      <c r="H8" s="45">
        <v>214</v>
      </c>
      <c r="I8" s="175">
        <v>228</v>
      </c>
    </row>
    <row r="9" spans="1:9" s="110" customFormat="1" ht="23.1" customHeight="1" x14ac:dyDescent="0.15">
      <c r="A9" s="41">
        <v>5</v>
      </c>
      <c r="B9" s="42" t="s">
        <v>10</v>
      </c>
      <c r="C9" s="33" t="s">
        <v>61</v>
      </c>
      <c r="D9" s="94">
        <v>-12</v>
      </c>
      <c r="E9" s="94">
        <v>-4</v>
      </c>
      <c r="F9" s="94" t="s">
        <v>46</v>
      </c>
      <c r="G9" s="47" t="s">
        <v>49</v>
      </c>
      <c r="H9" s="45">
        <v>356</v>
      </c>
      <c r="I9" s="175">
        <v>370</v>
      </c>
    </row>
    <row r="10" spans="1:9" customFormat="1" ht="23.1" customHeight="1" x14ac:dyDescent="0.15">
      <c r="A10" s="41">
        <v>6</v>
      </c>
      <c r="B10" s="42" t="s">
        <v>11</v>
      </c>
      <c r="C10" s="33" t="s">
        <v>69</v>
      </c>
      <c r="D10" s="94">
        <v>-12</v>
      </c>
      <c r="E10" s="94">
        <v>0</v>
      </c>
      <c r="F10" s="94" t="s">
        <v>46</v>
      </c>
      <c r="G10" s="47" t="s">
        <v>49</v>
      </c>
      <c r="H10" s="45">
        <v>490</v>
      </c>
      <c r="I10" s="175">
        <v>533</v>
      </c>
    </row>
    <row r="11" spans="1:9" customFormat="1" ht="23.1" customHeight="1" x14ac:dyDescent="0.15">
      <c r="A11" s="41">
        <v>7</v>
      </c>
      <c r="B11" s="42" t="s">
        <v>5</v>
      </c>
      <c r="C11" s="33" t="s">
        <v>70</v>
      </c>
      <c r="D11" s="94">
        <v>-11</v>
      </c>
      <c r="E11" s="94">
        <v>-5</v>
      </c>
      <c r="F11" s="94" t="s">
        <v>46</v>
      </c>
      <c r="G11" s="47" t="s">
        <v>49</v>
      </c>
      <c r="H11" s="45">
        <v>896</v>
      </c>
      <c r="I11" s="175">
        <v>928</v>
      </c>
    </row>
    <row r="12" spans="1:9" customFormat="1" ht="23.1" customHeight="1" x14ac:dyDescent="0.15">
      <c r="A12" s="60">
        <v>8</v>
      </c>
      <c r="B12" s="61" t="s">
        <v>6</v>
      </c>
      <c r="C12" s="62" t="s">
        <v>61</v>
      </c>
      <c r="D12" s="63">
        <v>-12</v>
      </c>
      <c r="E12" s="63">
        <v>-3</v>
      </c>
      <c r="F12" s="63" t="s">
        <v>46</v>
      </c>
      <c r="G12" s="64" t="s">
        <v>50</v>
      </c>
      <c r="H12" s="65">
        <v>2563</v>
      </c>
      <c r="I12" s="176">
        <v>2780</v>
      </c>
    </row>
    <row r="13" spans="1:9" customFormat="1" ht="23.1" customHeight="1" x14ac:dyDescent="0.15">
      <c r="A13" s="30">
        <v>9</v>
      </c>
      <c r="B13" s="24" t="s">
        <v>7</v>
      </c>
      <c r="C13" s="25" t="s">
        <v>55</v>
      </c>
      <c r="D13" s="67">
        <v>-10</v>
      </c>
      <c r="E13" s="67">
        <v>2</v>
      </c>
      <c r="F13" s="67" t="s">
        <v>46</v>
      </c>
      <c r="G13" s="27" t="s">
        <v>50</v>
      </c>
      <c r="H13" s="28">
        <v>1475</v>
      </c>
      <c r="I13" s="177">
        <v>1966</v>
      </c>
    </row>
    <row r="14" spans="1:9" customFormat="1" ht="23.1" customHeight="1" x14ac:dyDescent="0.15">
      <c r="A14" s="36">
        <v>10</v>
      </c>
      <c r="B14" s="37" t="s">
        <v>8</v>
      </c>
      <c r="C14" s="48" t="s">
        <v>59</v>
      </c>
      <c r="D14" s="38">
        <v>-8</v>
      </c>
      <c r="E14" s="38">
        <v>3</v>
      </c>
      <c r="F14" s="38" t="s">
        <v>46</v>
      </c>
      <c r="G14" s="39" t="s">
        <v>49</v>
      </c>
      <c r="H14" s="40">
        <v>584</v>
      </c>
      <c r="I14" s="178">
        <v>667</v>
      </c>
    </row>
    <row r="15" spans="1:9" s="112" customFormat="1" ht="23.1" customHeight="1" x14ac:dyDescent="0.15">
      <c r="A15" s="41">
        <v>11</v>
      </c>
      <c r="B15" s="42" t="s">
        <v>9</v>
      </c>
      <c r="C15" s="33" t="s">
        <v>65</v>
      </c>
      <c r="D15" s="94">
        <v>-6</v>
      </c>
      <c r="E15" s="94">
        <v>7</v>
      </c>
      <c r="F15" s="94" t="s">
        <v>46</v>
      </c>
      <c r="G15" s="47" t="s">
        <v>49</v>
      </c>
      <c r="H15" s="45">
        <v>1219</v>
      </c>
      <c r="I15" s="175">
        <v>1323</v>
      </c>
    </row>
    <row r="16" spans="1:9" s="110" customFormat="1" ht="23.1" customHeight="1" x14ac:dyDescent="0.15">
      <c r="A16" s="41">
        <v>12</v>
      </c>
      <c r="B16" s="42" t="s">
        <v>10</v>
      </c>
      <c r="C16" s="33" t="s">
        <v>71</v>
      </c>
      <c r="D16" s="94">
        <v>-3</v>
      </c>
      <c r="E16" s="94">
        <v>3</v>
      </c>
      <c r="F16" s="94" t="s">
        <v>46</v>
      </c>
      <c r="G16" s="47" t="s">
        <v>49</v>
      </c>
      <c r="H16" s="45">
        <v>391</v>
      </c>
      <c r="I16" s="175">
        <v>428</v>
      </c>
    </row>
    <row r="17" spans="1:9" customFormat="1" ht="23.1" customHeight="1" x14ac:dyDescent="0.15">
      <c r="A17" s="41">
        <v>13</v>
      </c>
      <c r="B17" s="42" t="s">
        <v>11</v>
      </c>
      <c r="C17" s="33" t="s">
        <v>55</v>
      </c>
      <c r="D17" s="94">
        <v>-6</v>
      </c>
      <c r="E17" s="94">
        <v>6</v>
      </c>
      <c r="F17" s="94" t="s">
        <v>46</v>
      </c>
      <c r="G17" s="47" t="s">
        <v>49</v>
      </c>
      <c r="H17" s="45">
        <v>1514</v>
      </c>
      <c r="I17" s="175">
        <v>1633</v>
      </c>
    </row>
    <row r="18" spans="1:9" customFormat="1" ht="23.1" customHeight="1" x14ac:dyDescent="0.15">
      <c r="A18" s="41">
        <v>14</v>
      </c>
      <c r="B18" s="42" t="s">
        <v>5</v>
      </c>
      <c r="C18" s="33" t="s">
        <v>55</v>
      </c>
      <c r="D18" s="94">
        <v>-2</v>
      </c>
      <c r="E18" s="94">
        <v>10</v>
      </c>
      <c r="F18" s="94" t="s">
        <v>46</v>
      </c>
      <c r="G18" s="47" t="s">
        <v>50</v>
      </c>
      <c r="H18" s="45">
        <v>2653</v>
      </c>
      <c r="I18" s="175">
        <v>2906</v>
      </c>
    </row>
    <row r="19" spans="1:9" customFormat="1" ht="23.1" customHeight="1" x14ac:dyDescent="0.15">
      <c r="A19" s="60">
        <v>15</v>
      </c>
      <c r="B19" s="61" t="s">
        <v>6</v>
      </c>
      <c r="C19" s="62" t="s">
        <v>63</v>
      </c>
      <c r="D19" s="66">
        <v>0</v>
      </c>
      <c r="E19" s="66">
        <v>8</v>
      </c>
      <c r="F19" s="66" t="s">
        <v>46</v>
      </c>
      <c r="G19" s="64" t="s">
        <v>52</v>
      </c>
      <c r="H19" s="65">
        <v>9021</v>
      </c>
      <c r="I19" s="176">
        <v>10325</v>
      </c>
    </row>
    <row r="20" spans="1:9" customFormat="1" ht="23.1" customHeight="1" x14ac:dyDescent="0.15">
      <c r="A20" s="30">
        <v>16</v>
      </c>
      <c r="B20" s="24" t="s">
        <v>7</v>
      </c>
      <c r="C20" s="25" t="s">
        <v>63</v>
      </c>
      <c r="D20" s="26">
        <v>0</v>
      </c>
      <c r="E20" s="26">
        <v>10</v>
      </c>
      <c r="F20" s="26" t="s">
        <v>46</v>
      </c>
      <c r="G20" s="27" t="s">
        <v>50</v>
      </c>
      <c r="H20" s="28">
        <v>5094</v>
      </c>
      <c r="I20" s="177">
        <v>6652</v>
      </c>
    </row>
    <row r="21" spans="1:9" customFormat="1" ht="23.1" customHeight="1" x14ac:dyDescent="0.15">
      <c r="A21" s="36">
        <v>17</v>
      </c>
      <c r="B21" s="37" t="s">
        <v>8</v>
      </c>
      <c r="C21" s="48" t="s">
        <v>55</v>
      </c>
      <c r="D21" s="38">
        <v>-3</v>
      </c>
      <c r="E21" s="38">
        <v>4</v>
      </c>
      <c r="F21" s="38" t="s">
        <v>46</v>
      </c>
      <c r="G21" s="39" t="s">
        <v>49</v>
      </c>
      <c r="H21" s="40">
        <v>2043</v>
      </c>
      <c r="I21" s="178">
        <v>2213</v>
      </c>
    </row>
    <row r="22" spans="1:9" s="112" customFormat="1" ht="23.1" customHeight="1" x14ac:dyDescent="0.15">
      <c r="A22" s="41">
        <v>18</v>
      </c>
      <c r="B22" s="42" t="s">
        <v>9</v>
      </c>
      <c r="C22" s="33" t="s">
        <v>55</v>
      </c>
      <c r="D22" s="94">
        <v>-5</v>
      </c>
      <c r="E22" s="94">
        <v>3</v>
      </c>
      <c r="F22" s="94" t="s">
        <v>46</v>
      </c>
      <c r="G22" s="47" t="s">
        <v>49</v>
      </c>
      <c r="H22" s="45">
        <v>942</v>
      </c>
      <c r="I22" s="175">
        <v>1073</v>
      </c>
    </row>
    <row r="23" spans="1:9" s="110" customFormat="1" ht="23.1" customHeight="1" x14ac:dyDescent="0.15">
      <c r="A23" s="41">
        <v>19</v>
      </c>
      <c r="B23" s="42" t="s">
        <v>10</v>
      </c>
      <c r="C23" s="33" t="s">
        <v>55</v>
      </c>
      <c r="D23" s="94">
        <v>-6</v>
      </c>
      <c r="E23" s="94">
        <v>1</v>
      </c>
      <c r="F23" s="94" t="s">
        <v>46</v>
      </c>
      <c r="G23" s="47" t="s">
        <v>49</v>
      </c>
      <c r="H23" s="45">
        <v>922</v>
      </c>
      <c r="I23" s="175">
        <v>1038</v>
      </c>
    </row>
    <row r="24" spans="1:9" customFormat="1" ht="23.1" customHeight="1" x14ac:dyDescent="0.15">
      <c r="A24" s="41">
        <v>20</v>
      </c>
      <c r="B24" s="42" t="s">
        <v>11</v>
      </c>
      <c r="C24" s="33" t="s">
        <v>55</v>
      </c>
      <c r="D24" s="94">
        <v>-7</v>
      </c>
      <c r="E24" s="94">
        <v>2</v>
      </c>
      <c r="F24" s="94" t="s">
        <v>46</v>
      </c>
      <c r="G24" s="47" t="s">
        <v>49</v>
      </c>
      <c r="H24" s="45">
        <v>1141</v>
      </c>
      <c r="I24" s="175">
        <v>1274</v>
      </c>
    </row>
    <row r="25" spans="1:9" customFormat="1" ht="23.1" customHeight="1" x14ac:dyDescent="0.15">
      <c r="A25" s="41">
        <v>21</v>
      </c>
      <c r="B25" s="42" t="s">
        <v>5</v>
      </c>
      <c r="C25" s="33" t="s">
        <v>55</v>
      </c>
      <c r="D25" s="94">
        <v>-6</v>
      </c>
      <c r="E25" s="94">
        <v>3</v>
      </c>
      <c r="F25" s="94" t="s">
        <v>46</v>
      </c>
      <c r="G25" s="47" t="s">
        <v>50</v>
      </c>
      <c r="H25" s="45">
        <v>1686</v>
      </c>
      <c r="I25" s="175">
        <v>1853</v>
      </c>
    </row>
    <row r="26" spans="1:9" customFormat="1" ht="23.1" customHeight="1" x14ac:dyDescent="0.15">
      <c r="A26" s="60">
        <v>22</v>
      </c>
      <c r="B26" s="61" t="s">
        <v>6</v>
      </c>
      <c r="C26" s="62" t="s">
        <v>55</v>
      </c>
      <c r="D26" s="66">
        <v>-6</v>
      </c>
      <c r="E26" s="66">
        <v>3</v>
      </c>
      <c r="F26" s="66" t="s">
        <v>46</v>
      </c>
      <c r="G26" s="64" t="s">
        <v>52</v>
      </c>
      <c r="H26" s="65">
        <v>6493</v>
      </c>
      <c r="I26" s="176">
        <v>7231</v>
      </c>
    </row>
    <row r="27" spans="1:9" customFormat="1" ht="23.1" customHeight="1" x14ac:dyDescent="0.15">
      <c r="A27" s="30">
        <v>23</v>
      </c>
      <c r="B27" s="24" t="s">
        <v>7</v>
      </c>
      <c r="C27" s="25" t="s">
        <v>55</v>
      </c>
      <c r="D27" s="26">
        <v>-7</v>
      </c>
      <c r="E27" s="26">
        <v>1</v>
      </c>
      <c r="F27" s="26" t="s">
        <v>46</v>
      </c>
      <c r="G27" s="27" t="s">
        <v>50</v>
      </c>
      <c r="H27" s="28">
        <v>4075</v>
      </c>
      <c r="I27" s="177">
        <v>5000</v>
      </c>
    </row>
    <row r="28" spans="1:9" s="110" customFormat="1" ht="23.1" customHeight="1" x14ac:dyDescent="0.15">
      <c r="A28" s="36">
        <v>24</v>
      </c>
      <c r="B28" s="37" t="s">
        <v>8</v>
      </c>
      <c r="C28" s="48" t="s">
        <v>55</v>
      </c>
      <c r="D28" s="38">
        <v>-6</v>
      </c>
      <c r="E28" s="38">
        <v>5</v>
      </c>
      <c r="F28" s="38" t="s">
        <v>46</v>
      </c>
      <c r="G28" s="39" t="s">
        <v>49</v>
      </c>
      <c r="H28" s="40">
        <v>1524</v>
      </c>
      <c r="I28" s="178">
        <v>1678</v>
      </c>
    </row>
    <row r="29" spans="1:9" s="110" customFormat="1" ht="23.1" customHeight="1" x14ac:dyDescent="0.15">
      <c r="A29" s="41">
        <v>25</v>
      </c>
      <c r="B29" s="42" t="s">
        <v>9</v>
      </c>
      <c r="C29" s="33" t="s">
        <v>54</v>
      </c>
      <c r="D29" s="94">
        <v>-3</v>
      </c>
      <c r="E29" s="94">
        <v>6</v>
      </c>
      <c r="F29" s="94" t="s">
        <v>46</v>
      </c>
      <c r="G29" s="47" t="s">
        <v>49</v>
      </c>
      <c r="H29" s="45">
        <v>1672</v>
      </c>
      <c r="I29" s="175">
        <v>1942</v>
      </c>
    </row>
    <row r="30" spans="1:9" s="110" customFormat="1" ht="23.1" customHeight="1" x14ac:dyDescent="0.15">
      <c r="A30" s="41">
        <v>26</v>
      </c>
      <c r="B30" s="42" t="s">
        <v>10</v>
      </c>
      <c r="C30" s="33" t="s">
        <v>65</v>
      </c>
      <c r="D30" s="94">
        <v>1</v>
      </c>
      <c r="E30" s="94">
        <v>9</v>
      </c>
      <c r="F30" s="94" t="s">
        <v>46</v>
      </c>
      <c r="G30" s="47" t="s">
        <v>49</v>
      </c>
      <c r="H30" s="45">
        <v>1804</v>
      </c>
      <c r="I30" s="175">
        <v>2128</v>
      </c>
    </row>
    <row r="31" spans="1:9" s="110" customFormat="1" ht="23.1" customHeight="1" x14ac:dyDescent="0.15">
      <c r="A31" s="41">
        <v>27</v>
      </c>
      <c r="B31" s="42" t="s">
        <v>11</v>
      </c>
      <c r="C31" s="33" t="s">
        <v>55</v>
      </c>
      <c r="D31" s="94">
        <v>-2</v>
      </c>
      <c r="E31" s="94">
        <v>14</v>
      </c>
      <c r="F31" s="94" t="s">
        <v>46</v>
      </c>
      <c r="G31" s="47" t="s">
        <v>49</v>
      </c>
      <c r="H31" s="45">
        <v>4217</v>
      </c>
      <c r="I31" s="175">
        <v>4819</v>
      </c>
    </row>
    <row r="32" spans="1:9" customFormat="1" ht="23.1" customHeight="1" x14ac:dyDescent="0.15">
      <c r="A32" s="41">
        <v>28</v>
      </c>
      <c r="B32" s="42" t="s">
        <v>5</v>
      </c>
      <c r="C32" s="33" t="s">
        <v>63</v>
      </c>
      <c r="D32" s="94">
        <v>4</v>
      </c>
      <c r="E32" s="94">
        <v>14</v>
      </c>
      <c r="F32" s="94" t="s">
        <v>46</v>
      </c>
      <c r="G32" s="47" t="s">
        <v>50</v>
      </c>
      <c r="H32" s="45">
        <v>4947</v>
      </c>
      <c r="I32" s="175">
        <v>5697</v>
      </c>
    </row>
    <row r="33" spans="1:9" customFormat="1" ht="23.1" customHeight="1" x14ac:dyDescent="0.15">
      <c r="A33" s="41"/>
      <c r="B33" s="42"/>
      <c r="C33" s="33"/>
      <c r="D33" s="94"/>
      <c r="E33" s="94"/>
      <c r="F33" s="94"/>
      <c r="G33" s="47"/>
      <c r="H33" s="45">
        <v>0</v>
      </c>
      <c r="I33" s="175">
        <v>0</v>
      </c>
    </row>
    <row r="34" spans="1:9" customFormat="1" ht="23.25" customHeight="1" x14ac:dyDescent="0.15">
      <c r="A34" s="41"/>
      <c r="B34" s="42"/>
      <c r="C34" s="33"/>
      <c r="D34" s="94"/>
      <c r="E34" s="94"/>
      <c r="F34" s="94"/>
      <c r="G34" s="47"/>
      <c r="H34" s="45">
        <v>0</v>
      </c>
      <c r="I34" s="175">
        <v>0</v>
      </c>
    </row>
    <row r="35" spans="1:9" customFormat="1" ht="23.1" customHeight="1" thickBot="1" x14ac:dyDescent="0.2">
      <c r="A35" s="49"/>
      <c r="B35" s="50"/>
      <c r="C35" s="51"/>
      <c r="D35" s="52"/>
      <c r="E35" s="52"/>
      <c r="F35" s="52"/>
      <c r="G35" s="53"/>
      <c r="H35" s="54">
        <v>0</v>
      </c>
      <c r="I35" s="181">
        <v>0</v>
      </c>
    </row>
    <row r="36" spans="1:9" s="3" customFormat="1" ht="21" customHeight="1" thickBot="1" x14ac:dyDescent="0.2">
      <c r="A36" s="159" t="s">
        <v>0</v>
      </c>
      <c r="B36" s="160"/>
      <c r="C36" s="160"/>
      <c r="D36" s="160"/>
      <c r="E36" s="160"/>
      <c r="F36" s="160"/>
      <c r="G36" s="161"/>
      <c r="H36" s="182">
        <f t="shared" ref="H36:I36" si="0">SUM(H5:H35)</f>
        <v>66367</v>
      </c>
      <c r="I36" s="183">
        <f t="shared" si="0"/>
        <v>78063</v>
      </c>
    </row>
    <row r="37" spans="1:9" s="3" customFormat="1" ht="21" customHeight="1" thickBot="1" x14ac:dyDescent="0.2">
      <c r="A37" s="145" t="s">
        <v>4</v>
      </c>
      <c r="B37" s="146"/>
      <c r="C37" s="146"/>
      <c r="D37" s="146"/>
      <c r="E37" s="146"/>
      <c r="F37" s="146"/>
      <c r="G37" s="147"/>
      <c r="H37" s="184">
        <f>H36+'1월'!H37</f>
        <v>132876</v>
      </c>
      <c r="I37" s="185">
        <f>I36+'1월'!I37</f>
        <v>158307</v>
      </c>
    </row>
    <row r="42" spans="1:9" x14ac:dyDescent="0.15">
      <c r="H42" s="91"/>
    </row>
    <row r="45" spans="1:9" x14ac:dyDescent="0.15">
      <c r="H45" s="91"/>
    </row>
    <row r="48" spans="1:9" x14ac:dyDescent="0.15">
      <c r="H48" s="91"/>
    </row>
  </sheetData>
  <mergeCells count="9">
    <mergeCell ref="A1:I1"/>
    <mergeCell ref="H3:H4"/>
    <mergeCell ref="A36:G36"/>
    <mergeCell ref="A37:G37"/>
    <mergeCell ref="A2:A4"/>
    <mergeCell ref="B2:B4"/>
    <mergeCell ref="C2:C4"/>
    <mergeCell ref="D2:E3"/>
    <mergeCell ref="F2:G3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1:I40"/>
  <sheetViews>
    <sheetView topLeftCell="A13" workbookViewId="0">
      <selection activeCell="I30" sqref="I30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62" t="s">
        <v>25</v>
      </c>
      <c r="B1" s="163"/>
      <c r="C1" s="163"/>
      <c r="D1" s="163"/>
      <c r="E1" s="163"/>
      <c r="F1" s="163"/>
      <c r="G1" s="163"/>
      <c r="H1" s="163"/>
      <c r="I1" s="164"/>
    </row>
    <row r="2" spans="1:9" s="2" customFormat="1" ht="22.5" customHeight="1" x14ac:dyDescent="0.15">
      <c r="A2" s="154" t="s">
        <v>2</v>
      </c>
      <c r="B2" s="157" t="s">
        <v>1</v>
      </c>
      <c r="C2" s="148" t="s">
        <v>12</v>
      </c>
      <c r="D2" s="148" t="s">
        <v>15</v>
      </c>
      <c r="E2" s="149"/>
      <c r="F2" s="148" t="s">
        <v>16</v>
      </c>
      <c r="G2" s="152"/>
      <c r="H2" s="168" t="s">
        <v>22</v>
      </c>
      <c r="I2" s="169" t="s">
        <v>21</v>
      </c>
    </row>
    <row r="3" spans="1:9" s="2" customFormat="1" ht="18.75" customHeight="1" x14ac:dyDescent="0.15">
      <c r="A3" s="155"/>
      <c r="B3" s="165"/>
      <c r="C3" s="166"/>
      <c r="D3" s="150"/>
      <c r="E3" s="151"/>
      <c r="F3" s="150"/>
      <c r="G3" s="153"/>
      <c r="H3" s="170" t="s">
        <v>23</v>
      </c>
      <c r="I3" s="171" t="s">
        <v>20</v>
      </c>
    </row>
    <row r="4" spans="1:9" s="2" customFormat="1" ht="18.75" customHeight="1" x14ac:dyDescent="0.15">
      <c r="A4" s="156"/>
      <c r="B4" s="158"/>
      <c r="C4" s="167"/>
      <c r="D4" s="14" t="s">
        <v>13</v>
      </c>
      <c r="E4" s="14" t="s">
        <v>14</v>
      </c>
      <c r="F4" s="14" t="s">
        <v>18</v>
      </c>
      <c r="G4" s="16" t="s">
        <v>17</v>
      </c>
      <c r="H4" s="172"/>
      <c r="I4" s="173" t="s">
        <v>19</v>
      </c>
    </row>
    <row r="5" spans="1:9" s="110" customFormat="1" ht="23.1" customHeight="1" x14ac:dyDescent="0.15">
      <c r="A5" s="7">
        <v>1</v>
      </c>
      <c r="B5" s="8" t="s">
        <v>42</v>
      </c>
      <c r="C5" s="90" t="s">
        <v>72</v>
      </c>
      <c r="D5" s="17">
        <v>3</v>
      </c>
      <c r="E5" s="17">
        <v>13</v>
      </c>
      <c r="F5" s="114" t="s">
        <v>46</v>
      </c>
      <c r="G5" s="18" t="s">
        <v>52</v>
      </c>
      <c r="H5" s="12">
        <v>5836</v>
      </c>
      <c r="I5" s="174">
        <v>6969</v>
      </c>
    </row>
    <row r="6" spans="1:9" customFormat="1" ht="23.1" customHeight="1" x14ac:dyDescent="0.15">
      <c r="A6" s="30">
        <v>2</v>
      </c>
      <c r="B6" s="24" t="s">
        <v>44</v>
      </c>
      <c r="C6" s="25" t="s">
        <v>73</v>
      </c>
      <c r="D6" s="26">
        <v>2</v>
      </c>
      <c r="E6" s="26">
        <v>16</v>
      </c>
      <c r="F6" s="26" t="s">
        <v>46</v>
      </c>
      <c r="G6" s="27" t="s">
        <v>50</v>
      </c>
      <c r="H6" s="28">
        <v>1247</v>
      </c>
      <c r="I6" s="177">
        <v>1859</v>
      </c>
    </row>
    <row r="7" spans="1:9" customFormat="1" ht="23.1" customHeight="1" x14ac:dyDescent="0.15">
      <c r="A7" s="10">
        <v>3</v>
      </c>
      <c r="B7" s="11" t="s">
        <v>8</v>
      </c>
      <c r="C7" s="29" t="s">
        <v>74</v>
      </c>
      <c r="D7" s="21">
        <v>1</v>
      </c>
      <c r="E7" s="21">
        <v>7</v>
      </c>
      <c r="F7" s="21" t="s">
        <v>46</v>
      </c>
      <c r="G7" s="22" t="s">
        <v>50</v>
      </c>
      <c r="H7" s="23">
        <v>1349</v>
      </c>
      <c r="I7" s="179">
        <v>2147</v>
      </c>
    </row>
    <row r="8" spans="1:9" s="112" customFormat="1" ht="23.1" customHeight="1" x14ac:dyDescent="0.15">
      <c r="A8" s="41">
        <v>4</v>
      </c>
      <c r="B8" s="42" t="s">
        <v>9</v>
      </c>
      <c r="C8" s="33" t="s">
        <v>75</v>
      </c>
      <c r="D8" s="43">
        <v>1</v>
      </c>
      <c r="E8" s="43">
        <v>3</v>
      </c>
      <c r="F8" s="43" t="s">
        <v>46</v>
      </c>
      <c r="G8" s="44" t="s">
        <v>76</v>
      </c>
      <c r="H8" s="45">
        <v>13</v>
      </c>
      <c r="I8" s="175">
        <v>21</v>
      </c>
    </row>
    <row r="9" spans="1:9" s="110" customFormat="1" ht="23.1" customHeight="1" x14ac:dyDescent="0.15">
      <c r="A9" s="41">
        <v>5</v>
      </c>
      <c r="B9" s="42" t="s">
        <v>10</v>
      </c>
      <c r="C9" s="33" t="s">
        <v>66</v>
      </c>
      <c r="D9" s="94">
        <v>2</v>
      </c>
      <c r="E9" s="94">
        <v>9</v>
      </c>
      <c r="F9" s="94" t="s">
        <v>46</v>
      </c>
      <c r="G9" s="47" t="s">
        <v>49</v>
      </c>
      <c r="H9" s="45">
        <v>115</v>
      </c>
      <c r="I9" s="175">
        <v>152</v>
      </c>
    </row>
    <row r="10" spans="1:9" customFormat="1" ht="23.1" customHeight="1" x14ac:dyDescent="0.15">
      <c r="A10" s="41">
        <v>6</v>
      </c>
      <c r="B10" s="42" t="s">
        <v>11</v>
      </c>
      <c r="C10" s="33" t="s">
        <v>54</v>
      </c>
      <c r="D10" s="94">
        <v>0</v>
      </c>
      <c r="E10" s="94">
        <v>10</v>
      </c>
      <c r="F10" s="94" t="s">
        <v>46</v>
      </c>
      <c r="G10" s="47" t="s">
        <v>49</v>
      </c>
      <c r="H10" s="45">
        <v>246</v>
      </c>
      <c r="I10" s="175">
        <v>317</v>
      </c>
    </row>
    <row r="11" spans="1:9" customFormat="1" ht="23.1" customHeight="1" x14ac:dyDescent="0.15">
      <c r="A11" s="41">
        <v>7</v>
      </c>
      <c r="B11" s="42" t="s">
        <v>5</v>
      </c>
      <c r="C11" s="33" t="s">
        <v>63</v>
      </c>
      <c r="D11" s="94">
        <v>0</v>
      </c>
      <c r="E11" s="94">
        <v>11</v>
      </c>
      <c r="F11" s="94" t="s">
        <v>46</v>
      </c>
      <c r="G11" s="47" t="s">
        <v>49</v>
      </c>
      <c r="H11" s="45">
        <v>224</v>
      </c>
      <c r="I11" s="175">
        <v>343</v>
      </c>
    </row>
    <row r="12" spans="1:9" customFormat="1" ht="23.1" customHeight="1" x14ac:dyDescent="0.15">
      <c r="A12" s="60">
        <v>8</v>
      </c>
      <c r="B12" s="61" t="s">
        <v>6</v>
      </c>
      <c r="C12" s="62" t="s">
        <v>65</v>
      </c>
      <c r="D12" s="63">
        <v>3</v>
      </c>
      <c r="E12" s="63">
        <v>11</v>
      </c>
      <c r="F12" s="63" t="s">
        <v>46</v>
      </c>
      <c r="G12" s="64" t="s">
        <v>52</v>
      </c>
      <c r="H12" s="65">
        <v>3889</v>
      </c>
      <c r="I12" s="176">
        <v>5564</v>
      </c>
    </row>
    <row r="13" spans="1:9" customFormat="1" ht="23.1" customHeight="1" x14ac:dyDescent="0.15">
      <c r="A13" s="30">
        <v>9</v>
      </c>
      <c r="B13" s="24" t="s">
        <v>7</v>
      </c>
      <c r="C13" s="25" t="s">
        <v>65</v>
      </c>
      <c r="D13" s="67">
        <v>1</v>
      </c>
      <c r="E13" s="67">
        <v>14</v>
      </c>
      <c r="F13" s="67" t="s">
        <v>46</v>
      </c>
      <c r="G13" s="27" t="s">
        <v>50</v>
      </c>
      <c r="H13" s="28">
        <v>4025</v>
      </c>
      <c r="I13" s="177">
        <v>6071</v>
      </c>
    </row>
    <row r="14" spans="1:9" customFormat="1" ht="23.1" customHeight="1" x14ac:dyDescent="0.15">
      <c r="A14" s="36">
        <v>10</v>
      </c>
      <c r="B14" s="37" t="s">
        <v>8</v>
      </c>
      <c r="C14" s="48" t="s">
        <v>65</v>
      </c>
      <c r="D14" s="38">
        <v>2</v>
      </c>
      <c r="E14" s="38">
        <v>15</v>
      </c>
      <c r="F14" s="38" t="s">
        <v>45</v>
      </c>
      <c r="G14" s="39" t="s">
        <v>49</v>
      </c>
      <c r="H14" s="40">
        <v>359</v>
      </c>
      <c r="I14" s="178">
        <v>464</v>
      </c>
    </row>
    <row r="15" spans="1:9" s="112" customFormat="1" ht="23.1" customHeight="1" x14ac:dyDescent="0.15">
      <c r="A15" s="41">
        <v>11</v>
      </c>
      <c r="B15" s="42" t="s">
        <v>9</v>
      </c>
      <c r="C15" s="33" t="s">
        <v>63</v>
      </c>
      <c r="D15" s="94">
        <v>3</v>
      </c>
      <c r="E15" s="94">
        <v>17</v>
      </c>
      <c r="F15" s="94" t="s">
        <v>45</v>
      </c>
      <c r="G15" s="47" t="s">
        <v>49</v>
      </c>
      <c r="H15" s="45">
        <v>282</v>
      </c>
      <c r="I15" s="175">
        <v>387</v>
      </c>
    </row>
    <row r="16" spans="1:9" s="110" customFormat="1" ht="23.1" customHeight="1" x14ac:dyDescent="0.15">
      <c r="A16" s="41">
        <v>12</v>
      </c>
      <c r="B16" s="42" t="s">
        <v>10</v>
      </c>
      <c r="C16" s="33" t="s">
        <v>72</v>
      </c>
      <c r="D16" s="94">
        <v>7</v>
      </c>
      <c r="E16" s="94">
        <v>12</v>
      </c>
      <c r="F16" s="94" t="s">
        <v>45</v>
      </c>
      <c r="G16" s="47" t="s">
        <v>49</v>
      </c>
      <c r="H16" s="45">
        <v>191</v>
      </c>
      <c r="I16" s="175">
        <v>219</v>
      </c>
    </row>
    <row r="17" spans="1:9" customFormat="1" ht="23.1" customHeight="1" x14ac:dyDescent="0.15">
      <c r="A17" s="41">
        <v>13</v>
      </c>
      <c r="B17" s="42" t="s">
        <v>11</v>
      </c>
      <c r="C17" s="33" t="s">
        <v>77</v>
      </c>
      <c r="D17" s="94">
        <v>3</v>
      </c>
      <c r="E17" s="94">
        <v>15</v>
      </c>
      <c r="F17" s="94" t="s">
        <v>45</v>
      </c>
      <c r="G17" s="47" t="s">
        <v>49</v>
      </c>
      <c r="H17" s="45">
        <v>234</v>
      </c>
      <c r="I17" s="175">
        <v>321</v>
      </c>
    </row>
    <row r="18" spans="1:9" customFormat="1" ht="23.1" customHeight="1" x14ac:dyDescent="0.15">
      <c r="A18" s="41">
        <v>14</v>
      </c>
      <c r="B18" s="42" t="s">
        <v>5</v>
      </c>
      <c r="C18" s="33" t="s">
        <v>54</v>
      </c>
      <c r="D18" s="94">
        <v>5</v>
      </c>
      <c r="E18" s="94">
        <v>20</v>
      </c>
      <c r="F18" s="94" t="s">
        <v>45</v>
      </c>
      <c r="G18" s="47" t="s">
        <v>49</v>
      </c>
      <c r="H18" s="45">
        <v>784</v>
      </c>
      <c r="I18" s="175">
        <v>1120</v>
      </c>
    </row>
    <row r="19" spans="1:9" customFormat="1" ht="23.1" customHeight="1" x14ac:dyDescent="0.15">
      <c r="A19" s="60">
        <v>15</v>
      </c>
      <c r="B19" s="61" t="s">
        <v>6</v>
      </c>
      <c r="C19" s="62" t="s">
        <v>66</v>
      </c>
      <c r="D19" s="66">
        <v>10</v>
      </c>
      <c r="E19" s="66">
        <v>17</v>
      </c>
      <c r="F19" s="66" t="s">
        <v>45</v>
      </c>
      <c r="G19" s="64" t="s">
        <v>51</v>
      </c>
      <c r="H19" s="65">
        <v>8306</v>
      </c>
      <c r="I19" s="176">
        <v>10703</v>
      </c>
    </row>
    <row r="20" spans="1:9" customFormat="1" ht="23.1" customHeight="1" x14ac:dyDescent="0.15">
      <c r="A20" s="30">
        <v>16</v>
      </c>
      <c r="B20" s="24" t="s">
        <v>7</v>
      </c>
      <c r="C20" s="25" t="s">
        <v>78</v>
      </c>
      <c r="D20" s="26">
        <v>1</v>
      </c>
      <c r="E20" s="26">
        <v>10</v>
      </c>
      <c r="F20" s="26" t="s">
        <v>45</v>
      </c>
      <c r="G20" s="27" t="s">
        <v>47</v>
      </c>
      <c r="H20" s="28">
        <v>667</v>
      </c>
      <c r="I20" s="177">
        <v>1245</v>
      </c>
    </row>
    <row r="21" spans="1:9" customFormat="1" ht="23.1" customHeight="1" x14ac:dyDescent="0.15">
      <c r="A21" s="36">
        <v>17</v>
      </c>
      <c r="B21" s="37" t="s">
        <v>8</v>
      </c>
      <c r="C21" s="48" t="s">
        <v>54</v>
      </c>
      <c r="D21" s="38">
        <v>-1</v>
      </c>
      <c r="E21" s="38">
        <v>7</v>
      </c>
      <c r="F21" s="38" t="s">
        <v>45</v>
      </c>
      <c r="G21" s="39" t="s">
        <v>48</v>
      </c>
      <c r="H21" s="40">
        <v>185</v>
      </c>
      <c r="I21" s="178">
        <v>210</v>
      </c>
    </row>
    <row r="22" spans="1:9" s="112" customFormat="1" ht="23.1" customHeight="1" x14ac:dyDescent="0.15">
      <c r="A22" s="41">
        <v>18</v>
      </c>
      <c r="B22" s="42" t="s">
        <v>9</v>
      </c>
      <c r="C22" s="33" t="s">
        <v>79</v>
      </c>
      <c r="D22" s="94">
        <v>0</v>
      </c>
      <c r="E22" s="94">
        <v>6</v>
      </c>
      <c r="F22" s="94" t="s">
        <v>45</v>
      </c>
      <c r="G22" s="47" t="s">
        <v>48</v>
      </c>
      <c r="H22" s="45">
        <v>75</v>
      </c>
      <c r="I22" s="175">
        <v>83</v>
      </c>
    </row>
    <row r="23" spans="1:9" s="110" customFormat="1" ht="23.1" customHeight="1" x14ac:dyDescent="0.15">
      <c r="A23" s="41">
        <v>19</v>
      </c>
      <c r="B23" s="42" t="s">
        <v>10</v>
      </c>
      <c r="C23" s="33" t="s">
        <v>55</v>
      </c>
      <c r="D23" s="94">
        <v>-2</v>
      </c>
      <c r="E23" s="94">
        <v>7</v>
      </c>
      <c r="F23" s="94" t="s">
        <v>45</v>
      </c>
      <c r="G23" s="47" t="s">
        <v>48</v>
      </c>
      <c r="H23" s="45">
        <v>1264</v>
      </c>
      <c r="I23" s="175">
        <v>1313</v>
      </c>
    </row>
    <row r="24" spans="1:9" customFormat="1" ht="23.1" customHeight="1" x14ac:dyDescent="0.15">
      <c r="A24" s="41">
        <v>20</v>
      </c>
      <c r="B24" s="42" t="s">
        <v>11</v>
      </c>
      <c r="C24" s="33" t="s">
        <v>63</v>
      </c>
      <c r="D24" s="94">
        <v>2</v>
      </c>
      <c r="E24" s="94">
        <v>15</v>
      </c>
      <c r="F24" s="94" t="s">
        <v>45</v>
      </c>
      <c r="G24" s="47" t="s">
        <v>48</v>
      </c>
      <c r="H24" s="45">
        <v>450</v>
      </c>
      <c r="I24" s="175">
        <v>580</v>
      </c>
    </row>
    <row r="25" spans="1:9" customFormat="1" ht="23.1" customHeight="1" x14ac:dyDescent="0.15">
      <c r="A25" s="41">
        <v>21</v>
      </c>
      <c r="B25" s="42" t="s">
        <v>5</v>
      </c>
      <c r="C25" s="33" t="s">
        <v>65</v>
      </c>
      <c r="D25" s="94">
        <v>8</v>
      </c>
      <c r="E25" s="94">
        <v>19</v>
      </c>
      <c r="F25" s="94" t="s">
        <v>45</v>
      </c>
      <c r="G25" s="47" t="s">
        <v>48</v>
      </c>
      <c r="H25" s="45">
        <v>1095</v>
      </c>
      <c r="I25" s="175">
        <v>1305</v>
      </c>
    </row>
    <row r="26" spans="1:9" customFormat="1" ht="23.1" customHeight="1" x14ac:dyDescent="0.15">
      <c r="A26" s="60">
        <v>22</v>
      </c>
      <c r="B26" s="61" t="s">
        <v>6</v>
      </c>
      <c r="C26" s="62" t="s">
        <v>65</v>
      </c>
      <c r="D26" s="66">
        <v>6</v>
      </c>
      <c r="E26" s="66">
        <v>20</v>
      </c>
      <c r="F26" s="66" t="s">
        <v>45</v>
      </c>
      <c r="G26" s="64" t="s">
        <v>51</v>
      </c>
      <c r="H26" s="65">
        <v>9716</v>
      </c>
      <c r="I26" s="176">
        <v>11816</v>
      </c>
    </row>
    <row r="27" spans="1:9" customFormat="1" ht="23.1" customHeight="1" x14ac:dyDescent="0.15">
      <c r="A27" s="30">
        <v>23</v>
      </c>
      <c r="B27" s="24" t="s">
        <v>7</v>
      </c>
      <c r="C27" s="25" t="s">
        <v>63</v>
      </c>
      <c r="D27" s="26">
        <v>7</v>
      </c>
      <c r="E27" s="26">
        <v>24</v>
      </c>
      <c r="F27" s="26" t="s">
        <v>45</v>
      </c>
      <c r="G27" s="27" t="s">
        <v>52</v>
      </c>
      <c r="H27" s="28">
        <v>7480</v>
      </c>
      <c r="I27" s="177">
        <v>10075</v>
      </c>
    </row>
    <row r="28" spans="1:9" s="110" customFormat="1" ht="23.1" customHeight="1" x14ac:dyDescent="0.15">
      <c r="A28" s="36">
        <v>24</v>
      </c>
      <c r="B28" s="37" t="s">
        <v>8</v>
      </c>
      <c r="C28" s="48" t="s">
        <v>58</v>
      </c>
      <c r="D28" s="38">
        <v>12</v>
      </c>
      <c r="E28" s="38">
        <v>21</v>
      </c>
      <c r="F28" s="38" t="s">
        <v>46</v>
      </c>
      <c r="G28" s="39" t="s">
        <v>52</v>
      </c>
      <c r="H28" s="40">
        <v>945</v>
      </c>
      <c r="I28" s="178">
        <v>1103</v>
      </c>
    </row>
    <row r="29" spans="1:9" s="110" customFormat="1" ht="23.1" customHeight="1" x14ac:dyDescent="0.15">
      <c r="A29" s="41">
        <v>25</v>
      </c>
      <c r="B29" s="42" t="s">
        <v>9</v>
      </c>
      <c r="C29" s="33" t="s">
        <v>77</v>
      </c>
      <c r="D29" s="94">
        <v>8</v>
      </c>
      <c r="E29" s="94">
        <v>21</v>
      </c>
      <c r="F29" s="94" t="s">
        <v>45</v>
      </c>
      <c r="G29" s="47" t="s">
        <v>50</v>
      </c>
      <c r="H29" s="45">
        <v>555</v>
      </c>
      <c r="I29" s="175">
        <v>625</v>
      </c>
    </row>
    <row r="30" spans="1:9" s="110" customFormat="1" ht="23.1" customHeight="1" x14ac:dyDescent="0.15">
      <c r="A30" s="41">
        <v>26</v>
      </c>
      <c r="B30" s="42" t="s">
        <v>10</v>
      </c>
      <c r="C30" s="33" t="s">
        <v>77</v>
      </c>
      <c r="D30" s="94">
        <v>6</v>
      </c>
      <c r="E30" s="94">
        <v>24</v>
      </c>
      <c r="F30" s="94" t="s">
        <v>45</v>
      </c>
      <c r="G30" s="47" t="s">
        <v>50</v>
      </c>
      <c r="H30" s="45">
        <v>919</v>
      </c>
      <c r="I30" s="175">
        <v>1087</v>
      </c>
    </row>
    <row r="31" spans="1:9" s="110" customFormat="1" ht="23.1" customHeight="1" x14ac:dyDescent="0.15">
      <c r="A31" s="41">
        <v>27</v>
      </c>
      <c r="B31" s="42" t="s">
        <v>11</v>
      </c>
      <c r="C31" s="33" t="s">
        <v>81</v>
      </c>
      <c r="D31" s="94">
        <v>7</v>
      </c>
      <c r="E31" s="94">
        <v>19</v>
      </c>
      <c r="F31" s="94" t="s">
        <v>45</v>
      </c>
      <c r="G31" s="47" t="s">
        <v>50</v>
      </c>
      <c r="H31" s="45">
        <v>422</v>
      </c>
      <c r="I31" s="175">
        <v>552</v>
      </c>
    </row>
    <row r="32" spans="1:9" customFormat="1" ht="23.1" customHeight="1" x14ac:dyDescent="0.15">
      <c r="A32" s="41">
        <v>28</v>
      </c>
      <c r="B32" s="42" t="s">
        <v>5</v>
      </c>
      <c r="C32" s="33" t="s">
        <v>54</v>
      </c>
      <c r="D32" s="94">
        <v>3</v>
      </c>
      <c r="E32" s="94">
        <v>12</v>
      </c>
      <c r="F32" s="94" t="s">
        <v>46</v>
      </c>
      <c r="G32" s="47" t="s">
        <v>50</v>
      </c>
      <c r="H32" s="45">
        <v>1565</v>
      </c>
      <c r="I32" s="175">
        <v>1807</v>
      </c>
    </row>
    <row r="33" spans="1:9" customFormat="1" ht="23.1" customHeight="1" x14ac:dyDescent="0.15">
      <c r="A33" s="60">
        <v>29</v>
      </c>
      <c r="B33" s="61" t="s">
        <v>6</v>
      </c>
      <c r="C33" s="62" t="s">
        <v>82</v>
      </c>
      <c r="D33" s="66">
        <v>1</v>
      </c>
      <c r="E33" s="66">
        <v>7</v>
      </c>
      <c r="F33" s="66" t="s">
        <v>80</v>
      </c>
      <c r="G33" s="64" t="s">
        <v>52</v>
      </c>
      <c r="H33" s="65">
        <v>6466</v>
      </c>
      <c r="I33" s="176">
        <v>7360</v>
      </c>
    </row>
    <row r="34" spans="1:9" customFormat="1" ht="23.25" customHeight="1" x14ac:dyDescent="0.15">
      <c r="A34" s="30">
        <v>30</v>
      </c>
      <c r="B34" s="24" t="s">
        <v>7</v>
      </c>
      <c r="C34" s="25" t="s">
        <v>68</v>
      </c>
      <c r="D34" s="26">
        <v>-2</v>
      </c>
      <c r="E34" s="26">
        <v>8</v>
      </c>
      <c r="F34" s="26" t="s">
        <v>80</v>
      </c>
      <c r="G34" s="27" t="s">
        <v>52</v>
      </c>
      <c r="H34" s="28">
        <v>3156</v>
      </c>
      <c r="I34" s="177">
        <v>4099</v>
      </c>
    </row>
    <row r="35" spans="1:9" customFormat="1" ht="23.1" customHeight="1" thickBot="1" x14ac:dyDescent="0.2">
      <c r="A35" s="83">
        <v>31</v>
      </c>
      <c r="B35" s="84" t="s">
        <v>38</v>
      </c>
      <c r="C35" s="85" t="s">
        <v>55</v>
      </c>
      <c r="D35" s="86">
        <v>1</v>
      </c>
      <c r="E35" s="86">
        <v>14</v>
      </c>
      <c r="F35" s="86" t="s">
        <v>46</v>
      </c>
      <c r="G35" s="140" t="s">
        <v>52</v>
      </c>
      <c r="H35" s="87">
        <v>783</v>
      </c>
      <c r="I35" s="187">
        <v>960</v>
      </c>
    </row>
    <row r="36" spans="1:9" s="3" customFormat="1" ht="21" customHeight="1" thickBot="1" x14ac:dyDescent="0.2">
      <c r="A36" s="159" t="s">
        <v>0</v>
      </c>
      <c r="B36" s="160"/>
      <c r="C36" s="160"/>
      <c r="D36" s="160"/>
      <c r="E36" s="160"/>
      <c r="F36" s="160"/>
      <c r="G36" s="161"/>
      <c r="H36" s="182">
        <f t="shared" ref="H36:I36" si="0">SUM(H5:H35)</f>
        <v>62843</v>
      </c>
      <c r="I36" s="183">
        <f t="shared" si="0"/>
        <v>80877</v>
      </c>
    </row>
    <row r="37" spans="1:9" s="3" customFormat="1" ht="21" customHeight="1" thickBot="1" x14ac:dyDescent="0.2">
      <c r="A37" s="145" t="s">
        <v>4</v>
      </c>
      <c r="B37" s="146"/>
      <c r="C37" s="146"/>
      <c r="D37" s="146"/>
      <c r="E37" s="146"/>
      <c r="F37" s="146"/>
      <c r="G37" s="147"/>
      <c r="H37" s="184">
        <f>H36+'2월'!H37</f>
        <v>195719</v>
      </c>
      <c r="I37" s="185">
        <f>I36+'2월'!I37</f>
        <v>239184</v>
      </c>
    </row>
    <row r="40" spans="1:9" x14ac:dyDescent="0.15">
      <c r="H40" s="4"/>
      <c r="I40" s="91"/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J43"/>
  <sheetViews>
    <sheetView topLeftCell="A19" workbookViewId="0">
      <selection activeCell="N37" sqref="N37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10" s="2" customFormat="1" ht="21" customHeight="1" x14ac:dyDescent="0.15">
      <c r="A1" s="162" t="s">
        <v>26</v>
      </c>
      <c r="B1" s="163"/>
      <c r="C1" s="163"/>
      <c r="D1" s="163"/>
      <c r="E1" s="163"/>
      <c r="F1" s="163"/>
      <c r="G1" s="163"/>
      <c r="H1" s="163"/>
      <c r="I1" s="164"/>
    </row>
    <row r="2" spans="1:10" s="2" customFormat="1" ht="22.5" customHeight="1" x14ac:dyDescent="0.15">
      <c r="A2" s="154" t="s">
        <v>2</v>
      </c>
      <c r="B2" s="157" t="s">
        <v>1</v>
      </c>
      <c r="C2" s="148" t="s">
        <v>12</v>
      </c>
      <c r="D2" s="148" t="s">
        <v>15</v>
      </c>
      <c r="E2" s="149"/>
      <c r="F2" s="148" t="s">
        <v>16</v>
      </c>
      <c r="G2" s="152"/>
      <c r="H2" s="168" t="s">
        <v>22</v>
      </c>
      <c r="I2" s="169" t="s">
        <v>21</v>
      </c>
    </row>
    <row r="3" spans="1:10" s="2" customFormat="1" ht="18.75" customHeight="1" x14ac:dyDescent="0.15">
      <c r="A3" s="155"/>
      <c r="B3" s="165"/>
      <c r="C3" s="166"/>
      <c r="D3" s="150"/>
      <c r="E3" s="151"/>
      <c r="F3" s="150"/>
      <c r="G3" s="153"/>
      <c r="H3" s="170" t="s">
        <v>23</v>
      </c>
      <c r="I3" s="171" t="s">
        <v>20</v>
      </c>
    </row>
    <row r="4" spans="1:10" s="2" customFormat="1" ht="18.75" customHeight="1" x14ac:dyDescent="0.15">
      <c r="A4" s="156"/>
      <c r="B4" s="158"/>
      <c r="C4" s="167"/>
      <c r="D4" s="14" t="s">
        <v>13</v>
      </c>
      <c r="E4" s="14" t="s">
        <v>14</v>
      </c>
      <c r="F4" s="14" t="s">
        <v>18</v>
      </c>
      <c r="G4" s="16" t="s">
        <v>17</v>
      </c>
      <c r="H4" s="172"/>
      <c r="I4" s="173" t="s">
        <v>19</v>
      </c>
    </row>
    <row r="5" spans="1:10" s="110" customFormat="1" ht="23.1" customHeight="1" x14ac:dyDescent="0.15">
      <c r="A5" s="31">
        <v>1</v>
      </c>
      <c r="B5" s="32" t="s">
        <v>39</v>
      </c>
      <c r="C5" s="46" t="s">
        <v>65</v>
      </c>
      <c r="D5" s="74">
        <v>4</v>
      </c>
      <c r="E5" s="74">
        <v>17</v>
      </c>
      <c r="F5" s="128" t="s">
        <v>46</v>
      </c>
      <c r="G5" s="129" t="s">
        <v>52</v>
      </c>
      <c r="H5" s="35">
        <v>1090</v>
      </c>
      <c r="I5" s="188">
        <v>1227</v>
      </c>
    </row>
    <row r="6" spans="1:10" customFormat="1" ht="23.1" customHeight="1" x14ac:dyDescent="0.15">
      <c r="A6" s="41">
        <v>2</v>
      </c>
      <c r="B6" s="42" t="s">
        <v>43</v>
      </c>
      <c r="C6" s="33" t="s">
        <v>84</v>
      </c>
      <c r="D6" s="94">
        <v>5</v>
      </c>
      <c r="E6" s="94">
        <v>14</v>
      </c>
      <c r="F6" s="43" t="s">
        <v>46</v>
      </c>
      <c r="G6" s="44" t="s">
        <v>52</v>
      </c>
      <c r="H6" s="45">
        <v>883</v>
      </c>
      <c r="I6" s="175">
        <v>936</v>
      </c>
    </row>
    <row r="7" spans="1:10" customFormat="1" ht="23.1" customHeight="1" x14ac:dyDescent="0.15">
      <c r="A7" s="41">
        <v>3</v>
      </c>
      <c r="B7" s="42" t="s">
        <v>11</v>
      </c>
      <c r="C7" s="33" t="s">
        <v>65</v>
      </c>
      <c r="D7" s="94">
        <v>4</v>
      </c>
      <c r="E7" s="94">
        <v>17</v>
      </c>
      <c r="F7" s="43" t="s">
        <v>46</v>
      </c>
      <c r="G7" s="44" t="s">
        <v>52</v>
      </c>
      <c r="H7" s="45">
        <v>1844</v>
      </c>
      <c r="I7" s="175">
        <v>2014</v>
      </c>
    </row>
    <row r="8" spans="1:10" s="112" customFormat="1" ht="23.1" customHeight="1" x14ac:dyDescent="0.15">
      <c r="A8" s="41">
        <v>4</v>
      </c>
      <c r="B8" s="42" t="s">
        <v>5</v>
      </c>
      <c r="C8" s="33" t="s">
        <v>65</v>
      </c>
      <c r="D8" s="43">
        <v>6</v>
      </c>
      <c r="E8" s="43">
        <v>16</v>
      </c>
      <c r="F8" s="43" t="s">
        <v>46</v>
      </c>
      <c r="G8" s="44" t="s">
        <v>53</v>
      </c>
      <c r="H8" s="45">
        <v>5186</v>
      </c>
      <c r="I8" s="175">
        <v>5732</v>
      </c>
    </row>
    <row r="9" spans="1:10" s="110" customFormat="1" ht="23.1" customHeight="1" x14ac:dyDescent="0.15">
      <c r="A9" s="60">
        <v>5</v>
      </c>
      <c r="B9" s="61" t="s">
        <v>6</v>
      </c>
      <c r="C9" s="62" t="s">
        <v>85</v>
      </c>
      <c r="D9" s="66">
        <v>8</v>
      </c>
      <c r="E9" s="66">
        <v>10</v>
      </c>
      <c r="F9" s="75" t="s">
        <v>80</v>
      </c>
      <c r="G9" s="76" t="s">
        <v>49</v>
      </c>
      <c r="H9" s="65">
        <v>599</v>
      </c>
      <c r="I9" s="176">
        <v>707</v>
      </c>
      <c r="J9" s="111"/>
    </row>
    <row r="10" spans="1:10" customFormat="1" ht="23.1" customHeight="1" x14ac:dyDescent="0.15">
      <c r="A10" s="30">
        <v>6</v>
      </c>
      <c r="B10" s="24" t="s">
        <v>7</v>
      </c>
      <c r="C10" s="25" t="s">
        <v>54</v>
      </c>
      <c r="D10" s="26">
        <v>7</v>
      </c>
      <c r="E10" s="26">
        <v>16</v>
      </c>
      <c r="F10" s="88" t="s">
        <v>80</v>
      </c>
      <c r="G10" s="89" t="s">
        <v>53</v>
      </c>
      <c r="H10" s="28">
        <v>8335</v>
      </c>
      <c r="I10" s="177">
        <v>11114</v>
      </c>
      <c r="J10" s="136"/>
    </row>
    <row r="11" spans="1:10" customFormat="1" ht="23.1" customHeight="1" x14ac:dyDescent="0.15">
      <c r="A11" s="36">
        <v>7</v>
      </c>
      <c r="B11" s="37" t="s">
        <v>8</v>
      </c>
      <c r="C11" s="48" t="s">
        <v>55</v>
      </c>
      <c r="D11" s="38">
        <v>6</v>
      </c>
      <c r="E11" s="38">
        <v>20</v>
      </c>
      <c r="F11" s="77" t="s">
        <v>45</v>
      </c>
      <c r="G11" s="78" t="s">
        <v>51</v>
      </c>
      <c r="H11" s="40">
        <v>1743</v>
      </c>
      <c r="I11" s="178">
        <v>2103</v>
      </c>
      <c r="J11" s="136"/>
    </row>
    <row r="12" spans="1:10" customFormat="1" ht="23.1" customHeight="1" x14ac:dyDescent="0.15">
      <c r="A12" s="41">
        <v>8</v>
      </c>
      <c r="B12" s="42" t="s">
        <v>9</v>
      </c>
      <c r="C12" s="33" t="s">
        <v>63</v>
      </c>
      <c r="D12" s="95">
        <v>11</v>
      </c>
      <c r="E12" s="95">
        <v>19</v>
      </c>
      <c r="F12" s="43" t="s">
        <v>45</v>
      </c>
      <c r="G12" s="44" t="s">
        <v>51</v>
      </c>
      <c r="H12" s="45">
        <v>1954</v>
      </c>
      <c r="I12" s="175">
        <v>2253</v>
      </c>
    </row>
    <row r="13" spans="1:10" customFormat="1" ht="23.1" customHeight="1" x14ac:dyDescent="0.15">
      <c r="A13" s="41">
        <v>9</v>
      </c>
      <c r="B13" s="42" t="s">
        <v>10</v>
      </c>
      <c r="C13" s="33" t="s">
        <v>86</v>
      </c>
      <c r="D13" s="95">
        <v>8</v>
      </c>
      <c r="E13" s="95">
        <v>18</v>
      </c>
      <c r="F13" s="43" t="s">
        <v>45</v>
      </c>
      <c r="G13" s="44" t="s">
        <v>51</v>
      </c>
      <c r="H13" s="45">
        <v>1919</v>
      </c>
      <c r="I13" s="175">
        <v>2121</v>
      </c>
    </row>
    <row r="14" spans="1:10" customFormat="1" ht="23.1" customHeight="1" x14ac:dyDescent="0.15">
      <c r="A14" s="41">
        <v>10</v>
      </c>
      <c r="B14" s="42" t="s">
        <v>11</v>
      </c>
      <c r="C14" s="33" t="s">
        <v>55</v>
      </c>
      <c r="D14" s="94">
        <v>9</v>
      </c>
      <c r="E14" s="94">
        <v>19</v>
      </c>
      <c r="F14" s="43" t="s">
        <v>45</v>
      </c>
      <c r="G14" s="44" t="s">
        <v>51</v>
      </c>
      <c r="H14" s="45">
        <v>2380</v>
      </c>
      <c r="I14" s="175">
        <v>2791</v>
      </c>
    </row>
    <row r="15" spans="1:10" s="112" customFormat="1" ht="23.1" customHeight="1" x14ac:dyDescent="0.15">
      <c r="A15" s="41">
        <v>11</v>
      </c>
      <c r="B15" s="42" t="s">
        <v>5</v>
      </c>
      <c r="C15" s="33" t="s">
        <v>65</v>
      </c>
      <c r="D15" s="94">
        <v>8</v>
      </c>
      <c r="E15" s="94">
        <v>24</v>
      </c>
      <c r="F15" s="43" t="s">
        <v>45</v>
      </c>
      <c r="G15" s="44" t="s">
        <v>67</v>
      </c>
      <c r="H15" s="45">
        <v>9193</v>
      </c>
      <c r="I15" s="175">
        <v>10761</v>
      </c>
    </row>
    <row r="16" spans="1:10" s="110" customFormat="1" ht="23.1" customHeight="1" x14ac:dyDescent="0.15">
      <c r="A16" s="60">
        <v>12</v>
      </c>
      <c r="B16" s="61" t="s">
        <v>6</v>
      </c>
      <c r="C16" s="62" t="s">
        <v>87</v>
      </c>
      <c r="D16" s="66">
        <v>1</v>
      </c>
      <c r="E16" s="66">
        <v>23</v>
      </c>
      <c r="F16" s="75" t="s">
        <v>83</v>
      </c>
      <c r="G16" s="76" t="s">
        <v>52</v>
      </c>
      <c r="H16" s="65">
        <v>2907</v>
      </c>
      <c r="I16" s="176">
        <v>3708</v>
      </c>
    </row>
    <row r="17" spans="1:9" customFormat="1" ht="23.1" customHeight="1" x14ac:dyDescent="0.15">
      <c r="A17" s="30">
        <v>13</v>
      </c>
      <c r="B17" s="24" t="s">
        <v>7</v>
      </c>
      <c r="C17" s="25" t="s">
        <v>88</v>
      </c>
      <c r="D17" s="26">
        <v>1</v>
      </c>
      <c r="E17" s="26">
        <v>8</v>
      </c>
      <c r="F17" s="88" t="s">
        <v>83</v>
      </c>
      <c r="G17" s="89" t="s">
        <v>52</v>
      </c>
      <c r="H17" s="28">
        <v>1177</v>
      </c>
      <c r="I17" s="177">
        <v>1770</v>
      </c>
    </row>
    <row r="18" spans="1:9" customFormat="1" ht="23.1" customHeight="1" x14ac:dyDescent="0.15">
      <c r="A18" s="36">
        <v>14</v>
      </c>
      <c r="B18" s="37" t="s">
        <v>8</v>
      </c>
      <c r="C18" s="48" t="s">
        <v>85</v>
      </c>
      <c r="D18" s="38">
        <v>3</v>
      </c>
      <c r="E18" s="38">
        <v>6</v>
      </c>
      <c r="F18" s="77" t="s">
        <v>45</v>
      </c>
      <c r="G18" s="78" t="s">
        <v>49</v>
      </c>
      <c r="H18" s="40">
        <v>56</v>
      </c>
      <c r="I18" s="178">
        <v>67</v>
      </c>
    </row>
    <row r="19" spans="1:9" customFormat="1" ht="23.1" customHeight="1" x14ac:dyDescent="0.15">
      <c r="A19" s="41">
        <v>15</v>
      </c>
      <c r="B19" s="42" t="s">
        <v>9</v>
      </c>
      <c r="C19" s="33" t="s">
        <v>55</v>
      </c>
      <c r="D19" s="94">
        <v>2</v>
      </c>
      <c r="E19" s="94">
        <v>14</v>
      </c>
      <c r="F19" s="43" t="s">
        <v>45</v>
      </c>
      <c r="G19" s="44" t="s">
        <v>51</v>
      </c>
      <c r="H19" s="45">
        <v>2003</v>
      </c>
      <c r="I19" s="175">
        <v>2157</v>
      </c>
    </row>
    <row r="20" spans="1:9" customFormat="1" ht="23.1" customHeight="1" x14ac:dyDescent="0.15">
      <c r="A20" s="41">
        <v>16</v>
      </c>
      <c r="B20" s="42" t="s">
        <v>10</v>
      </c>
      <c r="C20" s="33" t="s">
        <v>66</v>
      </c>
      <c r="D20" s="94">
        <v>6</v>
      </c>
      <c r="E20" s="94">
        <v>22</v>
      </c>
      <c r="F20" s="43" t="s">
        <v>45</v>
      </c>
      <c r="G20" s="44" t="s">
        <v>51</v>
      </c>
      <c r="H20" s="45">
        <v>2766</v>
      </c>
      <c r="I20" s="175">
        <v>3024</v>
      </c>
    </row>
    <row r="21" spans="1:9" customFormat="1" ht="23.1" customHeight="1" x14ac:dyDescent="0.15">
      <c r="A21" s="41">
        <v>17</v>
      </c>
      <c r="B21" s="42" t="s">
        <v>11</v>
      </c>
      <c r="C21" s="33" t="s">
        <v>66</v>
      </c>
      <c r="D21" s="94">
        <v>16</v>
      </c>
      <c r="E21" s="94">
        <v>25</v>
      </c>
      <c r="F21" s="43" t="s">
        <v>45</v>
      </c>
      <c r="G21" s="44" t="s">
        <v>51</v>
      </c>
      <c r="H21" s="45">
        <v>2761</v>
      </c>
      <c r="I21" s="175">
        <v>3058</v>
      </c>
    </row>
    <row r="22" spans="1:9" s="112" customFormat="1" ht="23.1" customHeight="1" x14ac:dyDescent="0.15">
      <c r="A22" s="41">
        <v>18</v>
      </c>
      <c r="B22" s="42" t="s">
        <v>5</v>
      </c>
      <c r="C22" s="33" t="s">
        <v>66</v>
      </c>
      <c r="D22" s="94">
        <v>15</v>
      </c>
      <c r="E22" s="94">
        <v>24</v>
      </c>
      <c r="F22" s="43" t="s">
        <v>45</v>
      </c>
      <c r="G22" s="44" t="s">
        <v>67</v>
      </c>
      <c r="H22" s="45">
        <v>5734</v>
      </c>
      <c r="I22" s="175">
        <v>6413</v>
      </c>
    </row>
    <row r="23" spans="1:9" s="110" customFormat="1" ht="23.1" customHeight="1" x14ac:dyDescent="0.15">
      <c r="A23" s="60">
        <v>19</v>
      </c>
      <c r="B23" s="61" t="s">
        <v>6</v>
      </c>
      <c r="C23" s="62" t="s">
        <v>85</v>
      </c>
      <c r="D23" s="66">
        <v>12</v>
      </c>
      <c r="E23" s="66">
        <v>20</v>
      </c>
      <c r="F23" s="75" t="s">
        <v>83</v>
      </c>
      <c r="G23" s="76" t="s">
        <v>50</v>
      </c>
      <c r="H23" s="65">
        <v>2883</v>
      </c>
      <c r="I23" s="176">
        <v>3278</v>
      </c>
    </row>
    <row r="24" spans="1:9" customFormat="1" ht="23.1" customHeight="1" x14ac:dyDescent="0.15">
      <c r="A24" s="30">
        <v>20</v>
      </c>
      <c r="B24" s="24" t="s">
        <v>7</v>
      </c>
      <c r="C24" s="25" t="s">
        <v>55</v>
      </c>
      <c r="D24" s="26">
        <v>10</v>
      </c>
      <c r="E24" s="26">
        <v>24</v>
      </c>
      <c r="F24" s="88" t="s">
        <v>83</v>
      </c>
      <c r="G24" s="89" t="s">
        <v>67</v>
      </c>
      <c r="H24" s="28">
        <v>10869</v>
      </c>
      <c r="I24" s="177">
        <v>13672</v>
      </c>
    </row>
    <row r="25" spans="1:9" customFormat="1" ht="23.1" customHeight="1" x14ac:dyDescent="0.15">
      <c r="A25" s="36">
        <v>21</v>
      </c>
      <c r="B25" s="37" t="s">
        <v>8</v>
      </c>
      <c r="C25" s="48" t="s">
        <v>54</v>
      </c>
      <c r="D25" s="38">
        <v>14</v>
      </c>
      <c r="E25" s="38">
        <v>27</v>
      </c>
      <c r="F25" s="77" t="s">
        <v>45</v>
      </c>
      <c r="G25" s="78" t="s">
        <v>51</v>
      </c>
      <c r="H25" s="40">
        <v>2124</v>
      </c>
      <c r="I25" s="178">
        <v>2445</v>
      </c>
    </row>
    <row r="26" spans="1:9" customFormat="1" ht="23.1" customHeight="1" x14ac:dyDescent="0.15">
      <c r="A26" s="41">
        <v>22</v>
      </c>
      <c r="B26" s="42" t="s">
        <v>9</v>
      </c>
      <c r="C26" s="33" t="s">
        <v>85</v>
      </c>
      <c r="D26" s="94">
        <v>14</v>
      </c>
      <c r="E26" s="94">
        <v>20</v>
      </c>
      <c r="F26" s="43" t="s">
        <v>45</v>
      </c>
      <c r="G26" s="44" t="s">
        <v>76</v>
      </c>
      <c r="H26" s="45">
        <v>441</v>
      </c>
      <c r="I26" s="175">
        <v>447</v>
      </c>
    </row>
    <row r="27" spans="1:9" customFormat="1" ht="23.1" customHeight="1" x14ac:dyDescent="0.15">
      <c r="A27" s="41">
        <v>23</v>
      </c>
      <c r="B27" s="42" t="s">
        <v>10</v>
      </c>
      <c r="C27" s="33" t="s">
        <v>54</v>
      </c>
      <c r="D27" s="94">
        <v>11</v>
      </c>
      <c r="E27" s="94">
        <v>23</v>
      </c>
      <c r="F27" s="43" t="s">
        <v>45</v>
      </c>
      <c r="G27" s="44" t="s">
        <v>51</v>
      </c>
      <c r="H27" s="45">
        <v>3164</v>
      </c>
      <c r="I27" s="175">
        <v>3474</v>
      </c>
    </row>
    <row r="28" spans="1:9" s="110" customFormat="1" ht="23.1" customHeight="1" x14ac:dyDescent="0.15">
      <c r="A28" s="41">
        <v>24</v>
      </c>
      <c r="B28" s="42" t="s">
        <v>11</v>
      </c>
      <c r="C28" s="33" t="s">
        <v>55</v>
      </c>
      <c r="D28" s="94">
        <v>11</v>
      </c>
      <c r="E28" s="94">
        <v>20</v>
      </c>
      <c r="F28" s="43" t="s">
        <v>45</v>
      </c>
      <c r="G28" s="44" t="s">
        <v>51</v>
      </c>
      <c r="H28" s="45">
        <v>3871</v>
      </c>
      <c r="I28" s="175">
        <v>4091</v>
      </c>
    </row>
    <row r="29" spans="1:9" s="110" customFormat="1" ht="23.1" customHeight="1" x14ac:dyDescent="0.15">
      <c r="A29" s="41">
        <v>25</v>
      </c>
      <c r="B29" s="42" t="s">
        <v>5</v>
      </c>
      <c r="C29" s="33" t="s">
        <v>55</v>
      </c>
      <c r="D29" s="94">
        <v>8</v>
      </c>
      <c r="E29" s="94">
        <v>18</v>
      </c>
      <c r="F29" s="43" t="s">
        <v>45</v>
      </c>
      <c r="G29" s="44" t="s">
        <v>67</v>
      </c>
      <c r="H29" s="45">
        <v>6872</v>
      </c>
      <c r="I29" s="175">
        <v>7478</v>
      </c>
    </row>
    <row r="30" spans="1:9" s="110" customFormat="1" ht="23.1" customHeight="1" x14ac:dyDescent="0.15">
      <c r="A30" s="60">
        <v>26</v>
      </c>
      <c r="B30" s="61" t="s">
        <v>6</v>
      </c>
      <c r="C30" s="62" t="s">
        <v>55</v>
      </c>
      <c r="D30" s="66">
        <v>7</v>
      </c>
      <c r="E30" s="66">
        <v>20</v>
      </c>
      <c r="F30" s="75" t="s">
        <v>83</v>
      </c>
      <c r="G30" s="76" t="s">
        <v>67</v>
      </c>
      <c r="H30" s="65">
        <v>17702</v>
      </c>
      <c r="I30" s="176">
        <v>19655</v>
      </c>
    </row>
    <row r="31" spans="1:9" s="110" customFormat="1" ht="23.1" customHeight="1" x14ac:dyDescent="0.15">
      <c r="A31" s="30">
        <v>27</v>
      </c>
      <c r="B31" s="24" t="s">
        <v>7</v>
      </c>
      <c r="C31" s="25" t="s">
        <v>66</v>
      </c>
      <c r="D31" s="26">
        <v>11</v>
      </c>
      <c r="E31" s="26">
        <v>19</v>
      </c>
      <c r="F31" s="88" t="s">
        <v>83</v>
      </c>
      <c r="G31" s="89" t="s">
        <v>67</v>
      </c>
      <c r="H31" s="28">
        <v>9917</v>
      </c>
      <c r="I31" s="177">
        <v>11873</v>
      </c>
    </row>
    <row r="32" spans="1:9" customFormat="1" ht="23.1" customHeight="1" x14ac:dyDescent="0.15">
      <c r="A32" s="36">
        <v>28</v>
      </c>
      <c r="B32" s="37" t="s">
        <v>8</v>
      </c>
      <c r="C32" s="48" t="s">
        <v>55</v>
      </c>
      <c r="D32" s="38">
        <v>10</v>
      </c>
      <c r="E32" s="38">
        <v>20</v>
      </c>
      <c r="F32" s="77" t="s">
        <v>45</v>
      </c>
      <c r="G32" s="78" t="s">
        <v>51</v>
      </c>
      <c r="H32" s="40">
        <v>3273</v>
      </c>
      <c r="I32" s="178">
        <v>3400</v>
      </c>
    </row>
    <row r="33" spans="1:9" customFormat="1" ht="23.1" customHeight="1" x14ac:dyDescent="0.15">
      <c r="A33" s="41">
        <v>29</v>
      </c>
      <c r="B33" s="42" t="s">
        <v>9</v>
      </c>
      <c r="C33" s="33" t="s">
        <v>55</v>
      </c>
      <c r="D33" s="94">
        <v>8</v>
      </c>
      <c r="E33" s="94">
        <v>21</v>
      </c>
      <c r="F33" s="43" t="s">
        <v>45</v>
      </c>
      <c r="G33" s="44" t="s">
        <v>51</v>
      </c>
      <c r="H33" s="45">
        <v>4348</v>
      </c>
      <c r="I33" s="175">
        <v>4397</v>
      </c>
    </row>
    <row r="34" spans="1:9" customFormat="1" ht="23.25" customHeight="1" x14ac:dyDescent="0.15">
      <c r="A34" s="41">
        <v>30</v>
      </c>
      <c r="B34" s="42" t="s">
        <v>10</v>
      </c>
      <c r="C34" s="33" t="s">
        <v>55</v>
      </c>
      <c r="D34" s="94">
        <v>10</v>
      </c>
      <c r="E34" s="94">
        <v>26</v>
      </c>
      <c r="F34" s="43" t="s">
        <v>45</v>
      </c>
      <c r="G34" s="44" t="s">
        <v>51</v>
      </c>
      <c r="H34" s="45">
        <v>6519</v>
      </c>
      <c r="I34" s="175">
        <v>6610</v>
      </c>
    </row>
    <row r="35" spans="1:9" customFormat="1" ht="23.1" customHeight="1" thickBot="1" x14ac:dyDescent="0.2">
      <c r="A35" s="49"/>
      <c r="B35" s="50"/>
      <c r="C35" s="51"/>
      <c r="D35" s="52"/>
      <c r="E35" s="52"/>
      <c r="F35" s="96"/>
      <c r="G35" s="97"/>
      <c r="H35" s="54">
        <v>0</v>
      </c>
      <c r="I35" s="181">
        <v>0</v>
      </c>
    </row>
    <row r="36" spans="1:9" s="3" customFormat="1" ht="21" customHeight="1" thickBot="1" x14ac:dyDescent="0.2">
      <c r="A36" s="159" t="s">
        <v>0</v>
      </c>
      <c r="B36" s="160"/>
      <c r="C36" s="160"/>
      <c r="D36" s="160"/>
      <c r="E36" s="160"/>
      <c r="F36" s="160"/>
      <c r="G36" s="161"/>
      <c r="H36" s="182">
        <f t="shared" ref="H36:I36" si="0">SUM(H5:H35)</f>
        <v>124513</v>
      </c>
      <c r="I36" s="183">
        <f t="shared" si="0"/>
        <v>142776</v>
      </c>
    </row>
    <row r="37" spans="1:9" s="3" customFormat="1" ht="21" customHeight="1" thickBot="1" x14ac:dyDescent="0.2">
      <c r="A37" s="145" t="s">
        <v>4</v>
      </c>
      <c r="B37" s="146"/>
      <c r="C37" s="146"/>
      <c r="D37" s="146"/>
      <c r="E37" s="146"/>
      <c r="F37" s="146"/>
      <c r="G37" s="147"/>
      <c r="H37" s="184">
        <f>H36+'3월'!H37</f>
        <v>320232</v>
      </c>
      <c r="I37" s="185">
        <f>I36+'3월'!I37</f>
        <v>381960</v>
      </c>
    </row>
    <row r="39" spans="1:9" x14ac:dyDescent="0.15">
      <c r="H39" s="115"/>
      <c r="I39" s="4"/>
    </row>
    <row r="40" spans="1:9" x14ac:dyDescent="0.15">
      <c r="H40" s="4"/>
    </row>
    <row r="41" spans="1:9" x14ac:dyDescent="0.15">
      <c r="H41" s="4"/>
    </row>
    <row r="42" spans="1:9" x14ac:dyDescent="0.15">
      <c r="H42" s="4"/>
    </row>
    <row r="43" spans="1:9" x14ac:dyDescent="0.15">
      <c r="H43" s="4"/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</sheetPr>
  <dimension ref="A1:I37"/>
  <sheetViews>
    <sheetView topLeftCell="A34" workbookViewId="0">
      <selection activeCell="M11" sqref="M11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62" t="s">
        <v>29</v>
      </c>
      <c r="B1" s="163"/>
      <c r="C1" s="163"/>
      <c r="D1" s="163"/>
      <c r="E1" s="163"/>
      <c r="F1" s="163"/>
      <c r="G1" s="163"/>
      <c r="H1" s="163"/>
      <c r="I1" s="164"/>
    </row>
    <row r="2" spans="1:9" s="2" customFormat="1" ht="22.5" customHeight="1" x14ac:dyDescent="0.15">
      <c r="A2" s="154" t="s">
        <v>2</v>
      </c>
      <c r="B2" s="157" t="s">
        <v>1</v>
      </c>
      <c r="C2" s="148" t="s">
        <v>12</v>
      </c>
      <c r="D2" s="148" t="s">
        <v>15</v>
      </c>
      <c r="E2" s="149"/>
      <c r="F2" s="148" t="s">
        <v>16</v>
      </c>
      <c r="G2" s="152"/>
      <c r="H2" s="168" t="s">
        <v>22</v>
      </c>
      <c r="I2" s="169" t="s">
        <v>21</v>
      </c>
    </row>
    <row r="3" spans="1:9" s="2" customFormat="1" ht="18.75" customHeight="1" x14ac:dyDescent="0.15">
      <c r="A3" s="155"/>
      <c r="B3" s="165"/>
      <c r="C3" s="166"/>
      <c r="D3" s="150"/>
      <c r="E3" s="151"/>
      <c r="F3" s="150"/>
      <c r="G3" s="153"/>
      <c r="H3" s="170" t="s">
        <v>23</v>
      </c>
      <c r="I3" s="171" t="s">
        <v>20</v>
      </c>
    </row>
    <row r="4" spans="1:9" s="2" customFormat="1" ht="18.75" customHeight="1" x14ac:dyDescent="0.15">
      <c r="A4" s="156"/>
      <c r="B4" s="158"/>
      <c r="C4" s="167"/>
      <c r="D4" s="14" t="s">
        <v>13</v>
      </c>
      <c r="E4" s="14" t="s">
        <v>14</v>
      </c>
      <c r="F4" s="14" t="s">
        <v>18</v>
      </c>
      <c r="G4" s="16" t="s">
        <v>17</v>
      </c>
      <c r="H4" s="172"/>
      <c r="I4" s="173" t="s">
        <v>19</v>
      </c>
    </row>
    <row r="5" spans="1:9" s="110" customFormat="1" ht="23.1" customHeight="1" x14ac:dyDescent="0.15">
      <c r="A5" s="7">
        <v>1</v>
      </c>
      <c r="B5" s="8" t="s">
        <v>40</v>
      </c>
      <c r="C5" s="90" t="s">
        <v>85</v>
      </c>
      <c r="D5" s="17">
        <v>11</v>
      </c>
      <c r="E5" s="17">
        <v>18</v>
      </c>
      <c r="F5" s="119" t="s">
        <v>80</v>
      </c>
      <c r="G5" s="120" t="s">
        <v>50</v>
      </c>
      <c r="H5" s="12">
        <v>2972</v>
      </c>
      <c r="I5" s="174">
        <v>3267</v>
      </c>
    </row>
    <row r="6" spans="1:9" customFormat="1" ht="23.1" customHeight="1" x14ac:dyDescent="0.15">
      <c r="A6" s="41">
        <v>2</v>
      </c>
      <c r="B6" s="42" t="s">
        <v>41</v>
      </c>
      <c r="C6" s="33" t="s">
        <v>66</v>
      </c>
      <c r="D6" s="94">
        <v>8</v>
      </c>
      <c r="E6" s="94">
        <v>19</v>
      </c>
      <c r="F6" s="43" t="s">
        <v>80</v>
      </c>
      <c r="G6" s="44" t="s">
        <v>53</v>
      </c>
      <c r="H6" s="45">
        <v>13422</v>
      </c>
      <c r="I6" s="175">
        <v>14380</v>
      </c>
    </row>
    <row r="7" spans="1:9" customFormat="1" ht="23.1" customHeight="1" x14ac:dyDescent="0.15">
      <c r="A7" s="60">
        <v>3</v>
      </c>
      <c r="B7" s="61" t="s">
        <v>6</v>
      </c>
      <c r="C7" s="62" t="s">
        <v>90</v>
      </c>
      <c r="D7" s="66">
        <v>10</v>
      </c>
      <c r="E7" s="66">
        <v>14</v>
      </c>
      <c r="F7" s="75" t="s">
        <v>80</v>
      </c>
      <c r="G7" s="76" t="s">
        <v>53</v>
      </c>
      <c r="H7" s="65">
        <v>5730</v>
      </c>
      <c r="I7" s="176">
        <v>6437</v>
      </c>
    </row>
    <row r="8" spans="1:9" s="112" customFormat="1" ht="23.1" customHeight="1" x14ac:dyDescent="0.15">
      <c r="A8" s="30">
        <v>4</v>
      </c>
      <c r="B8" s="24" t="s">
        <v>7</v>
      </c>
      <c r="C8" s="25" t="s">
        <v>55</v>
      </c>
      <c r="D8" s="88">
        <v>8</v>
      </c>
      <c r="E8" s="88">
        <v>20</v>
      </c>
      <c r="F8" s="88" t="s">
        <v>80</v>
      </c>
      <c r="G8" s="89" t="s">
        <v>53</v>
      </c>
      <c r="H8" s="28">
        <v>21208</v>
      </c>
      <c r="I8" s="177">
        <v>22605</v>
      </c>
    </row>
    <row r="9" spans="1:9" s="110" customFormat="1" ht="23.1" customHeight="1" x14ac:dyDescent="0.15">
      <c r="A9" s="10">
        <v>5</v>
      </c>
      <c r="B9" s="11" t="s">
        <v>8</v>
      </c>
      <c r="C9" s="29" t="s">
        <v>81</v>
      </c>
      <c r="D9" s="21">
        <v>9</v>
      </c>
      <c r="E9" s="21">
        <v>15</v>
      </c>
      <c r="F9" s="122" t="s">
        <v>89</v>
      </c>
      <c r="G9" s="123" t="s">
        <v>53</v>
      </c>
      <c r="H9" s="23">
        <v>15349</v>
      </c>
      <c r="I9" s="179">
        <v>16688</v>
      </c>
    </row>
    <row r="10" spans="1:9" customFormat="1" ht="23.1" customHeight="1" x14ac:dyDescent="0.15">
      <c r="A10" s="5">
        <v>6</v>
      </c>
      <c r="B10" s="6" t="s">
        <v>9</v>
      </c>
      <c r="C10" s="15" t="s">
        <v>54</v>
      </c>
      <c r="D10" s="19">
        <v>9</v>
      </c>
      <c r="E10" s="19">
        <v>20</v>
      </c>
      <c r="F10" s="98" t="s">
        <v>80</v>
      </c>
      <c r="G10" s="99" t="s">
        <v>53</v>
      </c>
      <c r="H10" s="13">
        <v>8023</v>
      </c>
      <c r="I10" s="180">
        <v>9525</v>
      </c>
    </row>
    <row r="11" spans="1:9" customFormat="1" ht="23.1" customHeight="1" x14ac:dyDescent="0.15">
      <c r="A11" s="41">
        <v>7</v>
      </c>
      <c r="B11" s="42" t="s">
        <v>10</v>
      </c>
      <c r="C11" s="33" t="s">
        <v>55</v>
      </c>
      <c r="D11" s="94">
        <v>10</v>
      </c>
      <c r="E11" s="94">
        <v>21</v>
      </c>
      <c r="F11" s="43" t="s">
        <v>46</v>
      </c>
      <c r="G11" s="44" t="s">
        <v>52</v>
      </c>
      <c r="H11" s="45">
        <v>2068</v>
      </c>
      <c r="I11" s="175">
        <v>2242</v>
      </c>
    </row>
    <row r="12" spans="1:9" customFormat="1" ht="23.1" customHeight="1" x14ac:dyDescent="0.15">
      <c r="A12" s="41">
        <v>8</v>
      </c>
      <c r="B12" s="42" t="s">
        <v>11</v>
      </c>
      <c r="C12" s="33" t="s">
        <v>77</v>
      </c>
      <c r="D12" s="95">
        <v>10</v>
      </c>
      <c r="E12" s="95">
        <v>25</v>
      </c>
      <c r="F12" s="43" t="s">
        <v>46</v>
      </c>
      <c r="G12" s="44" t="s">
        <v>52</v>
      </c>
      <c r="H12" s="45">
        <v>5545</v>
      </c>
      <c r="I12" s="175">
        <v>5734</v>
      </c>
    </row>
    <row r="13" spans="1:9" customFormat="1" ht="23.1" customHeight="1" x14ac:dyDescent="0.15">
      <c r="A13" s="41">
        <v>9</v>
      </c>
      <c r="B13" s="42" t="s">
        <v>5</v>
      </c>
      <c r="C13" s="33" t="s">
        <v>85</v>
      </c>
      <c r="D13" s="95">
        <v>14</v>
      </c>
      <c r="E13" s="95">
        <v>17</v>
      </c>
      <c r="F13" s="43" t="s">
        <v>46</v>
      </c>
      <c r="G13" s="44" t="s">
        <v>49</v>
      </c>
      <c r="H13" s="45">
        <v>3486</v>
      </c>
      <c r="I13" s="175">
        <v>3503</v>
      </c>
    </row>
    <row r="14" spans="1:9" customFormat="1" ht="23.1" customHeight="1" x14ac:dyDescent="0.15">
      <c r="A14" s="60">
        <v>10</v>
      </c>
      <c r="B14" s="61" t="s">
        <v>6</v>
      </c>
      <c r="C14" s="62" t="s">
        <v>85</v>
      </c>
      <c r="D14" s="66">
        <v>12</v>
      </c>
      <c r="E14" s="66">
        <v>15</v>
      </c>
      <c r="F14" s="75" t="s">
        <v>80</v>
      </c>
      <c r="G14" s="76" t="s">
        <v>52</v>
      </c>
      <c r="H14" s="65">
        <v>2924</v>
      </c>
      <c r="I14" s="176">
        <v>3420</v>
      </c>
    </row>
    <row r="15" spans="1:9" s="112" customFormat="1" ht="23.1" customHeight="1" x14ac:dyDescent="0.15">
      <c r="A15" s="30">
        <v>11</v>
      </c>
      <c r="B15" s="24" t="s">
        <v>7</v>
      </c>
      <c r="C15" s="25" t="s">
        <v>66</v>
      </c>
      <c r="D15" s="26">
        <v>11</v>
      </c>
      <c r="E15" s="26">
        <v>20</v>
      </c>
      <c r="F15" s="88" t="s">
        <v>80</v>
      </c>
      <c r="G15" s="89" t="s">
        <v>53</v>
      </c>
      <c r="H15" s="28">
        <v>7125</v>
      </c>
      <c r="I15" s="177">
        <v>9400</v>
      </c>
    </row>
    <row r="16" spans="1:9" s="110" customFormat="1" ht="23.1" customHeight="1" x14ac:dyDescent="0.15">
      <c r="A16" s="36">
        <v>12</v>
      </c>
      <c r="B16" s="37" t="s">
        <v>8</v>
      </c>
      <c r="C16" s="48" t="s">
        <v>65</v>
      </c>
      <c r="D16" s="38">
        <v>10</v>
      </c>
      <c r="E16" s="38">
        <v>24</v>
      </c>
      <c r="F16" s="77" t="s">
        <v>46</v>
      </c>
      <c r="G16" s="78" t="s">
        <v>52</v>
      </c>
      <c r="H16" s="40">
        <v>2428</v>
      </c>
      <c r="I16" s="178">
        <v>2703</v>
      </c>
    </row>
    <row r="17" spans="1:9" customFormat="1" ht="23.1" customHeight="1" x14ac:dyDescent="0.15">
      <c r="A17" s="41">
        <v>13</v>
      </c>
      <c r="B17" s="42" t="s">
        <v>9</v>
      </c>
      <c r="C17" s="33" t="s">
        <v>54</v>
      </c>
      <c r="D17" s="94">
        <v>13</v>
      </c>
      <c r="E17" s="94">
        <v>26</v>
      </c>
      <c r="F17" s="43" t="s">
        <v>46</v>
      </c>
      <c r="G17" s="44" t="s">
        <v>52</v>
      </c>
      <c r="H17" s="45">
        <v>3439</v>
      </c>
      <c r="I17" s="175">
        <v>3678</v>
      </c>
    </row>
    <row r="18" spans="1:9" customFormat="1" ht="23.1" customHeight="1" x14ac:dyDescent="0.15">
      <c r="A18" s="41">
        <v>14</v>
      </c>
      <c r="B18" s="42" t="s">
        <v>10</v>
      </c>
      <c r="C18" s="33" t="s">
        <v>54</v>
      </c>
      <c r="D18" s="94">
        <v>14</v>
      </c>
      <c r="E18" s="94">
        <v>27</v>
      </c>
      <c r="F18" s="43" t="s">
        <v>46</v>
      </c>
      <c r="G18" s="44" t="s">
        <v>52</v>
      </c>
      <c r="H18" s="45">
        <v>3967</v>
      </c>
      <c r="I18" s="175">
        <v>4241</v>
      </c>
    </row>
    <row r="19" spans="1:9" customFormat="1" ht="23.1" customHeight="1" x14ac:dyDescent="0.15">
      <c r="A19" s="41">
        <v>15</v>
      </c>
      <c r="B19" s="42" t="s">
        <v>11</v>
      </c>
      <c r="C19" s="33" t="s">
        <v>91</v>
      </c>
      <c r="D19" s="94">
        <v>17</v>
      </c>
      <c r="E19" s="94">
        <v>22</v>
      </c>
      <c r="F19" s="43" t="s">
        <v>46</v>
      </c>
      <c r="G19" s="44" t="s">
        <v>52</v>
      </c>
      <c r="H19" s="45">
        <v>5535</v>
      </c>
      <c r="I19" s="175">
        <v>5738</v>
      </c>
    </row>
    <row r="20" spans="1:9" customFormat="1" ht="23.1" customHeight="1" x14ac:dyDescent="0.15">
      <c r="A20" s="41">
        <v>16</v>
      </c>
      <c r="B20" s="42" t="s">
        <v>5</v>
      </c>
      <c r="C20" s="33" t="s">
        <v>85</v>
      </c>
      <c r="D20" s="94">
        <v>18</v>
      </c>
      <c r="E20" s="94">
        <v>22</v>
      </c>
      <c r="F20" s="43" t="s">
        <v>46</v>
      </c>
      <c r="G20" s="44" t="s">
        <v>50</v>
      </c>
      <c r="H20" s="45">
        <v>4113</v>
      </c>
      <c r="I20" s="175">
        <v>4223</v>
      </c>
    </row>
    <row r="21" spans="1:9" customFormat="1" ht="23.1" customHeight="1" x14ac:dyDescent="0.15">
      <c r="A21" s="60">
        <v>17</v>
      </c>
      <c r="B21" s="61" t="s">
        <v>6</v>
      </c>
      <c r="C21" s="62" t="s">
        <v>92</v>
      </c>
      <c r="D21" s="66">
        <v>15</v>
      </c>
      <c r="E21" s="66">
        <v>24</v>
      </c>
      <c r="F21" s="75" t="s">
        <v>80</v>
      </c>
      <c r="G21" s="76" t="s">
        <v>53</v>
      </c>
      <c r="H21" s="65">
        <v>13465</v>
      </c>
      <c r="I21" s="176">
        <v>14943</v>
      </c>
    </row>
    <row r="22" spans="1:9" s="112" customFormat="1" ht="23.1" customHeight="1" x14ac:dyDescent="0.15">
      <c r="A22" s="30">
        <v>18</v>
      </c>
      <c r="B22" s="24" t="s">
        <v>7</v>
      </c>
      <c r="C22" s="25" t="s">
        <v>54</v>
      </c>
      <c r="D22" s="26">
        <v>11</v>
      </c>
      <c r="E22" s="26">
        <v>21</v>
      </c>
      <c r="F22" s="88" t="s">
        <v>80</v>
      </c>
      <c r="G22" s="89" t="s">
        <v>53</v>
      </c>
      <c r="H22" s="28">
        <v>8638</v>
      </c>
      <c r="I22" s="177">
        <v>10975</v>
      </c>
    </row>
    <row r="23" spans="1:9" s="110" customFormat="1" ht="23.1" customHeight="1" x14ac:dyDescent="0.15">
      <c r="A23" s="36">
        <v>19</v>
      </c>
      <c r="B23" s="37" t="s">
        <v>8</v>
      </c>
      <c r="C23" s="48" t="s">
        <v>92</v>
      </c>
      <c r="D23" s="38">
        <v>11</v>
      </c>
      <c r="E23" s="38">
        <v>21</v>
      </c>
      <c r="F23" s="77" t="s">
        <v>46</v>
      </c>
      <c r="G23" s="78" t="s">
        <v>52</v>
      </c>
      <c r="H23" s="40">
        <v>1604</v>
      </c>
      <c r="I23" s="178">
        <v>1739</v>
      </c>
    </row>
    <row r="24" spans="1:9" customFormat="1" ht="23.1" customHeight="1" x14ac:dyDescent="0.15">
      <c r="A24" s="41">
        <v>20</v>
      </c>
      <c r="B24" s="42" t="s">
        <v>9</v>
      </c>
      <c r="C24" s="33" t="s">
        <v>66</v>
      </c>
      <c r="D24" s="94">
        <v>17</v>
      </c>
      <c r="E24" s="94">
        <v>27</v>
      </c>
      <c r="F24" s="43" t="s">
        <v>46</v>
      </c>
      <c r="G24" s="44" t="s">
        <v>52</v>
      </c>
      <c r="H24" s="45">
        <v>2052</v>
      </c>
      <c r="I24" s="175">
        <v>2272</v>
      </c>
    </row>
    <row r="25" spans="1:9" customFormat="1" ht="23.1" customHeight="1" x14ac:dyDescent="0.15">
      <c r="A25" s="41">
        <v>21</v>
      </c>
      <c r="B25" s="42" t="s">
        <v>10</v>
      </c>
      <c r="C25" s="33" t="s">
        <v>93</v>
      </c>
      <c r="D25" s="94">
        <v>22</v>
      </c>
      <c r="E25" s="94">
        <v>31</v>
      </c>
      <c r="F25" s="43" t="s">
        <v>46</v>
      </c>
      <c r="G25" s="44" t="s">
        <v>52</v>
      </c>
      <c r="H25" s="45">
        <v>3149</v>
      </c>
      <c r="I25" s="175">
        <v>3366</v>
      </c>
    </row>
    <row r="26" spans="1:9" customFormat="1" ht="23.1" customHeight="1" x14ac:dyDescent="0.15">
      <c r="A26" s="41">
        <v>22</v>
      </c>
      <c r="B26" s="42" t="s">
        <v>11</v>
      </c>
      <c r="C26" s="33" t="s">
        <v>66</v>
      </c>
      <c r="D26" s="94">
        <v>20</v>
      </c>
      <c r="E26" s="94">
        <v>29</v>
      </c>
      <c r="F26" s="43" t="s">
        <v>46</v>
      </c>
      <c r="G26" s="44" t="s">
        <v>52</v>
      </c>
      <c r="H26" s="45">
        <v>3990</v>
      </c>
      <c r="I26" s="175">
        <v>4238</v>
      </c>
    </row>
    <row r="27" spans="1:9" customFormat="1" ht="23.1" customHeight="1" x14ac:dyDescent="0.15">
      <c r="A27" s="41">
        <v>23</v>
      </c>
      <c r="B27" s="42" t="s">
        <v>5</v>
      </c>
      <c r="C27" s="33" t="s">
        <v>91</v>
      </c>
      <c r="D27" s="94">
        <v>15</v>
      </c>
      <c r="E27" s="94">
        <v>22</v>
      </c>
      <c r="F27" s="43" t="s">
        <v>46</v>
      </c>
      <c r="G27" s="44" t="s">
        <v>53</v>
      </c>
      <c r="H27" s="45">
        <v>7182</v>
      </c>
      <c r="I27" s="175">
        <v>7756</v>
      </c>
    </row>
    <row r="28" spans="1:9" s="110" customFormat="1" ht="23.1" customHeight="1" x14ac:dyDescent="0.15">
      <c r="A28" s="60">
        <v>24</v>
      </c>
      <c r="B28" s="61" t="s">
        <v>6</v>
      </c>
      <c r="C28" s="62" t="s">
        <v>93</v>
      </c>
      <c r="D28" s="66">
        <v>13</v>
      </c>
      <c r="E28" s="66">
        <v>19</v>
      </c>
      <c r="F28" s="75" t="s">
        <v>80</v>
      </c>
      <c r="G28" s="76" t="s">
        <v>53</v>
      </c>
      <c r="H28" s="65">
        <v>11024</v>
      </c>
      <c r="I28" s="176">
        <v>12606</v>
      </c>
    </row>
    <row r="29" spans="1:9" s="110" customFormat="1" ht="23.1" customHeight="1" x14ac:dyDescent="0.15">
      <c r="A29" s="30">
        <v>25</v>
      </c>
      <c r="B29" s="24" t="s">
        <v>7</v>
      </c>
      <c r="C29" s="25" t="s">
        <v>55</v>
      </c>
      <c r="D29" s="26">
        <v>12</v>
      </c>
      <c r="E29" s="26">
        <v>23</v>
      </c>
      <c r="F29" s="88" t="s">
        <v>80</v>
      </c>
      <c r="G29" s="89" t="s">
        <v>53</v>
      </c>
      <c r="H29" s="28">
        <v>9585</v>
      </c>
      <c r="I29" s="177">
        <v>11824</v>
      </c>
    </row>
    <row r="30" spans="1:9" s="110" customFormat="1" ht="23.1" customHeight="1" x14ac:dyDescent="0.15">
      <c r="A30" s="36">
        <v>26</v>
      </c>
      <c r="B30" s="37" t="s">
        <v>8</v>
      </c>
      <c r="C30" s="48" t="s">
        <v>54</v>
      </c>
      <c r="D30" s="38">
        <v>13</v>
      </c>
      <c r="E30" s="38">
        <v>26</v>
      </c>
      <c r="F30" s="77" t="s">
        <v>46</v>
      </c>
      <c r="G30" s="78" t="s">
        <v>52</v>
      </c>
      <c r="H30" s="40">
        <v>2234</v>
      </c>
      <c r="I30" s="178">
        <v>2583</v>
      </c>
    </row>
    <row r="31" spans="1:9" s="110" customFormat="1" ht="23.1" customHeight="1" x14ac:dyDescent="0.15">
      <c r="A31" s="41">
        <v>27</v>
      </c>
      <c r="B31" s="42" t="s">
        <v>9</v>
      </c>
      <c r="C31" s="33" t="s">
        <v>65</v>
      </c>
      <c r="D31" s="94">
        <v>15</v>
      </c>
      <c r="E31" s="94">
        <v>27</v>
      </c>
      <c r="F31" s="43" t="s">
        <v>46</v>
      </c>
      <c r="G31" s="44" t="s">
        <v>52</v>
      </c>
      <c r="H31" s="45">
        <v>1533</v>
      </c>
      <c r="I31" s="175">
        <v>1742</v>
      </c>
    </row>
    <row r="32" spans="1:9" customFormat="1" ht="23.1" customHeight="1" x14ac:dyDescent="0.15">
      <c r="A32" s="41">
        <v>28</v>
      </c>
      <c r="B32" s="42" t="s">
        <v>10</v>
      </c>
      <c r="C32" s="33" t="s">
        <v>63</v>
      </c>
      <c r="D32" s="94">
        <v>16</v>
      </c>
      <c r="E32" s="94">
        <v>27</v>
      </c>
      <c r="F32" s="43" t="s">
        <v>46</v>
      </c>
      <c r="G32" s="44" t="s">
        <v>52</v>
      </c>
      <c r="H32" s="45">
        <v>2287</v>
      </c>
      <c r="I32" s="175">
        <v>2516</v>
      </c>
    </row>
    <row r="33" spans="1:9" customFormat="1" ht="23.1" customHeight="1" x14ac:dyDescent="0.15">
      <c r="A33" s="41">
        <v>29</v>
      </c>
      <c r="B33" s="42" t="s">
        <v>11</v>
      </c>
      <c r="C33" s="33" t="s">
        <v>94</v>
      </c>
      <c r="D33" s="94">
        <v>15</v>
      </c>
      <c r="E33" s="94">
        <v>27</v>
      </c>
      <c r="F33" s="43" t="s">
        <v>46</v>
      </c>
      <c r="G33" s="44" t="s">
        <v>52</v>
      </c>
      <c r="H33" s="45">
        <v>3147</v>
      </c>
      <c r="I33" s="175">
        <v>3443</v>
      </c>
    </row>
    <row r="34" spans="1:9" customFormat="1" ht="23.25" customHeight="1" x14ac:dyDescent="0.15">
      <c r="A34" s="41">
        <v>30</v>
      </c>
      <c r="B34" s="42" t="s">
        <v>5</v>
      </c>
      <c r="C34" s="33" t="s">
        <v>55</v>
      </c>
      <c r="D34" s="94">
        <v>17</v>
      </c>
      <c r="E34" s="94">
        <v>28</v>
      </c>
      <c r="F34" s="43" t="s">
        <v>46</v>
      </c>
      <c r="G34" s="44" t="s">
        <v>53</v>
      </c>
      <c r="H34" s="45">
        <v>4463</v>
      </c>
      <c r="I34" s="175">
        <v>5296</v>
      </c>
    </row>
    <row r="35" spans="1:9" customFormat="1" ht="23.1" customHeight="1" thickBot="1" x14ac:dyDescent="0.2">
      <c r="A35" s="131">
        <v>31</v>
      </c>
      <c r="B35" s="132" t="s">
        <v>6</v>
      </c>
      <c r="C35" s="133" t="s">
        <v>66</v>
      </c>
      <c r="D35" s="134">
        <v>16</v>
      </c>
      <c r="E35" s="134">
        <v>27</v>
      </c>
      <c r="F35" s="141" t="s">
        <v>80</v>
      </c>
      <c r="G35" s="142" t="s">
        <v>53</v>
      </c>
      <c r="H35" s="135">
        <v>11921</v>
      </c>
      <c r="I35" s="189">
        <v>13757</v>
      </c>
    </row>
    <row r="36" spans="1:9" s="3" customFormat="1" ht="21" customHeight="1" thickBot="1" x14ac:dyDescent="0.2">
      <c r="A36" s="159" t="s">
        <v>27</v>
      </c>
      <c r="B36" s="160"/>
      <c r="C36" s="160"/>
      <c r="D36" s="160"/>
      <c r="E36" s="160"/>
      <c r="F36" s="160"/>
      <c r="G36" s="161"/>
      <c r="H36" s="182">
        <f t="shared" ref="H36:I36" si="0">SUM(H5:H35)</f>
        <v>193608</v>
      </c>
      <c r="I36" s="183">
        <f t="shared" si="0"/>
        <v>216840</v>
      </c>
    </row>
    <row r="37" spans="1:9" s="3" customFormat="1" ht="21" customHeight="1" thickBot="1" x14ac:dyDescent="0.2">
      <c r="A37" s="145" t="s">
        <v>28</v>
      </c>
      <c r="B37" s="146"/>
      <c r="C37" s="146"/>
      <c r="D37" s="146"/>
      <c r="E37" s="146"/>
      <c r="F37" s="146"/>
      <c r="G37" s="147"/>
      <c r="H37" s="184">
        <f>H36+'4월'!H37</f>
        <v>513840</v>
      </c>
      <c r="I37" s="185">
        <f>I36+'4월'!I37</f>
        <v>598800</v>
      </c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</sheetPr>
  <dimension ref="A1:I48"/>
  <sheetViews>
    <sheetView topLeftCell="A28" workbookViewId="0">
      <selection activeCell="K56" sqref="K56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62" t="s">
        <v>30</v>
      </c>
      <c r="B1" s="163"/>
      <c r="C1" s="163"/>
      <c r="D1" s="163"/>
      <c r="E1" s="163"/>
      <c r="F1" s="163"/>
      <c r="G1" s="163"/>
      <c r="H1" s="163"/>
      <c r="I1" s="164"/>
    </row>
    <row r="2" spans="1:9" s="2" customFormat="1" ht="22.5" customHeight="1" x14ac:dyDescent="0.15">
      <c r="A2" s="154" t="s">
        <v>2</v>
      </c>
      <c r="B2" s="157" t="s">
        <v>1</v>
      </c>
      <c r="C2" s="148" t="s">
        <v>12</v>
      </c>
      <c r="D2" s="148" t="s">
        <v>15</v>
      </c>
      <c r="E2" s="149"/>
      <c r="F2" s="148" t="s">
        <v>16</v>
      </c>
      <c r="G2" s="152"/>
      <c r="H2" s="168" t="s">
        <v>22</v>
      </c>
      <c r="I2" s="169" t="s">
        <v>21</v>
      </c>
    </row>
    <row r="3" spans="1:9" s="2" customFormat="1" ht="18.75" customHeight="1" x14ac:dyDescent="0.15">
      <c r="A3" s="155"/>
      <c r="B3" s="165"/>
      <c r="C3" s="166"/>
      <c r="D3" s="150"/>
      <c r="E3" s="151"/>
      <c r="F3" s="150"/>
      <c r="G3" s="153"/>
      <c r="H3" s="170" t="s">
        <v>23</v>
      </c>
      <c r="I3" s="171" t="s">
        <v>20</v>
      </c>
    </row>
    <row r="4" spans="1:9" s="2" customFormat="1" ht="18.75" customHeight="1" x14ac:dyDescent="0.15">
      <c r="A4" s="156"/>
      <c r="B4" s="158"/>
      <c r="C4" s="167"/>
      <c r="D4" s="14" t="s">
        <v>13</v>
      </c>
      <c r="E4" s="14" t="s">
        <v>14</v>
      </c>
      <c r="F4" s="14" t="s">
        <v>18</v>
      </c>
      <c r="G4" s="16" t="s">
        <v>17</v>
      </c>
      <c r="H4" s="172"/>
      <c r="I4" s="173" t="s">
        <v>19</v>
      </c>
    </row>
    <row r="5" spans="1:9" s="110" customFormat="1" ht="23.1" customHeight="1" x14ac:dyDescent="0.15">
      <c r="A5" s="68">
        <v>1</v>
      </c>
      <c r="B5" s="69" t="s">
        <v>44</v>
      </c>
      <c r="C5" s="70" t="s">
        <v>54</v>
      </c>
      <c r="D5" s="71">
        <v>17</v>
      </c>
      <c r="E5" s="71">
        <v>29</v>
      </c>
      <c r="F5" s="121" t="s">
        <v>80</v>
      </c>
      <c r="G5" s="143" t="s">
        <v>53</v>
      </c>
      <c r="H5" s="72">
        <v>7604</v>
      </c>
      <c r="I5" s="190">
        <v>9595</v>
      </c>
    </row>
    <row r="6" spans="1:9" customFormat="1" ht="23.1" customHeight="1" x14ac:dyDescent="0.15">
      <c r="A6" s="36">
        <v>2</v>
      </c>
      <c r="B6" s="37" t="s">
        <v>38</v>
      </c>
      <c r="C6" s="48" t="s">
        <v>95</v>
      </c>
      <c r="D6" s="38">
        <v>19</v>
      </c>
      <c r="E6" s="38">
        <v>23</v>
      </c>
      <c r="F6" s="38" t="s">
        <v>46</v>
      </c>
      <c r="G6" s="104" t="s">
        <v>52</v>
      </c>
      <c r="H6" s="40">
        <v>2546</v>
      </c>
      <c r="I6" s="178">
        <v>2993</v>
      </c>
    </row>
    <row r="7" spans="1:9" customFormat="1" ht="23.1" customHeight="1" x14ac:dyDescent="0.15">
      <c r="A7" s="5">
        <v>3</v>
      </c>
      <c r="B7" s="6" t="s">
        <v>9</v>
      </c>
      <c r="C7" s="15" t="s">
        <v>55</v>
      </c>
      <c r="D7" s="19">
        <v>17</v>
      </c>
      <c r="E7" s="19">
        <v>25</v>
      </c>
      <c r="F7" s="19" t="s">
        <v>80</v>
      </c>
      <c r="G7" s="118" t="s">
        <v>53</v>
      </c>
      <c r="H7" s="13">
        <v>8940</v>
      </c>
      <c r="I7" s="180">
        <v>10928</v>
      </c>
    </row>
    <row r="8" spans="1:9" s="112" customFormat="1" ht="23.1" customHeight="1" x14ac:dyDescent="0.15">
      <c r="A8" s="41">
        <v>4</v>
      </c>
      <c r="B8" s="42" t="s">
        <v>10</v>
      </c>
      <c r="C8" s="33" t="s">
        <v>55</v>
      </c>
      <c r="D8" s="43">
        <v>15</v>
      </c>
      <c r="E8" s="43">
        <v>25</v>
      </c>
      <c r="F8" s="43" t="s">
        <v>46</v>
      </c>
      <c r="G8" s="44" t="s">
        <v>52</v>
      </c>
      <c r="H8" s="45">
        <v>2512</v>
      </c>
      <c r="I8" s="175">
        <v>2801</v>
      </c>
    </row>
    <row r="9" spans="1:9" s="110" customFormat="1" ht="23.1" customHeight="1" x14ac:dyDescent="0.15">
      <c r="A9" s="41">
        <v>5</v>
      </c>
      <c r="B9" s="42" t="s">
        <v>11</v>
      </c>
      <c r="C9" s="33" t="s">
        <v>54</v>
      </c>
      <c r="D9" s="94">
        <v>16</v>
      </c>
      <c r="E9" s="94">
        <v>27</v>
      </c>
      <c r="F9" s="94" t="s">
        <v>46</v>
      </c>
      <c r="G9" s="101" t="s">
        <v>52</v>
      </c>
      <c r="H9" s="45">
        <v>5056</v>
      </c>
      <c r="I9" s="175">
        <v>5553</v>
      </c>
    </row>
    <row r="10" spans="1:9" customFormat="1" ht="23.1" customHeight="1" x14ac:dyDescent="0.15">
      <c r="A10" s="5">
        <v>6</v>
      </c>
      <c r="B10" s="6" t="s">
        <v>5</v>
      </c>
      <c r="C10" s="15" t="s">
        <v>54</v>
      </c>
      <c r="D10" s="19">
        <v>18</v>
      </c>
      <c r="E10" s="19">
        <v>30</v>
      </c>
      <c r="F10" s="19" t="s">
        <v>80</v>
      </c>
      <c r="G10" s="118" t="s">
        <v>53</v>
      </c>
      <c r="H10" s="13">
        <v>15122</v>
      </c>
      <c r="I10" s="180">
        <v>17160</v>
      </c>
    </row>
    <row r="11" spans="1:9" customFormat="1" ht="23.1" customHeight="1" x14ac:dyDescent="0.15">
      <c r="A11" s="60">
        <v>7</v>
      </c>
      <c r="B11" s="61" t="s">
        <v>6</v>
      </c>
      <c r="C11" s="62" t="s">
        <v>96</v>
      </c>
      <c r="D11" s="66">
        <v>20</v>
      </c>
      <c r="E11" s="66">
        <v>28</v>
      </c>
      <c r="F11" s="66" t="s">
        <v>80</v>
      </c>
      <c r="G11" s="102" t="s">
        <v>53</v>
      </c>
      <c r="H11" s="65">
        <v>11220</v>
      </c>
      <c r="I11" s="176">
        <v>13020</v>
      </c>
    </row>
    <row r="12" spans="1:9" customFormat="1" ht="23.1" customHeight="1" x14ac:dyDescent="0.15">
      <c r="A12" s="30">
        <v>8</v>
      </c>
      <c r="B12" s="24" t="s">
        <v>7</v>
      </c>
      <c r="C12" s="25" t="s">
        <v>74</v>
      </c>
      <c r="D12" s="67">
        <v>21</v>
      </c>
      <c r="E12" s="67">
        <v>30</v>
      </c>
      <c r="F12" s="67" t="s">
        <v>80</v>
      </c>
      <c r="G12" s="103" t="s">
        <v>53</v>
      </c>
      <c r="H12" s="28">
        <v>5293</v>
      </c>
      <c r="I12" s="177">
        <v>7015</v>
      </c>
    </row>
    <row r="13" spans="1:9" customFormat="1" ht="23.1" customHeight="1" x14ac:dyDescent="0.15">
      <c r="A13" s="36">
        <v>9</v>
      </c>
      <c r="B13" s="37" t="s">
        <v>8</v>
      </c>
      <c r="C13" s="48" t="s">
        <v>66</v>
      </c>
      <c r="D13" s="73">
        <v>21</v>
      </c>
      <c r="E13" s="73">
        <v>30</v>
      </c>
      <c r="F13" s="73" t="s">
        <v>46</v>
      </c>
      <c r="G13" s="104" t="s">
        <v>52</v>
      </c>
      <c r="H13" s="40">
        <v>1138</v>
      </c>
      <c r="I13" s="178">
        <v>1375</v>
      </c>
    </row>
    <row r="14" spans="1:9" customFormat="1" ht="23.1" customHeight="1" x14ac:dyDescent="0.15">
      <c r="A14" s="41">
        <v>10</v>
      </c>
      <c r="B14" s="42" t="s">
        <v>9</v>
      </c>
      <c r="C14" s="33" t="s">
        <v>66</v>
      </c>
      <c r="D14" s="94">
        <v>19</v>
      </c>
      <c r="E14" s="94">
        <v>25</v>
      </c>
      <c r="F14" s="94" t="s">
        <v>46</v>
      </c>
      <c r="G14" s="101" t="s">
        <v>52</v>
      </c>
      <c r="H14" s="45">
        <v>1193</v>
      </c>
      <c r="I14" s="175">
        <v>1423</v>
      </c>
    </row>
    <row r="15" spans="1:9" s="112" customFormat="1" ht="23.1" customHeight="1" x14ac:dyDescent="0.15">
      <c r="A15" s="41">
        <v>11</v>
      </c>
      <c r="B15" s="42" t="s">
        <v>10</v>
      </c>
      <c r="C15" s="33" t="s">
        <v>55</v>
      </c>
      <c r="D15" s="94">
        <v>16</v>
      </c>
      <c r="E15" s="94">
        <v>29</v>
      </c>
      <c r="F15" s="94" t="s">
        <v>46</v>
      </c>
      <c r="G15" s="101" t="s">
        <v>52</v>
      </c>
      <c r="H15" s="45">
        <v>1604</v>
      </c>
      <c r="I15" s="175">
        <v>1851</v>
      </c>
    </row>
    <row r="16" spans="1:9" s="110" customFormat="1" ht="23.1" customHeight="1" x14ac:dyDescent="0.15">
      <c r="A16" s="41">
        <v>12</v>
      </c>
      <c r="B16" s="42" t="s">
        <v>11</v>
      </c>
      <c r="C16" s="33" t="s">
        <v>54</v>
      </c>
      <c r="D16" s="94">
        <v>18</v>
      </c>
      <c r="E16" s="94">
        <v>33</v>
      </c>
      <c r="F16" s="94" t="s">
        <v>46</v>
      </c>
      <c r="G16" s="101" t="s">
        <v>52</v>
      </c>
      <c r="H16" s="45">
        <v>1125</v>
      </c>
      <c r="I16" s="175">
        <v>1438</v>
      </c>
    </row>
    <row r="17" spans="1:9" customFormat="1" ht="23.1" customHeight="1" x14ac:dyDescent="0.15">
      <c r="A17" s="41">
        <v>13</v>
      </c>
      <c r="B17" s="42" t="s">
        <v>5</v>
      </c>
      <c r="C17" s="33" t="s">
        <v>87</v>
      </c>
      <c r="D17" s="94">
        <v>20</v>
      </c>
      <c r="E17" s="94">
        <v>29</v>
      </c>
      <c r="F17" s="94" t="s">
        <v>46</v>
      </c>
      <c r="G17" s="101" t="s">
        <v>102</v>
      </c>
      <c r="H17" s="45">
        <v>2454</v>
      </c>
      <c r="I17" s="175">
        <v>2901</v>
      </c>
    </row>
    <row r="18" spans="1:9" customFormat="1" ht="23.1" customHeight="1" x14ac:dyDescent="0.15">
      <c r="A18" s="60">
        <v>14</v>
      </c>
      <c r="B18" s="61" t="s">
        <v>6</v>
      </c>
      <c r="C18" s="62" t="s">
        <v>99</v>
      </c>
      <c r="D18" s="66">
        <v>20</v>
      </c>
      <c r="E18" s="66">
        <v>32</v>
      </c>
      <c r="F18" s="66" t="s">
        <v>83</v>
      </c>
      <c r="G18" s="102" t="s">
        <v>102</v>
      </c>
      <c r="H18" s="65">
        <v>15767</v>
      </c>
      <c r="I18" s="176">
        <v>17050</v>
      </c>
    </row>
    <row r="19" spans="1:9" customFormat="1" ht="23.1" customHeight="1" x14ac:dyDescent="0.15">
      <c r="A19" s="30">
        <v>15</v>
      </c>
      <c r="B19" s="24" t="s">
        <v>7</v>
      </c>
      <c r="C19" s="25" t="s">
        <v>105</v>
      </c>
      <c r="D19" s="26">
        <v>22</v>
      </c>
      <c r="E19" s="26">
        <v>33</v>
      </c>
      <c r="F19" s="26" t="s">
        <v>83</v>
      </c>
      <c r="G19" s="103" t="s">
        <v>102</v>
      </c>
      <c r="H19" s="28">
        <v>14220</v>
      </c>
      <c r="I19" s="177">
        <v>15383</v>
      </c>
    </row>
    <row r="20" spans="1:9" customFormat="1" ht="23.1" customHeight="1" x14ac:dyDescent="0.15">
      <c r="A20" s="36">
        <v>16</v>
      </c>
      <c r="B20" s="37" t="s">
        <v>8</v>
      </c>
      <c r="C20" s="48" t="s">
        <v>104</v>
      </c>
      <c r="D20" s="38">
        <v>22</v>
      </c>
      <c r="E20" s="38">
        <v>25</v>
      </c>
      <c r="F20" s="38" t="s">
        <v>45</v>
      </c>
      <c r="G20" s="104" t="s">
        <v>101</v>
      </c>
      <c r="H20" s="40">
        <v>652</v>
      </c>
      <c r="I20" s="178">
        <v>780</v>
      </c>
    </row>
    <row r="21" spans="1:9" customFormat="1" ht="23.1" customHeight="1" x14ac:dyDescent="0.15">
      <c r="A21" s="41">
        <v>17</v>
      </c>
      <c r="B21" s="42" t="s">
        <v>9</v>
      </c>
      <c r="C21" s="33" t="s">
        <v>99</v>
      </c>
      <c r="D21" s="94">
        <v>21</v>
      </c>
      <c r="E21" s="94">
        <v>30</v>
      </c>
      <c r="F21" s="94" t="s">
        <v>45</v>
      </c>
      <c r="G21" s="101" t="s">
        <v>101</v>
      </c>
      <c r="H21" s="45">
        <v>1192</v>
      </c>
      <c r="I21" s="175">
        <v>1429</v>
      </c>
    </row>
    <row r="22" spans="1:9" s="112" customFormat="1" ht="23.1" customHeight="1" x14ac:dyDescent="0.15">
      <c r="A22" s="41">
        <v>18</v>
      </c>
      <c r="B22" s="42" t="s">
        <v>10</v>
      </c>
      <c r="C22" s="33" t="s">
        <v>99</v>
      </c>
      <c r="D22" s="94">
        <v>21</v>
      </c>
      <c r="E22" s="94">
        <v>31</v>
      </c>
      <c r="F22" s="94" t="s">
        <v>45</v>
      </c>
      <c r="G22" s="101" t="s">
        <v>101</v>
      </c>
      <c r="H22" s="45">
        <v>1377</v>
      </c>
      <c r="I22" s="175">
        <v>1686</v>
      </c>
    </row>
    <row r="23" spans="1:9" s="110" customFormat="1" ht="23.1" customHeight="1" x14ac:dyDescent="0.15">
      <c r="A23" s="41">
        <v>19</v>
      </c>
      <c r="B23" s="42" t="s">
        <v>11</v>
      </c>
      <c r="C23" s="33" t="s">
        <v>100</v>
      </c>
      <c r="D23" s="94">
        <v>21</v>
      </c>
      <c r="E23" s="94">
        <v>34</v>
      </c>
      <c r="F23" s="94" t="s">
        <v>45</v>
      </c>
      <c r="G23" s="101" t="s">
        <v>101</v>
      </c>
      <c r="H23" s="45">
        <v>813</v>
      </c>
      <c r="I23" s="175">
        <v>1027</v>
      </c>
    </row>
    <row r="24" spans="1:9" customFormat="1" ht="23.1" customHeight="1" x14ac:dyDescent="0.15">
      <c r="A24" s="41">
        <v>20</v>
      </c>
      <c r="B24" s="42" t="s">
        <v>5</v>
      </c>
      <c r="C24" s="33" t="s">
        <v>97</v>
      </c>
      <c r="D24" s="94">
        <v>22</v>
      </c>
      <c r="E24" s="94">
        <v>28</v>
      </c>
      <c r="F24" s="94" t="s">
        <v>45</v>
      </c>
      <c r="G24" s="101" t="s">
        <v>103</v>
      </c>
      <c r="H24" s="45">
        <v>228</v>
      </c>
      <c r="I24" s="175">
        <v>228</v>
      </c>
    </row>
    <row r="25" spans="1:9" customFormat="1" ht="23.1" customHeight="1" x14ac:dyDescent="0.15">
      <c r="A25" s="60">
        <v>21</v>
      </c>
      <c r="B25" s="61" t="s">
        <v>6</v>
      </c>
      <c r="C25" s="62" t="s">
        <v>91</v>
      </c>
      <c r="D25" s="66">
        <v>21</v>
      </c>
      <c r="E25" s="66">
        <v>24</v>
      </c>
      <c r="F25" s="66" t="s">
        <v>83</v>
      </c>
      <c r="G25" s="102" t="s">
        <v>102</v>
      </c>
      <c r="H25" s="65">
        <v>4569</v>
      </c>
      <c r="I25" s="176">
        <v>5913</v>
      </c>
    </row>
    <row r="26" spans="1:9" customFormat="1" ht="23.1" customHeight="1" x14ac:dyDescent="0.15">
      <c r="A26" s="30">
        <v>22</v>
      </c>
      <c r="B26" s="24" t="s">
        <v>7</v>
      </c>
      <c r="C26" s="25" t="s">
        <v>98</v>
      </c>
      <c r="D26" s="26">
        <v>18</v>
      </c>
      <c r="E26" s="26">
        <v>29</v>
      </c>
      <c r="F26" s="26" t="s">
        <v>83</v>
      </c>
      <c r="G26" s="103" t="s">
        <v>102</v>
      </c>
      <c r="H26" s="28">
        <v>5289</v>
      </c>
      <c r="I26" s="177">
        <v>7575</v>
      </c>
    </row>
    <row r="27" spans="1:9" customFormat="1" ht="23.1" customHeight="1" x14ac:dyDescent="0.15">
      <c r="A27" s="36">
        <v>23</v>
      </c>
      <c r="B27" s="37" t="s">
        <v>8</v>
      </c>
      <c r="C27" s="48" t="s">
        <v>55</v>
      </c>
      <c r="D27" s="38">
        <v>19</v>
      </c>
      <c r="E27" s="38">
        <v>32</v>
      </c>
      <c r="F27" s="38" t="s">
        <v>45</v>
      </c>
      <c r="G27" s="104" t="s">
        <v>101</v>
      </c>
      <c r="H27" s="40">
        <v>1177</v>
      </c>
      <c r="I27" s="178">
        <v>1476</v>
      </c>
    </row>
    <row r="28" spans="1:9" s="110" customFormat="1" ht="23.1" customHeight="1" x14ac:dyDescent="0.15">
      <c r="A28" s="41">
        <v>24</v>
      </c>
      <c r="B28" s="42" t="s">
        <v>9</v>
      </c>
      <c r="C28" s="33" t="s">
        <v>105</v>
      </c>
      <c r="D28" s="94">
        <v>21</v>
      </c>
      <c r="E28" s="94">
        <v>28</v>
      </c>
      <c r="F28" s="94" t="s">
        <v>45</v>
      </c>
      <c r="G28" s="101" t="s">
        <v>52</v>
      </c>
      <c r="H28" s="45">
        <v>870</v>
      </c>
      <c r="I28" s="175">
        <v>1035</v>
      </c>
    </row>
    <row r="29" spans="1:9" s="110" customFormat="1" ht="23.1" customHeight="1" x14ac:dyDescent="0.15">
      <c r="A29" s="41">
        <v>25</v>
      </c>
      <c r="B29" s="42" t="s">
        <v>10</v>
      </c>
      <c r="C29" s="33" t="s">
        <v>85</v>
      </c>
      <c r="D29" s="94">
        <v>20</v>
      </c>
      <c r="E29" s="94">
        <v>22</v>
      </c>
      <c r="F29" s="94" t="s">
        <v>45</v>
      </c>
      <c r="G29" s="101" t="s">
        <v>49</v>
      </c>
      <c r="H29" s="45">
        <v>226</v>
      </c>
      <c r="I29" s="175">
        <v>263</v>
      </c>
    </row>
    <row r="30" spans="1:9" s="110" customFormat="1" ht="23.1" customHeight="1" x14ac:dyDescent="0.15">
      <c r="A30" s="41">
        <v>26</v>
      </c>
      <c r="B30" s="42" t="s">
        <v>11</v>
      </c>
      <c r="C30" s="33" t="s">
        <v>74</v>
      </c>
      <c r="D30" s="94">
        <v>20</v>
      </c>
      <c r="E30" s="94">
        <v>24</v>
      </c>
      <c r="F30" s="94" t="s">
        <v>45</v>
      </c>
      <c r="G30" s="101" t="s">
        <v>52</v>
      </c>
      <c r="H30" s="45">
        <v>976</v>
      </c>
      <c r="I30" s="175">
        <v>1236</v>
      </c>
    </row>
    <row r="31" spans="1:9" s="110" customFormat="1" ht="23.1" customHeight="1" x14ac:dyDescent="0.15">
      <c r="A31" s="41">
        <v>27</v>
      </c>
      <c r="B31" s="42" t="s">
        <v>5</v>
      </c>
      <c r="C31" s="33" t="s">
        <v>106</v>
      </c>
      <c r="D31" s="94">
        <v>21</v>
      </c>
      <c r="E31" s="94">
        <v>29</v>
      </c>
      <c r="F31" s="94" t="s">
        <v>45</v>
      </c>
      <c r="G31" s="101" t="s">
        <v>53</v>
      </c>
      <c r="H31" s="45">
        <v>1742</v>
      </c>
      <c r="I31" s="175">
        <v>2531</v>
      </c>
    </row>
    <row r="32" spans="1:9" customFormat="1" ht="23.1" customHeight="1" x14ac:dyDescent="0.15">
      <c r="A32" s="60">
        <v>28</v>
      </c>
      <c r="B32" s="61" t="s">
        <v>6</v>
      </c>
      <c r="C32" s="62" t="s">
        <v>91</v>
      </c>
      <c r="D32" s="66">
        <v>25</v>
      </c>
      <c r="E32" s="66">
        <v>28</v>
      </c>
      <c r="F32" s="66" t="s">
        <v>83</v>
      </c>
      <c r="G32" s="102" t="s">
        <v>53</v>
      </c>
      <c r="H32" s="65">
        <v>10757</v>
      </c>
      <c r="I32" s="176">
        <v>11911</v>
      </c>
    </row>
    <row r="33" spans="1:9" customFormat="1" ht="23.1" customHeight="1" x14ac:dyDescent="0.15">
      <c r="A33" s="30">
        <v>29</v>
      </c>
      <c r="B33" s="24" t="s">
        <v>7</v>
      </c>
      <c r="C33" s="25" t="s">
        <v>74</v>
      </c>
      <c r="D33" s="26">
        <v>25</v>
      </c>
      <c r="E33" s="26">
        <v>30</v>
      </c>
      <c r="F33" s="26" t="s">
        <v>83</v>
      </c>
      <c r="G33" s="103" t="s">
        <v>53</v>
      </c>
      <c r="H33" s="28">
        <v>11183</v>
      </c>
      <c r="I33" s="177">
        <v>12967</v>
      </c>
    </row>
    <row r="34" spans="1:9" customFormat="1" ht="23.25" customHeight="1" x14ac:dyDescent="0.15">
      <c r="A34" s="36">
        <v>30</v>
      </c>
      <c r="B34" s="37" t="s">
        <v>8</v>
      </c>
      <c r="C34" s="48" t="s">
        <v>107</v>
      </c>
      <c r="D34" s="38">
        <v>26</v>
      </c>
      <c r="E34" s="38">
        <v>31</v>
      </c>
      <c r="F34" s="38" t="s">
        <v>46</v>
      </c>
      <c r="G34" s="104" t="s">
        <v>52</v>
      </c>
      <c r="H34" s="40">
        <v>1361</v>
      </c>
      <c r="I34" s="178">
        <v>1565</v>
      </c>
    </row>
    <row r="35" spans="1:9" customFormat="1" ht="23.1" customHeight="1" thickBot="1" x14ac:dyDescent="0.2">
      <c r="A35" s="49"/>
      <c r="B35" s="50"/>
      <c r="C35" s="51"/>
      <c r="D35" s="52"/>
      <c r="E35" s="52"/>
      <c r="F35" s="52"/>
      <c r="G35" s="105"/>
      <c r="H35" s="54">
        <v>0</v>
      </c>
      <c r="I35" s="181">
        <v>0</v>
      </c>
    </row>
    <row r="36" spans="1:9" s="3" customFormat="1" ht="21" customHeight="1" thickBot="1" x14ac:dyDescent="0.2">
      <c r="A36" s="159" t="s">
        <v>27</v>
      </c>
      <c r="B36" s="160"/>
      <c r="C36" s="160"/>
      <c r="D36" s="160"/>
      <c r="E36" s="160"/>
      <c r="F36" s="160"/>
      <c r="G36" s="161"/>
      <c r="H36" s="182">
        <f t="shared" ref="H36:I36" si="0">SUM(H5:H35)</f>
        <v>138206</v>
      </c>
      <c r="I36" s="183">
        <f t="shared" si="0"/>
        <v>162108</v>
      </c>
    </row>
    <row r="37" spans="1:9" s="3" customFormat="1" ht="21" customHeight="1" thickBot="1" x14ac:dyDescent="0.2">
      <c r="A37" s="145" t="s">
        <v>28</v>
      </c>
      <c r="B37" s="146"/>
      <c r="C37" s="146"/>
      <c r="D37" s="146"/>
      <c r="E37" s="146"/>
      <c r="F37" s="146"/>
      <c r="G37" s="147"/>
      <c r="H37" s="184">
        <f>H36+'5월'!H37</f>
        <v>652046</v>
      </c>
      <c r="I37" s="185">
        <f>I36+'5월'!I37</f>
        <v>760908</v>
      </c>
    </row>
    <row r="41" spans="1:9" x14ac:dyDescent="0.15">
      <c r="H41" s="92"/>
      <c r="I41" s="92"/>
    </row>
    <row r="42" spans="1:9" x14ac:dyDescent="0.15">
      <c r="H42" s="92"/>
      <c r="I42" s="92"/>
    </row>
    <row r="43" spans="1:9" x14ac:dyDescent="0.15">
      <c r="H43" s="92"/>
      <c r="I43" s="92"/>
    </row>
    <row r="44" spans="1:9" x14ac:dyDescent="0.15">
      <c r="H44" s="92"/>
      <c r="I44" s="92"/>
    </row>
    <row r="45" spans="1:9" x14ac:dyDescent="0.15">
      <c r="H45" s="92"/>
      <c r="I45" s="92"/>
    </row>
    <row r="46" spans="1:9" x14ac:dyDescent="0.15">
      <c r="H46" s="92"/>
      <c r="I46" s="92"/>
    </row>
    <row r="47" spans="1:9" x14ac:dyDescent="0.15">
      <c r="H47" s="92"/>
      <c r="I47" s="92"/>
    </row>
    <row r="48" spans="1:9" x14ac:dyDescent="0.15">
      <c r="H48" s="92"/>
      <c r="I48" s="92"/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FF00"/>
  </sheetPr>
  <dimension ref="A1:I37"/>
  <sheetViews>
    <sheetView topLeftCell="A28" workbookViewId="0">
      <selection activeCell="M41" sqref="M41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62" t="s">
        <v>31</v>
      </c>
      <c r="B1" s="163"/>
      <c r="C1" s="163"/>
      <c r="D1" s="163"/>
      <c r="E1" s="163"/>
      <c r="F1" s="163"/>
      <c r="G1" s="163"/>
      <c r="H1" s="163"/>
      <c r="I1" s="164"/>
    </row>
    <row r="2" spans="1:9" s="2" customFormat="1" ht="22.5" customHeight="1" x14ac:dyDescent="0.15">
      <c r="A2" s="154" t="s">
        <v>2</v>
      </c>
      <c r="B2" s="157" t="s">
        <v>1</v>
      </c>
      <c r="C2" s="148" t="s">
        <v>12</v>
      </c>
      <c r="D2" s="148" t="s">
        <v>15</v>
      </c>
      <c r="E2" s="149"/>
      <c r="F2" s="148" t="s">
        <v>16</v>
      </c>
      <c r="G2" s="152"/>
      <c r="H2" s="168" t="s">
        <v>22</v>
      </c>
      <c r="I2" s="169" t="s">
        <v>21</v>
      </c>
    </row>
    <row r="3" spans="1:9" s="2" customFormat="1" ht="18.75" customHeight="1" x14ac:dyDescent="0.15">
      <c r="A3" s="155"/>
      <c r="B3" s="165"/>
      <c r="C3" s="166"/>
      <c r="D3" s="150"/>
      <c r="E3" s="151"/>
      <c r="F3" s="150"/>
      <c r="G3" s="153"/>
      <c r="H3" s="170" t="s">
        <v>23</v>
      </c>
      <c r="I3" s="171" t="s">
        <v>20</v>
      </c>
    </row>
    <row r="4" spans="1:9" s="2" customFormat="1" ht="18.75" customHeight="1" x14ac:dyDescent="0.15">
      <c r="A4" s="156"/>
      <c r="B4" s="158"/>
      <c r="C4" s="167"/>
      <c r="D4" s="14" t="s">
        <v>13</v>
      </c>
      <c r="E4" s="14" t="s">
        <v>14</v>
      </c>
      <c r="F4" s="14" t="s">
        <v>18</v>
      </c>
      <c r="G4" s="16" t="s">
        <v>17</v>
      </c>
      <c r="H4" s="172"/>
      <c r="I4" s="173" t="s">
        <v>19</v>
      </c>
    </row>
    <row r="5" spans="1:9" s="110" customFormat="1" ht="23.1" customHeight="1" x14ac:dyDescent="0.15">
      <c r="A5" s="31">
        <v>1</v>
      </c>
      <c r="B5" s="32" t="s">
        <v>39</v>
      </c>
      <c r="C5" s="46" t="s">
        <v>108</v>
      </c>
      <c r="D5" s="126">
        <v>26</v>
      </c>
      <c r="E5" s="126">
        <v>32</v>
      </c>
      <c r="F5" s="127" t="s">
        <v>46</v>
      </c>
      <c r="G5" s="100" t="s">
        <v>52</v>
      </c>
      <c r="H5" s="35">
        <v>922</v>
      </c>
      <c r="I5" s="188">
        <v>1031</v>
      </c>
    </row>
    <row r="6" spans="1:9" customFormat="1" ht="23.1" customHeight="1" x14ac:dyDescent="0.15">
      <c r="A6" s="41">
        <v>2</v>
      </c>
      <c r="B6" s="42" t="s">
        <v>43</v>
      </c>
      <c r="C6" s="33" t="s">
        <v>107</v>
      </c>
      <c r="D6" s="107">
        <v>27</v>
      </c>
      <c r="E6" s="107">
        <v>31</v>
      </c>
      <c r="F6" s="107" t="s">
        <v>46</v>
      </c>
      <c r="G6" s="101" t="s">
        <v>52</v>
      </c>
      <c r="H6" s="45">
        <v>648</v>
      </c>
      <c r="I6" s="175">
        <v>848</v>
      </c>
    </row>
    <row r="7" spans="1:9" customFormat="1" ht="23.1" customHeight="1" x14ac:dyDescent="0.15">
      <c r="A7" s="41">
        <v>3</v>
      </c>
      <c r="B7" s="42" t="s">
        <v>11</v>
      </c>
      <c r="C7" s="33" t="s">
        <v>107</v>
      </c>
      <c r="D7" s="107">
        <v>27</v>
      </c>
      <c r="E7" s="107">
        <v>32</v>
      </c>
      <c r="F7" s="107" t="s">
        <v>46</v>
      </c>
      <c r="G7" s="101" t="s">
        <v>52</v>
      </c>
      <c r="H7" s="45">
        <v>552</v>
      </c>
      <c r="I7" s="175">
        <v>767</v>
      </c>
    </row>
    <row r="8" spans="1:9" s="112" customFormat="1" ht="23.1" customHeight="1" x14ac:dyDescent="0.15">
      <c r="A8" s="41">
        <v>4</v>
      </c>
      <c r="B8" s="42" t="s">
        <v>5</v>
      </c>
      <c r="C8" s="33" t="s">
        <v>109</v>
      </c>
      <c r="D8" s="43">
        <v>26</v>
      </c>
      <c r="E8" s="43">
        <v>30</v>
      </c>
      <c r="F8" s="43" t="s">
        <v>46</v>
      </c>
      <c r="G8" s="44" t="s">
        <v>53</v>
      </c>
      <c r="H8" s="45">
        <v>1680</v>
      </c>
      <c r="I8" s="175">
        <v>2284</v>
      </c>
    </row>
    <row r="9" spans="1:9" s="110" customFormat="1" ht="23.1" customHeight="1" x14ac:dyDescent="0.15">
      <c r="A9" s="60">
        <v>5</v>
      </c>
      <c r="B9" s="61" t="s">
        <v>6</v>
      </c>
      <c r="C9" s="62" t="s">
        <v>107</v>
      </c>
      <c r="D9" s="108">
        <v>26</v>
      </c>
      <c r="E9" s="108">
        <v>32</v>
      </c>
      <c r="F9" s="75" t="s">
        <v>80</v>
      </c>
      <c r="G9" s="102" t="s">
        <v>53</v>
      </c>
      <c r="H9" s="65">
        <v>4531</v>
      </c>
      <c r="I9" s="176">
        <v>6219</v>
      </c>
    </row>
    <row r="10" spans="1:9" customFormat="1" ht="23.1" customHeight="1" x14ac:dyDescent="0.15">
      <c r="A10" s="30">
        <v>6</v>
      </c>
      <c r="B10" s="24" t="s">
        <v>7</v>
      </c>
      <c r="C10" s="25" t="s">
        <v>109</v>
      </c>
      <c r="D10" s="109">
        <v>26</v>
      </c>
      <c r="E10" s="109">
        <v>33</v>
      </c>
      <c r="F10" s="109" t="s">
        <v>80</v>
      </c>
      <c r="G10" s="103" t="s">
        <v>53</v>
      </c>
      <c r="H10" s="28">
        <v>2653</v>
      </c>
      <c r="I10" s="177">
        <v>4142</v>
      </c>
    </row>
    <row r="11" spans="1:9" customFormat="1" ht="23.1" customHeight="1" x14ac:dyDescent="0.15">
      <c r="A11" s="36">
        <v>7</v>
      </c>
      <c r="B11" s="37" t="s">
        <v>8</v>
      </c>
      <c r="C11" s="48" t="s">
        <v>110</v>
      </c>
      <c r="D11" s="106">
        <v>27</v>
      </c>
      <c r="E11" s="106">
        <v>33</v>
      </c>
      <c r="F11" s="106" t="s">
        <v>46</v>
      </c>
      <c r="G11" s="104" t="s">
        <v>52</v>
      </c>
      <c r="H11" s="40">
        <v>562</v>
      </c>
      <c r="I11" s="178">
        <v>710</v>
      </c>
    </row>
    <row r="12" spans="1:9" customFormat="1" ht="23.1" customHeight="1" x14ac:dyDescent="0.15">
      <c r="A12" s="41">
        <v>8</v>
      </c>
      <c r="B12" s="42" t="s">
        <v>9</v>
      </c>
      <c r="C12" s="33" t="s">
        <v>111</v>
      </c>
      <c r="D12" s="43">
        <v>27</v>
      </c>
      <c r="E12" s="43">
        <v>38</v>
      </c>
      <c r="F12" s="43" t="s">
        <v>46</v>
      </c>
      <c r="G12" s="101" t="s">
        <v>52</v>
      </c>
      <c r="H12" s="45">
        <v>408</v>
      </c>
      <c r="I12" s="175">
        <v>498</v>
      </c>
    </row>
    <row r="13" spans="1:9" customFormat="1" ht="23.1" customHeight="1" x14ac:dyDescent="0.15">
      <c r="A13" s="41">
        <v>9</v>
      </c>
      <c r="B13" s="42" t="s">
        <v>10</v>
      </c>
      <c r="C13" s="33" t="s">
        <v>112</v>
      </c>
      <c r="D13" s="43">
        <v>27</v>
      </c>
      <c r="E13" s="43">
        <v>36</v>
      </c>
      <c r="F13" s="43" t="s">
        <v>46</v>
      </c>
      <c r="G13" s="101" t="s">
        <v>52</v>
      </c>
      <c r="H13" s="45">
        <v>745</v>
      </c>
      <c r="I13" s="175">
        <v>850</v>
      </c>
    </row>
    <row r="14" spans="1:9" customFormat="1" ht="23.1" customHeight="1" x14ac:dyDescent="0.15">
      <c r="A14" s="41">
        <v>10</v>
      </c>
      <c r="B14" s="42" t="s">
        <v>11</v>
      </c>
      <c r="C14" s="33" t="s">
        <v>113</v>
      </c>
      <c r="D14" s="107">
        <v>27</v>
      </c>
      <c r="E14" s="107">
        <v>36</v>
      </c>
      <c r="F14" s="107" t="s">
        <v>46</v>
      </c>
      <c r="G14" s="101" t="s">
        <v>52</v>
      </c>
      <c r="H14" s="45">
        <v>806</v>
      </c>
      <c r="I14" s="175">
        <v>889</v>
      </c>
    </row>
    <row r="15" spans="1:9" s="112" customFormat="1" ht="23.1" customHeight="1" x14ac:dyDescent="0.15">
      <c r="A15" s="41">
        <v>11</v>
      </c>
      <c r="B15" s="42" t="s">
        <v>5</v>
      </c>
      <c r="C15" s="33" t="s">
        <v>113</v>
      </c>
      <c r="D15" s="107">
        <v>25</v>
      </c>
      <c r="E15" s="107">
        <v>36</v>
      </c>
      <c r="F15" s="43" t="s">
        <v>46</v>
      </c>
      <c r="G15" s="101" t="s">
        <v>53</v>
      </c>
      <c r="H15" s="45">
        <v>773</v>
      </c>
      <c r="I15" s="175">
        <v>1157</v>
      </c>
    </row>
    <row r="16" spans="1:9" s="110" customFormat="1" ht="23.1" customHeight="1" x14ac:dyDescent="0.15">
      <c r="A16" s="60">
        <v>12</v>
      </c>
      <c r="B16" s="61" t="s">
        <v>6</v>
      </c>
      <c r="C16" s="62" t="s">
        <v>112</v>
      </c>
      <c r="D16" s="108">
        <v>24</v>
      </c>
      <c r="E16" s="108">
        <v>37</v>
      </c>
      <c r="F16" s="75" t="s">
        <v>80</v>
      </c>
      <c r="G16" s="102" t="s">
        <v>53</v>
      </c>
      <c r="H16" s="65">
        <v>10886</v>
      </c>
      <c r="I16" s="176">
        <v>11922</v>
      </c>
    </row>
    <row r="17" spans="1:9" customFormat="1" ht="23.1" customHeight="1" x14ac:dyDescent="0.15">
      <c r="A17" s="30">
        <v>13</v>
      </c>
      <c r="B17" s="24" t="s">
        <v>7</v>
      </c>
      <c r="C17" s="25" t="s">
        <v>87</v>
      </c>
      <c r="D17" s="109">
        <v>26</v>
      </c>
      <c r="E17" s="109">
        <v>31</v>
      </c>
      <c r="F17" s="109" t="s">
        <v>80</v>
      </c>
      <c r="G17" s="103" t="s">
        <v>53</v>
      </c>
      <c r="H17" s="28">
        <v>6820</v>
      </c>
      <c r="I17" s="177">
        <v>7795</v>
      </c>
    </row>
    <row r="18" spans="1:9" customFormat="1" ht="23.1" customHeight="1" x14ac:dyDescent="0.15">
      <c r="A18" s="36">
        <v>14</v>
      </c>
      <c r="B18" s="37" t="s">
        <v>8</v>
      </c>
      <c r="C18" s="48" t="s">
        <v>114</v>
      </c>
      <c r="D18" s="106">
        <v>22</v>
      </c>
      <c r="E18" s="106">
        <v>28</v>
      </c>
      <c r="F18" s="106" t="s">
        <v>46</v>
      </c>
      <c r="G18" s="104" t="s">
        <v>49</v>
      </c>
      <c r="H18" s="40">
        <v>352</v>
      </c>
      <c r="I18" s="178">
        <v>407</v>
      </c>
    </row>
    <row r="19" spans="1:9" customFormat="1" ht="23.1" customHeight="1" x14ac:dyDescent="0.15">
      <c r="A19" s="41">
        <v>15</v>
      </c>
      <c r="B19" s="42" t="s">
        <v>9</v>
      </c>
      <c r="C19" s="33" t="s">
        <v>81</v>
      </c>
      <c r="D19" s="107">
        <v>22</v>
      </c>
      <c r="E19" s="107">
        <v>26</v>
      </c>
      <c r="F19" s="107" t="s">
        <v>46</v>
      </c>
      <c r="G19" s="101" t="s">
        <v>49</v>
      </c>
      <c r="H19" s="45">
        <v>402</v>
      </c>
      <c r="I19" s="175">
        <v>496</v>
      </c>
    </row>
    <row r="20" spans="1:9" customFormat="1" ht="23.1" customHeight="1" x14ac:dyDescent="0.15">
      <c r="A20" s="41">
        <v>16</v>
      </c>
      <c r="B20" s="42" t="s">
        <v>10</v>
      </c>
      <c r="C20" s="33" t="s">
        <v>85</v>
      </c>
      <c r="D20" s="107">
        <v>22</v>
      </c>
      <c r="E20" s="107">
        <v>25</v>
      </c>
      <c r="F20" s="107" t="s">
        <v>46</v>
      </c>
      <c r="G20" s="101" t="s">
        <v>49</v>
      </c>
      <c r="H20" s="45">
        <v>127</v>
      </c>
      <c r="I20" s="175">
        <v>143</v>
      </c>
    </row>
    <row r="21" spans="1:9" customFormat="1" ht="23.1" customHeight="1" x14ac:dyDescent="0.15">
      <c r="A21" s="41">
        <v>17</v>
      </c>
      <c r="B21" s="42" t="s">
        <v>11</v>
      </c>
      <c r="C21" s="33" t="s">
        <v>97</v>
      </c>
      <c r="D21" s="107">
        <v>22</v>
      </c>
      <c r="E21" s="107">
        <v>24</v>
      </c>
      <c r="F21" s="107" t="s">
        <v>46</v>
      </c>
      <c r="G21" s="101" t="s">
        <v>76</v>
      </c>
      <c r="H21" s="45">
        <v>55</v>
      </c>
      <c r="I21" s="175">
        <v>74</v>
      </c>
    </row>
    <row r="22" spans="1:9" s="112" customFormat="1" ht="23.1" customHeight="1" x14ac:dyDescent="0.15">
      <c r="A22" s="41">
        <v>18</v>
      </c>
      <c r="B22" s="42" t="s">
        <v>5</v>
      </c>
      <c r="C22" s="33" t="s">
        <v>97</v>
      </c>
      <c r="D22" s="107">
        <v>23</v>
      </c>
      <c r="E22" s="107">
        <v>27</v>
      </c>
      <c r="F22" s="43" t="s">
        <v>46</v>
      </c>
      <c r="G22" s="101" t="s">
        <v>49</v>
      </c>
      <c r="H22" s="45">
        <v>206</v>
      </c>
      <c r="I22" s="175">
        <v>272</v>
      </c>
    </row>
    <row r="23" spans="1:9" s="110" customFormat="1" ht="23.1" customHeight="1" x14ac:dyDescent="0.15">
      <c r="A23" s="60">
        <v>19</v>
      </c>
      <c r="B23" s="61" t="s">
        <v>6</v>
      </c>
      <c r="C23" s="62" t="s">
        <v>85</v>
      </c>
      <c r="D23" s="108">
        <v>22</v>
      </c>
      <c r="E23" s="108">
        <v>26</v>
      </c>
      <c r="F23" s="108" t="s">
        <v>80</v>
      </c>
      <c r="G23" s="102" t="s">
        <v>53</v>
      </c>
      <c r="H23" s="65">
        <v>1187</v>
      </c>
      <c r="I23" s="176">
        <v>1873</v>
      </c>
    </row>
    <row r="24" spans="1:9" customFormat="1" ht="23.1" customHeight="1" x14ac:dyDescent="0.15">
      <c r="A24" s="30">
        <v>20</v>
      </c>
      <c r="B24" s="24" t="s">
        <v>7</v>
      </c>
      <c r="C24" s="25" t="s">
        <v>66</v>
      </c>
      <c r="D24" s="109">
        <v>25</v>
      </c>
      <c r="E24" s="109">
        <v>31</v>
      </c>
      <c r="F24" s="109" t="s">
        <v>80</v>
      </c>
      <c r="G24" s="103" t="s">
        <v>53</v>
      </c>
      <c r="H24" s="28">
        <v>2728</v>
      </c>
      <c r="I24" s="177">
        <v>4252</v>
      </c>
    </row>
    <row r="25" spans="1:9" customFormat="1" ht="23.1" customHeight="1" x14ac:dyDescent="0.15">
      <c r="A25" s="36">
        <v>21</v>
      </c>
      <c r="B25" s="37" t="s">
        <v>8</v>
      </c>
      <c r="C25" s="48" t="s">
        <v>115</v>
      </c>
      <c r="D25" s="106">
        <v>26</v>
      </c>
      <c r="E25" s="106">
        <v>32</v>
      </c>
      <c r="F25" s="106" t="s">
        <v>46</v>
      </c>
      <c r="G25" s="104" t="s">
        <v>52</v>
      </c>
      <c r="H25" s="40">
        <v>779</v>
      </c>
      <c r="I25" s="178">
        <v>1010</v>
      </c>
    </row>
    <row r="26" spans="1:9" customFormat="1" ht="23.1" customHeight="1" x14ac:dyDescent="0.15">
      <c r="A26" s="41">
        <v>22</v>
      </c>
      <c r="B26" s="42" t="s">
        <v>9</v>
      </c>
      <c r="C26" s="33" t="s">
        <v>115</v>
      </c>
      <c r="D26" s="107">
        <v>27</v>
      </c>
      <c r="E26" s="107">
        <v>32</v>
      </c>
      <c r="F26" s="107" t="s">
        <v>45</v>
      </c>
      <c r="G26" s="101" t="s">
        <v>51</v>
      </c>
      <c r="H26" s="45">
        <v>692</v>
      </c>
      <c r="I26" s="175">
        <v>839</v>
      </c>
    </row>
    <row r="27" spans="1:9" customFormat="1" ht="23.1" customHeight="1" x14ac:dyDescent="0.15">
      <c r="A27" s="41">
        <v>23</v>
      </c>
      <c r="B27" s="42" t="s">
        <v>10</v>
      </c>
      <c r="C27" s="33" t="s">
        <v>107</v>
      </c>
      <c r="D27" s="107">
        <v>26</v>
      </c>
      <c r="E27" s="107">
        <v>33</v>
      </c>
      <c r="F27" s="107" t="s">
        <v>45</v>
      </c>
      <c r="G27" s="101" t="s">
        <v>51</v>
      </c>
      <c r="H27" s="45">
        <v>745</v>
      </c>
      <c r="I27" s="175">
        <v>955</v>
      </c>
    </row>
    <row r="28" spans="1:9" s="110" customFormat="1" ht="23.1" customHeight="1" x14ac:dyDescent="0.15">
      <c r="A28" s="41">
        <v>24</v>
      </c>
      <c r="B28" s="42" t="s">
        <v>11</v>
      </c>
      <c r="C28" s="33" t="s">
        <v>112</v>
      </c>
      <c r="D28" s="107">
        <v>26</v>
      </c>
      <c r="E28" s="107">
        <v>34</v>
      </c>
      <c r="F28" s="107" t="s">
        <v>45</v>
      </c>
      <c r="G28" s="101" t="s">
        <v>51</v>
      </c>
      <c r="H28" s="45">
        <v>808</v>
      </c>
      <c r="I28" s="175">
        <v>995</v>
      </c>
    </row>
    <row r="29" spans="1:9" s="110" customFormat="1" ht="23.1" customHeight="1" x14ac:dyDescent="0.15">
      <c r="A29" s="41">
        <v>25</v>
      </c>
      <c r="B29" s="42" t="s">
        <v>5</v>
      </c>
      <c r="C29" s="33" t="s">
        <v>113</v>
      </c>
      <c r="D29" s="107">
        <v>26</v>
      </c>
      <c r="E29" s="107">
        <v>36</v>
      </c>
      <c r="F29" s="43" t="s">
        <v>46</v>
      </c>
      <c r="G29" s="101" t="s">
        <v>53</v>
      </c>
      <c r="H29" s="45">
        <v>1201</v>
      </c>
      <c r="I29" s="175">
        <v>1575</v>
      </c>
    </row>
    <row r="30" spans="1:9" s="110" customFormat="1" ht="23.1" customHeight="1" x14ac:dyDescent="0.15">
      <c r="A30" s="60">
        <v>26</v>
      </c>
      <c r="B30" s="61" t="s">
        <v>6</v>
      </c>
      <c r="C30" s="62" t="s">
        <v>112</v>
      </c>
      <c r="D30" s="108">
        <v>28</v>
      </c>
      <c r="E30" s="108">
        <v>37</v>
      </c>
      <c r="F30" s="108" t="s">
        <v>80</v>
      </c>
      <c r="G30" s="102" t="s">
        <v>53</v>
      </c>
      <c r="H30" s="65">
        <v>3438</v>
      </c>
      <c r="I30" s="176">
        <v>4400</v>
      </c>
    </row>
    <row r="31" spans="1:9" s="110" customFormat="1" ht="23.1" customHeight="1" x14ac:dyDescent="0.15">
      <c r="A31" s="30">
        <v>27</v>
      </c>
      <c r="B31" s="24" t="s">
        <v>7</v>
      </c>
      <c r="C31" s="25" t="s">
        <v>113</v>
      </c>
      <c r="D31" s="109">
        <v>28</v>
      </c>
      <c r="E31" s="109">
        <v>38</v>
      </c>
      <c r="F31" s="109" t="s">
        <v>80</v>
      </c>
      <c r="G31" s="103" t="s">
        <v>53</v>
      </c>
      <c r="H31" s="28">
        <v>2562</v>
      </c>
      <c r="I31" s="177">
        <v>3440</v>
      </c>
    </row>
    <row r="32" spans="1:9" customFormat="1" ht="23.1" customHeight="1" x14ac:dyDescent="0.15">
      <c r="A32" s="36">
        <v>28</v>
      </c>
      <c r="B32" s="37" t="s">
        <v>8</v>
      </c>
      <c r="C32" s="48" t="s">
        <v>113</v>
      </c>
      <c r="D32" s="106">
        <v>29</v>
      </c>
      <c r="E32" s="106">
        <v>36</v>
      </c>
      <c r="F32" s="106" t="s">
        <v>46</v>
      </c>
      <c r="G32" s="104" t="s">
        <v>53</v>
      </c>
      <c r="H32" s="40">
        <v>1755</v>
      </c>
      <c r="I32" s="178">
        <v>2219</v>
      </c>
    </row>
    <row r="33" spans="1:9" customFormat="1" ht="23.1" customHeight="1" x14ac:dyDescent="0.15">
      <c r="A33" s="41">
        <v>29</v>
      </c>
      <c r="B33" s="42" t="s">
        <v>9</v>
      </c>
      <c r="C33" s="33" t="s">
        <v>112</v>
      </c>
      <c r="D33" s="107">
        <v>28</v>
      </c>
      <c r="E33" s="107">
        <v>37</v>
      </c>
      <c r="F33" s="107" t="s">
        <v>46</v>
      </c>
      <c r="G33" s="101" t="s">
        <v>53</v>
      </c>
      <c r="H33" s="45">
        <v>1896</v>
      </c>
      <c r="I33" s="175">
        <v>2327</v>
      </c>
    </row>
    <row r="34" spans="1:9" customFormat="1" ht="23.25" customHeight="1" x14ac:dyDescent="0.15">
      <c r="A34" s="41">
        <v>30</v>
      </c>
      <c r="B34" s="42" t="s">
        <v>10</v>
      </c>
      <c r="C34" s="33" t="s">
        <v>110</v>
      </c>
      <c r="D34" s="107">
        <v>28</v>
      </c>
      <c r="E34" s="107">
        <v>36</v>
      </c>
      <c r="F34" s="107" t="s">
        <v>46</v>
      </c>
      <c r="G34" s="101" t="s">
        <v>53</v>
      </c>
      <c r="H34" s="45">
        <v>2655</v>
      </c>
      <c r="I34" s="175">
        <v>3170</v>
      </c>
    </row>
    <row r="35" spans="1:9" customFormat="1" ht="23.1" customHeight="1" thickBot="1" x14ac:dyDescent="0.2">
      <c r="A35" s="49">
        <v>31</v>
      </c>
      <c r="B35" s="50" t="s">
        <v>11</v>
      </c>
      <c r="C35" s="51" t="s">
        <v>116</v>
      </c>
      <c r="D35" s="125">
        <v>29</v>
      </c>
      <c r="E35" s="125">
        <v>35</v>
      </c>
      <c r="F35" s="125" t="s">
        <v>46</v>
      </c>
      <c r="G35" s="105" t="s">
        <v>53</v>
      </c>
      <c r="H35" s="54">
        <v>3008</v>
      </c>
      <c r="I35" s="181">
        <v>3670</v>
      </c>
    </row>
    <row r="36" spans="1:9" s="3" customFormat="1" ht="21" customHeight="1" thickBot="1" x14ac:dyDescent="0.2">
      <c r="A36" s="159" t="s">
        <v>27</v>
      </c>
      <c r="B36" s="160"/>
      <c r="C36" s="160"/>
      <c r="D36" s="160"/>
      <c r="E36" s="160"/>
      <c r="F36" s="160"/>
      <c r="G36" s="161"/>
      <c r="H36" s="182">
        <f t="shared" ref="H36:I36" si="0">SUM(H5:H35)</f>
        <v>56582</v>
      </c>
      <c r="I36" s="183">
        <f t="shared" si="0"/>
        <v>71229</v>
      </c>
    </row>
    <row r="37" spans="1:9" s="3" customFormat="1" ht="21" customHeight="1" thickBot="1" x14ac:dyDescent="0.2">
      <c r="A37" s="145" t="s">
        <v>28</v>
      </c>
      <c r="B37" s="146"/>
      <c r="C37" s="146"/>
      <c r="D37" s="146"/>
      <c r="E37" s="146"/>
      <c r="F37" s="146"/>
      <c r="G37" s="147"/>
      <c r="H37" s="184">
        <f>H36+'6월'!H37</f>
        <v>708628</v>
      </c>
      <c r="I37" s="185">
        <f>I36+'6월'!I37</f>
        <v>832137</v>
      </c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FF00"/>
  </sheetPr>
  <dimension ref="A1:I44"/>
  <sheetViews>
    <sheetView topLeftCell="A28" zoomScaleNormal="100" workbookViewId="0">
      <selection activeCell="I35" sqref="I35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62" t="s">
        <v>32</v>
      </c>
      <c r="B1" s="163"/>
      <c r="C1" s="163"/>
      <c r="D1" s="163"/>
      <c r="E1" s="163"/>
      <c r="F1" s="163"/>
      <c r="G1" s="163"/>
      <c r="H1" s="163"/>
      <c r="I1" s="164"/>
    </row>
    <row r="2" spans="1:9" s="2" customFormat="1" ht="22.5" customHeight="1" x14ac:dyDescent="0.15">
      <c r="A2" s="154" t="s">
        <v>2</v>
      </c>
      <c r="B2" s="157" t="s">
        <v>1</v>
      </c>
      <c r="C2" s="148" t="s">
        <v>12</v>
      </c>
      <c r="D2" s="148" t="s">
        <v>15</v>
      </c>
      <c r="E2" s="149"/>
      <c r="F2" s="148" t="s">
        <v>16</v>
      </c>
      <c r="G2" s="152"/>
      <c r="H2" s="168" t="s">
        <v>37</v>
      </c>
      <c r="I2" s="169" t="s">
        <v>21</v>
      </c>
    </row>
    <row r="3" spans="1:9" s="2" customFormat="1" ht="18.75" customHeight="1" x14ac:dyDescent="0.15">
      <c r="A3" s="155"/>
      <c r="B3" s="165"/>
      <c r="C3" s="166"/>
      <c r="D3" s="150"/>
      <c r="E3" s="151"/>
      <c r="F3" s="150"/>
      <c r="G3" s="153"/>
      <c r="H3" s="170" t="s">
        <v>23</v>
      </c>
      <c r="I3" s="171" t="s">
        <v>20</v>
      </c>
    </row>
    <row r="4" spans="1:9" s="2" customFormat="1" ht="18.75" customHeight="1" x14ac:dyDescent="0.15">
      <c r="A4" s="156"/>
      <c r="B4" s="158"/>
      <c r="C4" s="167"/>
      <c r="D4" s="14" t="s">
        <v>13</v>
      </c>
      <c r="E4" s="14" t="s">
        <v>14</v>
      </c>
      <c r="F4" s="14" t="s">
        <v>18</v>
      </c>
      <c r="G4" s="16" t="s">
        <v>17</v>
      </c>
      <c r="H4" s="172"/>
      <c r="I4" s="173" t="s">
        <v>19</v>
      </c>
    </row>
    <row r="5" spans="1:9" s="110" customFormat="1" ht="23.1" customHeight="1" x14ac:dyDescent="0.15">
      <c r="A5" s="31">
        <v>1</v>
      </c>
      <c r="B5" s="32" t="s">
        <v>41</v>
      </c>
      <c r="C5" s="46" t="s">
        <v>110</v>
      </c>
      <c r="D5" s="74">
        <v>28</v>
      </c>
      <c r="E5" s="74">
        <v>35</v>
      </c>
      <c r="F5" s="113" t="s">
        <v>46</v>
      </c>
      <c r="G5" s="34" t="s">
        <v>53</v>
      </c>
      <c r="H5" s="35">
        <v>3287</v>
      </c>
      <c r="I5" s="188">
        <v>4103</v>
      </c>
    </row>
    <row r="6" spans="1:9" customFormat="1" ht="23.1" customHeight="1" x14ac:dyDescent="0.15">
      <c r="A6" s="60">
        <v>2</v>
      </c>
      <c r="B6" s="61" t="s">
        <v>42</v>
      </c>
      <c r="C6" s="62" t="s">
        <v>112</v>
      </c>
      <c r="D6" s="66">
        <v>27</v>
      </c>
      <c r="E6" s="66">
        <v>36</v>
      </c>
      <c r="F6" s="66" t="s">
        <v>80</v>
      </c>
      <c r="G6" s="64" t="s">
        <v>53</v>
      </c>
      <c r="H6" s="65">
        <v>3502</v>
      </c>
      <c r="I6" s="176">
        <v>4472</v>
      </c>
    </row>
    <row r="7" spans="1:9" customFormat="1" ht="23.1" customHeight="1" x14ac:dyDescent="0.15">
      <c r="A7" s="30">
        <v>3</v>
      </c>
      <c r="B7" s="24" t="s">
        <v>7</v>
      </c>
      <c r="C7" s="25" t="s">
        <v>117</v>
      </c>
      <c r="D7" s="26">
        <v>24</v>
      </c>
      <c r="E7" s="26">
        <v>33</v>
      </c>
      <c r="F7" s="26" t="s">
        <v>80</v>
      </c>
      <c r="G7" s="27" t="s">
        <v>53</v>
      </c>
      <c r="H7" s="28">
        <v>2162</v>
      </c>
      <c r="I7" s="177">
        <v>2993</v>
      </c>
    </row>
    <row r="8" spans="1:9" s="112" customFormat="1" ht="23.1" customHeight="1" x14ac:dyDescent="0.15">
      <c r="A8" s="36">
        <v>4</v>
      </c>
      <c r="B8" s="37" t="s">
        <v>8</v>
      </c>
      <c r="C8" s="48" t="s">
        <v>118</v>
      </c>
      <c r="D8" s="77">
        <v>24</v>
      </c>
      <c r="E8" s="77">
        <v>34</v>
      </c>
      <c r="F8" s="77" t="s">
        <v>46</v>
      </c>
      <c r="G8" s="78" t="s">
        <v>53</v>
      </c>
      <c r="H8" s="40">
        <v>1315</v>
      </c>
      <c r="I8" s="178">
        <v>1686</v>
      </c>
    </row>
    <row r="9" spans="1:9" s="110" customFormat="1" ht="23.1" customHeight="1" x14ac:dyDescent="0.15">
      <c r="A9" s="41">
        <v>5</v>
      </c>
      <c r="B9" s="42" t="s">
        <v>9</v>
      </c>
      <c r="C9" s="33" t="s">
        <v>119</v>
      </c>
      <c r="D9" s="94">
        <v>25</v>
      </c>
      <c r="E9" s="94">
        <v>34</v>
      </c>
      <c r="F9" s="94" t="s">
        <v>46</v>
      </c>
      <c r="G9" s="47" t="s">
        <v>53</v>
      </c>
      <c r="H9" s="45">
        <v>1788</v>
      </c>
      <c r="I9" s="175">
        <v>2211</v>
      </c>
    </row>
    <row r="10" spans="1:9" customFormat="1" ht="23.1" customHeight="1" x14ac:dyDescent="0.15">
      <c r="A10" s="41">
        <v>6</v>
      </c>
      <c r="B10" s="42" t="s">
        <v>10</v>
      </c>
      <c r="C10" s="33" t="s">
        <v>120</v>
      </c>
      <c r="D10" s="94">
        <v>26</v>
      </c>
      <c r="E10" s="94">
        <v>29</v>
      </c>
      <c r="F10" s="94" t="s">
        <v>46</v>
      </c>
      <c r="G10" s="47" t="s">
        <v>49</v>
      </c>
      <c r="H10" s="45">
        <v>402</v>
      </c>
      <c r="I10" s="175">
        <v>481</v>
      </c>
    </row>
    <row r="11" spans="1:9" customFormat="1" ht="23.1" customHeight="1" x14ac:dyDescent="0.15">
      <c r="A11" s="41">
        <v>7</v>
      </c>
      <c r="B11" s="42" t="s">
        <v>11</v>
      </c>
      <c r="C11" s="33" t="s">
        <v>54</v>
      </c>
      <c r="D11" s="94">
        <v>25</v>
      </c>
      <c r="E11" s="94">
        <v>32</v>
      </c>
      <c r="F11" s="94" t="s">
        <v>46</v>
      </c>
      <c r="G11" s="47" t="s">
        <v>53</v>
      </c>
      <c r="H11" s="45">
        <v>1994</v>
      </c>
      <c r="I11" s="175">
        <v>2462</v>
      </c>
    </row>
    <row r="12" spans="1:9" customFormat="1" ht="23.1" customHeight="1" x14ac:dyDescent="0.15">
      <c r="A12" s="41">
        <v>8</v>
      </c>
      <c r="B12" s="42" t="s">
        <v>5</v>
      </c>
      <c r="C12" s="33" t="s">
        <v>66</v>
      </c>
      <c r="D12" s="95">
        <v>24</v>
      </c>
      <c r="E12" s="95">
        <v>30</v>
      </c>
      <c r="F12" s="95" t="s">
        <v>46</v>
      </c>
      <c r="G12" s="47" t="s">
        <v>53</v>
      </c>
      <c r="H12" s="45">
        <v>2471</v>
      </c>
      <c r="I12" s="175">
        <v>3150</v>
      </c>
    </row>
    <row r="13" spans="1:9" customFormat="1" ht="23.1" customHeight="1" x14ac:dyDescent="0.15">
      <c r="A13" s="60">
        <v>9</v>
      </c>
      <c r="B13" s="61" t="s">
        <v>6</v>
      </c>
      <c r="C13" s="62" t="s">
        <v>90</v>
      </c>
      <c r="D13" s="63">
        <v>23</v>
      </c>
      <c r="E13" s="63">
        <v>26</v>
      </c>
      <c r="F13" s="63" t="s">
        <v>80</v>
      </c>
      <c r="G13" s="64" t="s">
        <v>53</v>
      </c>
      <c r="H13" s="65">
        <v>3612</v>
      </c>
      <c r="I13" s="176">
        <v>4971</v>
      </c>
    </row>
    <row r="14" spans="1:9" customFormat="1" ht="23.1" customHeight="1" x14ac:dyDescent="0.15">
      <c r="A14" s="30">
        <v>10</v>
      </c>
      <c r="B14" s="24" t="s">
        <v>7</v>
      </c>
      <c r="C14" s="25" t="s">
        <v>55</v>
      </c>
      <c r="D14" s="26">
        <v>21</v>
      </c>
      <c r="E14" s="26">
        <v>33</v>
      </c>
      <c r="F14" s="26" t="s">
        <v>80</v>
      </c>
      <c r="G14" s="27" t="s">
        <v>53</v>
      </c>
      <c r="H14" s="28">
        <v>4838</v>
      </c>
      <c r="I14" s="177">
        <v>6483</v>
      </c>
    </row>
    <row r="15" spans="1:9" s="112" customFormat="1" ht="23.1" customHeight="1" x14ac:dyDescent="0.15">
      <c r="A15" s="36">
        <v>11</v>
      </c>
      <c r="B15" s="37" t="s">
        <v>8</v>
      </c>
      <c r="C15" s="48" t="s">
        <v>66</v>
      </c>
      <c r="D15" s="38">
        <v>25</v>
      </c>
      <c r="E15" s="38">
        <v>30</v>
      </c>
      <c r="F15" s="38" t="s">
        <v>46</v>
      </c>
      <c r="G15" s="39" t="s">
        <v>53</v>
      </c>
      <c r="H15" s="40">
        <v>2116</v>
      </c>
      <c r="I15" s="178">
        <v>2548</v>
      </c>
    </row>
    <row r="16" spans="1:9" s="110" customFormat="1" ht="23.1" customHeight="1" x14ac:dyDescent="0.15">
      <c r="A16" s="41">
        <v>12</v>
      </c>
      <c r="B16" s="42" t="s">
        <v>9</v>
      </c>
      <c r="C16" s="33" t="s">
        <v>54</v>
      </c>
      <c r="D16" s="94">
        <v>23</v>
      </c>
      <c r="E16" s="94">
        <v>34</v>
      </c>
      <c r="F16" s="94" t="s">
        <v>46</v>
      </c>
      <c r="G16" s="47" t="s">
        <v>53</v>
      </c>
      <c r="H16" s="45">
        <v>2064</v>
      </c>
      <c r="I16" s="175">
        <v>2495</v>
      </c>
    </row>
    <row r="17" spans="1:9" customFormat="1" ht="23.1" customHeight="1" x14ac:dyDescent="0.15">
      <c r="A17" s="41">
        <v>13</v>
      </c>
      <c r="B17" s="42" t="s">
        <v>10</v>
      </c>
      <c r="C17" s="33" t="s">
        <v>85</v>
      </c>
      <c r="D17" s="94">
        <v>22</v>
      </c>
      <c r="E17" s="94">
        <v>27</v>
      </c>
      <c r="F17" s="94" t="s">
        <v>45</v>
      </c>
      <c r="G17" s="47" t="s">
        <v>49</v>
      </c>
      <c r="H17" s="45">
        <v>119</v>
      </c>
      <c r="I17" s="175">
        <v>152</v>
      </c>
    </row>
    <row r="18" spans="1:9" customFormat="1" ht="23.1" customHeight="1" x14ac:dyDescent="0.15">
      <c r="A18" s="41">
        <v>14</v>
      </c>
      <c r="B18" s="42" t="s">
        <v>11</v>
      </c>
      <c r="C18" s="33" t="s">
        <v>121</v>
      </c>
      <c r="D18" s="94">
        <v>24</v>
      </c>
      <c r="E18" s="94">
        <v>27</v>
      </c>
      <c r="F18" s="94" t="s">
        <v>45</v>
      </c>
      <c r="G18" s="47" t="s">
        <v>52</v>
      </c>
      <c r="H18" s="45">
        <v>1593</v>
      </c>
      <c r="I18" s="175">
        <v>1893</v>
      </c>
    </row>
    <row r="19" spans="1:9" customFormat="1" ht="23.1" customHeight="1" x14ac:dyDescent="0.15">
      <c r="A19" s="5">
        <v>15</v>
      </c>
      <c r="B19" s="6" t="s">
        <v>5</v>
      </c>
      <c r="C19" s="15" t="s">
        <v>54</v>
      </c>
      <c r="D19" s="19">
        <v>24</v>
      </c>
      <c r="E19" s="19">
        <v>31</v>
      </c>
      <c r="F19" s="19" t="s">
        <v>80</v>
      </c>
      <c r="G19" s="20" t="s">
        <v>53</v>
      </c>
      <c r="H19" s="13">
        <v>7081</v>
      </c>
      <c r="I19" s="180">
        <v>8816</v>
      </c>
    </row>
    <row r="20" spans="1:9" customFormat="1" ht="23.1" customHeight="1" x14ac:dyDescent="0.15">
      <c r="A20" s="60">
        <v>16</v>
      </c>
      <c r="B20" s="61" t="s">
        <v>6</v>
      </c>
      <c r="C20" s="62" t="s">
        <v>119</v>
      </c>
      <c r="D20" s="66">
        <v>26</v>
      </c>
      <c r="E20" s="66">
        <v>32</v>
      </c>
      <c r="F20" s="66" t="s">
        <v>80</v>
      </c>
      <c r="G20" s="64" t="s">
        <v>53</v>
      </c>
      <c r="H20" s="65">
        <v>8339</v>
      </c>
      <c r="I20" s="176">
        <v>10130</v>
      </c>
    </row>
    <row r="21" spans="1:9" customFormat="1" ht="23.1" customHeight="1" x14ac:dyDescent="0.15">
      <c r="A21" s="30">
        <v>17</v>
      </c>
      <c r="B21" s="24" t="s">
        <v>7</v>
      </c>
      <c r="C21" s="25" t="s">
        <v>107</v>
      </c>
      <c r="D21" s="26">
        <v>26</v>
      </c>
      <c r="E21" s="26">
        <v>32</v>
      </c>
      <c r="F21" s="26" t="s">
        <v>80</v>
      </c>
      <c r="G21" s="27" t="s">
        <v>53</v>
      </c>
      <c r="H21" s="28">
        <v>4293</v>
      </c>
      <c r="I21" s="177">
        <v>5782</v>
      </c>
    </row>
    <row r="22" spans="1:9" s="112" customFormat="1" ht="23.1" customHeight="1" x14ac:dyDescent="0.15">
      <c r="A22" s="36">
        <v>18</v>
      </c>
      <c r="B22" s="37" t="s">
        <v>8</v>
      </c>
      <c r="C22" s="48" t="s">
        <v>118</v>
      </c>
      <c r="D22" s="38">
        <v>27</v>
      </c>
      <c r="E22" s="38">
        <v>33</v>
      </c>
      <c r="F22" s="38" t="s">
        <v>46</v>
      </c>
      <c r="G22" s="39" t="s">
        <v>52</v>
      </c>
      <c r="H22" s="40">
        <v>1350</v>
      </c>
      <c r="I22" s="178">
        <v>1619</v>
      </c>
    </row>
    <row r="23" spans="1:9" s="110" customFormat="1" ht="23.1" customHeight="1" x14ac:dyDescent="0.15">
      <c r="A23" s="41">
        <v>19</v>
      </c>
      <c r="B23" s="42" t="s">
        <v>9</v>
      </c>
      <c r="C23" s="33" t="s">
        <v>122</v>
      </c>
      <c r="D23" s="94">
        <v>27</v>
      </c>
      <c r="E23" s="94">
        <v>32</v>
      </c>
      <c r="F23" s="94" t="s">
        <v>45</v>
      </c>
      <c r="G23" s="47" t="s">
        <v>51</v>
      </c>
      <c r="H23" s="45">
        <v>958</v>
      </c>
      <c r="I23" s="175">
        <v>1160</v>
      </c>
    </row>
    <row r="24" spans="1:9" customFormat="1" ht="23.1" customHeight="1" x14ac:dyDescent="0.15">
      <c r="A24" s="41">
        <v>20</v>
      </c>
      <c r="B24" s="42" t="s">
        <v>10</v>
      </c>
      <c r="C24" s="33" t="s">
        <v>123</v>
      </c>
      <c r="D24" s="94">
        <v>27</v>
      </c>
      <c r="E24" s="94">
        <v>33</v>
      </c>
      <c r="F24" s="94" t="s">
        <v>45</v>
      </c>
      <c r="G24" s="47" t="s">
        <v>51</v>
      </c>
      <c r="H24" s="45">
        <v>724</v>
      </c>
      <c r="I24" s="175">
        <v>889</v>
      </c>
    </row>
    <row r="25" spans="1:9" customFormat="1" ht="23.1" customHeight="1" x14ac:dyDescent="0.15">
      <c r="A25" s="41">
        <v>21</v>
      </c>
      <c r="B25" s="42" t="s">
        <v>11</v>
      </c>
      <c r="C25" s="33" t="s">
        <v>124</v>
      </c>
      <c r="D25" s="94">
        <v>27</v>
      </c>
      <c r="E25" s="94">
        <v>34</v>
      </c>
      <c r="F25" s="94" t="s">
        <v>45</v>
      </c>
      <c r="G25" s="47" t="s">
        <v>51</v>
      </c>
      <c r="H25" s="45">
        <v>683</v>
      </c>
      <c r="I25" s="175">
        <v>884</v>
      </c>
    </row>
    <row r="26" spans="1:9" customFormat="1" ht="23.1" customHeight="1" x14ac:dyDescent="0.15">
      <c r="A26" s="41">
        <v>22</v>
      </c>
      <c r="B26" s="42" t="s">
        <v>5</v>
      </c>
      <c r="C26" s="33" t="s">
        <v>125</v>
      </c>
      <c r="D26" s="94">
        <v>26</v>
      </c>
      <c r="E26" s="94">
        <v>34</v>
      </c>
      <c r="F26" s="94" t="s">
        <v>46</v>
      </c>
      <c r="G26" s="47" t="s">
        <v>53</v>
      </c>
      <c r="H26" s="45">
        <v>1087</v>
      </c>
      <c r="I26" s="175">
        <v>1550</v>
      </c>
    </row>
    <row r="27" spans="1:9" customFormat="1" ht="23.1" customHeight="1" x14ac:dyDescent="0.15">
      <c r="A27" s="60">
        <v>23</v>
      </c>
      <c r="B27" s="61" t="s">
        <v>6</v>
      </c>
      <c r="C27" s="62" t="s">
        <v>126</v>
      </c>
      <c r="D27" s="66">
        <v>27</v>
      </c>
      <c r="E27" s="66">
        <v>32</v>
      </c>
      <c r="F27" s="66" t="s">
        <v>80</v>
      </c>
      <c r="G27" s="64" t="s">
        <v>53</v>
      </c>
      <c r="H27" s="65">
        <v>19620</v>
      </c>
      <c r="I27" s="176">
        <v>20727</v>
      </c>
    </row>
    <row r="28" spans="1:9" s="110" customFormat="1" ht="23.1" customHeight="1" x14ac:dyDescent="0.15">
      <c r="A28" s="30">
        <v>24</v>
      </c>
      <c r="B28" s="24" t="s">
        <v>7</v>
      </c>
      <c r="C28" s="25" t="s">
        <v>127</v>
      </c>
      <c r="D28" s="26">
        <v>27</v>
      </c>
      <c r="E28" s="26">
        <v>35</v>
      </c>
      <c r="F28" s="26" t="s">
        <v>80</v>
      </c>
      <c r="G28" s="27" t="s">
        <v>53</v>
      </c>
      <c r="H28" s="28">
        <v>2765</v>
      </c>
      <c r="I28" s="177">
        <v>3987</v>
      </c>
    </row>
    <row r="29" spans="1:9" s="110" customFormat="1" ht="23.1" customHeight="1" x14ac:dyDescent="0.15">
      <c r="A29" s="36">
        <v>25</v>
      </c>
      <c r="B29" s="37" t="s">
        <v>8</v>
      </c>
      <c r="C29" s="48" t="s">
        <v>128</v>
      </c>
      <c r="D29" s="38">
        <v>26</v>
      </c>
      <c r="E29" s="38">
        <v>32</v>
      </c>
      <c r="F29" s="38" t="s">
        <v>45</v>
      </c>
      <c r="G29" s="39" t="s">
        <v>51</v>
      </c>
      <c r="H29" s="40">
        <v>368</v>
      </c>
      <c r="I29" s="178">
        <v>519</v>
      </c>
    </row>
    <row r="30" spans="1:9" s="110" customFormat="1" ht="23.1" customHeight="1" x14ac:dyDescent="0.15">
      <c r="A30" s="41">
        <v>26</v>
      </c>
      <c r="B30" s="42" t="s">
        <v>9</v>
      </c>
      <c r="C30" s="33" t="s">
        <v>129</v>
      </c>
      <c r="D30" s="94">
        <v>26</v>
      </c>
      <c r="E30" s="94">
        <v>32</v>
      </c>
      <c r="F30" s="94" t="s">
        <v>45</v>
      </c>
      <c r="G30" s="47" t="s">
        <v>51</v>
      </c>
      <c r="H30" s="45">
        <v>402</v>
      </c>
      <c r="I30" s="175">
        <v>540</v>
      </c>
    </row>
    <row r="31" spans="1:9" s="110" customFormat="1" ht="23.1" customHeight="1" x14ac:dyDescent="0.15">
      <c r="A31" s="41">
        <v>27</v>
      </c>
      <c r="B31" s="42" t="s">
        <v>10</v>
      </c>
      <c r="C31" s="33" t="s">
        <v>130</v>
      </c>
      <c r="D31" s="94">
        <v>24</v>
      </c>
      <c r="E31" s="94">
        <v>31</v>
      </c>
      <c r="F31" s="94" t="s">
        <v>45</v>
      </c>
      <c r="G31" s="47" t="s">
        <v>51</v>
      </c>
      <c r="H31" s="45">
        <v>617</v>
      </c>
      <c r="I31" s="175">
        <v>758</v>
      </c>
    </row>
    <row r="32" spans="1:9" customFormat="1" ht="23.1" customHeight="1" x14ac:dyDescent="0.15">
      <c r="A32" s="41">
        <v>28</v>
      </c>
      <c r="B32" s="42" t="s">
        <v>11</v>
      </c>
      <c r="C32" s="33" t="s">
        <v>134</v>
      </c>
      <c r="D32" s="94">
        <v>25</v>
      </c>
      <c r="E32" s="94">
        <v>31</v>
      </c>
      <c r="F32" s="94" t="s">
        <v>45</v>
      </c>
      <c r="G32" s="47" t="s">
        <v>51</v>
      </c>
      <c r="H32" s="45">
        <v>627</v>
      </c>
      <c r="I32" s="175">
        <v>812</v>
      </c>
    </row>
    <row r="33" spans="1:9" customFormat="1" ht="23.1" customHeight="1" x14ac:dyDescent="0.15">
      <c r="A33" s="41">
        <v>29</v>
      </c>
      <c r="B33" s="42" t="s">
        <v>5</v>
      </c>
      <c r="C33" s="33" t="s">
        <v>131</v>
      </c>
      <c r="D33" s="94">
        <v>27</v>
      </c>
      <c r="E33" s="94">
        <v>33</v>
      </c>
      <c r="F33" s="94" t="s">
        <v>45</v>
      </c>
      <c r="G33" s="47" t="s">
        <v>67</v>
      </c>
      <c r="H33" s="45">
        <v>1091</v>
      </c>
      <c r="I33" s="175">
        <v>1517</v>
      </c>
    </row>
    <row r="34" spans="1:9" customFormat="1" ht="23.25" customHeight="1" x14ac:dyDescent="0.15">
      <c r="A34" s="60">
        <v>30</v>
      </c>
      <c r="B34" s="61" t="s">
        <v>6</v>
      </c>
      <c r="C34" s="62" t="s">
        <v>132</v>
      </c>
      <c r="D34" s="66">
        <v>26</v>
      </c>
      <c r="E34" s="66">
        <v>32</v>
      </c>
      <c r="F34" s="66" t="s">
        <v>83</v>
      </c>
      <c r="G34" s="64" t="s">
        <v>67</v>
      </c>
      <c r="H34" s="65">
        <v>7112</v>
      </c>
      <c r="I34" s="176">
        <v>8630</v>
      </c>
    </row>
    <row r="35" spans="1:9" customFormat="1" ht="23.1" customHeight="1" thickBot="1" x14ac:dyDescent="0.2">
      <c r="A35" s="79">
        <v>31</v>
      </c>
      <c r="B35" s="80" t="s">
        <v>7</v>
      </c>
      <c r="C35" s="81" t="s">
        <v>133</v>
      </c>
      <c r="D35" s="116">
        <v>25</v>
      </c>
      <c r="E35" s="116">
        <v>32</v>
      </c>
      <c r="F35" s="116" t="s">
        <v>83</v>
      </c>
      <c r="G35" s="117" t="s">
        <v>67</v>
      </c>
      <c r="H35" s="82">
        <v>3051</v>
      </c>
      <c r="I35" s="191">
        <v>4402</v>
      </c>
    </row>
    <row r="36" spans="1:9" s="3" customFormat="1" ht="21" customHeight="1" thickBot="1" x14ac:dyDescent="0.2">
      <c r="A36" s="159" t="s">
        <v>27</v>
      </c>
      <c r="B36" s="160"/>
      <c r="C36" s="160"/>
      <c r="D36" s="160"/>
      <c r="E36" s="160"/>
      <c r="F36" s="160"/>
      <c r="G36" s="161"/>
      <c r="H36" s="182">
        <f t="shared" ref="H36:I36" si="0">SUM(H5:H35)</f>
        <v>91431</v>
      </c>
      <c r="I36" s="183">
        <f t="shared" si="0"/>
        <v>112822</v>
      </c>
    </row>
    <row r="37" spans="1:9" s="3" customFormat="1" ht="21" customHeight="1" thickBot="1" x14ac:dyDescent="0.2">
      <c r="A37" s="145" t="s">
        <v>28</v>
      </c>
      <c r="B37" s="146"/>
      <c r="C37" s="146"/>
      <c r="D37" s="146"/>
      <c r="E37" s="146"/>
      <c r="F37" s="146"/>
      <c r="G37" s="147"/>
      <c r="H37" s="184">
        <f>H36+'7월'!H37</f>
        <v>800059</v>
      </c>
      <c r="I37" s="185">
        <f>I36+'7월'!I37</f>
        <v>944959</v>
      </c>
    </row>
    <row r="39" spans="1:9" x14ac:dyDescent="0.15">
      <c r="D39" s="138"/>
      <c r="E39" s="138"/>
    </row>
    <row r="40" spans="1:9" x14ac:dyDescent="0.15">
      <c r="H40" s="137"/>
    </row>
    <row r="41" spans="1:9" x14ac:dyDescent="0.15">
      <c r="H41" s="4"/>
    </row>
    <row r="44" spans="1:9" x14ac:dyDescent="0.15">
      <c r="H44" s="4"/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FF00"/>
  </sheetPr>
  <dimension ref="A1:I39"/>
  <sheetViews>
    <sheetView zoomScaleNormal="100" workbookViewId="0">
      <selection activeCell="M13" sqref="M13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62" t="s">
        <v>33</v>
      </c>
      <c r="B1" s="163"/>
      <c r="C1" s="163"/>
      <c r="D1" s="163"/>
      <c r="E1" s="163"/>
      <c r="F1" s="163"/>
      <c r="G1" s="163"/>
      <c r="H1" s="163"/>
      <c r="I1" s="164"/>
    </row>
    <row r="2" spans="1:9" s="2" customFormat="1" ht="22.5" customHeight="1" x14ac:dyDescent="0.15">
      <c r="A2" s="154" t="s">
        <v>2</v>
      </c>
      <c r="B2" s="157" t="s">
        <v>1</v>
      </c>
      <c r="C2" s="148" t="s">
        <v>12</v>
      </c>
      <c r="D2" s="148" t="s">
        <v>15</v>
      </c>
      <c r="E2" s="149"/>
      <c r="F2" s="148" t="s">
        <v>16</v>
      </c>
      <c r="G2" s="152"/>
      <c r="H2" s="168" t="s">
        <v>22</v>
      </c>
      <c r="I2" s="169" t="s">
        <v>21</v>
      </c>
    </row>
    <row r="3" spans="1:9" s="2" customFormat="1" ht="18.75" customHeight="1" x14ac:dyDescent="0.15">
      <c r="A3" s="155"/>
      <c r="B3" s="165"/>
      <c r="C3" s="166"/>
      <c r="D3" s="150"/>
      <c r="E3" s="151"/>
      <c r="F3" s="150"/>
      <c r="G3" s="153"/>
      <c r="H3" s="170" t="s">
        <v>23</v>
      </c>
      <c r="I3" s="171" t="s">
        <v>20</v>
      </c>
    </row>
    <row r="4" spans="1:9" s="2" customFormat="1" ht="18.75" customHeight="1" x14ac:dyDescent="0.15">
      <c r="A4" s="156"/>
      <c r="B4" s="158"/>
      <c r="C4" s="167"/>
      <c r="D4" s="14" t="s">
        <v>13</v>
      </c>
      <c r="E4" s="14" t="s">
        <v>14</v>
      </c>
      <c r="F4" s="14" t="s">
        <v>18</v>
      </c>
      <c r="G4" s="16" t="s">
        <v>17</v>
      </c>
      <c r="H4" s="172"/>
      <c r="I4" s="173" t="s">
        <v>19</v>
      </c>
    </row>
    <row r="5" spans="1:9" s="110" customFormat="1" ht="23.1" customHeight="1" x14ac:dyDescent="0.15">
      <c r="A5" s="31">
        <v>1</v>
      </c>
      <c r="B5" s="32" t="s">
        <v>38</v>
      </c>
      <c r="C5" s="46" t="s">
        <v>144</v>
      </c>
      <c r="D5" s="74">
        <v>24</v>
      </c>
      <c r="E5" s="74">
        <v>28</v>
      </c>
      <c r="F5" s="113" t="s">
        <v>135</v>
      </c>
      <c r="G5" s="34" t="s">
        <v>138</v>
      </c>
      <c r="H5" s="35">
        <v>192</v>
      </c>
      <c r="I5" s="188">
        <v>240</v>
      </c>
    </row>
    <row r="6" spans="1:9" customFormat="1" ht="23.1" customHeight="1" x14ac:dyDescent="0.15">
      <c r="A6" s="41">
        <v>2</v>
      </c>
      <c r="B6" s="42" t="s">
        <v>39</v>
      </c>
      <c r="C6" s="33" t="s">
        <v>145</v>
      </c>
      <c r="D6" s="94">
        <v>22</v>
      </c>
      <c r="E6" s="94">
        <v>31</v>
      </c>
      <c r="F6" s="94" t="s">
        <v>137</v>
      </c>
      <c r="G6" s="47" t="s">
        <v>139</v>
      </c>
      <c r="H6" s="45">
        <v>710</v>
      </c>
      <c r="I6" s="175">
        <v>831</v>
      </c>
    </row>
    <row r="7" spans="1:9" customFormat="1" ht="23.1" customHeight="1" x14ac:dyDescent="0.15">
      <c r="A7" s="41">
        <v>3</v>
      </c>
      <c r="B7" s="42" t="s">
        <v>10</v>
      </c>
      <c r="C7" s="33" t="s">
        <v>145</v>
      </c>
      <c r="D7" s="94">
        <v>23</v>
      </c>
      <c r="E7" s="94">
        <v>32</v>
      </c>
      <c r="F7" s="94" t="s">
        <v>135</v>
      </c>
      <c r="G7" s="47" t="s">
        <v>138</v>
      </c>
      <c r="H7" s="45">
        <v>955</v>
      </c>
      <c r="I7" s="175">
        <v>1103</v>
      </c>
    </row>
    <row r="8" spans="1:9" s="112" customFormat="1" ht="23.1" customHeight="1" x14ac:dyDescent="0.15">
      <c r="A8" s="41">
        <v>4</v>
      </c>
      <c r="B8" s="42" t="s">
        <v>11</v>
      </c>
      <c r="C8" s="33" t="s">
        <v>146</v>
      </c>
      <c r="D8" s="43">
        <v>23</v>
      </c>
      <c r="E8" s="43">
        <v>30</v>
      </c>
      <c r="F8" s="43" t="s">
        <v>135</v>
      </c>
      <c r="G8" s="44" t="s">
        <v>140</v>
      </c>
      <c r="H8" s="45">
        <v>936</v>
      </c>
      <c r="I8" s="175">
        <v>1075</v>
      </c>
    </row>
    <row r="9" spans="1:9" s="110" customFormat="1" ht="23.1" customHeight="1" x14ac:dyDescent="0.15">
      <c r="A9" s="41">
        <v>5</v>
      </c>
      <c r="B9" s="42" t="s">
        <v>5</v>
      </c>
      <c r="C9" s="33" t="s">
        <v>145</v>
      </c>
      <c r="D9" s="94">
        <v>24</v>
      </c>
      <c r="E9" s="94">
        <v>33</v>
      </c>
      <c r="F9" s="94" t="s">
        <v>141</v>
      </c>
      <c r="G9" s="47" t="s">
        <v>142</v>
      </c>
      <c r="H9" s="45">
        <v>2338</v>
      </c>
      <c r="I9" s="175">
        <v>2986</v>
      </c>
    </row>
    <row r="10" spans="1:9" customFormat="1" ht="23.1" customHeight="1" x14ac:dyDescent="0.15">
      <c r="A10" s="60">
        <v>6</v>
      </c>
      <c r="B10" s="61" t="s">
        <v>6</v>
      </c>
      <c r="C10" s="62" t="s">
        <v>157</v>
      </c>
      <c r="D10" s="66">
        <v>25</v>
      </c>
      <c r="E10" s="66">
        <v>30</v>
      </c>
      <c r="F10" s="66" t="s">
        <v>143</v>
      </c>
      <c r="G10" s="64" t="s">
        <v>136</v>
      </c>
      <c r="H10" s="65">
        <v>1439</v>
      </c>
      <c r="I10" s="176">
        <v>2017</v>
      </c>
    </row>
    <row r="11" spans="1:9" customFormat="1" ht="23.1" customHeight="1" x14ac:dyDescent="0.15">
      <c r="A11" s="30">
        <v>7</v>
      </c>
      <c r="B11" s="24" t="s">
        <v>7</v>
      </c>
      <c r="C11" s="25" t="s">
        <v>149</v>
      </c>
      <c r="D11" s="26">
        <v>22</v>
      </c>
      <c r="E11" s="26">
        <v>28</v>
      </c>
      <c r="F11" s="26" t="s">
        <v>143</v>
      </c>
      <c r="G11" s="27" t="s">
        <v>136</v>
      </c>
      <c r="H11" s="28">
        <v>4787</v>
      </c>
      <c r="I11" s="177">
        <v>6799</v>
      </c>
    </row>
    <row r="12" spans="1:9" customFormat="1" ht="23.1" customHeight="1" x14ac:dyDescent="0.15">
      <c r="A12" s="36">
        <v>8</v>
      </c>
      <c r="B12" s="37" t="s">
        <v>8</v>
      </c>
      <c r="C12" s="48" t="s">
        <v>149</v>
      </c>
      <c r="D12" s="73">
        <v>21</v>
      </c>
      <c r="E12" s="73">
        <v>30</v>
      </c>
      <c r="F12" s="73" t="s">
        <v>148</v>
      </c>
      <c r="G12" s="39" t="s">
        <v>147</v>
      </c>
      <c r="H12" s="40">
        <v>789</v>
      </c>
      <c r="I12" s="178">
        <v>1015</v>
      </c>
    </row>
    <row r="13" spans="1:9" customFormat="1" ht="23.1" customHeight="1" x14ac:dyDescent="0.15">
      <c r="A13" s="41">
        <v>9</v>
      </c>
      <c r="B13" s="42" t="s">
        <v>9</v>
      </c>
      <c r="C13" s="33" t="s">
        <v>153</v>
      </c>
      <c r="D13" s="95">
        <v>21</v>
      </c>
      <c r="E13" s="95">
        <v>27</v>
      </c>
      <c r="F13" s="95" t="s">
        <v>45</v>
      </c>
      <c r="G13" s="47" t="s">
        <v>51</v>
      </c>
      <c r="H13" s="45">
        <v>635</v>
      </c>
      <c r="I13" s="175">
        <v>807</v>
      </c>
    </row>
    <row r="14" spans="1:9" customFormat="1" ht="23.1" customHeight="1" x14ac:dyDescent="0.15">
      <c r="A14" s="41">
        <v>10</v>
      </c>
      <c r="B14" s="42" t="s">
        <v>10</v>
      </c>
      <c r="C14" s="33" t="s">
        <v>152</v>
      </c>
      <c r="D14" s="94">
        <v>18</v>
      </c>
      <c r="E14" s="94">
        <v>32</v>
      </c>
      <c r="F14" s="94" t="s">
        <v>45</v>
      </c>
      <c r="G14" s="47" t="s">
        <v>51</v>
      </c>
      <c r="H14" s="45">
        <v>878</v>
      </c>
      <c r="I14" s="175">
        <v>1130</v>
      </c>
    </row>
    <row r="15" spans="1:9" s="112" customFormat="1" ht="23.1" customHeight="1" x14ac:dyDescent="0.15">
      <c r="A15" s="41">
        <v>11</v>
      </c>
      <c r="B15" s="42" t="s">
        <v>11</v>
      </c>
      <c r="C15" s="33" t="s">
        <v>154</v>
      </c>
      <c r="D15" s="94">
        <v>20</v>
      </c>
      <c r="E15" s="94">
        <v>32</v>
      </c>
      <c r="F15" s="94" t="s">
        <v>45</v>
      </c>
      <c r="G15" s="47" t="s">
        <v>51</v>
      </c>
      <c r="H15" s="45">
        <v>1768</v>
      </c>
      <c r="I15" s="175">
        <v>2030</v>
      </c>
    </row>
    <row r="16" spans="1:9" s="110" customFormat="1" ht="23.1" customHeight="1" x14ac:dyDescent="0.15">
      <c r="A16" s="41">
        <v>12</v>
      </c>
      <c r="B16" s="42" t="s">
        <v>5</v>
      </c>
      <c r="C16" s="33" t="s">
        <v>156</v>
      </c>
      <c r="D16" s="94">
        <v>21</v>
      </c>
      <c r="E16" s="94">
        <v>26</v>
      </c>
      <c r="F16" s="94" t="s">
        <v>45</v>
      </c>
      <c r="G16" s="47" t="s">
        <v>51</v>
      </c>
      <c r="H16" s="45">
        <v>1230</v>
      </c>
      <c r="I16" s="175">
        <v>1461</v>
      </c>
    </row>
    <row r="17" spans="1:9" customFormat="1" ht="23.1" customHeight="1" x14ac:dyDescent="0.15">
      <c r="A17" s="60">
        <v>13</v>
      </c>
      <c r="B17" s="61" t="s">
        <v>6</v>
      </c>
      <c r="C17" s="62" t="s">
        <v>155</v>
      </c>
      <c r="D17" s="66">
        <v>20</v>
      </c>
      <c r="E17" s="66">
        <v>28</v>
      </c>
      <c r="F17" s="66" t="s">
        <v>150</v>
      </c>
      <c r="G17" s="64" t="s">
        <v>151</v>
      </c>
      <c r="H17" s="65">
        <v>4322</v>
      </c>
      <c r="I17" s="176">
        <v>5849</v>
      </c>
    </row>
    <row r="18" spans="1:9" customFormat="1" ht="23.1" customHeight="1" x14ac:dyDescent="0.15">
      <c r="A18" s="30">
        <v>14</v>
      </c>
      <c r="B18" s="24" t="s">
        <v>7</v>
      </c>
      <c r="C18" s="25" t="s">
        <v>153</v>
      </c>
      <c r="D18" s="26">
        <v>22</v>
      </c>
      <c r="E18" s="26">
        <v>29</v>
      </c>
      <c r="F18" s="26" t="s">
        <v>83</v>
      </c>
      <c r="G18" s="27" t="s">
        <v>67</v>
      </c>
      <c r="H18" s="28">
        <v>6926</v>
      </c>
      <c r="I18" s="177">
        <v>9391</v>
      </c>
    </row>
    <row r="19" spans="1:9" customFormat="1" ht="23.1" customHeight="1" x14ac:dyDescent="0.15">
      <c r="A19" s="36">
        <v>15</v>
      </c>
      <c r="B19" s="37" t="s">
        <v>8</v>
      </c>
      <c r="C19" s="48" t="s">
        <v>54</v>
      </c>
      <c r="D19" s="38">
        <v>21</v>
      </c>
      <c r="E19" s="38">
        <v>31</v>
      </c>
      <c r="F19" s="38" t="s">
        <v>46</v>
      </c>
      <c r="G19" s="39" t="s">
        <v>52</v>
      </c>
      <c r="H19" s="40">
        <v>1779</v>
      </c>
      <c r="I19" s="178">
        <v>2016</v>
      </c>
    </row>
    <row r="20" spans="1:9" customFormat="1" ht="23.1" customHeight="1" x14ac:dyDescent="0.15">
      <c r="A20" s="41">
        <v>16</v>
      </c>
      <c r="B20" s="42" t="s">
        <v>9</v>
      </c>
      <c r="C20" s="33" t="s">
        <v>114</v>
      </c>
      <c r="D20" s="94">
        <v>22</v>
      </c>
      <c r="E20" s="94">
        <v>27</v>
      </c>
      <c r="F20" s="94" t="s">
        <v>46</v>
      </c>
      <c r="G20" s="47" t="s">
        <v>49</v>
      </c>
      <c r="H20" s="45">
        <v>666</v>
      </c>
      <c r="I20" s="175">
        <v>708</v>
      </c>
    </row>
    <row r="21" spans="1:9" customFormat="1" ht="23.1" customHeight="1" x14ac:dyDescent="0.15">
      <c r="A21" s="41">
        <v>17</v>
      </c>
      <c r="B21" s="42" t="s">
        <v>10</v>
      </c>
      <c r="C21" s="33" t="s">
        <v>85</v>
      </c>
      <c r="D21" s="94">
        <v>21</v>
      </c>
      <c r="E21" s="94">
        <v>24</v>
      </c>
      <c r="F21" s="94" t="s">
        <v>46</v>
      </c>
      <c r="G21" s="47" t="s">
        <v>49</v>
      </c>
      <c r="H21" s="45">
        <v>623</v>
      </c>
      <c r="I21" s="175">
        <v>663</v>
      </c>
    </row>
    <row r="22" spans="1:9" s="112" customFormat="1" ht="23.1" customHeight="1" x14ac:dyDescent="0.15">
      <c r="A22" s="41">
        <v>18</v>
      </c>
      <c r="B22" s="42" t="s">
        <v>11</v>
      </c>
      <c r="C22" s="33" t="s">
        <v>66</v>
      </c>
      <c r="D22" s="94">
        <v>20</v>
      </c>
      <c r="E22" s="94">
        <v>26</v>
      </c>
      <c r="F22" s="94" t="s">
        <v>46</v>
      </c>
      <c r="G22" s="47" t="s">
        <v>52</v>
      </c>
      <c r="H22" s="45">
        <v>2133</v>
      </c>
      <c r="I22" s="175">
        <v>2465</v>
      </c>
    </row>
    <row r="23" spans="1:9" s="110" customFormat="1" ht="23.1" customHeight="1" x14ac:dyDescent="0.15">
      <c r="A23" s="41">
        <v>19</v>
      </c>
      <c r="B23" s="42" t="s">
        <v>5</v>
      </c>
      <c r="C23" s="33" t="s">
        <v>85</v>
      </c>
      <c r="D23" s="94">
        <v>18</v>
      </c>
      <c r="E23" s="94">
        <v>21</v>
      </c>
      <c r="F23" s="94" t="s">
        <v>46</v>
      </c>
      <c r="G23" s="47" t="s">
        <v>49</v>
      </c>
      <c r="H23" s="45">
        <v>3374</v>
      </c>
      <c r="I23" s="175">
        <v>3434</v>
      </c>
    </row>
    <row r="24" spans="1:9" customFormat="1" ht="23.1" customHeight="1" x14ac:dyDescent="0.15">
      <c r="A24" s="60">
        <v>20</v>
      </c>
      <c r="B24" s="61" t="s">
        <v>6</v>
      </c>
      <c r="C24" s="62" t="s">
        <v>121</v>
      </c>
      <c r="D24" s="66">
        <v>18</v>
      </c>
      <c r="E24" s="66">
        <v>24</v>
      </c>
      <c r="F24" s="66" t="s">
        <v>80</v>
      </c>
      <c r="G24" s="64" t="s">
        <v>53</v>
      </c>
      <c r="H24" s="65">
        <v>14244</v>
      </c>
      <c r="I24" s="176">
        <v>15832</v>
      </c>
    </row>
    <row r="25" spans="1:9" customFormat="1" ht="23.1" customHeight="1" x14ac:dyDescent="0.15">
      <c r="A25" s="30">
        <v>21</v>
      </c>
      <c r="B25" s="24" t="s">
        <v>7</v>
      </c>
      <c r="C25" s="25" t="s">
        <v>54</v>
      </c>
      <c r="D25" s="26">
        <v>17</v>
      </c>
      <c r="E25" s="26">
        <v>27</v>
      </c>
      <c r="F25" s="26" t="s">
        <v>80</v>
      </c>
      <c r="G25" s="27" t="s">
        <v>53</v>
      </c>
      <c r="H25" s="28">
        <v>8120</v>
      </c>
      <c r="I25" s="177">
        <v>10116</v>
      </c>
    </row>
    <row r="26" spans="1:9" customFormat="1" ht="23.1" customHeight="1" x14ac:dyDescent="0.15">
      <c r="A26" s="36">
        <v>22</v>
      </c>
      <c r="B26" s="37" t="s">
        <v>8</v>
      </c>
      <c r="C26" s="48" t="s">
        <v>106</v>
      </c>
      <c r="D26" s="38">
        <v>18</v>
      </c>
      <c r="E26" s="38">
        <v>25</v>
      </c>
      <c r="F26" s="38" t="s">
        <v>46</v>
      </c>
      <c r="G26" s="39" t="s">
        <v>52</v>
      </c>
      <c r="H26" s="40">
        <v>2205</v>
      </c>
      <c r="I26" s="178">
        <v>2498</v>
      </c>
    </row>
    <row r="27" spans="1:9" customFormat="1" ht="23.1" customHeight="1" x14ac:dyDescent="0.15">
      <c r="A27" s="41">
        <v>23</v>
      </c>
      <c r="B27" s="42" t="s">
        <v>9</v>
      </c>
      <c r="C27" s="33" t="s">
        <v>66</v>
      </c>
      <c r="D27" s="94">
        <v>19</v>
      </c>
      <c r="E27" s="94">
        <v>27</v>
      </c>
      <c r="F27" s="94" t="s">
        <v>45</v>
      </c>
      <c r="G27" s="47" t="s">
        <v>52</v>
      </c>
      <c r="H27" s="45">
        <v>2613</v>
      </c>
      <c r="I27" s="175">
        <v>2931</v>
      </c>
    </row>
    <row r="28" spans="1:9" s="110" customFormat="1" ht="23.1" customHeight="1" x14ac:dyDescent="0.15">
      <c r="A28" s="41">
        <v>24</v>
      </c>
      <c r="B28" s="42" t="s">
        <v>10</v>
      </c>
      <c r="C28" s="33" t="s">
        <v>85</v>
      </c>
      <c r="D28" s="94">
        <v>20</v>
      </c>
      <c r="E28" s="94">
        <v>24</v>
      </c>
      <c r="F28" s="94" t="s">
        <v>45</v>
      </c>
      <c r="G28" s="47" t="s">
        <v>76</v>
      </c>
      <c r="H28" s="45">
        <v>513</v>
      </c>
      <c r="I28" s="175">
        <v>542</v>
      </c>
    </row>
    <row r="29" spans="1:9" s="110" customFormat="1" ht="23.1" customHeight="1" x14ac:dyDescent="0.15">
      <c r="A29" s="41">
        <v>25</v>
      </c>
      <c r="B29" s="42" t="s">
        <v>11</v>
      </c>
      <c r="C29" s="33" t="s">
        <v>66</v>
      </c>
      <c r="D29" s="94">
        <v>20</v>
      </c>
      <c r="E29" s="94">
        <v>26</v>
      </c>
      <c r="F29" s="94" t="s">
        <v>45</v>
      </c>
      <c r="G29" s="47" t="s">
        <v>52</v>
      </c>
      <c r="H29" s="45">
        <v>2838</v>
      </c>
      <c r="I29" s="175">
        <v>3089</v>
      </c>
    </row>
    <row r="30" spans="1:9" s="110" customFormat="1" ht="23.1" customHeight="1" x14ac:dyDescent="0.15">
      <c r="A30" s="41">
        <v>26</v>
      </c>
      <c r="B30" s="42" t="s">
        <v>5</v>
      </c>
      <c r="C30" s="33" t="s">
        <v>54</v>
      </c>
      <c r="D30" s="94">
        <v>18</v>
      </c>
      <c r="E30" s="94">
        <v>27</v>
      </c>
      <c r="F30" s="94" t="s">
        <v>45</v>
      </c>
      <c r="G30" s="47" t="s">
        <v>53</v>
      </c>
      <c r="H30" s="45">
        <v>6750</v>
      </c>
      <c r="I30" s="175">
        <v>7527</v>
      </c>
    </row>
    <row r="31" spans="1:9" s="110" customFormat="1" ht="23.1" customHeight="1" x14ac:dyDescent="0.15">
      <c r="A31" s="60">
        <v>27</v>
      </c>
      <c r="B31" s="61" t="s">
        <v>6</v>
      </c>
      <c r="C31" s="62" t="s">
        <v>54</v>
      </c>
      <c r="D31" s="66">
        <v>18</v>
      </c>
      <c r="E31" s="66">
        <v>27</v>
      </c>
      <c r="F31" s="66" t="s">
        <v>80</v>
      </c>
      <c r="G31" s="64" t="s">
        <v>53</v>
      </c>
      <c r="H31" s="65">
        <v>12382</v>
      </c>
      <c r="I31" s="176">
        <v>14161</v>
      </c>
    </row>
    <row r="32" spans="1:9" customFormat="1" ht="23.1" customHeight="1" x14ac:dyDescent="0.15">
      <c r="A32" s="30">
        <v>28</v>
      </c>
      <c r="B32" s="24" t="s">
        <v>7</v>
      </c>
      <c r="C32" s="25" t="s">
        <v>121</v>
      </c>
      <c r="D32" s="26">
        <v>18</v>
      </c>
      <c r="E32" s="26">
        <v>22</v>
      </c>
      <c r="F32" s="26" t="s">
        <v>80</v>
      </c>
      <c r="G32" s="27" t="s">
        <v>53</v>
      </c>
      <c r="H32" s="28">
        <v>2565</v>
      </c>
      <c r="I32" s="177">
        <v>3461</v>
      </c>
    </row>
    <row r="33" spans="1:9" customFormat="1" ht="23.1" customHeight="1" x14ac:dyDescent="0.15">
      <c r="A33" s="36">
        <v>29</v>
      </c>
      <c r="B33" s="37" t="s">
        <v>8</v>
      </c>
      <c r="C33" s="48" t="s">
        <v>54</v>
      </c>
      <c r="D33" s="38">
        <v>17</v>
      </c>
      <c r="E33" s="38">
        <v>24</v>
      </c>
      <c r="F33" s="38" t="s">
        <v>46</v>
      </c>
      <c r="G33" s="39" t="s">
        <v>52</v>
      </c>
      <c r="H33" s="40">
        <v>1979</v>
      </c>
      <c r="I33" s="178">
        <v>2241</v>
      </c>
    </row>
    <row r="34" spans="1:9" customFormat="1" ht="23.25" customHeight="1" x14ac:dyDescent="0.15">
      <c r="A34" s="41">
        <v>30</v>
      </c>
      <c r="B34" s="42" t="s">
        <v>9</v>
      </c>
      <c r="C34" s="33" t="s">
        <v>66</v>
      </c>
      <c r="D34" s="94">
        <v>17</v>
      </c>
      <c r="E34" s="94">
        <v>24</v>
      </c>
      <c r="F34" s="94" t="s">
        <v>46</v>
      </c>
      <c r="G34" s="47" t="s">
        <v>52</v>
      </c>
      <c r="H34" s="45">
        <v>4239</v>
      </c>
      <c r="I34" s="175">
        <v>4239</v>
      </c>
    </row>
    <row r="35" spans="1:9" customFormat="1" ht="23.1" customHeight="1" thickBot="1" x14ac:dyDescent="0.2">
      <c r="A35" s="49"/>
      <c r="B35" s="50"/>
      <c r="C35" s="51"/>
      <c r="D35" s="52"/>
      <c r="E35" s="52"/>
      <c r="F35" s="52"/>
      <c r="G35" s="53"/>
      <c r="H35" s="54"/>
      <c r="I35" s="181"/>
    </row>
    <row r="36" spans="1:9" s="3" customFormat="1" ht="21" customHeight="1" thickBot="1" x14ac:dyDescent="0.2">
      <c r="A36" s="159" t="s">
        <v>27</v>
      </c>
      <c r="B36" s="160"/>
      <c r="C36" s="160"/>
      <c r="D36" s="160"/>
      <c r="E36" s="160"/>
      <c r="F36" s="160"/>
      <c r="G36" s="161"/>
      <c r="H36" s="182">
        <f t="shared" ref="H36:I36" si="0">SUM(H5:H35)</f>
        <v>94928</v>
      </c>
      <c r="I36" s="183">
        <f t="shared" si="0"/>
        <v>112657</v>
      </c>
    </row>
    <row r="37" spans="1:9" s="3" customFormat="1" ht="21" customHeight="1" thickBot="1" x14ac:dyDescent="0.2">
      <c r="A37" s="145" t="s">
        <v>28</v>
      </c>
      <c r="B37" s="146"/>
      <c r="C37" s="146"/>
      <c r="D37" s="146"/>
      <c r="E37" s="146"/>
      <c r="F37" s="146"/>
      <c r="G37" s="147"/>
      <c r="H37" s="184">
        <f>H36+'8월'!H37</f>
        <v>894987</v>
      </c>
      <c r="I37" s="185">
        <f>I36+'8월'!I37</f>
        <v>1057616</v>
      </c>
    </row>
    <row r="39" spans="1:9" x14ac:dyDescent="0.15">
      <c r="D39" s="138"/>
      <c r="E39" s="138"/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FF00"/>
  </sheetPr>
  <dimension ref="A1:I41"/>
  <sheetViews>
    <sheetView topLeftCell="A22" workbookViewId="0">
      <selection activeCell="O37" sqref="O37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62" t="s">
        <v>34</v>
      </c>
      <c r="B1" s="163"/>
      <c r="C1" s="163"/>
      <c r="D1" s="163"/>
      <c r="E1" s="163"/>
      <c r="F1" s="163"/>
      <c r="G1" s="163"/>
      <c r="H1" s="163"/>
      <c r="I1" s="164"/>
    </row>
    <row r="2" spans="1:9" s="2" customFormat="1" ht="22.5" customHeight="1" x14ac:dyDescent="0.15">
      <c r="A2" s="154" t="s">
        <v>2</v>
      </c>
      <c r="B2" s="157" t="s">
        <v>1</v>
      </c>
      <c r="C2" s="148" t="s">
        <v>12</v>
      </c>
      <c r="D2" s="148" t="s">
        <v>15</v>
      </c>
      <c r="E2" s="149"/>
      <c r="F2" s="148" t="s">
        <v>16</v>
      </c>
      <c r="G2" s="152"/>
      <c r="H2" s="168" t="s">
        <v>22</v>
      </c>
      <c r="I2" s="169" t="s">
        <v>21</v>
      </c>
    </row>
    <row r="3" spans="1:9" s="2" customFormat="1" ht="18.75" customHeight="1" x14ac:dyDescent="0.15">
      <c r="A3" s="155"/>
      <c r="B3" s="165"/>
      <c r="C3" s="166"/>
      <c r="D3" s="150"/>
      <c r="E3" s="151"/>
      <c r="F3" s="150"/>
      <c r="G3" s="153"/>
      <c r="H3" s="170" t="s">
        <v>23</v>
      </c>
      <c r="I3" s="171" t="s">
        <v>20</v>
      </c>
    </row>
    <row r="4" spans="1:9" s="2" customFormat="1" ht="18.75" customHeight="1" x14ac:dyDescent="0.15">
      <c r="A4" s="156"/>
      <c r="B4" s="158"/>
      <c r="C4" s="167"/>
      <c r="D4" s="14" t="s">
        <v>13</v>
      </c>
      <c r="E4" s="14" t="s">
        <v>14</v>
      </c>
      <c r="F4" s="14" t="s">
        <v>18</v>
      </c>
      <c r="G4" s="16" t="s">
        <v>17</v>
      </c>
      <c r="H4" s="172"/>
      <c r="I4" s="173" t="s">
        <v>19</v>
      </c>
    </row>
    <row r="5" spans="1:9" s="110" customFormat="1" ht="23.1" customHeight="1" x14ac:dyDescent="0.15">
      <c r="A5" s="31">
        <v>1</v>
      </c>
      <c r="B5" s="32" t="s">
        <v>43</v>
      </c>
      <c r="C5" s="46" t="s">
        <v>54</v>
      </c>
      <c r="D5" s="74">
        <v>17</v>
      </c>
      <c r="E5" s="74">
        <v>26</v>
      </c>
      <c r="F5" s="113" t="s">
        <v>46</v>
      </c>
      <c r="G5" s="34" t="s">
        <v>52</v>
      </c>
      <c r="H5" s="35">
        <v>2219</v>
      </c>
      <c r="I5" s="188">
        <v>2484</v>
      </c>
    </row>
    <row r="6" spans="1:9" customFormat="1" ht="23.1" customHeight="1" x14ac:dyDescent="0.15">
      <c r="A6" s="41">
        <v>2</v>
      </c>
      <c r="B6" s="42" t="s">
        <v>40</v>
      </c>
      <c r="C6" s="33" t="s">
        <v>106</v>
      </c>
      <c r="D6" s="94">
        <v>17</v>
      </c>
      <c r="E6" s="94">
        <v>26</v>
      </c>
      <c r="F6" s="94" t="s">
        <v>46</v>
      </c>
      <c r="G6" s="47" t="s">
        <v>52</v>
      </c>
      <c r="H6" s="45">
        <v>3892</v>
      </c>
      <c r="I6" s="175">
        <v>4425</v>
      </c>
    </row>
    <row r="7" spans="1:9" customFormat="1" ht="23.1" customHeight="1" x14ac:dyDescent="0.15">
      <c r="A7" s="5">
        <v>3</v>
      </c>
      <c r="B7" s="6" t="s">
        <v>5</v>
      </c>
      <c r="C7" s="15" t="s">
        <v>81</v>
      </c>
      <c r="D7" s="19">
        <v>20</v>
      </c>
      <c r="E7" s="19">
        <v>22</v>
      </c>
      <c r="F7" s="19" t="s">
        <v>80</v>
      </c>
      <c r="G7" s="20" t="s">
        <v>53</v>
      </c>
      <c r="H7" s="13">
        <v>9769</v>
      </c>
      <c r="I7" s="180">
        <v>10993</v>
      </c>
    </row>
    <row r="8" spans="1:9" s="112" customFormat="1" ht="23.1" customHeight="1" x14ac:dyDescent="0.15">
      <c r="A8" s="60">
        <v>4</v>
      </c>
      <c r="B8" s="61" t="s">
        <v>6</v>
      </c>
      <c r="C8" s="62" t="s">
        <v>121</v>
      </c>
      <c r="D8" s="75">
        <v>21</v>
      </c>
      <c r="E8" s="75">
        <v>25</v>
      </c>
      <c r="F8" s="75" t="s">
        <v>83</v>
      </c>
      <c r="G8" s="76" t="s">
        <v>53</v>
      </c>
      <c r="H8" s="65">
        <v>12211</v>
      </c>
      <c r="I8" s="176">
        <v>13759</v>
      </c>
    </row>
    <row r="9" spans="1:9" s="110" customFormat="1" ht="23.1" customHeight="1" x14ac:dyDescent="0.15">
      <c r="A9" s="30">
        <v>5</v>
      </c>
      <c r="B9" s="24" t="s">
        <v>7</v>
      </c>
      <c r="C9" s="25" t="s">
        <v>81</v>
      </c>
      <c r="D9" s="26">
        <v>21</v>
      </c>
      <c r="E9" s="26">
        <v>22</v>
      </c>
      <c r="F9" s="88" t="s">
        <v>83</v>
      </c>
      <c r="G9" s="89" t="s">
        <v>53</v>
      </c>
      <c r="H9" s="28">
        <v>4283</v>
      </c>
      <c r="I9" s="177">
        <v>4921</v>
      </c>
    </row>
    <row r="10" spans="1:9" customFormat="1" ht="23.1" customHeight="1" x14ac:dyDescent="0.15">
      <c r="A10" s="10">
        <v>6</v>
      </c>
      <c r="B10" s="11" t="s">
        <v>8</v>
      </c>
      <c r="C10" s="29" t="s">
        <v>85</v>
      </c>
      <c r="D10" s="21">
        <v>15</v>
      </c>
      <c r="E10" s="21">
        <v>21</v>
      </c>
      <c r="F10" s="122" t="s">
        <v>83</v>
      </c>
      <c r="G10" s="123" t="s">
        <v>52</v>
      </c>
      <c r="H10" s="23">
        <v>1548</v>
      </c>
      <c r="I10" s="179">
        <v>1737</v>
      </c>
    </row>
    <row r="11" spans="1:9" customFormat="1" ht="23.1" customHeight="1" x14ac:dyDescent="0.15">
      <c r="A11" s="5">
        <v>7</v>
      </c>
      <c r="B11" s="6" t="s">
        <v>9</v>
      </c>
      <c r="C11" s="15" t="s">
        <v>85</v>
      </c>
      <c r="D11" s="19">
        <v>16</v>
      </c>
      <c r="E11" s="19">
        <v>20</v>
      </c>
      <c r="F11" s="19" t="s">
        <v>83</v>
      </c>
      <c r="G11" s="20" t="s">
        <v>53</v>
      </c>
      <c r="H11" s="13">
        <v>3659</v>
      </c>
      <c r="I11" s="180">
        <v>4125</v>
      </c>
    </row>
    <row r="12" spans="1:9" customFormat="1" ht="23.1" customHeight="1" x14ac:dyDescent="0.15">
      <c r="A12" s="5">
        <v>8</v>
      </c>
      <c r="B12" s="6" t="s">
        <v>10</v>
      </c>
      <c r="C12" s="15" t="s">
        <v>54</v>
      </c>
      <c r="D12" s="124">
        <v>17</v>
      </c>
      <c r="E12" s="124">
        <v>28</v>
      </c>
      <c r="F12" s="124" t="s">
        <v>83</v>
      </c>
      <c r="G12" s="144" t="s">
        <v>158</v>
      </c>
      <c r="H12" s="13">
        <v>24245</v>
      </c>
      <c r="I12" s="180">
        <v>25876</v>
      </c>
    </row>
    <row r="13" spans="1:9" customFormat="1" ht="23.1" customHeight="1" x14ac:dyDescent="0.15">
      <c r="A13" s="5">
        <v>9</v>
      </c>
      <c r="B13" s="6" t="s">
        <v>11</v>
      </c>
      <c r="C13" s="15" t="s">
        <v>106</v>
      </c>
      <c r="D13" s="124">
        <v>17</v>
      </c>
      <c r="E13" s="124">
        <v>23</v>
      </c>
      <c r="F13" s="124" t="s">
        <v>83</v>
      </c>
      <c r="G13" s="20" t="s">
        <v>53</v>
      </c>
      <c r="H13" s="13">
        <v>16679</v>
      </c>
      <c r="I13" s="180">
        <v>17923</v>
      </c>
    </row>
    <row r="14" spans="1:9" customFormat="1" ht="23.1" customHeight="1" x14ac:dyDescent="0.15">
      <c r="A14" s="41">
        <v>10</v>
      </c>
      <c r="B14" s="42" t="s">
        <v>5</v>
      </c>
      <c r="C14" s="33" t="s">
        <v>85</v>
      </c>
      <c r="D14" s="94">
        <v>16</v>
      </c>
      <c r="E14" s="94">
        <v>18</v>
      </c>
      <c r="F14" s="94" t="s">
        <v>83</v>
      </c>
      <c r="G14" s="47" t="s">
        <v>49</v>
      </c>
      <c r="H14" s="45">
        <v>1814</v>
      </c>
      <c r="I14" s="175">
        <v>2138</v>
      </c>
    </row>
    <row r="15" spans="1:9" s="112" customFormat="1" ht="23.1" customHeight="1" x14ac:dyDescent="0.15">
      <c r="A15" s="60">
        <v>11</v>
      </c>
      <c r="B15" s="61" t="s">
        <v>6</v>
      </c>
      <c r="C15" s="62" t="s">
        <v>105</v>
      </c>
      <c r="D15" s="66">
        <v>17</v>
      </c>
      <c r="E15" s="66">
        <v>24</v>
      </c>
      <c r="F15" s="75" t="s">
        <v>83</v>
      </c>
      <c r="G15" s="76" t="s">
        <v>53</v>
      </c>
      <c r="H15" s="65">
        <v>3594</v>
      </c>
      <c r="I15" s="176">
        <v>4779</v>
      </c>
    </row>
    <row r="16" spans="1:9" s="110" customFormat="1" ht="23.1" customHeight="1" x14ac:dyDescent="0.15">
      <c r="A16" s="30">
        <v>12</v>
      </c>
      <c r="B16" s="24" t="s">
        <v>7</v>
      </c>
      <c r="C16" s="25" t="s">
        <v>106</v>
      </c>
      <c r="D16" s="26">
        <v>18</v>
      </c>
      <c r="E16" s="26">
        <v>21</v>
      </c>
      <c r="F16" s="88" t="s">
        <v>83</v>
      </c>
      <c r="G16" s="89" t="s">
        <v>53</v>
      </c>
      <c r="H16" s="28">
        <v>6119</v>
      </c>
      <c r="I16" s="177">
        <v>8041</v>
      </c>
    </row>
    <row r="17" spans="1:9" customFormat="1" ht="23.1" customHeight="1" x14ac:dyDescent="0.15">
      <c r="A17" s="36">
        <v>13</v>
      </c>
      <c r="B17" s="37" t="s">
        <v>8</v>
      </c>
      <c r="C17" s="48" t="s">
        <v>85</v>
      </c>
      <c r="D17" s="38">
        <v>14</v>
      </c>
      <c r="E17" s="38">
        <v>18</v>
      </c>
      <c r="F17" s="77" t="s">
        <v>46</v>
      </c>
      <c r="G17" s="78" t="s">
        <v>49</v>
      </c>
      <c r="H17" s="40">
        <v>54</v>
      </c>
      <c r="I17" s="178">
        <v>76</v>
      </c>
    </row>
    <row r="18" spans="1:9" customFormat="1" ht="23.1" customHeight="1" x14ac:dyDescent="0.15">
      <c r="A18" s="41">
        <v>14</v>
      </c>
      <c r="B18" s="42" t="s">
        <v>9</v>
      </c>
      <c r="C18" s="33" t="s">
        <v>81</v>
      </c>
      <c r="D18" s="94">
        <v>14</v>
      </c>
      <c r="E18" s="94">
        <v>21</v>
      </c>
      <c r="F18" s="94" t="s">
        <v>45</v>
      </c>
      <c r="G18" s="47" t="s">
        <v>52</v>
      </c>
      <c r="H18" s="45">
        <v>1518</v>
      </c>
      <c r="I18" s="175">
        <v>1697</v>
      </c>
    </row>
    <row r="19" spans="1:9" customFormat="1" ht="23.1" customHeight="1" x14ac:dyDescent="0.15">
      <c r="A19" s="41">
        <v>15</v>
      </c>
      <c r="B19" s="42" t="s">
        <v>10</v>
      </c>
      <c r="C19" s="33" t="s">
        <v>92</v>
      </c>
      <c r="D19" s="94">
        <v>16</v>
      </c>
      <c r="E19" s="94">
        <v>25</v>
      </c>
      <c r="F19" s="95" t="s">
        <v>45</v>
      </c>
      <c r="G19" s="47" t="s">
        <v>52</v>
      </c>
      <c r="H19" s="45">
        <v>3120</v>
      </c>
      <c r="I19" s="175">
        <v>3310</v>
      </c>
    </row>
    <row r="20" spans="1:9" customFormat="1" ht="23.1" customHeight="1" x14ac:dyDescent="0.15">
      <c r="A20" s="41">
        <v>16</v>
      </c>
      <c r="B20" s="42" t="s">
        <v>11</v>
      </c>
      <c r="C20" s="33" t="s">
        <v>159</v>
      </c>
      <c r="D20" s="94">
        <v>17</v>
      </c>
      <c r="E20" s="94">
        <v>25</v>
      </c>
      <c r="F20" s="95" t="s">
        <v>45</v>
      </c>
      <c r="G20" s="47" t="s">
        <v>52</v>
      </c>
      <c r="H20" s="45">
        <v>4954</v>
      </c>
      <c r="I20" s="175">
        <v>5298</v>
      </c>
    </row>
    <row r="21" spans="1:9" customFormat="1" ht="23.1" customHeight="1" x14ac:dyDescent="0.15">
      <c r="A21" s="41">
        <v>17</v>
      </c>
      <c r="B21" s="42" t="s">
        <v>5</v>
      </c>
      <c r="C21" s="33" t="s">
        <v>114</v>
      </c>
      <c r="D21" s="94">
        <v>16</v>
      </c>
      <c r="E21" s="94">
        <v>25</v>
      </c>
      <c r="F21" s="94" t="s">
        <v>45</v>
      </c>
      <c r="G21" s="47" t="s">
        <v>53</v>
      </c>
      <c r="H21" s="45">
        <v>10049</v>
      </c>
      <c r="I21" s="175">
        <v>10492</v>
      </c>
    </row>
    <row r="22" spans="1:9" s="112" customFormat="1" ht="23.1" customHeight="1" x14ac:dyDescent="0.15">
      <c r="A22" s="60">
        <v>18</v>
      </c>
      <c r="B22" s="61" t="s">
        <v>6</v>
      </c>
      <c r="C22" s="62" t="s">
        <v>106</v>
      </c>
      <c r="D22" s="66">
        <v>14</v>
      </c>
      <c r="E22" s="66">
        <v>19</v>
      </c>
      <c r="F22" s="66" t="s">
        <v>83</v>
      </c>
      <c r="G22" s="64" t="s">
        <v>53</v>
      </c>
      <c r="H22" s="65">
        <v>12560</v>
      </c>
      <c r="I22" s="176">
        <v>14147</v>
      </c>
    </row>
    <row r="23" spans="1:9" s="110" customFormat="1" ht="23.1" customHeight="1" x14ac:dyDescent="0.15">
      <c r="A23" s="30">
        <v>19</v>
      </c>
      <c r="B23" s="24" t="s">
        <v>7</v>
      </c>
      <c r="C23" s="25" t="s">
        <v>54</v>
      </c>
      <c r="D23" s="26">
        <v>9</v>
      </c>
      <c r="E23" s="26">
        <v>19</v>
      </c>
      <c r="F23" s="26" t="s">
        <v>83</v>
      </c>
      <c r="G23" s="27" t="s">
        <v>53</v>
      </c>
      <c r="H23" s="28">
        <v>10970</v>
      </c>
      <c r="I23" s="177">
        <v>13084</v>
      </c>
    </row>
    <row r="24" spans="1:9" customFormat="1" ht="23.1" customHeight="1" x14ac:dyDescent="0.15">
      <c r="A24" s="36">
        <v>20</v>
      </c>
      <c r="B24" s="37" t="s">
        <v>8</v>
      </c>
      <c r="C24" s="48" t="s">
        <v>54</v>
      </c>
      <c r="D24" s="38">
        <v>5</v>
      </c>
      <c r="E24" s="38">
        <v>17</v>
      </c>
      <c r="F24" s="38" t="s">
        <v>45</v>
      </c>
      <c r="G24" s="39" t="s">
        <v>52</v>
      </c>
      <c r="H24" s="40">
        <v>2387</v>
      </c>
      <c r="I24" s="178">
        <v>2586</v>
      </c>
    </row>
    <row r="25" spans="1:9" customFormat="1" ht="23.1" customHeight="1" x14ac:dyDescent="0.15">
      <c r="A25" s="41">
        <v>21</v>
      </c>
      <c r="B25" s="42" t="s">
        <v>9</v>
      </c>
      <c r="C25" s="33" t="s">
        <v>54</v>
      </c>
      <c r="D25" s="94">
        <v>5</v>
      </c>
      <c r="E25" s="94">
        <v>14</v>
      </c>
      <c r="F25" s="94" t="s">
        <v>45</v>
      </c>
      <c r="G25" s="47" t="s">
        <v>52</v>
      </c>
      <c r="H25" s="45">
        <v>4538</v>
      </c>
      <c r="I25" s="175">
        <v>4745</v>
      </c>
    </row>
    <row r="26" spans="1:9" customFormat="1" ht="23.1" customHeight="1" x14ac:dyDescent="0.15">
      <c r="A26" s="41">
        <v>22</v>
      </c>
      <c r="B26" s="42" t="s">
        <v>10</v>
      </c>
      <c r="C26" s="33" t="s">
        <v>54</v>
      </c>
      <c r="D26" s="94">
        <v>7</v>
      </c>
      <c r="E26" s="94">
        <v>19</v>
      </c>
      <c r="F26" s="94" t="s">
        <v>45</v>
      </c>
      <c r="G26" s="47" t="s">
        <v>52</v>
      </c>
      <c r="H26" s="45">
        <v>4111</v>
      </c>
      <c r="I26" s="175">
        <v>4380</v>
      </c>
    </row>
    <row r="27" spans="1:9" customFormat="1" ht="23.1" customHeight="1" x14ac:dyDescent="0.15">
      <c r="A27" s="41">
        <v>23</v>
      </c>
      <c r="B27" s="42" t="s">
        <v>11</v>
      </c>
      <c r="C27" s="33" t="s">
        <v>54</v>
      </c>
      <c r="D27" s="94">
        <v>12</v>
      </c>
      <c r="E27" s="94">
        <v>20</v>
      </c>
      <c r="F27" s="94" t="s">
        <v>45</v>
      </c>
      <c r="G27" s="47" t="s">
        <v>52</v>
      </c>
      <c r="H27" s="45">
        <v>6814</v>
      </c>
      <c r="I27" s="175">
        <v>7162</v>
      </c>
    </row>
    <row r="28" spans="1:9" s="110" customFormat="1" ht="23.1" customHeight="1" x14ac:dyDescent="0.15">
      <c r="A28" s="41">
        <v>24</v>
      </c>
      <c r="B28" s="42" t="s">
        <v>5</v>
      </c>
      <c r="C28" s="33" t="s">
        <v>54</v>
      </c>
      <c r="D28" s="94">
        <v>11</v>
      </c>
      <c r="E28" s="94">
        <v>22</v>
      </c>
      <c r="F28" s="94" t="s">
        <v>45</v>
      </c>
      <c r="G28" s="47" t="s">
        <v>53</v>
      </c>
      <c r="H28" s="45">
        <v>13739</v>
      </c>
      <c r="I28" s="175">
        <v>14659</v>
      </c>
    </row>
    <row r="29" spans="1:9" s="110" customFormat="1" ht="23.1" customHeight="1" x14ac:dyDescent="0.15">
      <c r="A29" s="60">
        <v>25</v>
      </c>
      <c r="B29" s="61" t="s">
        <v>6</v>
      </c>
      <c r="C29" s="62" t="s">
        <v>66</v>
      </c>
      <c r="D29" s="66">
        <v>13</v>
      </c>
      <c r="E29" s="66">
        <v>18</v>
      </c>
      <c r="F29" s="66" t="s">
        <v>83</v>
      </c>
      <c r="G29" s="64" t="s">
        <v>53</v>
      </c>
      <c r="H29" s="65">
        <v>16800</v>
      </c>
      <c r="I29" s="176">
        <v>18270</v>
      </c>
    </row>
    <row r="30" spans="1:9" s="110" customFormat="1" ht="23.1" customHeight="1" x14ac:dyDescent="0.15">
      <c r="A30" s="30">
        <v>26</v>
      </c>
      <c r="B30" s="24" t="s">
        <v>7</v>
      </c>
      <c r="C30" s="25" t="s">
        <v>81</v>
      </c>
      <c r="D30" s="26">
        <v>11</v>
      </c>
      <c r="E30" s="26">
        <v>14</v>
      </c>
      <c r="F30" s="26" t="s">
        <v>83</v>
      </c>
      <c r="G30" s="27" t="s">
        <v>53</v>
      </c>
      <c r="H30" s="28">
        <v>7838</v>
      </c>
      <c r="I30" s="177">
        <v>9254</v>
      </c>
    </row>
    <row r="31" spans="1:9" s="110" customFormat="1" ht="23.1" customHeight="1" x14ac:dyDescent="0.15">
      <c r="A31" s="36">
        <v>27</v>
      </c>
      <c r="B31" s="37" t="s">
        <v>8</v>
      </c>
      <c r="C31" s="48" t="s">
        <v>55</v>
      </c>
      <c r="D31" s="38">
        <v>4</v>
      </c>
      <c r="E31" s="38">
        <v>12</v>
      </c>
      <c r="F31" s="38" t="s">
        <v>45</v>
      </c>
      <c r="G31" s="39" t="s">
        <v>52</v>
      </c>
      <c r="H31" s="40">
        <v>1998</v>
      </c>
      <c r="I31" s="178">
        <v>2177</v>
      </c>
    </row>
    <row r="32" spans="1:9" customFormat="1" ht="23.1" customHeight="1" x14ac:dyDescent="0.15">
      <c r="A32" s="41">
        <v>28</v>
      </c>
      <c r="B32" s="42" t="s">
        <v>9</v>
      </c>
      <c r="C32" s="33" t="s">
        <v>55</v>
      </c>
      <c r="D32" s="94">
        <v>3</v>
      </c>
      <c r="E32" s="94">
        <v>14</v>
      </c>
      <c r="F32" s="94" t="s">
        <v>45</v>
      </c>
      <c r="G32" s="47" t="s">
        <v>52</v>
      </c>
      <c r="H32" s="45">
        <v>2606</v>
      </c>
      <c r="I32" s="175">
        <v>2788</v>
      </c>
    </row>
    <row r="33" spans="1:9" customFormat="1" ht="23.1" customHeight="1" x14ac:dyDescent="0.15">
      <c r="A33" s="41">
        <v>29</v>
      </c>
      <c r="B33" s="42" t="s">
        <v>10</v>
      </c>
      <c r="C33" s="33" t="s">
        <v>55</v>
      </c>
      <c r="D33" s="94">
        <v>6</v>
      </c>
      <c r="E33" s="94">
        <v>18</v>
      </c>
      <c r="F33" s="94" t="s">
        <v>45</v>
      </c>
      <c r="G33" s="47" t="s">
        <v>52</v>
      </c>
      <c r="H33" s="45">
        <v>4419</v>
      </c>
      <c r="I33" s="175">
        <v>4677</v>
      </c>
    </row>
    <row r="34" spans="1:9" customFormat="1" ht="23.25" customHeight="1" x14ac:dyDescent="0.15">
      <c r="A34" s="41">
        <v>30</v>
      </c>
      <c r="B34" s="42" t="s">
        <v>11</v>
      </c>
      <c r="C34" s="33" t="s">
        <v>66</v>
      </c>
      <c r="D34" s="94">
        <v>8</v>
      </c>
      <c r="E34" s="94">
        <v>18</v>
      </c>
      <c r="F34" s="94" t="s">
        <v>45</v>
      </c>
      <c r="G34" s="47" t="s">
        <v>52</v>
      </c>
      <c r="H34" s="45">
        <v>4476</v>
      </c>
      <c r="I34" s="175">
        <v>4816</v>
      </c>
    </row>
    <row r="35" spans="1:9" customFormat="1" ht="23.1" customHeight="1" thickBot="1" x14ac:dyDescent="0.2">
      <c r="A35" s="49">
        <v>31</v>
      </c>
      <c r="B35" s="50" t="s">
        <v>5</v>
      </c>
      <c r="C35" s="51" t="s">
        <v>66</v>
      </c>
      <c r="D35" s="52">
        <v>11</v>
      </c>
      <c r="E35" s="52">
        <v>21</v>
      </c>
      <c r="F35" s="52" t="s">
        <v>45</v>
      </c>
      <c r="G35" s="53" t="s">
        <v>53</v>
      </c>
      <c r="H35" s="54">
        <v>6442</v>
      </c>
      <c r="I35" s="181">
        <v>7208</v>
      </c>
    </row>
    <row r="36" spans="1:9" s="3" customFormat="1" ht="21" customHeight="1" thickBot="1" x14ac:dyDescent="0.2">
      <c r="A36" s="159" t="s">
        <v>27</v>
      </c>
      <c r="B36" s="160"/>
      <c r="C36" s="160"/>
      <c r="D36" s="160"/>
      <c r="E36" s="160"/>
      <c r="F36" s="160"/>
      <c r="G36" s="161"/>
      <c r="H36" s="182">
        <f t="shared" ref="H36:I36" si="0">SUM(H5:H35)</f>
        <v>209425</v>
      </c>
      <c r="I36" s="183">
        <f t="shared" si="0"/>
        <v>232027</v>
      </c>
    </row>
    <row r="37" spans="1:9" s="3" customFormat="1" ht="21" customHeight="1" thickBot="1" x14ac:dyDescent="0.2">
      <c r="A37" s="145" t="s">
        <v>28</v>
      </c>
      <c r="B37" s="146"/>
      <c r="C37" s="146"/>
      <c r="D37" s="146"/>
      <c r="E37" s="146"/>
      <c r="F37" s="146"/>
      <c r="G37" s="147"/>
      <c r="H37" s="184">
        <f>H36+'9월'!H37</f>
        <v>1104412</v>
      </c>
      <c r="I37" s="185">
        <f>I36+'9월'!I37</f>
        <v>1289643</v>
      </c>
    </row>
    <row r="39" spans="1:9" x14ac:dyDescent="0.15">
      <c r="D39" s="138"/>
      <c r="E39" s="138"/>
    </row>
    <row r="41" spans="1:9" x14ac:dyDescent="0.15">
      <c r="H41" s="4"/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FF00"/>
  </sheetPr>
  <dimension ref="A1:I49"/>
  <sheetViews>
    <sheetView topLeftCell="A16" workbookViewId="0">
      <selection activeCell="L10" sqref="L10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62" t="s">
        <v>35</v>
      </c>
      <c r="B1" s="163"/>
      <c r="C1" s="163"/>
      <c r="D1" s="163"/>
      <c r="E1" s="163"/>
      <c r="F1" s="163"/>
      <c r="G1" s="163"/>
      <c r="H1" s="163"/>
      <c r="I1" s="164"/>
    </row>
    <row r="2" spans="1:9" s="2" customFormat="1" ht="22.5" customHeight="1" x14ac:dyDescent="0.15">
      <c r="A2" s="154" t="s">
        <v>2</v>
      </c>
      <c r="B2" s="157" t="s">
        <v>1</v>
      </c>
      <c r="C2" s="148" t="s">
        <v>12</v>
      </c>
      <c r="D2" s="148" t="s">
        <v>15</v>
      </c>
      <c r="E2" s="149"/>
      <c r="F2" s="148" t="s">
        <v>16</v>
      </c>
      <c r="G2" s="152"/>
      <c r="H2" s="168" t="s">
        <v>22</v>
      </c>
      <c r="I2" s="169" t="s">
        <v>21</v>
      </c>
    </row>
    <row r="3" spans="1:9" s="2" customFormat="1" ht="18.75" customHeight="1" x14ac:dyDescent="0.15">
      <c r="A3" s="155"/>
      <c r="B3" s="165"/>
      <c r="C3" s="166"/>
      <c r="D3" s="150"/>
      <c r="E3" s="151"/>
      <c r="F3" s="150"/>
      <c r="G3" s="153"/>
      <c r="H3" s="170" t="s">
        <v>23</v>
      </c>
      <c r="I3" s="171" t="s">
        <v>20</v>
      </c>
    </row>
    <row r="4" spans="1:9" s="2" customFormat="1" ht="18.75" customHeight="1" x14ac:dyDescent="0.15">
      <c r="A4" s="156"/>
      <c r="B4" s="158"/>
      <c r="C4" s="167"/>
      <c r="D4" s="14" t="s">
        <v>13</v>
      </c>
      <c r="E4" s="14" t="s">
        <v>14</v>
      </c>
      <c r="F4" s="14" t="s">
        <v>18</v>
      </c>
      <c r="G4" s="16" t="s">
        <v>17</v>
      </c>
      <c r="H4" s="172"/>
      <c r="I4" s="173" t="s">
        <v>19</v>
      </c>
    </row>
    <row r="5" spans="1:9" ht="23.1" customHeight="1" x14ac:dyDescent="0.15">
      <c r="A5" s="55">
        <v>1</v>
      </c>
      <c r="B5" s="56" t="s">
        <v>42</v>
      </c>
      <c r="C5" s="57" t="s">
        <v>54</v>
      </c>
      <c r="D5" s="58">
        <v>11</v>
      </c>
      <c r="E5" s="58">
        <v>18</v>
      </c>
      <c r="F5" s="58" t="s">
        <v>80</v>
      </c>
      <c r="G5" s="139" t="s">
        <v>53</v>
      </c>
      <c r="H5" s="59">
        <v>17868</v>
      </c>
      <c r="I5" s="186">
        <v>19537</v>
      </c>
    </row>
    <row r="6" spans="1:9" ht="23.1" customHeight="1" x14ac:dyDescent="0.15">
      <c r="A6" s="30">
        <v>2</v>
      </c>
      <c r="B6" s="24" t="s">
        <v>44</v>
      </c>
      <c r="C6" s="25" t="s">
        <v>55</v>
      </c>
      <c r="D6" s="26">
        <v>4</v>
      </c>
      <c r="E6" s="26">
        <v>12</v>
      </c>
      <c r="F6" s="26" t="s">
        <v>80</v>
      </c>
      <c r="G6" s="27" t="s">
        <v>53</v>
      </c>
      <c r="H6" s="28">
        <v>6145</v>
      </c>
      <c r="I6" s="177">
        <v>7602</v>
      </c>
    </row>
    <row r="7" spans="1:9" ht="23.1" customHeight="1" x14ac:dyDescent="0.15">
      <c r="A7" s="36">
        <v>3</v>
      </c>
      <c r="B7" s="37" t="s">
        <v>8</v>
      </c>
      <c r="C7" s="48" t="s">
        <v>160</v>
      </c>
      <c r="D7" s="38">
        <v>1</v>
      </c>
      <c r="E7" s="38">
        <v>15</v>
      </c>
      <c r="F7" s="38" t="s">
        <v>46</v>
      </c>
      <c r="G7" s="39" t="s">
        <v>52</v>
      </c>
      <c r="H7" s="40">
        <v>1616</v>
      </c>
      <c r="I7" s="178">
        <v>1802</v>
      </c>
    </row>
    <row r="8" spans="1:9" ht="23.1" customHeight="1" x14ac:dyDescent="0.15">
      <c r="A8" s="41">
        <v>4</v>
      </c>
      <c r="B8" s="42" t="s">
        <v>9</v>
      </c>
      <c r="C8" s="33" t="s">
        <v>55</v>
      </c>
      <c r="D8" s="43">
        <v>6</v>
      </c>
      <c r="E8" s="43">
        <v>16</v>
      </c>
      <c r="F8" s="43" t="s">
        <v>46</v>
      </c>
      <c r="G8" s="44" t="s">
        <v>52</v>
      </c>
      <c r="H8" s="45">
        <v>1681</v>
      </c>
      <c r="I8" s="175">
        <v>1869</v>
      </c>
    </row>
    <row r="9" spans="1:9" ht="23.1" customHeight="1" x14ac:dyDescent="0.15">
      <c r="A9" s="41">
        <v>5</v>
      </c>
      <c r="B9" s="42" t="s">
        <v>10</v>
      </c>
      <c r="C9" s="33" t="s">
        <v>55</v>
      </c>
      <c r="D9" s="94">
        <v>6</v>
      </c>
      <c r="E9" s="94">
        <v>19</v>
      </c>
      <c r="F9" s="94" t="s">
        <v>46</v>
      </c>
      <c r="G9" s="47" t="s">
        <v>52</v>
      </c>
      <c r="H9" s="45">
        <v>1801</v>
      </c>
      <c r="I9" s="175">
        <v>2044</v>
      </c>
    </row>
    <row r="10" spans="1:9" ht="23.1" customHeight="1" x14ac:dyDescent="0.15">
      <c r="A10" s="41">
        <v>6</v>
      </c>
      <c r="B10" s="42" t="s">
        <v>11</v>
      </c>
      <c r="C10" s="33" t="s">
        <v>63</v>
      </c>
      <c r="D10" s="94">
        <v>7</v>
      </c>
      <c r="E10" s="94">
        <v>19</v>
      </c>
      <c r="F10" s="94" t="s">
        <v>46</v>
      </c>
      <c r="G10" s="47" t="s">
        <v>52</v>
      </c>
      <c r="H10" s="45">
        <v>2419</v>
      </c>
      <c r="I10" s="175">
        <v>2693</v>
      </c>
    </row>
    <row r="11" spans="1:9" ht="23.1" customHeight="1" x14ac:dyDescent="0.15">
      <c r="A11" s="41">
        <v>7</v>
      </c>
      <c r="B11" s="42" t="s">
        <v>5</v>
      </c>
      <c r="C11" s="33" t="s">
        <v>65</v>
      </c>
      <c r="D11" s="94">
        <v>8</v>
      </c>
      <c r="E11" s="94">
        <v>20</v>
      </c>
      <c r="F11" s="94" t="s">
        <v>46</v>
      </c>
      <c r="G11" s="47" t="s">
        <v>52</v>
      </c>
      <c r="H11" s="45">
        <v>5707</v>
      </c>
      <c r="I11" s="175">
        <v>6422</v>
      </c>
    </row>
    <row r="12" spans="1:9" ht="23.1" customHeight="1" x14ac:dyDescent="0.15">
      <c r="A12" s="60">
        <v>8</v>
      </c>
      <c r="B12" s="61" t="s">
        <v>6</v>
      </c>
      <c r="C12" s="62" t="s">
        <v>106</v>
      </c>
      <c r="D12" s="63">
        <v>12</v>
      </c>
      <c r="E12" s="63">
        <v>17</v>
      </c>
      <c r="F12" s="63" t="s">
        <v>80</v>
      </c>
      <c r="G12" s="64" t="s">
        <v>53</v>
      </c>
      <c r="H12" s="65">
        <v>12595</v>
      </c>
      <c r="I12" s="176">
        <v>14001</v>
      </c>
    </row>
    <row r="13" spans="1:9" ht="23.1" customHeight="1" x14ac:dyDescent="0.15">
      <c r="A13" s="30">
        <v>9</v>
      </c>
      <c r="B13" s="24" t="s">
        <v>7</v>
      </c>
      <c r="C13" s="25" t="s">
        <v>55</v>
      </c>
      <c r="D13" s="67">
        <v>10</v>
      </c>
      <c r="E13" s="67">
        <v>18</v>
      </c>
      <c r="F13" s="67" t="s">
        <v>80</v>
      </c>
      <c r="G13" s="27" t="s">
        <v>52</v>
      </c>
      <c r="H13" s="28">
        <v>7257</v>
      </c>
      <c r="I13" s="177">
        <v>9058</v>
      </c>
    </row>
    <row r="14" spans="1:9" ht="23.1" customHeight="1" x14ac:dyDescent="0.15">
      <c r="A14" s="36">
        <v>10</v>
      </c>
      <c r="B14" s="37" t="s">
        <v>8</v>
      </c>
      <c r="C14" s="48" t="s">
        <v>55</v>
      </c>
      <c r="D14" s="38">
        <v>5</v>
      </c>
      <c r="E14" s="38">
        <v>13</v>
      </c>
      <c r="F14" s="38" t="s">
        <v>45</v>
      </c>
      <c r="G14" s="39" t="s">
        <v>50</v>
      </c>
      <c r="H14" s="40">
        <v>2505</v>
      </c>
      <c r="I14" s="178">
        <v>2722</v>
      </c>
    </row>
    <row r="15" spans="1:9" ht="23.1" customHeight="1" x14ac:dyDescent="0.15">
      <c r="A15" s="41">
        <v>11</v>
      </c>
      <c r="B15" s="42" t="s">
        <v>9</v>
      </c>
      <c r="C15" s="33" t="s">
        <v>54</v>
      </c>
      <c r="D15" s="94">
        <v>4</v>
      </c>
      <c r="E15" s="94">
        <v>15</v>
      </c>
      <c r="F15" s="94" t="s">
        <v>45</v>
      </c>
      <c r="G15" s="47" t="s">
        <v>47</v>
      </c>
      <c r="H15" s="45">
        <v>1366</v>
      </c>
      <c r="I15" s="175">
        <v>1547</v>
      </c>
    </row>
    <row r="16" spans="1:9" ht="23.1" customHeight="1" x14ac:dyDescent="0.15">
      <c r="A16" s="41">
        <v>12</v>
      </c>
      <c r="B16" s="42" t="s">
        <v>10</v>
      </c>
      <c r="C16" s="33" t="s">
        <v>55</v>
      </c>
      <c r="D16" s="94">
        <v>6</v>
      </c>
      <c r="E16" s="94">
        <v>18</v>
      </c>
      <c r="F16" s="94" t="s">
        <v>45</v>
      </c>
      <c r="G16" s="47" t="s">
        <v>47</v>
      </c>
      <c r="H16" s="45">
        <v>1737</v>
      </c>
      <c r="I16" s="175">
        <v>1957</v>
      </c>
    </row>
    <row r="17" spans="1:9" ht="23.1" customHeight="1" x14ac:dyDescent="0.15">
      <c r="A17" s="41">
        <v>13</v>
      </c>
      <c r="B17" s="42" t="s">
        <v>11</v>
      </c>
      <c r="C17" s="33" t="s">
        <v>54</v>
      </c>
      <c r="D17" s="94">
        <v>7</v>
      </c>
      <c r="E17" s="94">
        <v>18</v>
      </c>
      <c r="F17" s="94" t="s">
        <v>45</v>
      </c>
      <c r="G17" s="47" t="s">
        <v>47</v>
      </c>
      <c r="H17" s="45">
        <v>2660</v>
      </c>
      <c r="I17" s="175">
        <v>2947</v>
      </c>
    </row>
    <row r="18" spans="1:9" ht="23.1" customHeight="1" x14ac:dyDescent="0.15">
      <c r="A18" s="41">
        <v>14</v>
      </c>
      <c r="B18" s="42" t="s">
        <v>5</v>
      </c>
      <c r="C18" s="33" t="s">
        <v>55</v>
      </c>
      <c r="D18" s="94">
        <v>5</v>
      </c>
      <c r="E18" s="94">
        <v>15</v>
      </c>
      <c r="F18" s="94" t="s">
        <v>45</v>
      </c>
      <c r="G18" s="47" t="s">
        <v>47</v>
      </c>
      <c r="H18" s="45">
        <v>4300</v>
      </c>
      <c r="I18" s="175">
        <v>4787</v>
      </c>
    </row>
    <row r="19" spans="1:9" ht="23.1" customHeight="1" x14ac:dyDescent="0.15">
      <c r="A19" s="60">
        <v>15</v>
      </c>
      <c r="B19" s="61" t="s">
        <v>6</v>
      </c>
      <c r="C19" s="62" t="s">
        <v>55</v>
      </c>
      <c r="D19" s="66">
        <v>4</v>
      </c>
      <c r="E19" s="66">
        <v>18</v>
      </c>
      <c r="F19" s="66" t="s">
        <v>46</v>
      </c>
      <c r="G19" s="64" t="s">
        <v>52</v>
      </c>
      <c r="H19" s="65">
        <v>10597</v>
      </c>
      <c r="I19" s="176">
        <v>11938</v>
      </c>
    </row>
    <row r="20" spans="1:9" ht="23.1" customHeight="1" x14ac:dyDescent="0.15">
      <c r="A20" s="30">
        <v>16</v>
      </c>
      <c r="B20" s="24" t="s">
        <v>7</v>
      </c>
      <c r="C20" s="25" t="s">
        <v>161</v>
      </c>
      <c r="D20" s="26">
        <v>6</v>
      </c>
      <c r="E20" s="26">
        <v>19</v>
      </c>
      <c r="F20" s="26" t="s">
        <v>46</v>
      </c>
      <c r="G20" s="27" t="s">
        <v>50</v>
      </c>
      <c r="H20" s="28">
        <v>6427</v>
      </c>
      <c r="I20" s="177">
        <v>7906</v>
      </c>
    </row>
    <row r="21" spans="1:9" ht="23.1" customHeight="1" x14ac:dyDescent="0.15">
      <c r="A21" s="36">
        <v>17</v>
      </c>
      <c r="B21" s="37" t="s">
        <v>8</v>
      </c>
      <c r="C21" s="48" t="s">
        <v>54</v>
      </c>
      <c r="D21" s="38">
        <v>-1</v>
      </c>
      <c r="E21" s="38">
        <v>10</v>
      </c>
      <c r="F21" s="38" t="s">
        <v>45</v>
      </c>
      <c r="G21" s="39" t="s">
        <v>49</v>
      </c>
      <c r="H21" s="40">
        <v>968</v>
      </c>
      <c r="I21" s="178">
        <v>1028</v>
      </c>
    </row>
    <row r="22" spans="1:9" ht="23.1" customHeight="1" x14ac:dyDescent="0.15">
      <c r="A22" s="41">
        <v>18</v>
      </c>
      <c r="B22" s="42" t="s">
        <v>9</v>
      </c>
      <c r="C22" s="33" t="s">
        <v>55</v>
      </c>
      <c r="D22" s="94">
        <v>-2</v>
      </c>
      <c r="E22" s="94">
        <v>7</v>
      </c>
      <c r="F22" s="94" t="s">
        <v>45</v>
      </c>
      <c r="G22" s="47" t="s">
        <v>49</v>
      </c>
      <c r="H22" s="45">
        <v>991</v>
      </c>
      <c r="I22" s="175">
        <v>1044</v>
      </c>
    </row>
    <row r="23" spans="1:9" ht="23.1" customHeight="1" x14ac:dyDescent="0.15">
      <c r="A23" s="41">
        <v>19</v>
      </c>
      <c r="B23" s="42" t="s">
        <v>10</v>
      </c>
      <c r="C23" s="33" t="s">
        <v>55</v>
      </c>
      <c r="D23" s="94">
        <v>-2</v>
      </c>
      <c r="E23" s="94">
        <v>9</v>
      </c>
      <c r="F23" s="94" t="s">
        <v>45</v>
      </c>
      <c r="G23" s="47" t="s">
        <v>49</v>
      </c>
      <c r="H23" s="45">
        <v>577</v>
      </c>
      <c r="I23" s="175">
        <v>630</v>
      </c>
    </row>
    <row r="24" spans="1:9" ht="23.1" customHeight="1" x14ac:dyDescent="0.15">
      <c r="A24" s="41">
        <v>20</v>
      </c>
      <c r="B24" s="42" t="s">
        <v>11</v>
      </c>
      <c r="C24" s="33" t="s">
        <v>54</v>
      </c>
      <c r="D24" s="94">
        <v>2</v>
      </c>
      <c r="E24" s="94">
        <v>15</v>
      </c>
      <c r="F24" s="94" t="s">
        <v>45</v>
      </c>
      <c r="G24" s="47" t="s">
        <v>49</v>
      </c>
      <c r="H24" s="45">
        <v>920</v>
      </c>
      <c r="I24" s="175">
        <v>1069</v>
      </c>
    </row>
    <row r="25" spans="1:9" ht="23.1" customHeight="1" x14ac:dyDescent="0.15">
      <c r="A25" s="41">
        <v>21</v>
      </c>
      <c r="B25" s="42" t="s">
        <v>5</v>
      </c>
      <c r="C25" s="33" t="s">
        <v>54</v>
      </c>
      <c r="D25" s="94">
        <v>1</v>
      </c>
      <c r="E25" s="94">
        <v>13</v>
      </c>
      <c r="F25" s="94" t="s">
        <v>45</v>
      </c>
      <c r="G25" s="47" t="s">
        <v>50</v>
      </c>
      <c r="H25" s="45">
        <v>1641</v>
      </c>
      <c r="I25" s="175">
        <v>1918</v>
      </c>
    </row>
    <row r="26" spans="1:9" ht="23.1" customHeight="1" x14ac:dyDescent="0.15">
      <c r="A26" s="60">
        <v>22</v>
      </c>
      <c r="B26" s="61" t="s">
        <v>6</v>
      </c>
      <c r="C26" s="62" t="s">
        <v>54</v>
      </c>
      <c r="D26" s="66">
        <v>5</v>
      </c>
      <c r="E26" s="66">
        <v>15</v>
      </c>
      <c r="F26" s="66" t="s">
        <v>46</v>
      </c>
      <c r="G26" s="64" t="s">
        <v>52</v>
      </c>
      <c r="H26" s="65">
        <v>7844</v>
      </c>
      <c r="I26" s="176">
        <v>9015</v>
      </c>
    </row>
    <row r="27" spans="1:9" ht="23.1" customHeight="1" x14ac:dyDescent="0.15">
      <c r="A27" s="30">
        <v>23</v>
      </c>
      <c r="B27" s="24" t="s">
        <v>7</v>
      </c>
      <c r="C27" s="25" t="s">
        <v>66</v>
      </c>
      <c r="D27" s="26">
        <v>7</v>
      </c>
      <c r="E27" s="26">
        <v>14</v>
      </c>
      <c r="F27" s="26" t="s">
        <v>46</v>
      </c>
      <c r="G27" s="27" t="s">
        <v>50</v>
      </c>
      <c r="H27" s="28">
        <v>4285</v>
      </c>
      <c r="I27" s="177">
        <v>5688</v>
      </c>
    </row>
    <row r="28" spans="1:9" ht="23.1" customHeight="1" x14ac:dyDescent="0.15">
      <c r="A28" s="36">
        <v>24</v>
      </c>
      <c r="B28" s="37" t="s">
        <v>8</v>
      </c>
      <c r="C28" s="48" t="s">
        <v>84</v>
      </c>
      <c r="D28" s="38">
        <v>10</v>
      </c>
      <c r="E28" s="38">
        <v>17</v>
      </c>
      <c r="F28" s="38" t="s">
        <v>45</v>
      </c>
      <c r="G28" s="39" t="s">
        <v>48</v>
      </c>
      <c r="H28" s="40">
        <v>739</v>
      </c>
      <c r="I28" s="178">
        <v>916</v>
      </c>
    </row>
    <row r="29" spans="1:9" ht="23.1" customHeight="1" x14ac:dyDescent="0.15">
      <c r="A29" s="41">
        <v>25</v>
      </c>
      <c r="B29" s="42" t="s">
        <v>9</v>
      </c>
      <c r="C29" s="33" t="s">
        <v>84</v>
      </c>
      <c r="D29" s="94">
        <v>5</v>
      </c>
      <c r="E29" s="94">
        <v>10</v>
      </c>
      <c r="F29" s="94" t="s">
        <v>45</v>
      </c>
      <c r="G29" s="47" t="s">
        <v>48</v>
      </c>
      <c r="H29" s="45">
        <v>329</v>
      </c>
      <c r="I29" s="175">
        <v>355</v>
      </c>
    </row>
    <row r="30" spans="1:9" ht="23.1" customHeight="1" x14ac:dyDescent="0.15">
      <c r="A30" s="41">
        <v>26</v>
      </c>
      <c r="B30" s="42" t="s">
        <v>10</v>
      </c>
      <c r="C30" s="33" t="s">
        <v>63</v>
      </c>
      <c r="D30" s="94">
        <v>4</v>
      </c>
      <c r="E30" s="94">
        <v>11</v>
      </c>
      <c r="F30" s="94" t="s">
        <v>45</v>
      </c>
      <c r="G30" s="47" t="s">
        <v>48</v>
      </c>
      <c r="H30" s="45">
        <v>1760</v>
      </c>
      <c r="I30" s="175">
        <v>1881</v>
      </c>
    </row>
    <row r="31" spans="1:9" ht="23.1" customHeight="1" x14ac:dyDescent="0.15">
      <c r="A31" s="41">
        <v>27</v>
      </c>
      <c r="B31" s="42" t="s">
        <v>11</v>
      </c>
      <c r="C31" s="33" t="s">
        <v>85</v>
      </c>
      <c r="D31" s="94">
        <v>3</v>
      </c>
      <c r="E31" s="94">
        <v>9</v>
      </c>
      <c r="F31" s="94" t="s">
        <v>45</v>
      </c>
      <c r="G31" s="47" t="s">
        <v>48</v>
      </c>
      <c r="H31" s="45">
        <v>352</v>
      </c>
      <c r="I31" s="175">
        <v>360</v>
      </c>
    </row>
    <row r="32" spans="1:9" ht="23.1" customHeight="1" x14ac:dyDescent="0.15">
      <c r="A32" s="41">
        <v>28</v>
      </c>
      <c r="B32" s="42" t="s">
        <v>5</v>
      </c>
      <c r="C32" s="33" t="s">
        <v>55</v>
      </c>
      <c r="D32" s="94">
        <v>-1</v>
      </c>
      <c r="E32" s="94">
        <v>7</v>
      </c>
      <c r="F32" s="94" t="s">
        <v>45</v>
      </c>
      <c r="G32" s="47" t="s">
        <v>48</v>
      </c>
      <c r="H32" s="45">
        <v>1257</v>
      </c>
      <c r="I32" s="175">
        <v>1439</v>
      </c>
    </row>
    <row r="33" spans="1:9" ht="23.1" customHeight="1" x14ac:dyDescent="0.15">
      <c r="A33" s="60">
        <v>29</v>
      </c>
      <c r="B33" s="61" t="s">
        <v>6</v>
      </c>
      <c r="C33" s="62" t="s">
        <v>66</v>
      </c>
      <c r="D33" s="66">
        <v>0</v>
      </c>
      <c r="E33" s="66">
        <v>9</v>
      </c>
      <c r="F33" s="66" t="s">
        <v>46</v>
      </c>
      <c r="G33" s="64" t="s">
        <v>52</v>
      </c>
      <c r="H33" s="65">
        <v>6599</v>
      </c>
      <c r="I33" s="176">
        <v>7703</v>
      </c>
    </row>
    <row r="34" spans="1:9" ht="23.25" customHeight="1" x14ac:dyDescent="0.15">
      <c r="A34" s="30">
        <v>30</v>
      </c>
      <c r="B34" s="24" t="s">
        <v>7</v>
      </c>
      <c r="C34" s="25" t="s">
        <v>63</v>
      </c>
      <c r="D34" s="26">
        <v>9</v>
      </c>
      <c r="E34" s="26">
        <v>16</v>
      </c>
      <c r="F34" s="26" t="s">
        <v>46</v>
      </c>
      <c r="G34" s="27" t="s">
        <v>50</v>
      </c>
      <c r="H34" s="28">
        <v>5014</v>
      </c>
      <c r="I34" s="177">
        <v>6402</v>
      </c>
    </row>
    <row r="35" spans="1:9" ht="23.1" customHeight="1" thickBot="1" x14ac:dyDescent="0.2">
      <c r="A35" s="83"/>
      <c r="B35" s="84"/>
      <c r="C35" s="85"/>
      <c r="D35" s="86"/>
      <c r="E35" s="86"/>
      <c r="F35" s="86"/>
      <c r="G35" s="140"/>
      <c r="H35" s="87">
        <v>0</v>
      </c>
      <c r="I35" s="187">
        <v>0</v>
      </c>
    </row>
    <row r="36" spans="1:9" s="3" customFormat="1" ht="21" customHeight="1" thickBot="1" x14ac:dyDescent="0.2">
      <c r="A36" s="159" t="s">
        <v>27</v>
      </c>
      <c r="B36" s="160"/>
      <c r="C36" s="160"/>
      <c r="D36" s="160"/>
      <c r="E36" s="160"/>
      <c r="F36" s="160"/>
      <c r="G36" s="161"/>
      <c r="H36" s="182">
        <f t="shared" ref="H36:I36" si="0">SUM(H5:H35)</f>
        <v>119957</v>
      </c>
      <c r="I36" s="183">
        <f t="shared" si="0"/>
        <v>138280</v>
      </c>
    </row>
    <row r="37" spans="1:9" s="3" customFormat="1" ht="21" customHeight="1" thickBot="1" x14ac:dyDescent="0.2">
      <c r="A37" s="145" t="s">
        <v>28</v>
      </c>
      <c r="B37" s="146"/>
      <c r="C37" s="146"/>
      <c r="D37" s="146"/>
      <c r="E37" s="146"/>
      <c r="F37" s="146"/>
      <c r="G37" s="147"/>
      <c r="H37" s="184">
        <f>H36+'10월'!H37</f>
        <v>1224369</v>
      </c>
      <c r="I37" s="185">
        <f>I36+'10월'!I37</f>
        <v>1427923</v>
      </c>
    </row>
    <row r="39" spans="1:9" x14ac:dyDescent="0.15">
      <c r="D39" s="138"/>
      <c r="E39" s="138"/>
      <c r="I39" s="91"/>
    </row>
    <row r="40" spans="1:9" x14ac:dyDescent="0.15">
      <c r="I40" s="93"/>
    </row>
    <row r="41" spans="1:9" x14ac:dyDescent="0.15">
      <c r="I41" s="4"/>
    </row>
    <row r="42" spans="1:9" x14ac:dyDescent="0.15">
      <c r="I42" s="4"/>
    </row>
    <row r="43" spans="1:9" x14ac:dyDescent="0.15">
      <c r="I43" s="4"/>
    </row>
    <row r="44" spans="1:9" x14ac:dyDescent="0.15">
      <c r="I44" s="4"/>
    </row>
    <row r="45" spans="1:9" x14ac:dyDescent="0.15">
      <c r="I45" s="4"/>
    </row>
    <row r="46" spans="1:9" x14ac:dyDescent="0.15">
      <c r="I46" s="4"/>
    </row>
    <row r="47" spans="1:9" x14ac:dyDescent="0.15">
      <c r="I47" s="4"/>
    </row>
    <row r="48" spans="1:9" x14ac:dyDescent="0.15">
      <c r="I48" s="4"/>
    </row>
    <row r="49" spans="9:9" x14ac:dyDescent="0.15">
      <c r="I49" s="4"/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FF00"/>
  </sheetPr>
  <dimension ref="A1:I37"/>
  <sheetViews>
    <sheetView tabSelected="1" topLeftCell="A22" zoomScaleNormal="100" workbookViewId="0">
      <selection activeCell="O16" sqref="O16"/>
    </sheetView>
  </sheetViews>
  <sheetFormatPr defaultColWidth="8.88671875" defaultRowHeight="13.5" x14ac:dyDescent="0.15"/>
  <cols>
    <col min="1" max="2" width="5.77734375" style="1" customWidth="1"/>
    <col min="3" max="3" width="8.77734375" style="9" customWidth="1"/>
    <col min="4" max="5" width="3.77734375" style="9" customWidth="1"/>
    <col min="6" max="6" width="5.77734375" style="9" customWidth="1"/>
    <col min="7" max="7" width="5.77734375" style="1" customWidth="1"/>
    <col min="8" max="9" width="9.77734375" style="1" customWidth="1"/>
    <col min="10" max="16384" width="8.88671875" style="1"/>
  </cols>
  <sheetData>
    <row r="1" spans="1:9" s="2" customFormat="1" ht="21" customHeight="1" x14ac:dyDescent="0.15">
      <c r="A1" s="162" t="s">
        <v>36</v>
      </c>
      <c r="B1" s="163"/>
      <c r="C1" s="163"/>
      <c r="D1" s="163"/>
      <c r="E1" s="163"/>
      <c r="F1" s="163"/>
      <c r="G1" s="163"/>
      <c r="H1" s="163"/>
      <c r="I1" s="164"/>
    </row>
    <row r="2" spans="1:9" s="2" customFormat="1" ht="22.5" customHeight="1" x14ac:dyDescent="0.15">
      <c r="A2" s="154" t="s">
        <v>2</v>
      </c>
      <c r="B2" s="157" t="s">
        <v>1</v>
      </c>
      <c r="C2" s="148" t="s">
        <v>12</v>
      </c>
      <c r="D2" s="148" t="s">
        <v>15</v>
      </c>
      <c r="E2" s="149"/>
      <c r="F2" s="148" t="s">
        <v>16</v>
      </c>
      <c r="G2" s="152"/>
      <c r="H2" s="168" t="s">
        <v>22</v>
      </c>
      <c r="I2" s="169" t="s">
        <v>21</v>
      </c>
    </row>
    <row r="3" spans="1:9" s="2" customFormat="1" ht="18.75" customHeight="1" x14ac:dyDescent="0.15">
      <c r="A3" s="155"/>
      <c r="B3" s="165"/>
      <c r="C3" s="166"/>
      <c r="D3" s="150"/>
      <c r="E3" s="151"/>
      <c r="F3" s="150"/>
      <c r="G3" s="153"/>
      <c r="H3" s="170" t="s">
        <v>23</v>
      </c>
      <c r="I3" s="171" t="s">
        <v>20</v>
      </c>
    </row>
    <row r="4" spans="1:9" s="2" customFormat="1" ht="18.75" customHeight="1" x14ac:dyDescent="0.15">
      <c r="A4" s="156"/>
      <c r="B4" s="158"/>
      <c r="C4" s="167"/>
      <c r="D4" s="14" t="s">
        <v>13</v>
      </c>
      <c r="E4" s="14" t="s">
        <v>14</v>
      </c>
      <c r="F4" s="14" t="s">
        <v>18</v>
      </c>
      <c r="G4" s="16" t="s">
        <v>17</v>
      </c>
      <c r="H4" s="172"/>
      <c r="I4" s="173" t="s">
        <v>19</v>
      </c>
    </row>
    <row r="5" spans="1:9" ht="23.1" customHeight="1" x14ac:dyDescent="0.15">
      <c r="A5" s="31">
        <v>1</v>
      </c>
      <c r="B5" s="32" t="s">
        <v>38</v>
      </c>
      <c r="C5" s="46" t="s">
        <v>55</v>
      </c>
      <c r="D5" s="74">
        <v>2</v>
      </c>
      <c r="E5" s="74">
        <v>12</v>
      </c>
      <c r="F5" s="113" t="s">
        <v>46</v>
      </c>
      <c r="G5" s="34" t="s">
        <v>49</v>
      </c>
      <c r="H5" s="35">
        <v>808</v>
      </c>
      <c r="I5" s="188">
        <v>917</v>
      </c>
    </row>
    <row r="6" spans="1:9" ht="23.1" customHeight="1" x14ac:dyDescent="0.15">
      <c r="A6" s="41">
        <v>2</v>
      </c>
      <c r="B6" s="42" t="s">
        <v>39</v>
      </c>
      <c r="C6" s="33" t="s">
        <v>55</v>
      </c>
      <c r="D6" s="94">
        <v>-5</v>
      </c>
      <c r="E6" s="94">
        <v>3</v>
      </c>
      <c r="F6" s="94" t="s">
        <v>45</v>
      </c>
      <c r="G6" s="47" t="s">
        <v>48</v>
      </c>
      <c r="H6" s="45">
        <v>316</v>
      </c>
      <c r="I6" s="175">
        <v>376</v>
      </c>
    </row>
    <row r="7" spans="1:9" ht="23.1" customHeight="1" x14ac:dyDescent="0.15">
      <c r="A7" s="41">
        <v>3</v>
      </c>
      <c r="B7" s="42" t="s">
        <v>10</v>
      </c>
      <c r="C7" s="33" t="s">
        <v>55</v>
      </c>
      <c r="D7" s="94">
        <v>-3</v>
      </c>
      <c r="E7" s="94">
        <v>-8</v>
      </c>
      <c r="F7" s="94" t="s">
        <v>45</v>
      </c>
      <c r="G7" s="47" t="s">
        <v>48</v>
      </c>
      <c r="H7" s="45">
        <v>231</v>
      </c>
      <c r="I7" s="175">
        <v>258</v>
      </c>
    </row>
    <row r="8" spans="1:9" ht="23.1" customHeight="1" x14ac:dyDescent="0.15">
      <c r="A8" s="41">
        <v>4</v>
      </c>
      <c r="B8" s="42" t="s">
        <v>11</v>
      </c>
      <c r="C8" s="33" t="s">
        <v>162</v>
      </c>
      <c r="D8" s="43">
        <v>-9</v>
      </c>
      <c r="E8" s="43">
        <v>4</v>
      </c>
      <c r="F8" s="43" t="s">
        <v>45</v>
      </c>
      <c r="G8" s="44" t="s">
        <v>48</v>
      </c>
      <c r="H8" s="45">
        <v>140</v>
      </c>
      <c r="I8" s="175">
        <v>169</v>
      </c>
    </row>
    <row r="9" spans="1:9" ht="23.1" customHeight="1" x14ac:dyDescent="0.15">
      <c r="A9" s="41">
        <v>5</v>
      </c>
      <c r="B9" s="42" t="s">
        <v>5</v>
      </c>
      <c r="C9" s="33" t="s">
        <v>55</v>
      </c>
      <c r="D9" s="94">
        <v>-7</v>
      </c>
      <c r="E9" s="94">
        <v>3</v>
      </c>
      <c r="F9" s="94" t="s">
        <v>45</v>
      </c>
      <c r="G9" s="47" t="s">
        <v>48</v>
      </c>
      <c r="H9" s="45">
        <v>259</v>
      </c>
      <c r="I9" s="175">
        <v>294</v>
      </c>
    </row>
    <row r="10" spans="1:9" ht="23.1" customHeight="1" x14ac:dyDescent="0.15">
      <c r="A10" s="60">
        <v>6</v>
      </c>
      <c r="B10" s="61" t="s">
        <v>6</v>
      </c>
      <c r="C10" s="62" t="s">
        <v>163</v>
      </c>
      <c r="D10" s="66">
        <v>-2</v>
      </c>
      <c r="E10" s="66">
        <v>5</v>
      </c>
      <c r="F10" s="66" t="s">
        <v>45</v>
      </c>
      <c r="G10" s="64" t="s">
        <v>52</v>
      </c>
      <c r="H10" s="65">
        <v>1958</v>
      </c>
      <c r="I10" s="176">
        <v>2377</v>
      </c>
    </row>
    <row r="11" spans="1:9" ht="23.1" customHeight="1" x14ac:dyDescent="0.15">
      <c r="A11" s="30">
        <v>7</v>
      </c>
      <c r="B11" s="24" t="s">
        <v>7</v>
      </c>
      <c r="C11" s="25" t="s">
        <v>65</v>
      </c>
      <c r="D11" s="26">
        <v>3</v>
      </c>
      <c r="E11" s="26">
        <v>13</v>
      </c>
      <c r="F11" s="26" t="s">
        <v>45</v>
      </c>
      <c r="G11" s="27" t="s">
        <v>50</v>
      </c>
      <c r="H11" s="28">
        <v>2947</v>
      </c>
      <c r="I11" s="177">
        <v>4136</v>
      </c>
    </row>
    <row r="12" spans="1:9" ht="23.1" customHeight="1" x14ac:dyDescent="0.15">
      <c r="A12" s="36">
        <v>8</v>
      </c>
      <c r="B12" s="37" t="s">
        <v>8</v>
      </c>
      <c r="C12" s="48" t="s">
        <v>55</v>
      </c>
      <c r="D12" s="73">
        <v>1</v>
      </c>
      <c r="E12" s="73">
        <v>7</v>
      </c>
      <c r="F12" s="73" t="s">
        <v>45</v>
      </c>
      <c r="G12" s="39" t="s">
        <v>48</v>
      </c>
      <c r="H12" s="40">
        <v>387</v>
      </c>
      <c r="I12" s="178">
        <v>445</v>
      </c>
    </row>
    <row r="13" spans="1:9" ht="23.1" customHeight="1" x14ac:dyDescent="0.15">
      <c r="A13" s="41">
        <v>9</v>
      </c>
      <c r="B13" s="42" t="s">
        <v>9</v>
      </c>
      <c r="C13" s="33" t="s">
        <v>54</v>
      </c>
      <c r="D13" s="95">
        <v>-2</v>
      </c>
      <c r="E13" s="95">
        <v>9</v>
      </c>
      <c r="F13" s="95" t="s">
        <v>45</v>
      </c>
      <c r="G13" s="47" t="s">
        <v>48</v>
      </c>
      <c r="H13" s="45">
        <v>530</v>
      </c>
      <c r="I13" s="175">
        <v>608</v>
      </c>
    </row>
    <row r="14" spans="1:9" ht="23.1" customHeight="1" x14ac:dyDescent="0.15">
      <c r="A14" s="41">
        <v>10</v>
      </c>
      <c r="B14" s="42" t="s">
        <v>10</v>
      </c>
      <c r="C14" s="33" t="s">
        <v>66</v>
      </c>
      <c r="D14" s="94">
        <v>1</v>
      </c>
      <c r="E14" s="94">
        <v>9</v>
      </c>
      <c r="F14" s="94" t="s">
        <v>45</v>
      </c>
      <c r="G14" s="47" t="s">
        <v>48</v>
      </c>
      <c r="H14" s="45">
        <v>893</v>
      </c>
      <c r="I14" s="175">
        <v>1032</v>
      </c>
    </row>
    <row r="15" spans="1:9" ht="23.1" customHeight="1" x14ac:dyDescent="0.15">
      <c r="A15" s="41">
        <v>11</v>
      </c>
      <c r="B15" s="42" t="s">
        <v>11</v>
      </c>
      <c r="C15" s="33" t="s">
        <v>54</v>
      </c>
      <c r="D15" s="94">
        <v>-2</v>
      </c>
      <c r="E15" s="94">
        <v>8</v>
      </c>
      <c r="F15" s="94" t="s">
        <v>45</v>
      </c>
      <c r="G15" s="47" t="s">
        <v>48</v>
      </c>
      <c r="H15" s="45">
        <v>400</v>
      </c>
      <c r="I15" s="175">
        <v>500</v>
      </c>
    </row>
    <row r="16" spans="1:9" ht="23.1" customHeight="1" x14ac:dyDescent="0.15">
      <c r="A16" s="41">
        <v>12</v>
      </c>
      <c r="B16" s="42" t="s">
        <v>5</v>
      </c>
      <c r="C16" s="33" t="s">
        <v>54</v>
      </c>
      <c r="D16" s="94">
        <v>-4</v>
      </c>
      <c r="E16" s="94">
        <v>7</v>
      </c>
      <c r="F16" s="94" t="s">
        <v>45</v>
      </c>
      <c r="G16" s="47" t="s">
        <v>48</v>
      </c>
      <c r="H16" s="45">
        <v>810</v>
      </c>
      <c r="I16" s="175">
        <v>962</v>
      </c>
    </row>
    <row r="17" spans="1:9" ht="23.1" customHeight="1" x14ac:dyDescent="0.15">
      <c r="A17" s="60">
        <v>13</v>
      </c>
      <c r="B17" s="61" t="s">
        <v>6</v>
      </c>
      <c r="C17" s="62" t="s">
        <v>85</v>
      </c>
      <c r="D17" s="66">
        <v>-1</v>
      </c>
      <c r="E17" s="66">
        <v>5</v>
      </c>
      <c r="F17" s="66" t="s">
        <v>45</v>
      </c>
      <c r="G17" s="64" t="s">
        <v>76</v>
      </c>
      <c r="H17" s="65">
        <v>309</v>
      </c>
      <c r="I17" s="176">
        <v>371</v>
      </c>
    </row>
    <row r="18" spans="1:9" ht="23.1" customHeight="1" x14ac:dyDescent="0.15">
      <c r="A18" s="30">
        <v>14</v>
      </c>
      <c r="B18" s="24" t="s">
        <v>7</v>
      </c>
      <c r="C18" s="25" t="s">
        <v>54</v>
      </c>
      <c r="D18" s="26">
        <v>-2</v>
      </c>
      <c r="E18" s="26">
        <v>3</v>
      </c>
      <c r="F18" s="26" t="s">
        <v>45</v>
      </c>
      <c r="G18" s="27" t="s">
        <v>47</v>
      </c>
      <c r="H18" s="28">
        <v>1144</v>
      </c>
      <c r="I18" s="177">
        <v>1865</v>
      </c>
    </row>
    <row r="19" spans="1:9" ht="23.1" customHeight="1" x14ac:dyDescent="0.15">
      <c r="A19" s="36">
        <v>15</v>
      </c>
      <c r="B19" s="37" t="s">
        <v>8</v>
      </c>
      <c r="C19" s="48" t="s">
        <v>54</v>
      </c>
      <c r="D19" s="38">
        <v>-4</v>
      </c>
      <c r="E19" s="38">
        <v>5</v>
      </c>
      <c r="F19" s="38" t="s">
        <v>45</v>
      </c>
      <c r="G19" s="39" t="s">
        <v>48</v>
      </c>
      <c r="H19" s="40">
        <v>352</v>
      </c>
      <c r="I19" s="178">
        <v>422</v>
      </c>
    </row>
    <row r="20" spans="1:9" ht="23.1" customHeight="1" x14ac:dyDescent="0.15">
      <c r="A20" s="41">
        <v>16</v>
      </c>
      <c r="B20" s="42" t="s">
        <v>9</v>
      </c>
      <c r="C20" s="33" t="s">
        <v>88</v>
      </c>
      <c r="D20" s="94">
        <v>2</v>
      </c>
      <c r="E20" s="94">
        <v>5</v>
      </c>
      <c r="F20" s="94" t="s">
        <v>45</v>
      </c>
      <c r="G20" s="47" t="s">
        <v>48</v>
      </c>
      <c r="H20" s="45">
        <v>263</v>
      </c>
      <c r="I20" s="175">
        <v>287</v>
      </c>
    </row>
    <row r="21" spans="1:9" ht="23.1" customHeight="1" x14ac:dyDescent="0.15">
      <c r="A21" s="41">
        <v>17</v>
      </c>
      <c r="B21" s="42" t="s">
        <v>10</v>
      </c>
      <c r="C21" s="33" t="s">
        <v>63</v>
      </c>
      <c r="D21" s="94">
        <v>1</v>
      </c>
      <c r="E21" s="94">
        <v>8</v>
      </c>
      <c r="F21" s="94" t="s">
        <v>45</v>
      </c>
      <c r="G21" s="47" t="s">
        <v>48</v>
      </c>
      <c r="H21" s="45">
        <v>594</v>
      </c>
      <c r="I21" s="175">
        <v>685</v>
      </c>
    </row>
    <row r="22" spans="1:9" ht="23.1" customHeight="1" x14ac:dyDescent="0.15">
      <c r="A22" s="41">
        <v>18</v>
      </c>
      <c r="B22" s="42" t="s">
        <v>11</v>
      </c>
      <c r="C22" s="33" t="s">
        <v>55</v>
      </c>
      <c r="D22" s="94">
        <v>-2</v>
      </c>
      <c r="E22" s="94">
        <v>9</v>
      </c>
      <c r="F22" s="94" t="s">
        <v>45</v>
      </c>
      <c r="G22" s="47" t="s">
        <v>48</v>
      </c>
      <c r="H22" s="45">
        <v>725</v>
      </c>
      <c r="I22" s="175">
        <v>827</v>
      </c>
    </row>
    <row r="23" spans="1:9" ht="23.1" customHeight="1" x14ac:dyDescent="0.15">
      <c r="A23" s="41">
        <v>19</v>
      </c>
      <c r="B23" s="42" t="s">
        <v>5</v>
      </c>
      <c r="C23" s="33" t="s">
        <v>54</v>
      </c>
      <c r="D23" s="94">
        <v>-1</v>
      </c>
      <c r="E23" s="94">
        <v>10</v>
      </c>
      <c r="F23" s="94" t="s">
        <v>45</v>
      </c>
      <c r="G23" s="47" t="s">
        <v>48</v>
      </c>
      <c r="H23" s="45">
        <v>1508</v>
      </c>
      <c r="I23" s="175">
        <v>1683</v>
      </c>
    </row>
    <row r="24" spans="1:9" ht="23.1" customHeight="1" x14ac:dyDescent="0.15">
      <c r="A24" s="60">
        <v>20</v>
      </c>
      <c r="B24" s="61" t="s">
        <v>6</v>
      </c>
      <c r="C24" s="62" t="s">
        <v>88</v>
      </c>
      <c r="D24" s="66">
        <v>1</v>
      </c>
      <c r="E24" s="66">
        <v>11</v>
      </c>
      <c r="F24" s="66" t="s">
        <v>45</v>
      </c>
      <c r="G24" s="64" t="s">
        <v>51</v>
      </c>
      <c r="H24" s="65">
        <v>2412</v>
      </c>
      <c r="I24" s="176">
        <v>2907</v>
      </c>
    </row>
    <row r="25" spans="1:9" ht="23.1" customHeight="1" x14ac:dyDescent="0.15">
      <c r="A25" s="30">
        <v>21</v>
      </c>
      <c r="B25" s="24" t="s">
        <v>7</v>
      </c>
      <c r="C25" s="25" t="s">
        <v>54</v>
      </c>
      <c r="D25" s="26">
        <v>-3</v>
      </c>
      <c r="E25" s="26">
        <v>3</v>
      </c>
      <c r="F25" s="26" t="s">
        <v>45</v>
      </c>
      <c r="G25" s="27" t="s">
        <v>47</v>
      </c>
      <c r="H25" s="28">
        <v>2034</v>
      </c>
      <c r="I25" s="177">
        <v>2763</v>
      </c>
    </row>
    <row r="26" spans="1:9" ht="23.1" customHeight="1" x14ac:dyDescent="0.15">
      <c r="A26" s="36">
        <v>22</v>
      </c>
      <c r="B26" s="37" t="s">
        <v>8</v>
      </c>
      <c r="C26" s="48" t="s">
        <v>54</v>
      </c>
      <c r="D26" s="38">
        <v>-6</v>
      </c>
      <c r="E26" s="38">
        <v>5</v>
      </c>
      <c r="F26" s="38" t="s">
        <v>45</v>
      </c>
      <c r="G26" s="39" t="s">
        <v>48</v>
      </c>
      <c r="H26" s="40">
        <v>882</v>
      </c>
      <c r="I26" s="178">
        <v>950</v>
      </c>
    </row>
    <row r="27" spans="1:9" ht="23.1" customHeight="1" x14ac:dyDescent="0.15">
      <c r="A27" s="41">
        <v>23</v>
      </c>
      <c r="B27" s="42" t="s">
        <v>9</v>
      </c>
      <c r="C27" s="33" t="s">
        <v>85</v>
      </c>
      <c r="D27" s="94">
        <v>0</v>
      </c>
      <c r="E27" s="94">
        <v>4</v>
      </c>
      <c r="F27" s="94" t="s">
        <v>45</v>
      </c>
      <c r="G27" s="47" t="s">
        <v>48</v>
      </c>
      <c r="H27" s="45">
        <v>261</v>
      </c>
      <c r="I27" s="175">
        <v>272</v>
      </c>
    </row>
    <row r="28" spans="1:9" ht="23.1" customHeight="1" x14ac:dyDescent="0.15">
      <c r="A28" s="41">
        <v>24</v>
      </c>
      <c r="B28" s="42" t="s">
        <v>10</v>
      </c>
      <c r="C28" s="33" t="s">
        <v>54</v>
      </c>
      <c r="D28" s="94">
        <v>-1</v>
      </c>
      <c r="E28" s="94">
        <v>6</v>
      </c>
      <c r="F28" s="94" t="s">
        <v>45</v>
      </c>
      <c r="G28" s="47" t="s">
        <v>50</v>
      </c>
      <c r="H28" s="45">
        <v>1702</v>
      </c>
      <c r="I28" s="175">
        <v>2020</v>
      </c>
    </row>
    <row r="29" spans="1:9" ht="23.1" customHeight="1" x14ac:dyDescent="0.15">
      <c r="A29" s="5">
        <v>25</v>
      </c>
      <c r="B29" s="6" t="s">
        <v>11</v>
      </c>
      <c r="C29" s="15" t="s">
        <v>160</v>
      </c>
      <c r="D29" s="19">
        <v>-9</v>
      </c>
      <c r="E29" s="19">
        <v>0</v>
      </c>
      <c r="F29" s="19" t="s">
        <v>45</v>
      </c>
      <c r="G29" s="20" t="s">
        <v>52</v>
      </c>
      <c r="H29" s="13">
        <v>6438</v>
      </c>
      <c r="I29" s="180">
        <v>7750</v>
      </c>
    </row>
    <row r="30" spans="1:9" ht="23.1" customHeight="1" x14ac:dyDescent="0.15">
      <c r="A30" s="41">
        <v>26</v>
      </c>
      <c r="B30" s="42" t="s">
        <v>5</v>
      </c>
      <c r="C30" s="33" t="s">
        <v>160</v>
      </c>
      <c r="D30" s="94">
        <v>-12</v>
      </c>
      <c r="E30" s="94">
        <v>-4</v>
      </c>
      <c r="F30" s="94" t="s">
        <v>45</v>
      </c>
      <c r="G30" s="47" t="s">
        <v>49</v>
      </c>
      <c r="H30" s="45">
        <v>323</v>
      </c>
      <c r="I30" s="175">
        <v>427</v>
      </c>
    </row>
    <row r="31" spans="1:9" ht="23.1" customHeight="1" x14ac:dyDescent="0.15">
      <c r="A31" s="60">
        <v>27</v>
      </c>
      <c r="B31" s="61" t="s">
        <v>6</v>
      </c>
      <c r="C31" s="62" t="s">
        <v>66</v>
      </c>
      <c r="D31" s="66">
        <v>-8</v>
      </c>
      <c r="E31" s="66">
        <v>1</v>
      </c>
      <c r="F31" s="66" t="s">
        <v>45</v>
      </c>
      <c r="G31" s="64" t="s">
        <v>52</v>
      </c>
      <c r="H31" s="65">
        <v>4825</v>
      </c>
      <c r="I31" s="176">
        <v>5604</v>
      </c>
    </row>
    <row r="32" spans="1:9" ht="23.1" customHeight="1" x14ac:dyDescent="0.15">
      <c r="A32" s="30">
        <v>28</v>
      </c>
      <c r="B32" s="24" t="s">
        <v>7</v>
      </c>
      <c r="C32" s="25" t="s">
        <v>74</v>
      </c>
      <c r="D32" s="26">
        <v>0</v>
      </c>
      <c r="E32" s="26">
        <v>6</v>
      </c>
      <c r="F32" s="26" t="s">
        <v>45</v>
      </c>
      <c r="G32" s="27" t="s">
        <v>50</v>
      </c>
      <c r="H32" s="28">
        <v>3513</v>
      </c>
      <c r="I32" s="177">
        <v>4861</v>
      </c>
    </row>
    <row r="33" spans="1:9" ht="23.1" customHeight="1" x14ac:dyDescent="0.15">
      <c r="A33" s="36">
        <v>29</v>
      </c>
      <c r="B33" s="37" t="s">
        <v>8</v>
      </c>
      <c r="C33" s="48" t="s">
        <v>63</v>
      </c>
      <c r="D33" s="38">
        <v>0</v>
      </c>
      <c r="E33" s="38">
        <v>9</v>
      </c>
      <c r="F33" s="38" t="s">
        <v>45</v>
      </c>
      <c r="G33" s="39" t="s">
        <v>49</v>
      </c>
      <c r="H33" s="40">
        <v>1945</v>
      </c>
      <c r="I33" s="178">
        <v>2337</v>
      </c>
    </row>
    <row r="34" spans="1:9" ht="23.25" customHeight="1" x14ac:dyDescent="0.15">
      <c r="A34" s="41">
        <v>30</v>
      </c>
      <c r="B34" s="42" t="s">
        <v>9</v>
      </c>
      <c r="C34" s="33" t="s">
        <v>55</v>
      </c>
      <c r="D34" s="94">
        <v>-4</v>
      </c>
      <c r="E34" s="94">
        <v>4</v>
      </c>
      <c r="F34" s="94" t="s">
        <v>45</v>
      </c>
      <c r="G34" s="47" t="s">
        <v>49</v>
      </c>
      <c r="H34" s="45">
        <v>1820</v>
      </c>
      <c r="I34" s="175">
        <v>2274</v>
      </c>
    </row>
    <row r="35" spans="1:9" ht="23.1" customHeight="1" thickBot="1" x14ac:dyDescent="0.2">
      <c r="A35" s="49">
        <v>31</v>
      </c>
      <c r="B35" s="50" t="s">
        <v>10</v>
      </c>
      <c r="C35" s="51" t="s">
        <v>160</v>
      </c>
      <c r="D35" s="52">
        <v>-9</v>
      </c>
      <c r="E35" s="52">
        <v>-1</v>
      </c>
      <c r="F35" s="52" t="s">
        <v>45</v>
      </c>
      <c r="G35" s="53" t="s">
        <v>50</v>
      </c>
      <c r="H35" s="54">
        <v>1402</v>
      </c>
      <c r="I35" s="181">
        <v>1881</v>
      </c>
    </row>
    <row r="36" spans="1:9" s="3" customFormat="1" ht="21" customHeight="1" thickBot="1" x14ac:dyDescent="0.2">
      <c r="A36" s="159" t="s">
        <v>27</v>
      </c>
      <c r="B36" s="160"/>
      <c r="C36" s="160"/>
      <c r="D36" s="160"/>
      <c r="E36" s="160"/>
      <c r="F36" s="160"/>
      <c r="G36" s="161"/>
      <c r="H36" s="182">
        <f t="shared" ref="H36:I36" si="0">SUM(H5:H35)</f>
        <v>42131</v>
      </c>
      <c r="I36" s="183">
        <f t="shared" si="0"/>
        <v>52260</v>
      </c>
    </row>
    <row r="37" spans="1:9" s="3" customFormat="1" ht="21" customHeight="1" thickBot="1" x14ac:dyDescent="0.2">
      <c r="A37" s="145" t="s">
        <v>28</v>
      </c>
      <c r="B37" s="146"/>
      <c r="C37" s="146"/>
      <c r="D37" s="146"/>
      <c r="E37" s="146"/>
      <c r="F37" s="146"/>
      <c r="G37" s="147"/>
      <c r="H37" s="184">
        <f>H36+'11월'!H37</f>
        <v>1266500</v>
      </c>
      <c r="I37" s="185">
        <f>I36+'11월'!I37</f>
        <v>1480183</v>
      </c>
    </row>
  </sheetData>
  <mergeCells count="9">
    <mergeCell ref="A1:I1"/>
    <mergeCell ref="H3:H4"/>
    <mergeCell ref="A2:A4"/>
    <mergeCell ref="B2:B4"/>
    <mergeCell ref="C2:C4"/>
    <mergeCell ref="D2:E3"/>
    <mergeCell ref="F2:G3"/>
    <mergeCell ref="A36:G36"/>
    <mergeCell ref="A37:G3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</vt:vector>
  </TitlesOfParts>
  <Company>한덕개발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김나영</dc:creator>
  <cp:lastModifiedBy>김묵주</cp:lastModifiedBy>
  <cp:lastPrinted>2026-01-15T08:37:01Z</cp:lastPrinted>
  <dcterms:created xsi:type="dcterms:W3CDTF">2011-01-18T02:58:02Z</dcterms:created>
  <dcterms:modified xsi:type="dcterms:W3CDTF">2026-01-15T08:48:30Z</dcterms:modified>
</cp:coreProperties>
</file>