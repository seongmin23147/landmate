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기획팀(기획)\4.기획업무\기타\2026_한국외대\2.전달\"/>
    </mc:Choice>
  </mc:AlternateContent>
  <xr:revisionPtr revIDLastSave="0" documentId="13_ncr:1_{4585FCBD-4B85-4952-93F2-DDAF64D7BF1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25년" sheetId="4" r:id="rId1"/>
    <sheet name="24년" sheetId="18" r:id="rId2"/>
    <sheet name="23년" sheetId="19" r:id="rId3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2" i="19" l="1"/>
  <c r="I52" i="19"/>
  <c r="E52" i="19"/>
  <c r="G50" i="19"/>
  <c r="O14" i="19"/>
  <c r="D52" i="19"/>
  <c r="M51" i="19"/>
  <c r="L51" i="19"/>
  <c r="K51" i="19"/>
  <c r="I51" i="19"/>
  <c r="G51" i="19"/>
  <c r="E51" i="19"/>
  <c r="L50" i="19"/>
  <c r="J50" i="19"/>
  <c r="H50" i="19"/>
  <c r="E50" i="19"/>
  <c r="D50" i="19"/>
  <c r="C50" i="19"/>
  <c r="L21" i="19"/>
  <c r="K21" i="19"/>
  <c r="H21" i="19"/>
  <c r="G21" i="19"/>
  <c r="D21" i="19"/>
  <c r="C21" i="19"/>
  <c r="E49" i="19" l="1"/>
  <c r="I49" i="19"/>
  <c r="I50" i="19"/>
  <c r="M50" i="19"/>
  <c r="H52" i="19"/>
  <c r="D51" i="19"/>
  <c r="M52" i="19"/>
  <c r="F50" i="19"/>
  <c r="F53" i="19"/>
  <c r="J53" i="19"/>
  <c r="L53" i="19"/>
  <c r="G53" i="19"/>
  <c r="N50" i="19"/>
  <c r="H51" i="19"/>
  <c r="J52" i="19"/>
  <c r="L49" i="19"/>
  <c r="F51" i="19"/>
  <c r="F52" i="19"/>
  <c r="E53" i="19"/>
  <c r="E54" i="19" s="1"/>
  <c r="J51" i="19"/>
  <c r="O42" i="19"/>
  <c r="O37" i="19"/>
  <c r="O28" i="19"/>
  <c r="O30" i="19"/>
  <c r="C51" i="19"/>
  <c r="O33" i="19"/>
  <c r="O40" i="19"/>
  <c r="K53" i="19"/>
  <c r="O5" i="19"/>
  <c r="O11" i="19"/>
  <c r="I53" i="19"/>
  <c r="O41" i="19"/>
  <c r="O19" i="19"/>
  <c r="I21" i="19"/>
  <c r="O36" i="19"/>
  <c r="O6" i="19"/>
  <c r="O34" i="19"/>
  <c r="N51" i="19"/>
  <c r="L43" i="19"/>
  <c r="E43" i="19"/>
  <c r="I43" i="19"/>
  <c r="M49" i="19"/>
  <c r="M53" i="19"/>
  <c r="D43" i="19"/>
  <c r="N53" i="19"/>
  <c r="O20" i="19"/>
  <c r="D53" i="19"/>
  <c r="O29" i="19"/>
  <c r="O7" i="19"/>
  <c r="L52" i="19"/>
  <c r="C53" i="19"/>
  <c r="O15" i="19"/>
  <c r="E21" i="19"/>
  <c r="M21" i="19"/>
  <c r="O38" i="19"/>
  <c r="M43" i="19"/>
  <c r="F49" i="19"/>
  <c r="J49" i="19"/>
  <c r="J43" i="19"/>
  <c r="N49" i="19"/>
  <c r="N43" i="19"/>
  <c r="K50" i="19"/>
  <c r="O32" i="19"/>
  <c r="O10" i="19"/>
  <c r="H53" i="19"/>
  <c r="O16" i="19"/>
  <c r="O18" i="19"/>
  <c r="F43" i="19"/>
  <c r="D49" i="19"/>
  <c r="O8" i="19"/>
  <c r="O12" i="19"/>
  <c r="F21" i="19"/>
  <c r="J21" i="19"/>
  <c r="N21" i="19"/>
  <c r="O31" i="19"/>
  <c r="O9" i="19"/>
  <c r="C52" i="19"/>
  <c r="O35" i="19"/>
  <c r="G52" i="19"/>
  <c r="K52" i="19"/>
  <c r="O13" i="19"/>
  <c r="O39" i="19"/>
  <c r="O17" i="19"/>
  <c r="I54" i="19" l="1"/>
  <c r="E65" i="19"/>
  <c r="E61" i="19"/>
  <c r="I65" i="19"/>
  <c r="I62" i="19"/>
  <c r="I60" i="19"/>
  <c r="I63" i="19"/>
  <c r="O21" i="19"/>
  <c r="E64" i="19"/>
  <c r="O52" i="19"/>
  <c r="D54" i="19"/>
  <c r="N62" i="19"/>
  <c r="J54" i="19"/>
  <c r="E62" i="19"/>
  <c r="O51" i="19"/>
  <c r="K43" i="19"/>
  <c r="K49" i="19"/>
  <c r="F54" i="19"/>
  <c r="F60" i="19"/>
  <c r="G43" i="19"/>
  <c r="G49" i="19"/>
  <c r="E63" i="19"/>
  <c r="M54" i="19"/>
  <c r="M64" i="19" s="1"/>
  <c r="M60" i="19"/>
  <c r="L54" i="19"/>
  <c r="C43" i="19"/>
  <c r="C49" i="19"/>
  <c r="O27" i="19"/>
  <c r="N54" i="19"/>
  <c r="H49" i="19"/>
  <c r="H43" i="19"/>
  <c r="O53" i="19"/>
  <c r="O50" i="19"/>
  <c r="I64" i="19"/>
  <c r="I61" i="19"/>
  <c r="E60" i="19"/>
  <c r="L65" i="19" l="1"/>
  <c r="L60" i="19"/>
  <c r="L61" i="19"/>
  <c r="L64" i="19"/>
  <c r="L62" i="19"/>
  <c r="G54" i="19"/>
  <c r="G60" i="19"/>
  <c r="J65" i="19"/>
  <c r="J63" i="19"/>
  <c r="J61" i="19"/>
  <c r="J62" i="19"/>
  <c r="J64" i="19"/>
  <c r="D65" i="19"/>
  <c r="D61" i="19"/>
  <c r="D63" i="19"/>
  <c r="D62" i="19"/>
  <c r="H54" i="19"/>
  <c r="C54" i="19"/>
  <c r="O49" i="19"/>
  <c r="O54" i="19" s="1"/>
  <c r="K54" i="19"/>
  <c r="K60" i="19" s="1"/>
  <c r="J60" i="19"/>
  <c r="D60" i="19"/>
  <c r="N65" i="19"/>
  <c r="N63" i="19"/>
  <c r="N61" i="19"/>
  <c r="O43" i="19"/>
  <c r="M65" i="19"/>
  <c r="M63" i="19"/>
  <c r="M61" i="19"/>
  <c r="M62" i="19"/>
  <c r="N64" i="19"/>
  <c r="N60" i="19"/>
  <c r="F65" i="19"/>
  <c r="F64" i="19"/>
  <c r="F61" i="19"/>
  <c r="F62" i="19"/>
  <c r="F63" i="19"/>
  <c r="D64" i="19"/>
  <c r="L63" i="19"/>
  <c r="C65" i="19" l="1"/>
  <c r="C61" i="19"/>
  <c r="C63" i="19"/>
  <c r="C64" i="19"/>
  <c r="C62" i="19"/>
  <c r="C60" i="19"/>
  <c r="K65" i="19"/>
  <c r="K62" i="19"/>
  <c r="K63" i="19"/>
  <c r="K64" i="19"/>
  <c r="K61" i="19"/>
  <c r="H65" i="19"/>
  <c r="H62" i="19"/>
  <c r="H61" i="19"/>
  <c r="H63" i="19"/>
  <c r="H64" i="19"/>
  <c r="G65" i="19"/>
  <c r="G62" i="19"/>
  <c r="G61" i="19"/>
  <c r="G64" i="19"/>
  <c r="G63" i="19"/>
  <c r="H60" i="19"/>
  <c r="O61" i="19" l="1"/>
  <c r="O64" i="19"/>
  <c r="O63" i="19"/>
  <c r="O60" i="19"/>
  <c r="O62" i="19"/>
  <c r="O65" i="19"/>
  <c r="O19" i="18" l="1"/>
  <c r="N52" i="18"/>
  <c r="K52" i="18"/>
  <c r="J52" i="18"/>
  <c r="F52" i="18"/>
  <c r="E52" i="18"/>
  <c r="M51" i="18"/>
  <c r="J51" i="18"/>
  <c r="I51" i="18"/>
  <c r="E51" i="18"/>
  <c r="D51" i="18"/>
  <c r="K50" i="18"/>
  <c r="N50" i="18"/>
  <c r="J50" i="18"/>
  <c r="I50" i="18"/>
  <c r="H50" i="18"/>
  <c r="G50" i="18"/>
  <c r="O7" i="18"/>
  <c r="G21" i="18"/>
  <c r="M50" i="18" l="1"/>
  <c r="L51" i="18"/>
  <c r="D52" i="18"/>
  <c r="I52" i="18"/>
  <c r="O40" i="18"/>
  <c r="H53" i="18"/>
  <c r="L53" i="18"/>
  <c r="D50" i="18"/>
  <c r="H51" i="18"/>
  <c r="F50" i="18"/>
  <c r="N51" i="18"/>
  <c r="D53" i="18"/>
  <c r="J49" i="18"/>
  <c r="J43" i="18"/>
  <c r="O42" i="18"/>
  <c r="O20" i="18"/>
  <c r="C49" i="18"/>
  <c r="O28" i="18"/>
  <c r="O30" i="18"/>
  <c r="O8" i="18"/>
  <c r="J21" i="18"/>
  <c r="D43" i="18"/>
  <c r="D49" i="18"/>
  <c r="H43" i="18"/>
  <c r="H49" i="18"/>
  <c r="L43" i="18"/>
  <c r="L49" i="18"/>
  <c r="O10" i="18"/>
  <c r="O11" i="18"/>
  <c r="O34" i="18"/>
  <c r="O12" i="18"/>
  <c r="F53" i="18"/>
  <c r="J53" i="18"/>
  <c r="H52" i="18"/>
  <c r="F49" i="18"/>
  <c r="F43" i="18"/>
  <c r="N21" i="18"/>
  <c r="K43" i="18"/>
  <c r="K49" i="18"/>
  <c r="E21" i="18"/>
  <c r="I21" i="18"/>
  <c r="M21" i="18"/>
  <c r="O36" i="18"/>
  <c r="O15" i="18"/>
  <c r="K53" i="18"/>
  <c r="O38" i="18"/>
  <c r="O16" i="18"/>
  <c r="I43" i="18"/>
  <c r="F51" i="18"/>
  <c r="L52" i="18"/>
  <c r="C53" i="18"/>
  <c r="O41" i="18"/>
  <c r="F21" i="18"/>
  <c r="O29" i="18"/>
  <c r="O32" i="18"/>
  <c r="M52" i="18"/>
  <c r="G53" i="18"/>
  <c r="E49" i="18"/>
  <c r="K51" i="18"/>
  <c r="O5" i="18"/>
  <c r="O31" i="18"/>
  <c r="I53" i="18"/>
  <c r="O39" i="18"/>
  <c r="O17" i="18"/>
  <c r="K21" i="18"/>
  <c r="G51" i="18"/>
  <c r="M49" i="18"/>
  <c r="E43" i="18"/>
  <c r="C50" i="18"/>
  <c r="C52" i="18"/>
  <c r="O35" i="18"/>
  <c r="E53" i="18"/>
  <c r="C21" i="18"/>
  <c r="N53" i="18"/>
  <c r="O6" i="18"/>
  <c r="O14" i="18"/>
  <c r="O18" i="18"/>
  <c r="D21" i="18"/>
  <c r="H21" i="18"/>
  <c r="L21" i="18"/>
  <c r="O37" i="18"/>
  <c r="I49" i="18"/>
  <c r="E50" i="18"/>
  <c r="M43" i="18"/>
  <c r="O9" i="18"/>
  <c r="G52" i="18"/>
  <c r="O13" i="18"/>
  <c r="M53" i="18"/>
  <c r="L50" i="18"/>
  <c r="F52" i="4"/>
  <c r="F50" i="4"/>
  <c r="H52" i="4"/>
  <c r="H51" i="4"/>
  <c r="H50" i="4"/>
  <c r="F51" i="4"/>
  <c r="N53" i="4"/>
  <c r="L49" i="4"/>
  <c r="M49" i="4"/>
  <c r="N49" i="4"/>
  <c r="M53" i="4"/>
  <c r="L53" i="4"/>
  <c r="O41" i="4"/>
  <c r="K53" i="4"/>
  <c r="K49" i="4"/>
  <c r="O40" i="4"/>
  <c r="J49" i="4"/>
  <c r="J53" i="4"/>
  <c r="I53" i="4"/>
  <c r="I49" i="4"/>
  <c r="G53" i="4"/>
  <c r="G49" i="4"/>
  <c r="E53" i="4"/>
  <c r="E49" i="4"/>
  <c r="O39" i="4"/>
  <c r="O38" i="4"/>
  <c r="D52" i="4"/>
  <c r="O34" i="4"/>
  <c r="D51" i="4"/>
  <c r="O32" i="4"/>
  <c r="D50" i="4"/>
  <c r="O30" i="4"/>
  <c r="D43" i="4"/>
  <c r="D53" i="4"/>
  <c r="F53" i="4"/>
  <c r="H43" i="4"/>
  <c r="H53" i="4"/>
  <c r="O36" i="4"/>
  <c r="E52" i="4"/>
  <c r="G52" i="4"/>
  <c r="I52" i="4"/>
  <c r="J52" i="4"/>
  <c r="K52" i="4"/>
  <c r="L52" i="4"/>
  <c r="M52" i="4"/>
  <c r="N52" i="4"/>
  <c r="E51" i="4"/>
  <c r="G51" i="4"/>
  <c r="I51" i="4"/>
  <c r="J51" i="4"/>
  <c r="K51" i="4"/>
  <c r="L51" i="4"/>
  <c r="M51" i="4"/>
  <c r="N51" i="4"/>
  <c r="E50" i="4"/>
  <c r="G50" i="4"/>
  <c r="I50" i="4"/>
  <c r="J50" i="4"/>
  <c r="K50" i="4"/>
  <c r="L50" i="4"/>
  <c r="M50" i="4"/>
  <c r="N50" i="4"/>
  <c r="O29" i="4"/>
  <c r="D49" i="4"/>
  <c r="F49" i="4"/>
  <c r="H49" i="4"/>
  <c r="E43" i="4"/>
  <c r="G43" i="4"/>
  <c r="I43" i="4"/>
  <c r="J43" i="4"/>
  <c r="K43" i="4"/>
  <c r="L43" i="4"/>
  <c r="M43" i="4"/>
  <c r="N43" i="4"/>
  <c r="O37" i="4"/>
  <c r="C53" i="4"/>
  <c r="O33" i="4"/>
  <c r="C51" i="4"/>
  <c r="C50" i="4"/>
  <c r="O28" i="4"/>
  <c r="C49" i="4"/>
  <c r="O27" i="4"/>
  <c r="O42" i="4"/>
  <c r="I21" i="4"/>
  <c r="K21" i="4"/>
  <c r="E21" i="4"/>
  <c r="N21" i="4"/>
  <c r="L21" i="4"/>
  <c r="J21" i="4"/>
  <c r="H21" i="4"/>
  <c r="G21" i="4"/>
  <c r="F21" i="4"/>
  <c r="O10" i="4"/>
  <c r="O12" i="4"/>
  <c r="O14" i="4"/>
  <c r="O16" i="4"/>
  <c r="O8" i="4"/>
  <c r="O7" i="4"/>
  <c r="D21" i="4"/>
  <c r="O6" i="4"/>
  <c r="O5" i="4"/>
  <c r="O19" i="4"/>
  <c r="O18" i="4"/>
  <c r="O15" i="4"/>
  <c r="O11" i="4"/>
  <c r="O9" i="4"/>
  <c r="M21" i="4"/>
  <c r="O20" i="4"/>
  <c r="O17" i="4"/>
  <c r="O52" i="18" l="1"/>
  <c r="D54" i="18"/>
  <c r="G43" i="18"/>
  <c r="G49" i="18"/>
  <c r="E54" i="18"/>
  <c r="E60" i="18"/>
  <c r="L63" i="18"/>
  <c r="K54" i="18"/>
  <c r="K64" i="18" s="1"/>
  <c r="H54" i="18"/>
  <c r="H60" i="18" s="1"/>
  <c r="O27" i="18"/>
  <c r="C51" i="18"/>
  <c r="O33" i="18"/>
  <c r="O53" i="18"/>
  <c r="L54" i="18"/>
  <c r="E61" i="18"/>
  <c r="O21" i="18"/>
  <c r="O50" i="18"/>
  <c r="N49" i="18"/>
  <c r="N43" i="18"/>
  <c r="I54" i="18"/>
  <c r="I64" i="18" s="1"/>
  <c r="I60" i="18"/>
  <c r="E64" i="18"/>
  <c r="M54" i="18"/>
  <c r="M60" i="18"/>
  <c r="M63" i="18"/>
  <c r="F54" i="18"/>
  <c r="F60" i="18" s="1"/>
  <c r="C43" i="18"/>
  <c r="J54" i="18"/>
  <c r="O31" i="4"/>
  <c r="F43" i="4"/>
  <c r="O53" i="4"/>
  <c r="O51" i="4"/>
  <c r="O50" i="4"/>
  <c r="O49" i="4"/>
  <c r="O13" i="4"/>
  <c r="C52" i="4"/>
  <c r="O52" i="4" s="1"/>
  <c r="C21" i="4"/>
  <c r="O21" i="4" s="1"/>
  <c r="K62" i="18" l="1"/>
  <c r="O49" i="18"/>
  <c r="F64" i="18"/>
  <c r="J65" i="18"/>
  <c r="J61" i="18"/>
  <c r="J62" i="18"/>
  <c r="J63" i="18"/>
  <c r="N54" i="18"/>
  <c r="N60" i="18" s="1"/>
  <c r="O43" i="18"/>
  <c r="L65" i="18"/>
  <c r="L64" i="18"/>
  <c r="L62" i="18"/>
  <c r="O51" i="18"/>
  <c r="O54" i="18" s="1"/>
  <c r="D65" i="18"/>
  <c r="D63" i="18"/>
  <c r="D62" i="18"/>
  <c r="D64" i="18"/>
  <c r="D61" i="18"/>
  <c r="M65" i="18"/>
  <c r="M61" i="18"/>
  <c r="M62" i="18"/>
  <c r="I65" i="18"/>
  <c r="I63" i="18"/>
  <c r="I61" i="18"/>
  <c r="I62" i="18"/>
  <c r="J64" i="18"/>
  <c r="L60" i="18"/>
  <c r="K65" i="18"/>
  <c r="K61" i="18"/>
  <c r="K63" i="18"/>
  <c r="E65" i="18"/>
  <c r="E63" i="18"/>
  <c r="E62" i="18"/>
  <c r="D60" i="18"/>
  <c r="J60" i="18"/>
  <c r="F65" i="18"/>
  <c r="F63" i="18"/>
  <c r="F61" i="18"/>
  <c r="L61" i="18"/>
  <c r="C54" i="18"/>
  <c r="H65" i="18"/>
  <c r="H64" i="18"/>
  <c r="H62" i="18"/>
  <c r="H61" i="18"/>
  <c r="F62" i="18"/>
  <c r="K60" i="18"/>
  <c r="G54" i="18"/>
  <c r="H63" i="18"/>
  <c r="M64" i="18"/>
  <c r="O35" i="4"/>
  <c r="C43" i="4"/>
  <c r="O43" i="4" s="1"/>
  <c r="N54" i="4"/>
  <c r="M54" i="4"/>
  <c r="C54" i="4"/>
  <c r="G65" i="18" l="1"/>
  <c r="G61" i="18"/>
  <c r="G62" i="18"/>
  <c r="G63" i="18"/>
  <c r="G64" i="18"/>
  <c r="G60" i="18"/>
  <c r="N65" i="18"/>
  <c r="N63" i="18"/>
  <c r="N61" i="18"/>
  <c r="N62" i="18"/>
  <c r="N64" i="18"/>
  <c r="C65" i="18"/>
  <c r="O65" i="18" s="1"/>
  <c r="C61" i="18"/>
  <c r="C63" i="18"/>
  <c r="C60" i="18"/>
  <c r="O60" i="18" s="1"/>
  <c r="C64" i="18"/>
  <c r="O64" i="18" s="1"/>
  <c r="C62" i="18"/>
  <c r="N61" i="4"/>
  <c r="N63" i="4"/>
  <c r="N65" i="4"/>
  <c r="N62" i="4"/>
  <c r="N64" i="4"/>
  <c r="N60" i="4"/>
  <c r="M62" i="4"/>
  <c r="M64" i="4"/>
  <c r="M61" i="4"/>
  <c r="M63" i="4"/>
  <c r="M65" i="4"/>
  <c r="M60" i="4"/>
  <c r="C62" i="4"/>
  <c r="C64" i="4"/>
  <c r="C61" i="4"/>
  <c r="C63" i="4"/>
  <c r="C65" i="4"/>
  <c r="C60" i="4"/>
  <c r="E54" i="4"/>
  <c r="K54" i="4"/>
  <c r="J54" i="4"/>
  <c r="I54" i="4"/>
  <c r="G54" i="4"/>
  <c r="F54" i="4"/>
  <c r="D54" i="4"/>
  <c r="H54" i="4"/>
  <c r="L54" i="4"/>
  <c r="O63" i="18" l="1"/>
  <c r="O62" i="18"/>
  <c r="O61" i="18"/>
  <c r="L61" i="4"/>
  <c r="L63" i="4"/>
  <c r="L65" i="4"/>
  <c r="L62" i="4"/>
  <c r="L64" i="4"/>
  <c r="L60" i="4"/>
  <c r="D61" i="4"/>
  <c r="D63" i="4"/>
  <c r="D65" i="4"/>
  <c r="D62" i="4"/>
  <c r="D64" i="4"/>
  <c r="D60" i="4"/>
  <c r="G62" i="4"/>
  <c r="G64" i="4"/>
  <c r="G61" i="4"/>
  <c r="G63" i="4"/>
  <c r="G65" i="4"/>
  <c r="G60" i="4"/>
  <c r="J61" i="4"/>
  <c r="J63" i="4"/>
  <c r="J65" i="4"/>
  <c r="J62" i="4"/>
  <c r="J64" i="4"/>
  <c r="J60" i="4"/>
  <c r="E62" i="4"/>
  <c r="E64" i="4"/>
  <c r="E61" i="4"/>
  <c r="E63" i="4"/>
  <c r="E65" i="4"/>
  <c r="E60" i="4"/>
  <c r="H61" i="4"/>
  <c r="H63" i="4"/>
  <c r="H65" i="4"/>
  <c r="H62" i="4"/>
  <c r="H64" i="4"/>
  <c r="H60" i="4"/>
  <c r="F61" i="4"/>
  <c r="F63" i="4"/>
  <c r="F65" i="4"/>
  <c r="F62" i="4"/>
  <c r="F64" i="4"/>
  <c r="F60" i="4"/>
  <c r="I62" i="4"/>
  <c r="I64" i="4"/>
  <c r="I61" i="4"/>
  <c r="I63" i="4"/>
  <c r="I65" i="4"/>
  <c r="I60" i="4"/>
  <c r="K62" i="4"/>
  <c r="K64" i="4"/>
  <c r="K61" i="4"/>
  <c r="K63" i="4"/>
  <c r="K65" i="4"/>
  <c r="K60" i="4"/>
  <c r="O54" i="4"/>
  <c r="O60" i="4" l="1"/>
  <c r="O65" i="4"/>
  <c r="O63" i="4"/>
  <c r="O62" i="4"/>
  <c r="O64" i="4"/>
  <c r="O61" i="4"/>
</calcChain>
</file>

<file path=xl/sharedStrings.xml><?xml version="1.0" encoding="utf-8"?>
<sst xmlns="http://schemas.openxmlformats.org/spreadsheetml/2006/main" count="246" uniqueCount="35">
  <si>
    <t>구분</t>
    <phoneticPr fontId="1" type="noConversion"/>
  </si>
  <si>
    <t>1월</t>
    <phoneticPr fontId="1" type="noConversion"/>
  </si>
  <si>
    <t>2월</t>
    <phoneticPr fontId="1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</si>
  <si>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</si>
  <si>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</si>
  <si>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</si>
  <si>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</si>
  <si>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</si>
  <si>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</si>
  <si>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</si>
  <si>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</si>
  <si>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</si>
  <si>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</si>
  <si>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합계</t>
    <phoneticPr fontId="1" type="noConversion"/>
  </si>
  <si>
    <t>합계</t>
    <phoneticPr fontId="1" type="noConversion"/>
  </si>
  <si>
    <t>입장객</t>
    <phoneticPr fontId="1" type="noConversion"/>
  </si>
  <si>
    <t>단위 : 명</t>
    <phoneticPr fontId="1" type="noConversion"/>
  </si>
  <si>
    <t>비율</t>
    <phoneticPr fontId="1" type="noConversion"/>
  </si>
  <si>
    <t>12~14</t>
    <phoneticPr fontId="1" type="noConversion"/>
  </si>
  <si>
    <t>14~16</t>
    <phoneticPr fontId="1" type="noConversion"/>
  </si>
  <si>
    <t>16~18</t>
    <phoneticPr fontId="1" type="noConversion"/>
  </si>
  <si>
    <t>~12:00</t>
    <phoneticPr fontId="1" type="noConversion"/>
  </si>
  <si>
    <t>18:00~</t>
    <phoneticPr fontId="1" type="noConversion"/>
  </si>
  <si>
    <t>단위 : %</t>
    <phoneticPr fontId="1" type="noConversion"/>
  </si>
  <si>
    <t>합계</t>
    <phoneticPr fontId="1" type="noConversion"/>
  </si>
  <si>
    <t>평균</t>
    <phoneticPr fontId="1" type="noConversion"/>
  </si>
  <si>
    <t xml:space="preserve">■ 시간대별 입장객 현황(2025년) </t>
    <phoneticPr fontId="1" type="noConversion"/>
  </si>
  <si>
    <t>■ 시간대별 입장객 현황(2025년) - 사무실 제외</t>
    <phoneticPr fontId="1" type="noConversion"/>
  </si>
  <si>
    <t>■ 시간대별 입장객 비율(2025년) - 사무실 제외</t>
    <phoneticPr fontId="1" type="noConversion"/>
  </si>
  <si>
    <t xml:space="preserve">■ 시간대별 입장객 현황(2024년) </t>
    <phoneticPr fontId="1" type="noConversion"/>
  </si>
  <si>
    <t>■ 시간대별 입장객 현황(2024년) - 사무실 제외</t>
    <phoneticPr fontId="1" type="noConversion"/>
  </si>
  <si>
    <t>■ 시간대별 입장객 비율(2024년) - 사무실 제외</t>
    <phoneticPr fontId="1" type="noConversion"/>
  </si>
  <si>
    <t xml:space="preserve">■ 시간대별 입장객 현황(2023년) </t>
    <phoneticPr fontId="1" type="noConversion"/>
  </si>
  <si>
    <t>■ 시간대별 입장객 현황(2023년) - 사무실 제외</t>
    <phoneticPr fontId="1" type="noConversion"/>
  </si>
  <si>
    <t>■ 시간대별 입장객 비율(2023년) - 사무실 제외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</si>
</sst>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&quot;▲&quot;\ #,##0_-;_-* &quot;-&quot;_-;_-@_-"/>
    <numFmt numFmtId="177" formatCode="0.0%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YoonGothic Medium"/>
      <family val="1"/>
      <charset val="129"/>
    </font>
    <font>
      <sz val="10"/>
      <color theme="1"/>
      <name val="YoonGothic Medium"/>
      <family val="1"/>
      <charset val="129"/>
    </font>
    <font>
      <sz val="9"/>
      <color theme="1"/>
      <name val="YoonGothic Medium"/>
      <family val="1"/>
      <charset val="129"/>
    </font>
    <font>
      <sz val="14"/>
      <color theme="1"/>
      <name val="YoonGothic Medium"/>
      <family val="1"/>
      <charset val="129"/>
    </font>
    <font>
      <b/>
      <sz val="10"/>
      <color theme="1"/>
      <name val="YoonGothic Medium"/>
      <family val="1"/>
      <charset val="129"/>
    </font>
    <font>
      <b/>
      <sz val="9"/>
      <color theme="1"/>
      <name val="YoonGothic Medium"/>
      <family val="1"/>
      <charset val="129"/>
    </font>
    <font>
      <sz val="11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double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8" fillId="0" borderId="0" applyFont="0" applyFill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176" fontId="4" fillId="0" borderId="2" xfId="0" applyNumberFormat="1" applyFont="1" applyBorder="1">
      <alignment vertical="center"/>
    </xf>
    <xf numFmtId="176" fontId="7" fillId="2" borderId="3" xfId="0" applyNumberFormat="1" applyFont="1" applyFill="1" applyBorder="1">
      <alignment vertical="center"/>
    </xf>
    <xf numFmtId="176" fontId="4" fillId="0" borderId="5" xfId="0" applyNumberFormat="1" applyFont="1" applyBorder="1">
      <alignment vertical="center"/>
    </xf>
    <xf numFmtId="0" fontId="6" fillId="3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20" fontId="3" fillId="0" borderId="5" xfId="0" applyNumberFormat="1" applyFont="1" applyBorder="1" applyAlignment="1">
      <alignment horizontal="center" vertical="center"/>
    </xf>
    <xf numFmtId="20" fontId="3" fillId="0" borderId="6" xfId="0" applyNumberFormat="1" applyFont="1" applyBorder="1" applyAlignment="1">
      <alignment horizontal="center" vertical="center"/>
    </xf>
    <xf numFmtId="176" fontId="4" fillId="0" borderId="6" xfId="0" applyNumberFormat="1" applyFont="1" applyBorder="1">
      <alignment vertical="center"/>
    </xf>
    <xf numFmtId="20" fontId="3" fillId="0" borderId="2" xfId="0" applyNumberFormat="1" applyFont="1" applyBorder="1" applyAlignment="1">
      <alignment horizontal="center" vertical="center"/>
    </xf>
    <xf numFmtId="20" fontId="3" fillId="0" borderId="7" xfId="0" applyNumberFormat="1" applyFont="1" applyBorder="1" applyAlignment="1">
      <alignment horizontal="center" vertical="center"/>
    </xf>
    <xf numFmtId="176" fontId="4" fillId="0" borderId="7" xfId="0" applyNumberFormat="1" applyFont="1" applyBorder="1">
      <alignment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176" fontId="4" fillId="0" borderId="11" xfId="0" applyNumberFormat="1" applyFont="1" applyBorder="1">
      <alignment vertical="center"/>
    </xf>
    <xf numFmtId="176" fontId="4" fillId="0" borderId="12" xfId="0" applyNumberFormat="1" applyFont="1" applyBorder="1">
      <alignment vertical="center"/>
    </xf>
    <xf numFmtId="176" fontId="4" fillId="0" borderId="13" xfId="0" applyNumberFormat="1" applyFont="1" applyBorder="1">
      <alignment vertical="center"/>
    </xf>
    <xf numFmtId="176" fontId="4" fillId="0" borderId="14" xfId="0" applyNumberFormat="1" applyFont="1" applyBorder="1">
      <alignment vertical="center"/>
    </xf>
    <xf numFmtId="176" fontId="4" fillId="0" borderId="15" xfId="0" applyNumberFormat="1" applyFont="1" applyBorder="1">
      <alignment vertical="center"/>
    </xf>
    <xf numFmtId="176" fontId="4" fillId="0" borderId="16" xfId="0" applyNumberFormat="1" applyFont="1" applyBorder="1">
      <alignment vertical="center"/>
    </xf>
    <xf numFmtId="176" fontId="4" fillId="0" borderId="17" xfId="0" applyNumberFormat="1" applyFont="1" applyBorder="1">
      <alignment vertical="center"/>
    </xf>
    <xf numFmtId="176" fontId="4" fillId="0" borderId="18" xfId="0" applyNumberFormat="1" applyFont="1" applyBorder="1">
      <alignment vertical="center"/>
    </xf>
    <xf numFmtId="176" fontId="4" fillId="0" borderId="19" xfId="0" applyNumberFormat="1" applyFont="1" applyBorder="1">
      <alignment vertical="center"/>
    </xf>
    <xf numFmtId="176" fontId="4" fillId="0" borderId="20" xfId="0" applyNumberFormat="1" applyFont="1" applyBorder="1">
      <alignment vertical="center"/>
    </xf>
    <xf numFmtId="176" fontId="4" fillId="0" borderId="21" xfId="0" applyNumberFormat="1" applyFont="1" applyBorder="1">
      <alignment vertical="center"/>
    </xf>
    <xf numFmtId="176" fontId="4" fillId="0" borderId="22" xfId="0" applyNumberFormat="1" applyFont="1" applyBorder="1">
      <alignment vertical="center"/>
    </xf>
    <xf numFmtId="176" fontId="7" fillId="2" borderId="23" xfId="0" applyNumberFormat="1" applyFont="1" applyFill="1" applyBorder="1">
      <alignment vertical="center"/>
    </xf>
    <xf numFmtId="176" fontId="7" fillId="2" borderId="24" xfId="0" applyNumberFormat="1" applyFont="1" applyFill="1" applyBorder="1">
      <alignment vertical="center"/>
    </xf>
    <xf numFmtId="176" fontId="7" fillId="2" borderId="25" xfId="0" applyNumberFormat="1" applyFont="1" applyFill="1" applyBorder="1">
      <alignment vertical="center"/>
    </xf>
    <xf numFmtId="177" fontId="4" fillId="0" borderId="11" xfId="1" applyNumberFormat="1" applyFont="1" applyBorder="1">
      <alignment vertical="center"/>
    </xf>
    <xf numFmtId="177" fontId="4" fillId="0" borderId="12" xfId="1" applyNumberFormat="1" applyFont="1" applyBorder="1">
      <alignment vertical="center"/>
    </xf>
    <xf numFmtId="177" fontId="4" fillId="0" borderId="13" xfId="1" applyNumberFormat="1" applyFont="1" applyBorder="1">
      <alignment vertical="center"/>
    </xf>
    <xf numFmtId="177" fontId="4" fillId="0" borderId="5" xfId="1" applyNumberFormat="1" applyFont="1" applyBorder="1">
      <alignment vertical="center"/>
    </xf>
    <xf numFmtId="177" fontId="4" fillId="0" borderId="14" xfId="1" applyNumberFormat="1" applyFont="1" applyBorder="1">
      <alignment vertical="center"/>
    </xf>
    <xf numFmtId="177" fontId="4" fillId="0" borderId="15" xfId="1" applyNumberFormat="1" applyFont="1" applyBorder="1">
      <alignment vertical="center"/>
    </xf>
    <xf numFmtId="177" fontId="4" fillId="0" borderId="16" xfId="1" applyNumberFormat="1" applyFont="1" applyBorder="1">
      <alignment vertical="center"/>
    </xf>
    <xf numFmtId="177" fontId="4" fillId="0" borderId="7" xfId="1" applyNumberFormat="1" applyFont="1" applyBorder="1">
      <alignment vertical="center"/>
    </xf>
    <xf numFmtId="177" fontId="4" fillId="0" borderId="17" xfId="1" applyNumberFormat="1" applyFont="1" applyBorder="1">
      <alignment vertical="center"/>
    </xf>
    <xf numFmtId="177" fontId="4" fillId="0" borderId="18" xfId="1" applyNumberFormat="1" applyFont="1" applyBorder="1">
      <alignment vertical="center"/>
    </xf>
    <xf numFmtId="177" fontId="4" fillId="0" borderId="19" xfId="1" applyNumberFormat="1" applyFont="1" applyBorder="1">
      <alignment vertical="center"/>
    </xf>
    <xf numFmtId="177" fontId="4" fillId="0" borderId="6" xfId="1" applyNumberFormat="1" applyFont="1" applyBorder="1">
      <alignment vertical="center"/>
    </xf>
    <xf numFmtId="177" fontId="7" fillId="2" borderId="23" xfId="1" applyNumberFormat="1" applyFont="1" applyFill="1" applyBorder="1">
      <alignment vertical="center"/>
    </xf>
    <xf numFmtId="177" fontId="7" fillId="2" borderId="24" xfId="1" applyNumberFormat="1" applyFont="1" applyFill="1" applyBorder="1">
      <alignment vertical="center"/>
    </xf>
    <xf numFmtId="177" fontId="7" fillId="2" borderId="25" xfId="1" applyNumberFormat="1" applyFont="1" applyFill="1" applyBorder="1">
      <alignment vertical="center"/>
    </xf>
    <xf numFmtId="177" fontId="7" fillId="2" borderId="3" xfId="1" applyNumberFormat="1" applyFont="1" applyFill="1" applyBorder="1">
      <alignment vertical="center"/>
    </xf>
    <xf numFmtId="176" fontId="4" fillId="0" borderId="11" xfId="1" applyNumberFormat="1" applyFont="1" applyBorder="1">
      <alignment vertical="center"/>
    </xf>
    <xf numFmtId="176" fontId="4" fillId="0" borderId="12" xfId="1" applyNumberFormat="1" applyFont="1" applyBorder="1">
      <alignment vertical="center"/>
    </xf>
    <xf numFmtId="176" fontId="4" fillId="0" borderId="13" xfId="1" applyNumberFormat="1" applyFont="1" applyBorder="1">
      <alignment vertical="center"/>
    </xf>
    <xf numFmtId="176" fontId="4" fillId="0" borderId="5" xfId="1" applyNumberFormat="1" applyFont="1" applyBorder="1">
      <alignment vertical="center"/>
    </xf>
    <xf numFmtId="176" fontId="4" fillId="0" borderId="14" xfId="1" applyNumberFormat="1" applyFont="1" applyBorder="1">
      <alignment vertical="center"/>
    </xf>
    <xf numFmtId="176" fontId="4" fillId="0" borderId="15" xfId="1" applyNumberFormat="1" applyFont="1" applyBorder="1">
      <alignment vertical="center"/>
    </xf>
    <xf numFmtId="176" fontId="4" fillId="0" borderId="16" xfId="1" applyNumberFormat="1" applyFont="1" applyBorder="1">
      <alignment vertical="center"/>
    </xf>
    <xf numFmtId="176" fontId="4" fillId="0" borderId="7" xfId="1" applyNumberFormat="1" applyFont="1" applyBorder="1">
      <alignment vertical="center"/>
    </xf>
    <xf numFmtId="176" fontId="4" fillId="0" borderId="17" xfId="1" applyNumberFormat="1" applyFont="1" applyBorder="1">
      <alignment vertical="center"/>
    </xf>
    <xf numFmtId="176" fontId="4" fillId="0" borderId="18" xfId="1" applyNumberFormat="1" applyFont="1" applyBorder="1">
      <alignment vertical="center"/>
    </xf>
    <xf numFmtId="176" fontId="4" fillId="0" borderId="19" xfId="1" applyNumberFormat="1" applyFont="1" applyBorder="1">
      <alignment vertical="center"/>
    </xf>
    <xf numFmtId="176" fontId="4" fillId="0" borderId="6" xfId="1" applyNumberFormat="1" applyFont="1" applyBorder="1">
      <alignment vertical="center"/>
    </xf>
    <xf numFmtId="176" fontId="7" fillId="2" borderId="23" xfId="1" applyNumberFormat="1" applyFont="1" applyFill="1" applyBorder="1">
      <alignment vertical="center"/>
    </xf>
    <xf numFmtId="176" fontId="7" fillId="2" borderId="24" xfId="1" applyNumberFormat="1" applyFont="1" applyFill="1" applyBorder="1">
      <alignment vertical="center"/>
    </xf>
    <xf numFmtId="176" fontId="7" fillId="2" borderId="25" xfId="1" applyNumberFormat="1" applyFont="1" applyFill="1" applyBorder="1">
      <alignment vertical="center"/>
    </xf>
    <xf numFmtId="176" fontId="7" fillId="2" borderId="3" xfId="1" applyNumberFormat="1" applyFont="1" applyFill="1" applyBorder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5"/>
  <sheetViews>
    <sheetView workbookViewId="0">
      <pane xSplit="2" ySplit="4" topLeftCell="C23" activePane="bottomRight" state="frozen"/>
      <selection activeCell="O50" sqref="O50"/>
      <selection pane="topRight" activeCell="O50" sqref="O50"/>
      <selection pane="bottomLeft" activeCell="O50" sqref="O50"/>
      <selection pane="bottomRight" activeCell="S35" sqref="S35"/>
    </sheetView>
  </sheetViews>
  <sheetFormatPr defaultRowHeight="15" x14ac:dyDescent="0.3"/>
  <cols>
    <col min="1" max="1" width="2.625" style="1" customWidth="1"/>
    <col min="2" max="2" width="8.625" style="2" customWidth="1"/>
    <col min="3" max="15" width="10.625" style="1" customWidth="1"/>
    <col min="16" max="16384" width="9" style="1"/>
  </cols>
  <sheetData>
    <row r="1" spans="1:15" ht="18.75" x14ac:dyDescent="0.3">
      <c r="A1" s="4" t="s">
        <v>26</v>
      </c>
    </row>
    <row r="2" spans="1:15" x14ac:dyDescent="0.3">
      <c r="O2" s="3" t="s">
        <v>16</v>
      </c>
    </row>
    <row r="3" spans="1:15" ht="16.5" customHeight="1" x14ac:dyDescent="0.3">
      <c r="B3" s="66" t="s">
        <v>0</v>
      </c>
      <c r="C3" s="66" t="s">
        <v>15</v>
      </c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</row>
    <row r="4" spans="1:15" ht="16.5" customHeight="1" thickBot="1" x14ac:dyDescent="0.35">
      <c r="B4" s="67"/>
      <c r="C4" s="16" t="s">
        <v>1</v>
      </c>
      <c r="D4" s="17" t="s">
        <v>2</v>
      </c>
      <c r="E4" s="17" t="s">
        <v>3</v>
      </c>
      <c r="F4" s="17" t="s">
        <v>4</v>
      </c>
      <c r="G4" s="17" t="s">
        <v>5</v>
      </c>
      <c r="H4" s="17" t="s">
        <v>6</v>
      </c>
      <c r="I4" s="17" t="s">
        <v>7</v>
      </c>
      <c r="J4" s="17" t="s">
        <v>8</v>
      </c>
      <c r="K4" s="17" t="s">
        <v>9</v>
      </c>
      <c r="L4" s="17" t="s">
        <v>10</v>
      </c>
      <c r="M4" s="17" t="s">
        <v>11</v>
      </c>
      <c r="N4" s="18" t="s">
        <v>12</v>
      </c>
      <c r="O4" s="8" t="s">
        <v>14</v>
      </c>
    </row>
    <row r="5" spans="1:15" ht="16.5" customHeight="1" thickTop="1" x14ac:dyDescent="0.3">
      <c r="B5" s="10">
        <v>0.33333333333333331</v>
      </c>
      <c r="C5" s="19">
        <v>0</v>
      </c>
      <c r="D5" s="20">
        <v>0</v>
      </c>
      <c r="E5" s="20">
        <v>1</v>
      </c>
      <c r="F5" s="20">
        <v>244</v>
      </c>
      <c r="G5" s="20">
        <v>3415</v>
      </c>
      <c r="H5" s="20">
        <v>13</v>
      </c>
      <c r="I5" s="20">
        <v>0</v>
      </c>
      <c r="J5" s="20">
        <v>0</v>
      </c>
      <c r="K5" s="20">
        <v>47</v>
      </c>
      <c r="L5" s="20">
        <v>233</v>
      </c>
      <c r="M5" s="20">
        <v>0</v>
      </c>
      <c r="N5" s="21">
        <v>0</v>
      </c>
      <c r="O5" s="7">
        <f>SUM(C5:N5)</f>
        <v>3953</v>
      </c>
    </row>
    <row r="6" spans="1:15" ht="16.5" customHeight="1" x14ac:dyDescent="0.3">
      <c r="B6" s="14">
        <v>0.375</v>
      </c>
      <c r="C6" s="22">
        <v>10026</v>
      </c>
      <c r="D6" s="23">
        <v>8590</v>
      </c>
      <c r="E6" s="23">
        <v>7200</v>
      </c>
      <c r="F6" s="23">
        <v>25715</v>
      </c>
      <c r="G6" s="23">
        <v>47364</v>
      </c>
      <c r="H6" s="23">
        <v>17887</v>
      </c>
      <c r="I6" s="23">
        <v>4520</v>
      </c>
      <c r="J6" s="23">
        <v>6979</v>
      </c>
      <c r="K6" s="23">
        <v>15735</v>
      </c>
      <c r="L6" s="23">
        <v>36937</v>
      </c>
      <c r="M6" s="23">
        <v>15785</v>
      </c>
      <c r="N6" s="24">
        <v>3301</v>
      </c>
      <c r="O6" s="15">
        <f t="shared" ref="O6:O20" si="0">SUM(C6:N6)</f>
        <v>200039</v>
      </c>
    </row>
    <row r="7" spans="1:15" ht="16.5" customHeight="1" x14ac:dyDescent="0.3">
      <c r="B7" s="11">
        <v>0.41666666666666669</v>
      </c>
      <c r="C7" s="25">
        <v>18812</v>
      </c>
      <c r="D7" s="26">
        <v>21259</v>
      </c>
      <c r="E7" s="26">
        <v>15263</v>
      </c>
      <c r="F7" s="26">
        <v>29818</v>
      </c>
      <c r="G7" s="26">
        <v>42560</v>
      </c>
      <c r="H7" s="26">
        <v>20195</v>
      </c>
      <c r="I7" s="26">
        <v>8855</v>
      </c>
      <c r="J7" s="26">
        <v>11519</v>
      </c>
      <c r="K7" s="26">
        <v>17240</v>
      </c>
      <c r="L7" s="26">
        <v>40431</v>
      </c>
      <c r="M7" s="26">
        <v>23771</v>
      </c>
      <c r="N7" s="27">
        <v>8518</v>
      </c>
      <c r="O7" s="12">
        <f t="shared" si="0"/>
        <v>258241</v>
      </c>
    </row>
    <row r="8" spans="1:15" ht="16.5" customHeight="1" x14ac:dyDescent="0.3">
      <c r="B8" s="11">
        <v>0.45833333333333298</v>
      </c>
      <c r="C8" s="25">
        <v>10771</v>
      </c>
      <c r="D8" s="26">
        <v>12260</v>
      </c>
      <c r="E8" s="26">
        <v>9830</v>
      </c>
      <c r="F8" s="26">
        <v>17412</v>
      </c>
      <c r="G8" s="26">
        <v>22392</v>
      </c>
      <c r="H8" s="26">
        <v>13296</v>
      </c>
      <c r="I8" s="26">
        <v>5446</v>
      </c>
      <c r="J8" s="26">
        <v>8658</v>
      </c>
      <c r="K8" s="26">
        <v>10523</v>
      </c>
      <c r="L8" s="26">
        <v>24027</v>
      </c>
      <c r="M8" s="26">
        <v>14068</v>
      </c>
      <c r="N8" s="27">
        <v>5684</v>
      </c>
      <c r="O8" s="12">
        <f t="shared" si="0"/>
        <v>154367</v>
      </c>
    </row>
    <row r="9" spans="1:15" ht="16.5" customHeight="1" x14ac:dyDescent="0.3">
      <c r="B9" s="11">
        <v>0.5</v>
      </c>
      <c r="C9" s="25">
        <v>8137</v>
      </c>
      <c r="D9" s="26">
        <v>7521</v>
      </c>
      <c r="E9" s="26">
        <v>7833</v>
      </c>
      <c r="F9" s="26">
        <v>9765</v>
      </c>
      <c r="G9" s="26">
        <v>14919</v>
      </c>
      <c r="H9" s="26">
        <v>8387</v>
      </c>
      <c r="I9" s="26">
        <v>3719</v>
      </c>
      <c r="J9" s="26">
        <v>6749</v>
      </c>
      <c r="K9" s="26">
        <v>7255</v>
      </c>
      <c r="L9" s="26">
        <v>16492</v>
      </c>
      <c r="M9" s="26">
        <v>10716</v>
      </c>
      <c r="N9" s="27">
        <v>4893</v>
      </c>
      <c r="O9" s="12">
        <f t="shared" si="0"/>
        <v>106386</v>
      </c>
    </row>
    <row r="10" spans="1:15" ht="16.5" customHeight="1" x14ac:dyDescent="0.3">
      <c r="B10" s="11">
        <v>0.54166666666666696</v>
      </c>
      <c r="C10" s="25">
        <v>6647</v>
      </c>
      <c r="D10" s="26">
        <v>5880</v>
      </c>
      <c r="E10" s="26">
        <v>6048</v>
      </c>
      <c r="F10" s="26">
        <v>7340</v>
      </c>
      <c r="G10" s="26">
        <v>11369</v>
      </c>
      <c r="H10" s="26">
        <v>7184</v>
      </c>
      <c r="I10" s="26">
        <v>3393</v>
      </c>
      <c r="J10" s="26">
        <v>6108</v>
      </c>
      <c r="K10" s="26">
        <v>7191</v>
      </c>
      <c r="L10" s="26">
        <v>17333</v>
      </c>
      <c r="M10" s="26">
        <v>11290</v>
      </c>
      <c r="N10" s="27">
        <v>4498</v>
      </c>
      <c r="O10" s="12">
        <f t="shared" si="0"/>
        <v>94281</v>
      </c>
    </row>
    <row r="11" spans="1:15" ht="16.5" customHeight="1" x14ac:dyDescent="0.3">
      <c r="B11" s="11">
        <v>0.58333333333333304</v>
      </c>
      <c r="C11" s="25">
        <v>6118</v>
      </c>
      <c r="D11" s="26">
        <v>5167</v>
      </c>
      <c r="E11" s="26">
        <v>4712</v>
      </c>
      <c r="F11" s="26">
        <v>7409</v>
      </c>
      <c r="G11" s="26">
        <v>11967</v>
      </c>
      <c r="H11" s="26">
        <v>9048</v>
      </c>
      <c r="I11" s="26">
        <v>3943</v>
      </c>
      <c r="J11" s="26">
        <v>6942</v>
      </c>
      <c r="K11" s="26">
        <v>6447</v>
      </c>
      <c r="L11" s="26">
        <v>16215</v>
      </c>
      <c r="M11" s="26">
        <v>9291</v>
      </c>
      <c r="N11" s="27">
        <v>5435</v>
      </c>
      <c r="O11" s="12">
        <f t="shared" si="0"/>
        <v>92694</v>
      </c>
    </row>
    <row r="12" spans="1:15" ht="16.5" customHeight="1" x14ac:dyDescent="0.3">
      <c r="B12" s="11">
        <v>0.625</v>
      </c>
      <c r="C12" s="25">
        <v>3176</v>
      </c>
      <c r="D12" s="26">
        <v>2556</v>
      </c>
      <c r="E12" s="26">
        <v>3675</v>
      </c>
      <c r="F12" s="26">
        <v>6935</v>
      </c>
      <c r="G12" s="26">
        <v>11644</v>
      </c>
      <c r="H12" s="26">
        <v>6803</v>
      </c>
      <c r="I12" s="26">
        <v>2883</v>
      </c>
      <c r="J12" s="26">
        <v>5910</v>
      </c>
      <c r="K12" s="26">
        <v>5455</v>
      </c>
      <c r="L12" s="26">
        <v>16072</v>
      </c>
      <c r="M12" s="26">
        <v>8624</v>
      </c>
      <c r="N12" s="27">
        <v>3516</v>
      </c>
      <c r="O12" s="12">
        <f t="shared" si="0"/>
        <v>77249</v>
      </c>
    </row>
    <row r="13" spans="1:15" ht="16.5" customHeight="1" x14ac:dyDescent="0.3">
      <c r="B13" s="11">
        <v>0.66666666666666696</v>
      </c>
      <c r="C13" s="25">
        <v>1636</v>
      </c>
      <c r="D13" s="26">
        <v>1567</v>
      </c>
      <c r="E13" s="26">
        <v>4283</v>
      </c>
      <c r="F13" s="26">
        <v>7925</v>
      </c>
      <c r="G13" s="26">
        <v>12562</v>
      </c>
      <c r="H13" s="26">
        <v>7549</v>
      </c>
      <c r="I13" s="26">
        <v>3272</v>
      </c>
      <c r="J13" s="26">
        <v>6729</v>
      </c>
      <c r="K13" s="26">
        <v>8508</v>
      </c>
      <c r="L13" s="26">
        <v>15462</v>
      </c>
      <c r="M13" s="26">
        <v>9930</v>
      </c>
      <c r="N13" s="27">
        <v>2919</v>
      </c>
      <c r="O13" s="12">
        <f t="shared" si="0"/>
        <v>82342</v>
      </c>
    </row>
    <row r="14" spans="1:15" ht="16.5" customHeight="1" x14ac:dyDescent="0.3">
      <c r="B14" s="11">
        <v>0.70833333333333404</v>
      </c>
      <c r="C14" s="25">
        <v>680</v>
      </c>
      <c r="D14" s="26">
        <v>451</v>
      </c>
      <c r="E14" s="26">
        <v>1647</v>
      </c>
      <c r="F14" s="26">
        <v>4293</v>
      </c>
      <c r="G14" s="26">
        <v>6183</v>
      </c>
      <c r="H14" s="26">
        <v>4914</v>
      </c>
      <c r="I14" s="26">
        <v>2637</v>
      </c>
      <c r="J14" s="26">
        <v>5731</v>
      </c>
      <c r="K14" s="26">
        <v>5066</v>
      </c>
      <c r="L14" s="26">
        <v>12920</v>
      </c>
      <c r="M14" s="26">
        <v>4033</v>
      </c>
      <c r="N14" s="27">
        <v>1547</v>
      </c>
      <c r="O14" s="12">
        <f t="shared" si="0"/>
        <v>50102</v>
      </c>
    </row>
    <row r="15" spans="1:15" ht="16.5" customHeight="1" x14ac:dyDescent="0.3">
      <c r="B15" s="11">
        <v>0.75</v>
      </c>
      <c r="C15" s="25">
        <v>450</v>
      </c>
      <c r="D15" s="26">
        <v>1107</v>
      </c>
      <c r="E15" s="26">
        <v>2237</v>
      </c>
      <c r="F15" s="26">
        <v>2990</v>
      </c>
      <c r="G15" s="26">
        <v>4874</v>
      </c>
      <c r="H15" s="26">
        <v>4917</v>
      </c>
      <c r="I15" s="26">
        <v>3066</v>
      </c>
      <c r="J15" s="26">
        <v>6861</v>
      </c>
      <c r="K15" s="26">
        <v>4296</v>
      </c>
      <c r="L15" s="26">
        <v>6849</v>
      </c>
      <c r="M15" s="26">
        <v>4494</v>
      </c>
      <c r="N15" s="27">
        <v>1410</v>
      </c>
      <c r="O15" s="12">
        <f t="shared" si="0"/>
        <v>43551</v>
      </c>
    </row>
    <row r="16" spans="1:15" ht="16.5" customHeight="1" x14ac:dyDescent="0.3">
      <c r="B16" s="11">
        <v>0.79166666666666696</v>
      </c>
      <c r="C16" s="25">
        <v>21</v>
      </c>
      <c r="D16" s="26">
        <v>9</v>
      </c>
      <c r="E16" s="26">
        <v>112</v>
      </c>
      <c r="F16" s="26">
        <v>511</v>
      </c>
      <c r="G16" s="26">
        <v>702</v>
      </c>
      <c r="H16" s="26">
        <v>766</v>
      </c>
      <c r="I16" s="26">
        <v>728</v>
      </c>
      <c r="J16" s="26">
        <v>2062</v>
      </c>
      <c r="K16" s="26">
        <v>1350</v>
      </c>
      <c r="L16" s="26">
        <v>952</v>
      </c>
      <c r="M16" s="26">
        <v>398</v>
      </c>
      <c r="N16" s="27">
        <v>252</v>
      </c>
      <c r="O16" s="12">
        <f t="shared" si="0"/>
        <v>7863</v>
      </c>
    </row>
    <row r="17" spans="1:15" ht="16.5" customHeight="1" x14ac:dyDescent="0.3">
      <c r="B17" s="11">
        <v>0.83333333333333404</v>
      </c>
      <c r="C17" s="25">
        <v>35</v>
      </c>
      <c r="D17" s="26">
        <v>0</v>
      </c>
      <c r="E17" s="26">
        <v>2</v>
      </c>
      <c r="F17" s="26">
        <v>3184</v>
      </c>
      <c r="G17" s="26">
        <v>3027</v>
      </c>
      <c r="H17" s="26">
        <v>466</v>
      </c>
      <c r="I17" s="26">
        <v>1158</v>
      </c>
      <c r="J17" s="26">
        <v>248</v>
      </c>
      <c r="K17" s="26">
        <v>5511</v>
      </c>
      <c r="L17" s="26">
        <v>284</v>
      </c>
      <c r="M17" s="26">
        <v>1557</v>
      </c>
      <c r="N17" s="27">
        <v>158</v>
      </c>
      <c r="O17" s="12">
        <f t="shared" si="0"/>
        <v>15630</v>
      </c>
    </row>
    <row r="18" spans="1:15" ht="16.5" customHeight="1" x14ac:dyDescent="0.3">
      <c r="B18" s="11">
        <v>0.875</v>
      </c>
      <c r="C18" s="25">
        <v>0</v>
      </c>
      <c r="D18" s="26">
        <v>0</v>
      </c>
      <c r="E18" s="26">
        <v>0</v>
      </c>
      <c r="F18" s="26">
        <v>972</v>
      </c>
      <c r="G18" s="26">
        <v>630</v>
      </c>
      <c r="H18" s="26">
        <v>36781</v>
      </c>
      <c r="I18" s="26">
        <v>12962</v>
      </c>
      <c r="J18" s="26">
        <v>16935</v>
      </c>
      <c r="K18" s="26">
        <v>304</v>
      </c>
      <c r="L18" s="26">
        <v>5218</v>
      </c>
      <c r="M18" s="26">
        <v>6000</v>
      </c>
      <c r="N18" s="27">
        <v>0</v>
      </c>
      <c r="O18" s="12">
        <f t="shared" si="0"/>
        <v>79802</v>
      </c>
    </row>
    <row r="19" spans="1:15" ht="16.5" customHeight="1" x14ac:dyDescent="0.3">
      <c r="B19" s="11">
        <v>0.91666666666666696</v>
      </c>
      <c r="C19" s="25">
        <v>0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7">
        <v>0</v>
      </c>
      <c r="O19" s="12">
        <f t="shared" si="0"/>
        <v>0</v>
      </c>
    </row>
    <row r="20" spans="1:15" ht="16.5" customHeight="1" thickBot="1" x14ac:dyDescent="0.35">
      <c r="B20" s="13">
        <v>0.95833333333333404</v>
      </c>
      <c r="C20" s="28">
        <v>0</v>
      </c>
      <c r="D20" s="29">
        <v>0</v>
      </c>
      <c r="E20" s="29">
        <v>0</v>
      </c>
      <c r="F20" s="29">
        <v>0</v>
      </c>
      <c r="G20" s="29">
        <v>0</v>
      </c>
      <c r="H20" s="29">
        <v>0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  <c r="N20" s="30">
        <v>0</v>
      </c>
      <c r="O20" s="5">
        <f t="shared" si="0"/>
        <v>0</v>
      </c>
    </row>
    <row r="21" spans="1:15" ht="16.5" customHeight="1" thickTop="1" x14ac:dyDescent="0.3">
      <c r="B21" s="9" t="s">
        <v>13</v>
      </c>
      <c r="C21" s="31">
        <f t="shared" ref="C21:N21" si="1">SUM(C5:C20)</f>
        <v>66509</v>
      </c>
      <c r="D21" s="32">
        <f t="shared" si="1"/>
        <v>66367</v>
      </c>
      <c r="E21" s="32">
        <f t="shared" si="1"/>
        <v>62843</v>
      </c>
      <c r="F21" s="32">
        <f t="shared" si="1"/>
        <v>124513</v>
      </c>
      <c r="G21" s="32">
        <f t="shared" si="1"/>
        <v>193608</v>
      </c>
      <c r="H21" s="32">
        <f t="shared" si="1"/>
        <v>138206</v>
      </c>
      <c r="I21" s="32">
        <f t="shared" si="1"/>
        <v>56582</v>
      </c>
      <c r="J21" s="32">
        <f t="shared" si="1"/>
        <v>91431</v>
      </c>
      <c r="K21" s="32">
        <f t="shared" si="1"/>
        <v>94928</v>
      </c>
      <c r="L21" s="32">
        <f t="shared" si="1"/>
        <v>209425</v>
      </c>
      <c r="M21" s="32">
        <f t="shared" si="1"/>
        <v>119957</v>
      </c>
      <c r="N21" s="33">
        <f t="shared" si="1"/>
        <v>42131</v>
      </c>
      <c r="O21" s="6">
        <f t="shared" ref="O21" si="2">SUM(C21:N21)</f>
        <v>1266500</v>
      </c>
    </row>
    <row r="23" spans="1:15" ht="18.75" x14ac:dyDescent="0.3">
      <c r="A23" s="4" t="s">
        <v>27</v>
      </c>
    </row>
    <row r="24" spans="1:15" x14ac:dyDescent="0.3">
      <c r="O24" s="3" t="s">
        <v>16</v>
      </c>
    </row>
    <row r="25" spans="1:15" ht="16.5" customHeight="1" x14ac:dyDescent="0.3">
      <c r="B25" s="66" t="s">
        <v>0</v>
      </c>
      <c r="C25" s="66" t="s">
        <v>15</v>
      </c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</row>
    <row r="26" spans="1:15" ht="16.5" customHeight="1" thickBot="1" x14ac:dyDescent="0.35">
      <c r="B26" s="67"/>
      <c r="C26" s="16" t="s">
        <v>1</v>
      </c>
      <c r="D26" s="17" t="s">
        <v>2</v>
      </c>
      <c r="E26" s="17" t="s">
        <v>3</v>
      </c>
      <c r="F26" s="17" t="s">
        <v>4</v>
      </c>
      <c r="G26" s="17" t="s">
        <v>5</v>
      </c>
      <c r="H26" s="17" t="s">
        <v>6</v>
      </c>
      <c r="I26" s="17" t="s">
        <v>7</v>
      </c>
      <c r="J26" s="17" t="s">
        <v>8</v>
      </c>
      <c r="K26" s="17" t="s">
        <v>9</v>
      </c>
      <c r="L26" s="17" t="s">
        <v>10</v>
      </c>
      <c r="M26" s="17" t="s">
        <v>11</v>
      </c>
      <c r="N26" s="18" t="s">
        <v>12</v>
      </c>
      <c r="O26" s="8" t="s">
        <v>14</v>
      </c>
    </row>
    <row r="27" spans="1:15" ht="16.5" customHeight="1" thickTop="1" x14ac:dyDescent="0.3">
      <c r="B27" s="10">
        <v>0.33333333333333331</v>
      </c>
      <c r="C27" s="19">
        <v>0</v>
      </c>
      <c r="D27" s="20">
        <v>0</v>
      </c>
      <c r="E27" s="20">
        <v>1</v>
      </c>
      <c r="F27" s="20">
        <v>244</v>
      </c>
      <c r="G27" s="20">
        <v>3415</v>
      </c>
      <c r="H27" s="20">
        <v>13</v>
      </c>
      <c r="I27" s="20">
        <v>0</v>
      </c>
      <c r="J27" s="20">
        <v>0</v>
      </c>
      <c r="K27" s="20">
        <v>47</v>
      </c>
      <c r="L27" s="20">
        <v>233</v>
      </c>
      <c r="M27" s="20">
        <v>0</v>
      </c>
      <c r="N27" s="21">
        <v>0</v>
      </c>
      <c r="O27" s="7">
        <f>SUM(C27:N27)</f>
        <v>3953</v>
      </c>
    </row>
    <row r="28" spans="1:15" ht="16.5" customHeight="1" x14ac:dyDescent="0.3">
      <c r="B28" s="14">
        <v>0.375</v>
      </c>
      <c r="C28" s="22">
        <v>10026</v>
      </c>
      <c r="D28" s="23">
        <v>8590</v>
      </c>
      <c r="E28" s="23">
        <v>7200</v>
      </c>
      <c r="F28" s="23">
        <v>25612</v>
      </c>
      <c r="G28" s="23">
        <v>47364</v>
      </c>
      <c r="H28" s="23">
        <v>17887</v>
      </c>
      <c r="I28" s="23">
        <v>4520</v>
      </c>
      <c r="J28" s="23">
        <v>6979</v>
      </c>
      <c r="K28" s="23">
        <v>15735</v>
      </c>
      <c r="L28" s="23">
        <v>36937</v>
      </c>
      <c r="M28" s="23">
        <v>15785</v>
      </c>
      <c r="N28" s="24">
        <v>3301</v>
      </c>
      <c r="O28" s="15">
        <f t="shared" ref="O28:O43" si="3">SUM(C28:N28)</f>
        <v>199936</v>
      </c>
    </row>
    <row r="29" spans="1:15" ht="16.5" customHeight="1" x14ac:dyDescent="0.3">
      <c r="B29" s="11">
        <v>0.41666666666666669</v>
      </c>
      <c r="C29" s="25">
        <v>18812</v>
      </c>
      <c r="D29" s="26">
        <v>21259</v>
      </c>
      <c r="E29" s="26">
        <v>15263</v>
      </c>
      <c r="F29" s="26">
        <v>29818</v>
      </c>
      <c r="G29" s="26">
        <v>42560</v>
      </c>
      <c r="H29" s="26">
        <v>20195</v>
      </c>
      <c r="I29" s="26">
        <v>8855</v>
      </c>
      <c r="J29" s="26">
        <v>11519</v>
      </c>
      <c r="K29" s="26">
        <v>17240</v>
      </c>
      <c r="L29" s="26">
        <v>40431</v>
      </c>
      <c r="M29" s="26">
        <v>23771</v>
      </c>
      <c r="N29" s="27">
        <v>8518</v>
      </c>
      <c r="O29" s="12">
        <f t="shared" si="3"/>
        <v>258241</v>
      </c>
    </row>
    <row r="30" spans="1:15" ht="16.5" customHeight="1" x14ac:dyDescent="0.3">
      <c r="B30" s="11">
        <v>0.45833333333333298</v>
      </c>
      <c r="C30" s="25">
        <v>10771</v>
      </c>
      <c r="D30" s="26">
        <v>12260</v>
      </c>
      <c r="E30" s="26">
        <v>9830</v>
      </c>
      <c r="F30" s="26">
        <v>17412</v>
      </c>
      <c r="G30" s="26">
        <v>22392</v>
      </c>
      <c r="H30" s="26">
        <v>13241</v>
      </c>
      <c r="I30" s="26">
        <v>5446</v>
      </c>
      <c r="J30" s="26">
        <v>8658</v>
      </c>
      <c r="K30" s="26">
        <v>10523</v>
      </c>
      <c r="L30" s="26">
        <v>24027</v>
      </c>
      <c r="M30" s="26">
        <v>14068</v>
      </c>
      <c r="N30" s="27">
        <v>5684</v>
      </c>
      <c r="O30" s="12">
        <f t="shared" si="3"/>
        <v>154312</v>
      </c>
    </row>
    <row r="31" spans="1:15" ht="16.5" customHeight="1" x14ac:dyDescent="0.3">
      <c r="B31" s="11">
        <v>0.5</v>
      </c>
      <c r="C31" s="25">
        <v>8137</v>
      </c>
      <c r="D31" s="26">
        <v>7521</v>
      </c>
      <c r="E31" s="26">
        <v>7633</v>
      </c>
      <c r="F31" s="26">
        <v>9765</v>
      </c>
      <c r="G31" s="26">
        <v>14811</v>
      </c>
      <c r="H31" s="26">
        <v>8387</v>
      </c>
      <c r="I31" s="26">
        <v>3719</v>
      </c>
      <c r="J31" s="26">
        <v>6749</v>
      </c>
      <c r="K31" s="26">
        <v>7255</v>
      </c>
      <c r="L31" s="26">
        <v>16492</v>
      </c>
      <c r="M31" s="26">
        <v>10716</v>
      </c>
      <c r="N31" s="27">
        <v>4893</v>
      </c>
      <c r="O31" s="12">
        <f t="shared" si="3"/>
        <v>106078</v>
      </c>
    </row>
    <row r="32" spans="1:15" ht="16.5" customHeight="1" x14ac:dyDescent="0.3">
      <c r="B32" s="11">
        <v>0.54166666666666696</v>
      </c>
      <c r="C32" s="25">
        <v>6647</v>
      </c>
      <c r="D32" s="26">
        <v>5880</v>
      </c>
      <c r="E32" s="26">
        <v>6048</v>
      </c>
      <c r="F32" s="26">
        <v>6894</v>
      </c>
      <c r="G32" s="26">
        <v>11135</v>
      </c>
      <c r="H32" s="26">
        <v>7184</v>
      </c>
      <c r="I32" s="26">
        <v>3393</v>
      </c>
      <c r="J32" s="26">
        <v>6108</v>
      </c>
      <c r="K32" s="26">
        <v>7191</v>
      </c>
      <c r="L32" s="26">
        <v>17333</v>
      </c>
      <c r="M32" s="26">
        <v>11290</v>
      </c>
      <c r="N32" s="27">
        <v>4367</v>
      </c>
      <c r="O32" s="12">
        <f t="shared" si="3"/>
        <v>93470</v>
      </c>
    </row>
    <row r="33" spans="1:15" ht="16.5" customHeight="1" x14ac:dyDescent="0.3">
      <c r="B33" s="11">
        <v>0.58333333333333304</v>
      </c>
      <c r="C33" s="25">
        <v>6118</v>
      </c>
      <c r="D33" s="26">
        <v>5167</v>
      </c>
      <c r="E33" s="26">
        <v>4712</v>
      </c>
      <c r="F33" s="26">
        <v>6791</v>
      </c>
      <c r="G33" s="26">
        <v>11967</v>
      </c>
      <c r="H33" s="26">
        <v>8448</v>
      </c>
      <c r="I33" s="26">
        <v>3943</v>
      </c>
      <c r="J33" s="26">
        <v>6942</v>
      </c>
      <c r="K33" s="26">
        <v>6447</v>
      </c>
      <c r="L33" s="26">
        <v>16215</v>
      </c>
      <c r="M33" s="26">
        <v>9291</v>
      </c>
      <c r="N33" s="27">
        <v>5435</v>
      </c>
      <c r="O33" s="12">
        <f t="shared" si="3"/>
        <v>91476</v>
      </c>
    </row>
    <row r="34" spans="1:15" ht="16.5" customHeight="1" x14ac:dyDescent="0.3">
      <c r="B34" s="11">
        <v>0.625</v>
      </c>
      <c r="C34" s="25">
        <v>3176</v>
      </c>
      <c r="D34" s="26">
        <v>2556</v>
      </c>
      <c r="E34" s="26">
        <v>3675</v>
      </c>
      <c r="F34" s="26">
        <v>6455</v>
      </c>
      <c r="G34" s="26">
        <v>10645</v>
      </c>
      <c r="H34" s="26">
        <v>6779</v>
      </c>
      <c r="I34" s="26">
        <v>2883</v>
      </c>
      <c r="J34" s="26">
        <v>5910</v>
      </c>
      <c r="K34" s="26">
        <v>5455</v>
      </c>
      <c r="L34" s="26">
        <v>16072</v>
      </c>
      <c r="M34" s="26">
        <v>7684</v>
      </c>
      <c r="N34" s="27">
        <v>3516</v>
      </c>
      <c r="O34" s="12">
        <f t="shared" si="3"/>
        <v>74806</v>
      </c>
    </row>
    <row r="35" spans="1:15" ht="16.5" customHeight="1" x14ac:dyDescent="0.3">
      <c r="B35" s="11">
        <v>0.66666666666666696</v>
      </c>
      <c r="C35" s="25">
        <v>1636</v>
      </c>
      <c r="D35" s="26">
        <v>1567</v>
      </c>
      <c r="E35" s="26">
        <v>4283</v>
      </c>
      <c r="F35" s="26">
        <v>7925</v>
      </c>
      <c r="G35" s="26">
        <v>11047</v>
      </c>
      <c r="H35" s="26">
        <v>7549</v>
      </c>
      <c r="I35" s="26">
        <v>3249</v>
      </c>
      <c r="J35" s="26">
        <v>6729</v>
      </c>
      <c r="K35" s="26">
        <v>7748</v>
      </c>
      <c r="L35" s="26">
        <v>15462</v>
      </c>
      <c r="M35" s="26">
        <v>9930</v>
      </c>
      <c r="N35" s="27">
        <v>2919</v>
      </c>
      <c r="O35" s="12">
        <f t="shared" si="3"/>
        <v>80044</v>
      </c>
    </row>
    <row r="36" spans="1:15" ht="16.5" customHeight="1" x14ac:dyDescent="0.3">
      <c r="B36" s="11">
        <v>0.70833333333333404</v>
      </c>
      <c r="C36" s="25">
        <v>680</v>
      </c>
      <c r="D36" s="26">
        <v>451</v>
      </c>
      <c r="E36" s="26">
        <v>1647</v>
      </c>
      <c r="F36" s="26">
        <v>3821</v>
      </c>
      <c r="G36" s="26">
        <v>6183</v>
      </c>
      <c r="H36" s="26">
        <v>4894</v>
      </c>
      <c r="I36" s="26">
        <v>2637</v>
      </c>
      <c r="J36" s="26">
        <v>5731</v>
      </c>
      <c r="K36" s="26">
        <v>4039</v>
      </c>
      <c r="L36" s="26">
        <v>10581</v>
      </c>
      <c r="M36" s="26">
        <v>4033</v>
      </c>
      <c r="N36" s="27">
        <v>1453</v>
      </c>
      <c r="O36" s="12">
        <f t="shared" si="3"/>
        <v>46150</v>
      </c>
    </row>
    <row r="37" spans="1:15" ht="16.5" customHeight="1" x14ac:dyDescent="0.3">
      <c r="B37" s="11">
        <v>0.75</v>
      </c>
      <c r="C37" s="25">
        <v>318</v>
      </c>
      <c r="D37" s="26">
        <v>261</v>
      </c>
      <c r="E37" s="26">
        <v>1053</v>
      </c>
      <c r="F37" s="26">
        <v>2990</v>
      </c>
      <c r="G37" s="26">
        <v>4864</v>
      </c>
      <c r="H37" s="26">
        <v>4917</v>
      </c>
      <c r="I37" s="26">
        <v>3020</v>
      </c>
      <c r="J37" s="26">
        <v>6861</v>
      </c>
      <c r="K37" s="26">
        <v>3617</v>
      </c>
      <c r="L37" s="26">
        <v>6819</v>
      </c>
      <c r="M37" s="26">
        <v>2432</v>
      </c>
      <c r="N37" s="27">
        <v>838</v>
      </c>
      <c r="O37" s="12">
        <f t="shared" si="3"/>
        <v>37990</v>
      </c>
    </row>
    <row r="38" spans="1:15" ht="16.5" customHeight="1" x14ac:dyDescent="0.3">
      <c r="B38" s="11">
        <v>0.79166666666666696</v>
      </c>
      <c r="C38" s="25">
        <v>21</v>
      </c>
      <c r="D38" s="26">
        <v>9</v>
      </c>
      <c r="E38" s="26">
        <v>55</v>
      </c>
      <c r="F38" s="26">
        <v>511</v>
      </c>
      <c r="G38" s="26">
        <v>702</v>
      </c>
      <c r="H38" s="26">
        <v>766</v>
      </c>
      <c r="I38" s="26">
        <v>728</v>
      </c>
      <c r="J38" s="26">
        <v>1458</v>
      </c>
      <c r="K38" s="26">
        <v>502</v>
      </c>
      <c r="L38" s="26">
        <v>830</v>
      </c>
      <c r="M38" s="26">
        <v>293</v>
      </c>
      <c r="N38" s="27">
        <v>96</v>
      </c>
      <c r="O38" s="12">
        <f t="shared" si="3"/>
        <v>5971</v>
      </c>
    </row>
    <row r="39" spans="1:15" ht="16.5" customHeight="1" x14ac:dyDescent="0.3">
      <c r="B39" s="11">
        <v>0.83333333333333404</v>
      </c>
      <c r="C39" s="25">
        <v>2</v>
      </c>
      <c r="D39" s="26">
        <v>0</v>
      </c>
      <c r="E39" s="26">
        <v>2</v>
      </c>
      <c r="F39" s="26">
        <v>61</v>
      </c>
      <c r="G39" s="26">
        <v>58</v>
      </c>
      <c r="H39" s="26">
        <v>108</v>
      </c>
      <c r="I39" s="26">
        <v>94</v>
      </c>
      <c r="J39" s="26">
        <v>214</v>
      </c>
      <c r="K39" s="26">
        <v>54</v>
      </c>
      <c r="L39" s="26">
        <v>106</v>
      </c>
      <c r="M39" s="26">
        <v>27</v>
      </c>
      <c r="N39" s="27">
        <v>6</v>
      </c>
      <c r="O39" s="12">
        <f t="shared" si="3"/>
        <v>732</v>
      </c>
    </row>
    <row r="40" spans="1:15" ht="16.5" customHeight="1" x14ac:dyDescent="0.3">
      <c r="B40" s="11">
        <v>0.875</v>
      </c>
      <c r="C40" s="25">
        <v>0</v>
      </c>
      <c r="D40" s="26">
        <v>0</v>
      </c>
      <c r="E40" s="26">
        <v>0</v>
      </c>
      <c r="F40" s="26">
        <v>0</v>
      </c>
      <c r="G40" s="26">
        <v>0</v>
      </c>
      <c r="H40" s="26">
        <v>1</v>
      </c>
      <c r="I40" s="26">
        <v>1</v>
      </c>
      <c r="J40" s="26">
        <v>4</v>
      </c>
      <c r="K40" s="26">
        <v>0</v>
      </c>
      <c r="L40" s="26">
        <v>3</v>
      </c>
      <c r="M40" s="26">
        <v>0</v>
      </c>
      <c r="N40" s="27">
        <v>0</v>
      </c>
      <c r="O40" s="12">
        <f t="shared" si="3"/>
        <v>9</v>
      </c>
    </row>
    <row r="41" spans="1:15" ht="16.5" customHeight="1" x14ac:dyDescent="0.3">
      <c r="B41" s="11">
        <v>0.91666666666666696</v>
      </c>
      <c r="C41" s="25">
        <v>0</v>
      </c>
      <c r="D41" s="26">
        <v>0</v>
      </c>
      <c r="E41" s="26">
        <v>0</v>
      </c>
      <c r="F41" s="26">
        <v>0</v>
      </c>
      <c r="G41" s="26">
        <v>0</v>
      </c>
      <c r="H41" s="26">
        <v>0</v>
      </c>
      <c r="I41" s="26">
        <v>0</v>
      </c>
      <c r="J41" s="26">
        <v>0</v>
      </c>
      <c r="K41" s="26">
        <v>0</v>
      </c>
      <c r="L41" s="26">
        <v>0</v>
      </c>
      <c r="M41" s="26">
        <v>0</v>
      </c>
      <c r="N41" s="27">
        <v>0</v>
      </c>
      <c r="O41" s="12">
        <f t="shared" si="3"/>
        <v>0</v>
      </c>
    </row>
    <row r="42" spans="1:15" ht="16.5" customHeight="1" thickBot="1" x14ac:dyDescent="0.35">
      <c r="B42" s="13">
        <v>0.95833333333333404</v>
      </c>
      <c r="C42" s="28">
        <v>0</v>
      </c>
      <c r="D42" s="29">
        <v>0</v>
      </c>
      <c r="E42" s="29">
        <v>0</v>
      </c>
      <c r="F42" s="29">
        <v>0</v>
      </c>
      <c r="G42" s="29">
        <v>0</v>
      </c>
      <c r="H42" s="29">
        <v>0</v>
      </c>
      <c r="I42" s="29">
        <v>0</v>
      </c>
      <c r="J42" s="29">
        <v>0</v>
      </c>
      <c r="K42" s="29">
        <v>0</v>
      </c>
      <c r="L42" s="29">
        <v>0</v>
      </c>
      <c r="M42" s="29">
        <v>0</v>
      </c>
      <c r="N42" s="30">
        <v>0</v>
      </c>
      <c r="O42" s="5">
        <f t="shared" si="3"/>
        <v>0</v>
      </c>
    </row>
    <row r="43" spans="1:15" ht="16.5" customHeight="1" thickTop="1" x14ac:dyDescent="0.3">
      <c r="B43" s="9" t="s">
        <v>13</v>
      </c>
      <c r="C43" s="31">
        <f t="shared" ref="C43:N43" si="4">SUM(C27:C42)</f>
        <v>66344</v>
      </c>
      <c r="D43" s="32">
        <f t="shared" si="4"/>
        <v>65521</v>
      </c>
      <c r="E43" s="32">
        <f t="shared" si="4"/>
        <v>61402</v>
      </c>
      <c r="F43" s="32">
        <f t="shared" si="4"/>
        <v>118299</v>
      </c>
      <c r="G43" s="32">
        <f t="shared" si="4"/>
        <v>187143</v>
      </c>
      <c r="H43" s="32">
        <f t="shared" si="4"/>
        <v>100369</v>
      </c>
      <c r="I43" s="32">
        <f t="shared" si="4"/>
        <v>42488</v>
      </c>
      <c r="J43" s="32">
        <f t="shared" si="4"/>
        <v>73862</v>
      </c>
      <c r="K43" s="32">
        <f t="shared" si="4"/>
        <v>85853</v>
      </c>
      <c r="L43" s="32">
        <f t="shared" si="4"/>
        <v>201541</v>
      </c>
      <c r="M43" s="32">
        <f t="shared" si="4"/>
        <v>109320</v>
      </c>
      <c r="N43" s="33">
        <f t="shared" si="4"/>
        <v>41026</v>
      </c>
      <c r="O43" s="6">
        <f t="shared" si="3"/>
        <v>1153168</v>
      </c>
    </row>
    <row r="45" spans="1:15" ht="18.75" x14ac:dyDescent="0.3">
      <c r="A45" s="4" t="s">
        <v>27</v>
      </c>
    </row>
    <row r="46" spans="1:15" x14ac:dyDescent="0.3">
      <c r="O46" s="3" t="s">
        <v>23</v>
      </c>
    </row>
    <row r="47" spans="1:15" ht="16.5" customHeight="1" x14ac:dyDescent="0.3">
      <c r="B47" s="66" t="s">
        <v>0</v>
      </c>
      <c r="C47" s="66" t="s">
        <v>17</v>
      </c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</row>
    <row r="48" spans="1:15" ht="16.5" customHeight="1" thickBot="1" x14ac:dyDescent="0.35">
      <c r="B48" s="67"/>
      <c r="C48" s="16" t="s">
        <v>1</v>
      </c>
      <c r="D48" s="17" t="s">
        <v>2</v>
      </c>
      <c r="E48" s="17" t="s">
        <v>3</v>
      </c>
      <c r="F48" s="17" t="s">
        <v>4</v>
      </c>
      <c r="G48" s="17" t="s">
        <v>5</v>
      </c>
      <c r="H48" s="17" t="s">
        <v>6</v>
      </c>
      <c r="I48" s="17" t="s">
        <v>7</v>
      </c>
      <c r="J48" s="17" t="s">
        <v>8</v>
      </c>
      <c r="K48" s="17" t="s">
        <v>9</v>
      </c>
      <c r="L48" s="17" t="s">
        <v>10</v>
      </c>
      <c r="M48" s="17" t="s">
        <v>11</v>
      </c>
      <c r="N48" s="18" t="s">
        <v>12</v>
      </c>
      <c r="O48" s="8" t="s">
        <v>24</v>
      </c>
    </row>
    <row r="49" spans="1:15" ht="16.5" customHeight="1" thickTop="1" x14ac:dyDescent="0.3">
      <c r="B49" s="10" t="s">
        <v>21</v>
      </c>
      <c r="C49" s="50">
        <f>SUM(C27:C30)</f>
        <v>39609</v>
      </c>
      <c r="D49" s="51">
        <f t="shared" ref="D49:N49" si="5">SUM(D27:D30)</f>
        <v>42109</v>
      </c>
      <c r="E49" s="51">
        <f t="shared" si="5"/>
        <v>32294</v>
      </c>
      <c r="F49" s="51">
        <f t="shared" si="5"/>
        <v>73086</v>
      </c>
      <c r="G49" s="51">
        <f t="shared" si="5"/>
        <v>115731</v>
      </c>
      <c r="H49" s="51">
        <f t="shared" si="5"/>
        <v>51336</v>
      </c>
      <c r="I49" s="51">
        <f t="shared" si="5"/>
        <v>18821</v>
      </c>
      <c r="J49" s="51">
        <f t="shared" si="5"/>
        <v>27156</v>
      </c>
      <c r="K49" s="51">
        <f t="shared" si="5"/>
        <v>43545</v>
      </c>
      <c r="L49" s="51">
        <f t="shared" si="5"/>
        <v>101628</v>
      </c>
      <c r="M49" s="51">
        <f t="shared" si="5"/>
        <v>53624</v>
      </c>
      <c r="N49" s="52">
        <f t="shared" si="5"/>
        <v>17503</v>
      </c>
      <c r="O49" s="53">
        <f>SUM(C49:N49)</f>
        <v>616442</v>
      </c>
    </row>
    <row r="50" spans="1:15" ht="16.5" customHeight="1" x14ac:dyDescent="0.3">
      <c r="B50" s="14" t="s">
        <v>18</v>
      </c>
      <c r="C50" s="54">
        <f>SUM(C31:C32)</f>
        <v>14784</v>
      </c>
      <c r="D50" s="55">
        <f t="shared" ref="D50:N50" si="6">SUM(D31:D32)</f>
        <v>13401</v>
      </c>
      <c r="E50" s="55">
        <f t="shared" si="6"/>
        <v>13681</v>
      </c>
      <c r="F50" s="55">
        <f t="shared" si="6"/>
        <v>16659</v>
      </c>
      <c r="G50" s="55">
        <f t="shared" si="6"/>
        <v>25946</v>
      </c>
      <c r="H50" s="55">
        <f t="shared" si="6"/>
        <v>15571</v>
      </c>
      <c r="I50" s="55">
        <f t="shared" si="6"/>
        <v>7112</v>
      </c>
      <c r="J50" s="55">
        <f t="shared" si="6"/>
        <v>12857</v>
      </c>
      <c r="K50" s="55">
        <f t="shared" si="6"/>
        <v>14446</v>
      </c>
      <c r="L50" s="55">
        <f t="shared" si="6"/>
        <v>33825</v>
      </c>
      <c r="M50" s="55">
        <f t="shared" si="6"/>
        <v>22006</v>
      </c>
      <c r="N50" s="56">
        <f t="shared" si="6"/>
        <v>9260</v>
      </c>
      <c r="O50" s="57">
        <f t="shared" ref="O50:O53" si="7">SUM(C50:N50)</f>
        <v>199548</v>
      </c>
    </row>
    <row r="51" spans="1:15" ht="16.5" customHeight="1" x14ac:dyDescent="0.3">
      <c r="B51" s="11" t="s">
        <v>19</v>
      </c>
      <c r="C51" s="58">
        <f>SUM(C33:C34)</f>
        <v>9294</v>
      </c>
      <c r="D51" s="59">
        <f t="shared" ref="D51:N51" si="8">SUM(D33:D34)</f>
        <v>7723</v>
      </c>
      <c r="E51" s="59">
        <f t="shared" si="8"/>
        <v>8387</v>
      </c>
      <c r="F51" s="59">
        <f t="shared" si="8"/>
        <v>13246</v>
      </c>
      <c r="G51" s="59">
        <f t="shared" si="8"/>
        <v>22612</v>
      </c>
      <c r="H51" s="59">
        <f t="shared" si="8"/>
        <v>15227</v>
      </c>
      <c r="I51" s="59">
        <f t="shared" si="8"/>
        <v>6826</v>
      </c>
      <c r="J51" s="59">
        <f t="shared" si="8"/>
        <v>12852</v>
      </c>
      <c r="K51" s="59">
        <f t="shared" si="8"/>
        <v>11902</v>
      </c>
      <c r="L51" s="59">
        <f t="shared" si="8"/>
        <v>32287</v>
      </c>
      <c r="M51" s="59">
        <f t="shared" si="8"/>
        <v>16975</v>
      </c>
      <c r="N51" s="60">
        <f t="shared" si="8"/>
        <v>8951</v>
      </c>
      <c r="O51" s="61">
        <f t="shared" si="7"/>
        <v>166282</v>
      </c>
    </row>
    <row r="52" spans="1:15" ht="16.5" customHeight="1" x14ac:dyDescent="0.3">
      <c r="B52" s="11" t="s">
        <v>20</v>
      </c>
      <c r="C52" s="58">
        <f>SUM(C35:C36)</f>
        <v>2316</v>
      </c>
      <c r="D52" s="59">
        <f t="shared" ref="D52:N52" si="9">SUM(D35:D36)</f>
        <v>2018</v>
      </c>
      <c r="E52" s="59">
        <f t="shared" si="9"/>
        <v>5930</v>
      </c>
      <c r="F52" s="59">
        <f t="shared" si="9"/>
        <v>11746</v>
      </c>
      <c r="G52" s="59">
        <f t="shared" si="9"/>
        <v>17230</v>
      </c>
      <c r="H52" s="59">
        <f t="shared" si="9"/>
        <v>12443</v>
      </c>
      <c r="I52" s="59">
        <f t="shared" si="9"/>
        <v>5886</v>
      </c>
      <c r="J52" s="59">
        <f t="shared" si="9"/>
        <v>12460</v>
      </c>
      <c r="K52" s="59">
        <f t="shared" si="9"/>
        <v>11787</v>
      </c>
      <c r="L52" s="59">
        <f t="shared" si="9"/>
        <v>26043</v>
      </c>
      <c r="M52" s="59">
        <f t="shared" si="9"/>
        <v>13963</v>
      </c>
      <c r="N52" s="60">
        <f t="shared" si="9"/>
        <v>4372</v>
      </c>
      <c r="O52" s="61">
        <f t="shared" si="7"/>
        <v>126194</v>
      </c>
    </row>
    <row r="53" spans="1:15" ht="16.5" customHeight="1" thickBot="1" x14ac:dyDescent="0.35">
      <c r="B53" s="11" t="s">
        <v>22</v>
      </c>
      <c r="C53" s="58">
        <f>SUM(C37:C42)</f>
        <v>341</v>
      </c>
      <c r="D53" s="59">
        <f t="shared" ref="D53:N53" si="10">SUM(D37:D42)</f>
        <v>270</v>
      </c>
      <c r="E53" s="59">
        <f t="shared" si="10"/>
        <v>1110</v>
      </c>
      <c r="F53" s="59">
        <f t="shared" si="10"/>
        <v>3562</v>
      </c>
      <c r="G53" s="59">
        <f t="shared" si="10"/>
        <v>5624</v>
      </c>
      <c r="H53" s="59">
        <f t="shared" si="10"/>
        <v>5792</v>
      </c>
      <c r="I53" s="59">
        <f t="shared" si="10"/>
        <v>3843</v>
      </c>
      <c r="J53" s="59">
        <f t="shared" si="10"/>
        <v>8537</v>
      </c>
      <c r="K53" s="59">
        <f t="shared" si="10"/>
        <v>4173</v>
      </c>
      <c r="L53" s="59">
        <f t="shared" si="10"/>
        <v>7758</v>
      </c>
      <c r="M53" s="59">
        <f t="shared" si="10"/>
        <v>2752</v>
      </c>
      <c r="N53" s="60">
        <f t="shared" si="10"/>
        <v>940</v>
      </c>
      <c r="O53" s="61">
        <f t="shared" si="7"/>
        <v>44702</v>
      </c>
    </row>
    <row r="54" spans="1:15" ht="16.5" customHeight="1" thickTop="1" x14ac:dyDescent="0.3">
      <c r="B54" s="9" t="s">
        <v>13</v>
      </c>
      <c r="C54" s="62">
        <f>SUM(C49:C53)</f>
        <v>66344</v>
      </c>
      <c r="D54" s="63">
        <f t="shared" ref="D54:O54" si="11">SUM(D49:D53)</f>
        <v>65521</v>
      </c>
      <c r="E54" s="63">
        <f t="shared" si="11"/>
        <v>61402</v>
      </c>
      <c r="F54" s="63">
        <f t="shared" si="11"/>
        <v>118299</v>
      </c>
      <c r="G54" s="63">
        <f t="shared" si="11"/>
        <v>187143</v>
      </c>
      <c r="H54" s="63">
        <f t="shared" si="11"/>
        <v>100369</v>
      </c>
      <c r="I54" s="63">
        <f t="shared" si="11"/>
        <v>42488</v>
      </c>
      <c r="J54" s="63">
        <f t="shared" si="11"/>
        <v>73862</v>
      </c>
      <c r="K54" s="63">
        <f t="shared" si="11"/>
        <v>85853</v>
      </c>
      <c r="L54" s="63">
        <f t="shared" si="11"/>
        <v>201541</v>
      </c>
      <c r="M54" s="63">
        <f t="shared" si="11"/>
        <v>109320</v>
      </c>
      <c r="N54" s="64">
        <f t="shared" si="11"/>
        <v>41026</v>
      </c>
      <c r="O54" s="65">
        <f t="shared" si="11"/>
        <v>1153168</v>
      </c>
    </row>
    <row r="56" spans="1:15" ht="18.75" x14ac:dyDescent="0.3">
      <c r="A56" s="4" t="s">
        <v>28</v>
      </c>
    </row>
    <row r="57" spans="1:15" x14ac:dyDescent="0.3">
      <c r="O57" s="3" t="s">
        <v>23</v>
      </c>
    </row>
    <row r="58" spans="1:15" ht="16.5" customHeight="1" x14ac:dyDescent="0.3">
      <c r="B58" s="66" t="s">
        <v>0</v>
      </c>
      <c r="C58" s="66" t="s">
        <v>17</v>
      </c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</row>
    <row r="59" spans="1:15" ht="16.5" customHeight="1" thickBot="1" x14ac:dyDescent="0.35">
      <c r="B59" s="67"/>
      <c r="C59" s="16" t="s">
        <v>1</v>
      </c>
      <c r="D59" s="17" t="s">
        <v>2</v>
      </c>
      <c r="E59" s="17" t="s">
        <v>3</v>
      </c>
      <c r="F59" s="17" t="s">
        <v>4</v>
      </c>
      <c r="G59" s="17" t="s">
        <v>5</v>
      </c>
      <c r="H59" s="17" t="s">
        <v>6</v>
      </c>
      <c r="I59" s="17" t="s">
        <v>7</v>
      </c>
      <c r="J59" s="17" t="s">
        <v>8</v>
      </c>
      <c r="K59" s="17" t="s">
        <v>9</v>
      </c>
      <c r="L59" s="17" t="s">
        <v>10</v>
      </c>
      <c r="M59" s="17" t="s">
        <v>11</v>
      </c>
      <c r="N59" s="18" t="s">
        <v>12</v>
      </c>
      <c r="O59" s="8" t="s">
        <v>25</v>
      </c>
    </row>
    <row r="60" spans="1:15" ht="16.5" customHeight="1" thickTop="1" x14ac:dyDescent="0.3">
      <c r="B60" s="10" t="s">
        <v>21</v>
      </c>
      <c r="C60" s="34">
        <f>C49/C$54</f>
        <v>0.59702459905944771</v>
      </c>
      <c r="D60" s="35">
        <f t="shared" ref="D60:N60" si="12">D49/D$54</f>
        <v>0.64267944628439733</v>
      </c>
      <c r="E60" s="35">
        <f t="shared" si="12"/>
        <v>0.52594378033288813</v>
      </c>
      <c r="F60" s="35">
        <f t="shared" si="12"/>
        <v>0.6178074201810666</v>
      </c>
      <c r="G60" s="35">
        <f t="shared" si="12"/>
        <v>0.61840945159583849</v>
      </c>
      <c r="H60" s="35">
        <f t="shared" si="12"/>
        <v>0.51147266586296569</v>
      </c>
      <c r="I60" s="35">
        <f t="shared" si="12"/>
        <v>0.44297213330822821</v>
      </c>
      <c r="J60" s="35">
        <f t="shared" si="12"/>
        <v>0.36765860659066907</v>
      </c>
      <c r="K60" s="35">
        <f t="shared" si="12"/>
        <v>0.50720417457747546</v>
      </c>
      <c r="L60" s="35">
        <f t="shared" si="12"/>
        <v>0.50425471740241434</v>
      </c>
      <c r="M60" s="35">
        <f t="shared" si="12"/>
        <v>0.49052323454079766</v>
      </c>
      <c r="N60" s="36">
        <f t="shared" si="12"/>
        <v>0.42663189197094525</v>
      </c>
      <c r="O60" s="37">
        <f>AVERAGE(C60:N60)</f>
        <v>0.52104851014226117</v>
      </c>
    </row>
    <row r="61" spans="1:15" ht="16.5" customHeight="1" x14ac:dyDescent="0.3">
      <c r="B61" s="14" t="s">
        <v>18</v>
      </c>
      <c r="C61" s="38">
        <f t="shared" ref="C61:C65" si="13">C50/C$54</f>
        <v>0.22283853852646809</v>
      </c>
      <c r="D61" s="39">
        <f t="shared" ref="D61:N61" si="14">D50/D$54</f>
        <v>0.20452984539308008</v>
      </c>
      <c r="E61" s="39">
        <f t="shared" si="14"/>
        <v>0.22281033191101268</v>
      </c>
      <c r="F61" s="39">
        <f t="shared" si="14"/>
        <v>0.14082113965460402</v>
      </c>
      <c r="G61" s="39">
        <f t="shared" si="14"/>
        <v>0.13864264225752498</v>
      </c>
      <c r="H61" s="39">
        <f t="shared" si="14"/>
        <v>0.15513754246829201</v>
      </c>
      <c r="I61" s="39">
        <f t="shared" si="14"/>
        <v>0.16738843908868387</v>
      </c>
      <c r="J61" s="39">
        <f t="shared" si="14"/>
        <v>0.1740678562725082</v>
      </c>
      <c r="K61" s="39">
        <f t="shared" si="14"/>
        <v>0.16826435884593433</v>
      </c>
      <c r="L61" s="39">
        <f t="shared" si="14"/>
        <v>0.1678318555529644</v>
      </c>
      <c r="M61" s="39">
        <f t="shared" si="14"/>
        <v>0.20129893889498721</v>
      </c>
      <c r="N61" s="40">
        <f t="shared" si="14"/>
        <v>0.22571052503290595</v>
      </c>
      <c r="O61" s="41">
        <f t="shared" ref="O61:O65" si="15">AVERAGE(C61:N61)</f>
        <v>0.18244516782491382</v>
      </c>
    </row>
    <row r="62" spans="1:15" ht="16.5" customHeight="1" x14ac:dyDescent="0.3">
      <c r="B62" s="11" t="s">
        <v>19</v>
      </c>
      <c r="C62" s="42">
        <f t="shared" si="13"/>
        <v>0.14008802604606294</v>
      </c>
      <c r="D62" s="43">
        <f t="shared" ref="D62:N62" si="16">D51/D$54</f>
        <v>0.11787060637047664</v>
      </c>
      <c r="E62" s="43">
        <f t="shared" si="16"/>
        <v>0.13659164196605975</v>
      </c>
      <c r="F62" s="43">
        <f t="shared" si="16"/>
        <v>0.11197051538897201</v>
      </c>
      <c r="G62" s="43">
        <f t="shared" si="16"/>
        <v>0.12082738868138268</v>
      </c>
      <c r="H62" s="43">
        <f t="shared" si="16"/>
        <v>0.15171018940110989</v>
      </c>
      <c r="I62" s="43">
        <f t="shared" si="16"/>
        <v>0.16065712671813218</v>
      </c>
      <c r="J62" s="43">
        <f t="shared" si="16"/>
        <v>0.17400016246513769</v>
      </c>
      <c r="K62" s="43">
        <f t="shared" si="16"/>
        <v>0.13863231337285825</v>
      </c>
      <c r="L62" s="43">
        <f t="shared" si="16"/>
        <v>0.16020065396122873</v>
      </c>
      <c r="M62" s="43">
        <f t="shared" si="16"/>
        <v>0.15527808269301135</v>
      </c>
      <c r="N62" s="44">
        <f t="shared" si="16"/>
        <v>0.21817871593623556</v>
      </c>
      <c r="O62" s="45">
        <f t="shared" si="15"/>
        <v>0.14883378525005561</v>
      </c>
    </row>
    <row r="63" spans="1:15" ht="16.5" customHeight="1" x14ac:dyDescent="0.3">
      <c r="B63" s="11" t="s">
        <v>20</v>
      </c>
      <c r="C63" s="42">
        <f t="shared" si="13"/>
        <v>3.4908959363318462E-2</v>
      </c>
      <c r="D63" s="43">
        <f t="shared" ref="D63:N63" si="17">D52/D$54</f>
        <v>3.0799285725187343E-2</v>
      </c>
      <c r="E63" s="43">
        <f t="shared" si="17"/>
        <v>9.6576658740757632E-2</v>
      </c>
      <c r="F63" s="43">
        <f t="shared" si="17"/>
        <v>9.9290780141843976E-2</v>
      </c>
      <c r="G63" s="43">
        <f t="shared" si="17"/>
        <v>9.2068632008677861E-2</v>
      </c>
      <c r="H63" s="43">
        <f t="shared" si="17"/>
        <v>0.12397254132251991</v>
      </c>
      <c r="I63" s="43">
        <f t="shared" si="17"/>
        <v>0.13853323291282243</v>
      </c>
      <c r="J63" s="43">
        <f t="shared" si="17"/>
        <v>0.16869296796729036</v>
      </c>
      <c r="K63" s="43">
        <f t="shared" si="17"/>
        <v>0.13729281446192912</v>
      </c>
      <c r="L63" s="43">
        <f t="shared" si="17"/>
        <v>0.12921936479426022</v>
      </c>
      <c r="M63" s="43">
        <f t="shared" si="17"/>
        <v>0.12772594218807171</v>
      </c>
      <c r="N63" s="44">
        <f t="shared" si="17"/>
        <v>0.106566567542534</v>
      </c>
      <c r="O63" s="45">
        <f t="shared" si="15"/>
        <v>0.10713731226410107</v>
      </c>
    </row>
    <row r="64" spans="1:15" ht="16.5" customHeight="1" thickBot="1" x14ac:dyDescent="0.35">
      <c r="B64" s="11" t="s">
        <v>22</v>
      </c>
      <c r="C64" s="42">
        <f t="shared" si="13"/>
        <v>5.1398770047027618E-3</v>
      </c>
      <c r="D64" s="43">
        <f t="shared" ref="D64:N64" si="18">D53/D$54</f>
        <v>4.1208162268585643E-3</v>
      </c>
      <c r="E64" s="43">
        <f t="shared" si="18"/>
        <v>1.8077587049281783E-2</v>
      </c>
      <c r="F64" s="43">
        <f t="shared" si="18"/>
        <v>3.0110144633513386E-2</v>
      </c>
      <c r="G64" s="43">
        <f t="shared" si="18"/>
        <v>3.0051885456575986E-2</v>
      </c>
      <c r="H64" s="43">
        <f t="shared" si="18"/>
        <v>5.7707060945112534E-2</v>
      </c>
      <c r="I64" s="43">
        <f t="shared" si="18"/>
        <v>9.0449067972133312E-2</v>
      </c>
      <c r="J64" s="43">
        <f t="shared" si="18"/>
        <v>0.11558040670439468</v>
      </c>
      <c r="K64" s="43">
        <f t="shared" si="18"/>
        <v>4.8606338741802847E-2</v>
      </c>
      <c r="L64" s="43">
        <f t="shared" si="18"/>
        <v>3.8493408289132239E-2</v>
      </c>
      <c r="M64" s="43">
        <f t="shared" si="18"/>
        <v>2.5173801683132088E-2</v>
      </c>
      <c r="N64" s="44">
        <f t="shared" si="18"/>
        <v>2.2912299517379223E-2</v>
      </c>
      <c r="O64" s="45">
        <f t="shared" si="15"/>
        <v>4.0535224518668284E-2</v>
      </c>
    </row>
    <row r="65" spans="2:15" ht="16.5" customHeight="1" thickTop="1" x14ac:dyDescent="0.3">
      <c r="B65" s="9" t="s">
        <v>13</v>
      </c>
      <c r="C65" s="46">
        <f t="shared" si="13"/>
        <v>1</v>
      </c>
      <c r="D65" s="47">
        <f t="shared" ref="D65:N65" si="19">D54/D$54</f>
        <v>1</v>
      </c>
      <c r="E65" s="47">
        <f t="shared" si="19"/>
        <v>1</v>
      </c>
      <c r="F65" s="47">
        <f t="shared" si="19"/>
        <v>1</v>
      </c>
      <c r="G65" s="47">
        <f t="shared" si="19"/>
        <v>1</v>
      </c>
      <c r="H65" s="47">
        <f t="shared" si="19"/>
        <v>1</v>
      </c>
      <c r="I65" s="47">
        <f t="shared" si="19"/>
        <v>1</v>
      </c>
      <c r="J65" s="47">
        <f t="shared" si="19"/>
        <v>1</v>
      </c>
      <c r="K65" s="47">
        <f t="shared" si="19"/>
        <v>1</v>
      </c>
      <c r="L65" s="47">
        <f t="shared" si="19"/>
        <v>1</v>
      </c>
      <c r="M65" s="47">
        <f t="shared" si="19"/>
        <v>1</v>
      </c>
      <c r="N65" s="48">
        <f t="shared" si="19"/>
        <v>1</v>
      </c>
      <c r="O65" s="49">
        <f t="shared" si="15"/>
        <v>1</v>
      </c>
    </row>
  </sheetData>
  <mergeCells count="8">
    <mergeCell ref="B58:B59"/>
    <mergeCell ref="C58:O58"/>
    <mergeCell ref="B47:B48"/>
    <mergeCell ref="C47:O47"/>
    <mergeCell ref="C3:O3"/>
    <mergeCell ref="B3:B4"/>
    <mergeCell ref="B25:B26"/>
    <mergeCell ref="C25:O25"/>
  </mergeCells>
  <phoneticPr fontId="1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7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62DD4-F9BA-49CA-87F8-65511A8609A1}">
  <dimension ref="A1:O65"/>
  <sheetViews>
    <sheetView workbookViewId="0">
      <pane xSplit="2" ySplit="4" topLeftCell="C41" activePane="bottomRight" state="frozen"/>
      <selection activeCell="O50" sqref="O50"/>
      <selection pane="topRight" activeCell="O50" sqref="O50"/>
      <selection pane="bottomLeft" activeCell="O50" sqref="O50"/>
      <selection pane="bottomRight" activeCell="T51" sqref="T51"/>
    </sheetView>
  </sheetViews>
  <sheetFormatPr defaultRowHeight="15" x14ac:dyDescent="0.3"/>
  <cols>
    <col min="1" max="1" width="2.625" style="1" customWidth="1"/>
    <col min="2" max="2" width="8.625" style="2" customWidth="1"/>
    <col min="3" max="15" width="10.625" style="1" customWidth="1"/>
    <col min="16" max="16384" width="9" style="1"/>
  </cols>
  <sheetData>
    <row r="1" spans="1:15" ht="18.75" x14ac:dyDescent="0.3">
      <c r="A1" s="4" t="s">
        <v>29</v>
      </c>
    </row>
    <row r="2" spans="1:15" x14ac:dyDescent="0.3">
      <c r="O2" s="3" t="s">
        <v>16</v>
      </c>
    </row>
    <row r="3" spans="1:15" ht="16.5" customHeight="1" x14ac:dyDescent="0.3">
      <c r="B3" s="66" t="s">
        <v>0</v>
      </c>
      <c r="C3" s="66" t="s">
        <v>15</v>
      </c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</row>
    <row r="4" spans="1:15" ht="16.5" customHeight="1" thickBot="1" x14ac:dyDescent="0.35">
      <c r="B4" s="67"/>
      <c r="C4" s="16" t="s">
        <v>1</v>
      </c>
      <c r="D4" s="17" t="s">
        <v>2</v>
      </c>
      <c r="E4" s="17" t="s">
        <v>3</v>
      </c>
      <c r="F4" s="17" t="s">
        <v>4</v>
      </c>
      <c r="G4" s="17" t="s">
        <v>5</v>
      </c>
      <c r="H4" s="17" t="s">
        <v>6</v>
      </c>
      <c r="I4" s="17" t="s">
        <v>7</v>
      </c>
      <c r="J4" s="17" t="s">
        <v>8</v>
      </c>
      <c r="K4" s="17" t="s">
        <v>9</v>
      </c>
      <c r="L4" s="17" t="s">
        <v>10</v>
      </c>
      <c r="M4" s="17" t="s">
        <v>11</v>
      </c>
      <c r="N4" s="18" t="s">
        <v>12</v>
      </c>
      <c r="O4" s="8" t="s">
        <v>13</v>
      </c>
    </row>
    <row r="5" spans="1:15" ht="16.5" customHeight="1" thickTop="1" x14ac:dyDescent="0.3">
      <c r="B5" s="10">
        <v>0.33333333333333331</v>
      </c>
      <c r="C5" s="19">
        <v>0</v>
      </c>
      <c r="D5" s="20">
        <v>0</v>
      </c>
      <c r="E5" s="20">
        <v>1</v>
      </c>
      <c r="F5" s="20">
        <v>121</v>
      </c>
      <c r="G5" s="20">
        <v>1400</v>
      </c>
      <c r="H5" s="20">
        <v>0</v>
      </c>
      <c r="I5" s="20">
        <v>0</v>
      </c>
      <c r="J5" s="20">
        <v>0</v>
      </c>
      <c r="K5" s="20">
        <v>0</v>
      </c>
      <c r="L5" s="20">
        <v>174</v>
      </c>
      <c r="M5" s="20">
        <v>0</v>
      </c>
      <c r="N5" s="21">
        <v>0</v>
      </c>
      <c r="O5" s="7">
        <f>SUM(C5:N5)</f>
        <v>1696</v>
      </c>
    </row>
    <row r="6" spans="1:15" ht="16.5" customHeight="1" x14ac:dyDescent="0.3">
      <c r="B6" s="14">
        <v>0.375</v>
      </c>
      <c r="C6" s="22">
        <v>15359</v>
      </c>
      <c r="D6" s="23">
        <v>11912</v>
      </c>
      <c r="E6" s="23">
        <v>7673</v>
      </c>
      <c r="F6" s="23">
        <v>32566</v>
      </c>
      <c r="G6" s="23">
        <v>47974</v>
      </c>
      <c r="H6" s="23">
        <v>16519</v>
      </c>
      <c r="I6" s="23">
        <v>3780</v>
      </c>
      <c r="J6" s="23">
        <v>5766</v>
      </c>
      <c r="K6" s="23">
        <v>20153</v>
      </c>
      <c r="L6" s="23">
        <v>46816</v>
      </c>
      <c r="M6" s="23">
        <v>15531</v>
      </c>
      <c r="N6" s="24">
        <v>4345</v>
      </c>
      <c r="O6" s="15">
        <f t="shared" ref="O6:O21" si="0">SUM(C6:N6)</f>
        <v>228394</v>
      </c>
    </row>
    <row r="7" spans="1:15" ht="16.5" customHeight="1" x14ac:dyDescent="0.3">
      <c r="B7" s="11">
        <v>0.41666666666666669</v>
      </c>
      <c r="C7" s="25">
        <v>24024</v>
      </c>
      <c r="D7" s="26">
        <v>26232</v>
      </c>
      <c r="E7" s="26">
        <v>17291</v>
      </c>
      <c r="F7" s="26">
        <v>40126</v>
      </c>
      <c r="G7" s="26">
        <v>42447</v>
      </c>
      <c r="H7" s="26">
        <v>23504</v>
      </c>
      <c r="I7" s="26">
        <v>9752</v>
      </c>
      <c r="J7" s="26">
        <v>10587</v>
      </c>
      <c r="K7" s="26">
        <v>25534</v>
      </c>
      <c r="L7" s="26">
        <v>55842</v>
      </c>
      <c r="M7" s="26">
        <v>29019</v>
      </c>
      <c r="N7" s="27">
        <v>10149</v>
      </c>
      <c r="O7" s="12">
        <f t="shared" si="0"/>
        <v>314507</v>
      </c>
    </row>
    <row r="8" spans="1:15" ht="16.5" customHeight="1" x14ac:dyDescent="0.3">
      <c r="B8" s="11">
        <v>0.45833333333333298</v>
      </c>
      <c r="C8" s="25">
        <v>11964</v>
      </c>
      <c r="D8" s="26">
        <v>16306</v>
      </c>
      <c r="E8" s="26">
        <v>12029</v>
      </c>
      <c r="F8" s="26">
        <v>23452</v>
      </c>
      <c r="G8" s="26">
        <v>22416</v>
      </c>
      <c r="H8" s="26">
        <v>15070</v>
      </c>
      <c r="I8" s="26">
        <v>6572</v>
      </c>
      <c r="J8" s="26">
        <v>7397</v>
      </c>
      <c r="K8" s="26">
        <v>14960</v>
      </c>
      <c r="L8" s="26">
        <v>33382</v>
      </c>
      <c r="M8" s="26">
        <v>18447</v>
      </c>
      <c r="N8" s="27">
        <v>7134</v>
      </c>
      <c r="O8" s="12">
        <f t="shared" si="0"/>
        <v>189129</v>
      </c>
    </row>
    <row r="9" spans="1:15" ht="16.5" customHeight="1" x14ac:dyDescent="0.3">
      <c r="B9" s="11">
        <v>0.5</v>
      </c>
      <c r="C9" s="25">
        <v>8665</v>
      </c>
      <c r="D9" s="26">
        <v>11738</v>
      </c>
      <c r="E9" s="26">
        <v>8792</v>
      </c>
      <c r="F9" s="26">
        <v>13989</v>
      </c>
      <c r="G9" s="26">
        <v>13790</v>
      </c>
      <c r="H9" s="26">
        <v>10760</v>
      </c>
      <c r="I9" s="26">
        <v>5444</v>
      </c>
      <c r="J9" s="26">
        <v>5984</v>
      </c>
      <c r="K9" s="26">
        <v>11372</v>
      </c>
      <c r="L9" s="26">
        <v>21445</v>
      </c>
      <c r="M9" s="26">
        <v>12546</v>
      </c>
      <c r="N9" s="27">
        <v>6288</v>
      </c>
      <c r="O9" s="12">
        <f t="shared" si="0"/>
        <v>130813</v>
      </c>
    </row>
    <row r="10" spans="1:15" ht="16.5" customHeight="1" x14ac:dyDescent="0.3">
      <c r="B10" s="11">
        <v>0.54166666666666696</v>
      </c>
      <c r="C10" s="25">
        <v>6311</v>
      </c>
      <c r="D10" s="26">
        <v>8785</v>
      </c>
      <c r="E10" s="26">
        <v>7659</v>
      </c>
      <c r="F10" s="26">
        <v>11586</v>
      </c>
      <c r="G10" s="26">
        <v>11783</v>
      </c>
      <c r="H10" s="26">
        <v>8966</v>
      </c>
      <c r="I10" s="26">
        <v>4624</v>
      </c>
      <c r="J10" s="26">
        <v>4861</v>
      </c>
      <c r="K10" s="26">
        <v>9354</v>
      </c>
      <c r="L10" s="26">
        <v>16245</v>
      </c>
      <c r="M10" s="26">
        <v>10244</v>
      </c>
      <c r="N10" s="27">
        <v>5180</v>
      </c>
      <c r="O10" s="12">
        <f t="shared" si="0"/>
        <v>105598</v>
      </c>
    </row>
    <row r="11" spans="1:15" ht="16.5" customHeight="1" x14ac:dyDescent="0.3">
      <c r="B11" s="11">
        <v>0.58333333333333304</v>
      </c>
      <c r="C11" s="25">
        <v>6327</v>
      </c>
      <c r="D11" s="26">
        <v>7568</v>
      </c>
      <c r="E11" s="26">
        <v>7060</v>
      </c>
      <c r="F11" s="26">
        <v>10990</v>
      </c>
      <c r="G11" s="26">
        <v>9932</v>
      </c>
      <c r="H11" s="26">
        <v>8190</v>
      </c>
      <c r="I11" s="26">
        <v>4337</v>
      </c>
      <c r="J11" s="26">
        <v>4319</v>
      </c>
      <c r="K11" s="26">
        <v>8394</v>
      </c>
      <c r="L11" s="26">
        <v>18531</v>
      </c>
      <c r="M11" s="26">
        <v>9921</v>
      </c>
      <c r="N11" s="27">
        <v>5313</v>
      </c>
      <c r="O11" s="12">
        <f t="shared" si="0"/>
        <v>100882</v>
      </c>
    </row>
    <row r="12" spans="1:15" ht="16.5" customHeight="1" x14ac:dyDescent="0.3">
      <c r="B12" s="11">
        <v>0.625</v>
      </c>
      <c r="C12" s="25">
        <v>2890</v>
      </c>
      <c r="D12" s="26">
        <v>5188</v>
      </c>
      <c r="E12" s="26">
        <v>5034</v>
      </c>
      <c r="F12" s="26">
        <v>9868</v>
      </c>
      <c r="G12" s="26">
        <v>9429</v>
      </c>
      <c r="H12" s="26">
        <v>7457</v>
      </c>
      <c r="I12" s="26">
        <v>3173</v>
      </c>
      <c r="J12" s="26">
        <v>4896</v>
      </c>
      <c r="K12" s="26">
        <v>9453</v>
      </c>
      <c r="L12" s="26">
        <v>17010</v>
      </c>
      <c r="M12" s="26">
        <v>9396</v>
      </c>
      <c r="N12" s="27">
        <v>4018</v>
      </c>
      <c r="O12" s="12">
        <f t="shared" si="0"/>
        <v>87812</v>
      </c>
    </row>
    <row r="13" spans="1:15" ht="16.5" customHeight="1" x14ac:dyDescent="0.3">
      <c r="B13" s="11">
        <v>0.66666666666666696</v>
      </c>
      <c r="C13" s="25">
        <v>1414</v>
      </c>
      <c r="D13" s="26">
        <v>3218</v>
      </c>
      <c r="E13" s="26">
        <v>5422</v>
      </c>
      <c r="F13" s="26">
        <v>10873</v>
      </c>
      <c r="G13" s="26">
        <v>9787</v>
      </c>
      <c r="H13" s="26">
        <v>8846</v>
      </c>
      <c r="I13" s="26">
        <v>4578</v>
      </c>
      <c r="J13" s="26">
        <v>7126</v>
      </c>
      <c r="K13" s="26">
        <v>13290</v>
      </c>
      <c r="L13" s="26">
        <v>21649</v>
      </c>
      <c r="M13" s="26">
        <v>13471</v>
      </c>
      <c r="N13" s="27">
        <v>3803</v>
      </c>
      <c r="O13" s="12">
        <f t="shared" si="0"/>
        <v>103477</v>
      </c>
    </row>
    <row r="14" spans="1:15" ht="16.5" customHeight="1" x14ac:dyDescent="0.3">
      <c r="B14" s="11">
        <v>0.70833333333333404</v>
      </c>
      <c r="C14" s="25">
        <v>531</v>
      </c>
      <c r="D14" s="26">
        <v>781</v>
      </c>
      <c r="E14" s="26">
        <v>2235</v>
      </c>
      <c r="F14" s="26">
        <v>5777</v>
      </c>
      <c r="G14" s="26">
        <v>5111</v>
      </c>
      <c r="H14" s="26">
        <v>5153</v>
      </c>
      <c r="I14" s="26">
        <v>3791</v>
      </c>
      <c r="J14" s="26">
        <v>5741</v>
      </c>
      <c r="K14" s="26">
        <v>8105</v>
      </c>
      <c r="L14" s="26">
        <v>9181</v>
      </c>
      <c r="M14" s="26">
        <v>6456</v>
      </c>
      <c r="N14" s="27">
        <v>2080</v>
      </c>
      <c r="O14" s="12">
        <f t="shared" si="0"/>
        <v>54942</v>
      </c>
    </row>
    <row r="15" spans="1:15" ht="16.5" customHeight="1" x14ac:dyDescent="0.3">
      <c r="B15" s="11">
        <v>0.75</v>
      </c>
      <c r="C15" s="25">
        <v>798</v>
      </c>
      <c r="D15" s="26">
        <v>244</v>
      </c>
      <c r="E15" s="26">
        <v>689</v>
      </c>
      <c r="F15" s="26">
        <v>4287</v>
      </c>
      <c r="G15" s="26">
        <v>3973</v>
      </c>
      <c r="H15" s="26">
        <v>4683</v>
      </c>
      <c r="I15" s="26">
        <v>4257</v>
      </c>
      <c r="J15" s="26">
        <v>6516</v>
      </c>
      <c r="K15" s="26">
        <v>7499</v>
      </c>
      <c r="L15" s="26">
        <v>6182</v>
      </c>
      <c r="M15" s="26">
        <v>5392</v>
      </c>
      <c r="N15" s="27">
        <v>2763</v>
      </c>
      <c r="O15" s="12">
        <f t="shared" si="0"/>
        <v>47283</v>
      </c>
    </row>
    <row r="16" spans="1:15" ht="16.5" customHeight="1" x14ac:dyDescent="0.3">
      <c r="B16" s="11">
        <v>0.79166666666666696</v>
      </c>
      <c r="C16" s="25">
        <v>1</v>
      </c>
      <c r="D16" s="26">
        <v>22</v>
      </c>
      <c r="E16" s="26">
        <v>74</v>
      </c>
      <c r="F16" s="26">
        <v>1553</v>
      </c>
      <c r="G16" s="26">
        <v>1869</v>
      </c>
      <c r="H16" s="26">
        <v>1031</v>
      </c>
      <c r="I16" s="26">
        <v>732</v>
      </c>
      <c r="J16" s="26">
        <v>1170</v>
      </c>
      <c r="K16" s="26">
        <v>1635</v>
      </c>
      <c r="L16" s="26">
        <v>1369</v>
      </c>
      <c r="M16" s="26">
        <v>2937</v>
      </c>
      <c r="N16" s="27">
        <v>593</v>
      </c>
      <c r="O16" s="12">
        <f t="shared" si="0"/>
        <v>12986</v>
      </c>
    </row>
    <row r="17" spans="1:15" ht="16.5" customHeight="1" x14ac:dyDescent="0.3">
      <c r="B17" s="11">
        <v>0.83333333333333404</v>
      </c>
      <c r="C17" s="25">
        <v>0</v>
      </c>
      <c r="D17" s="26">
        <v>21</v>
      </c>
      <c r="E17" s="26">
        <v>3</v>
      </c>
      <c r="F17" s="26">
        <v>3601</v>
      </c>
      <c r="G17" s="26">
        <v>1340</v>
      </c>
      <c r="H17" s="26">
        <v>629</v>
      </c>
      <c r="I17" s="26">
        <v>91</v>
      </c>
      <c r="J17" s="26">
        <v>749</v>
      </c>
      <c r="K17" s="26">
        <v>1416</v>
      </c>
      <c r="L17" s="26">
        <v>2100</v>
      </c>
      <c r="M17" s="26">
        <v>529</v>
      </c>
      <c r="N17" s="27">
        <v>1042</v>
      </c>
      <c r="O17" s="12">
        <f t="shared" si="0"/>
        <v>11521</v>
      </c>
    </row>
    <row r="18" spans="1:15" ht="16.5" customHeight="1" x14ac:dyDescent="0.3">
      <c r="B18" s="11">
        <v>0.875</v>
      </c>
      <c r="C18" s="25">
        <v>0</v>
      </c>
      <c r="D18" s="26">
        <v>0</v>
      </c>
      <c r="E18" s="26">
        <v>1</v>
      </c>
      <c r="F18" s="26">
        <v>908</v>
      </c>
      <c r="G18" s="26">
        <v>8</v>
      </c>
      <c r="H18" s="26">
        <v>23060</v>
      </c>
      <c r="I18" s="26">
        <v>12946</v>
      </c>
      <c r="J18" s="26">
        <v>3379</v>
      </c>
      <c r="K18" s="26">
        <v>7555</v>
      </c>
      <c r="L18" s="26">
        <v>12810</v>
      </c>
      <c r="M18" s="26">
        <v>73</v>
      </c>
      <c r="N18" s="27">
        <v>0</v>
      </c>
      <c r="O18" s="12">
        <f t="shared" si="0"/>
        <v>60740</v>
      </c>
    </row>
    <row r="19" spans="1:15" ht="16.5" customHeight="1" x14ac:dyDescent="0.3">
      <c r="B19" s="11">
        <v>0.91666666666666696</v>
      </c>
      <c r="C19" s="25">
        <v>0</v>
      </c>
      <c r="D19" s="26">
        <v>0</v>
      </c>
      <c r="E19" s="26">
        <v>1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7">
        <v>0</v>
      </c>
      <c r="O19" s="12">
        <f t="shared" si="0"/>
        <v>1</v>
      </c>
    </row>
    <row r="20" spans="1:15" ht="16.5" customHeight="1" thickBot="1" x14ac:dyDescent="0.35">
      <c r="B20" s="13">
        <v>0.95833333333333404</v>
      </c>
      <c r="C20" s="28">
        <v>0</v>
      </c>
      <c r="D20" s="29">
        <v>0</v>
      </c>
      <c r="E20" s="29">
        <v>0</v>
      </c>
      <c r="F20" s="29">
        <v>0</v>
      </c>
      <c r="G20" s="29">
        <v>0</v>
      </c>
      <c r="H20" s="29">
        <v>0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  <c r="N20" s="30">
        <v>0</v>
      </c>
      <c r="O20" s="5">
        <f t="shared" si="0"/>
        <v>0</v>
      </c>
    </row>
    <row r="21" spans="1:15" ht="16.5" customHeight="1" thickTop="1" x14ac:dyDescent="0.3">
      <c r="B21" s="9" t="s">
        <v>13</v>
      </c>
      <c r="C21" s="31">
        <f t="shared" ref="C21:N21" si="1">SUM(C5:C20)</f>
        <v>78284</v>
      </c>
      <c r="D21" s="32">
        <f t="shared" si="1"/>
        <v>92015</v>
      </c>
      <c r="E21" s="32">
        <f t="shared" si="1"/>
        <v>73964</v>
      </c>
      <c r="F21" s="32">
        <f t="shared" si="1"/>
        <v>169697</v>
      </c>
      <c r="G21" s="32">
        <f t="shared" si="1"/>
        <v>181259</v>
      </c>
      <c r="H21" s="32">
        <f t="shared" si="1"/>
        <v>133868</v>
      </c>
      <c r="I21" s="32">
        <f t="shared" si="1"/>
        <v>64077</v>
      </c>
      <c r="J21" s="32">
        <f t="shared" si="1"/>
        <v>68491</v>
      </c>
      <c r="K21" s="32">
        <f t="shared" si="1"/>
        <v>138720</v>
      </c>
      <c r="L21" s="32">
        <f t="shared" si="1"/>
        <v>262736</v>
      </c>
      <c r="M21" s="32">
        <f t="shared" si="1"/>
        <v>133962</v>
      </c>
      <c r="N21" s="33">
        <f t="shared" si="1"/>
        <v>52708</v>
      </c>
      <c r="O21" s="6">
        <f t="shared" si="0"/>
        <v>1449781</v>
      </c>
    </row>
    <row r="23" spans="1:15" ht="18.75" x14ac:dyDescent="0.3">
      <c r="A23" s="4" t="s">
        <v>30</v>
      </c>
    </row>
    <row r="24" spans="1:15" x14ac:dyDescent="0.3">
      <c r="O24" s="3" t="s">
        <v>16</v>
      </c>
    </row>
    <row r="25" spans="1:15" ht="16.5" customHeight="1" x14ac:dyDescent="0.3">
      <c r="B25" s="66" t="s">
        <v>0</v>
      </c>
      <c r="C25" s="66" t="s">
        <v>15</v>
      </c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</row>
    <row r="26" spans="1:15" ht="16.5" customHeight="1" thickBot="1" x14ac:dyDescent="0.35">
      <c r="B26" s="67"/>
      <c r="C26" s="16" t="s">
        <v>1</v>
      </c>
      <c r="D26" s="17" t="s">
        <v>2</v>
      </c>
      <c r="E26" s="17" t="s">
        <v>3</v>
      </c>
      <c r="F26" s="17" t="s">
        <v>4</v>
      </c>
      <c r="G26" s="17" t="s">
        <v>5</v>
      </c>
      <c r="H26" s="17" t="s">
        <v>6</v>
      </c>
      <c r="I26" s="17" t="s">
        <v>7</v>
      </c>
      <c r="J26" s="17" t="s">
        <v>8</v>
      </c>
      <c r="K26" s="17" t="s">
        <v>9</v>
      </c>
      <c r="L26" s="17" t="s">
        <v>10</v>
      </c>
      <c r="M26" s="17" t="s">
        <v>11</v>
      </c>
      <c r="N26" s="18" t="s">
        <v>12</v>
      </c>
      <c r="O26" s="8" t="s">
        <v>13</v>
      </c>
    </row>
    <row r="27" spans="1:15" ht="16.5" customHeight="1" thickTop="1" x14ac:dyDescent="0.3">
      <c r="B27" s="10">
        <v>0.33333333333333331</v>
      </c>
      <c r="C27" s="19">
        <v>0</v>
      </c>
      <c r="D27" s="20">
        <v>0</v>
      </c>
      <c r="E27" s="20">
        <v>1</v>
      </c>
      <c r="F27" s="20">
        <v>121</v>
      </c>
      <c r="G27" s="20">
        <v>1400</v>
      </c>
      <c r="H27" s="20">
        <v>0</v>
      </c>
      <c r="I27" s="20">
        <v>0</v>
      </c>
      <c r="J27" s="20">
        <v>0</v>
      </c>
      <c r="K27" s="20">
        <v>0</v>
      </c>
      <c r="L27" s="20">
        <v>174</v>
      </c>
      <c r="M27" s="20">
        <v>0</v>
      </c>
      <c r="N27" s="21">
        <v>0</v>
      </c>
      <c r="O27" s="7">
        <f>SUM(C27:N27)</f>
        <v>1696</v>
      </c>
    </row>
    <row r="28" spans="1:15" ht="16.5" customHeight="1" x14ac:dyDescent="0.3">
      <c r="B28" s="14">
        <v>0.375</v>
      </c>
      <c r="C28" s="22">
        <v>15359</v>
      </c>
      <c r="D28" s="23">
        <v>11912</v>
      </c>
      <c r="E28" s="23">
        <v>7651</v>
      </c>
      <c r="F28" s="23">
        <v>32566</v>
      </c>
      <c r="G28" s="23">
        <v>47974</v>
      </c>
      <c r="H28" s="23">
        <v>16519</v>
      </c>
      <c r="I28" s="23">
        <v>3780</v>
      </c>
      <c r="J28" s="23">
        <v>5766</v>
      </c>
      <c r="K28" s="23">
        <v>20153</v>
      </c>
      <c r="L28" s="23">
        <v>46816</v>
      </c>
      <c r="M28" s="23">
        <v>15531</v>
      </c>
      <c r="N28" s="24">
        <v>4345</v>
      </c>
      <c r="O28" s="15">
        <f t="shared" ref="O28:O43" si="2">SUM(C28:N28)</f>
        <v>228372</v>
      </c>
    </row>
    <row r="29" spans="1:15" ht="16.5" customHeight="1" x14ac:dyDescent="0.3">
      <c r="B29" s="11">
        <v>0.41666666666666669</v>
      </c>
      <c r="C29" s="25">
        <v>24024</v>
      </c>
      <c r="D29" s="26">
        <v>26232</v>
      </c>
      <c r="E29" s="26">
        <v>17291</v>
      </c>
      <c r="F29" s="26">
        <v>40126</v>
      </c>
      <c r="G29" s="26">
        <v>42447</v>
      </c>
      <c r="H29" s="26">
        <v>23504</v>
      </c>
      <c r="I29" s="26">
        <v>9752</v>
      </c>
      <c r="J29" s="26">
        <v>10587</v>
      </c>
      <c r="K29" s="26">
        <v>25534</v>
      </c>
      <c r="L29" s="26">
        <v>55842</v>
      </c>
      <c r="M29" s="26">
        <v>29019</v>
      </c>
      <c r="N29" s="27">
        <v>10149</v>
      </c>
      <c r="O29" s="12">
        <f t="shared" si="2"/>
        <v>314507</v>
      </c>
    </row>
    <row r="30" spans="1:15" ht="16.5" customHeight="1" x14ac:dyDescent="0.3">
      <c r="B30" s="11">
        <v>0.45833333333333298</v>
      </c>
      <c r="C30" s="25">
        <v>11964</v>
      </c>
      <c r="D30" s="26">
        <v>16306</v>
      </c>
      <c r="E30" s="26">
        <v>12029</v>
      </c>
      <c r="F30" s="26">
        <v>23452</v>
      </c>
      <c r="G30" s="26">
        <v>22416</v>
      </c>
      <c r="H30" s="26">
        <v>15070</v>
      </c>
      <c r="I30" s="26">
        <v>6572</v>
      </c>
      <c r="J30" s="26">
        <v>7397</v>
      </c>
      <c r="K30" s="26">
        <v>14960</v>
      </c>
      <c r="L30" s="26">
        <v>33382</v>
      </c>
      <c r="M30" s="26">
        <v>18447</v>
      </c>
      <c r="N30" s="27">
        <v>7134</v>
      </c>
      <c r="O30" s="12">
        <f t="shared" si="2"/>
        <v>189129</v>
      </c>
    </row>
    <row r="31" spans="1:15" ht="16.5" customHeight="1" x14ac:dyDescent="0.3">
      <c r="B31" s="11">
        <v>0.5</v>
      </c>
      <c r="C31" s="25">
        <v>8665</v>
      </c>
      <c r="D31" s="26">
        <v>11738</v>
      </c>
      <c r="E31" s="26">
        <v>8792</v>
      </c>
      <c r="F31" s="26">
        <v>13989</v>
      </c>
      <c r="G31" s="26">
        <v>13790</v>
      </c>
      <c r="H31" s="26">
        <v>10760</v>
      </c>
      <c r="I31" s="26">
        <v>5444</v>
      </c>
      <c r="J31" s="26">
        <v>5984</v>
      </c>
      <c r="K31" s="26">
        <v>11372</v>
      </c>
      <c r="L31" s="26">
        <v>21445</v>
      </c>
      <c r="M31" s="26">
        <v>12546</v>
      </c>
      <c r="N31" s="27">
        <v>6288</v>
      </c>
      <c r="O31" s="12">
        <f t="shared" si="2"/>
        <v>130813</v>
      </c>
    </row>
    <row r="32" spans="1:15" ht="16.5" customHeight="1" x14ac:dyDescent="0.3">
      <c r="B32" s="11">
        <v>0.54166666666666696</v>
      </c>
      <c r="C32" s="25">
        <v>6311</v>
      </c>
      <c r="D32" s="26">
        <v>8785</v>
      </c>
      <c r="E32" s="26">
        <v>7659</v>
      </c>
      <c r="F32" s="26">
        <v>11586</v>
      </c>
      <c r="G32" s="26">
        <v>11783</v>
      </c>
      <c r="H32" s="26">
        <v>8966</v>
      </c>
      <c r="I32" s="26">
        <v>4624</v>
      </c>
      <c r="J32" s="26">
        <v>4861</v>
      </c>
      <c r="K32" s="26">
        <v>9354</v>
      </c>
      <c r="L32" s="26">
        <v>16245</v>
      </c>
      <c r="M32" s="26">
        <v>10244</v>
      </c>
      <c r="N32" s="27">
        <v>5180</v>
      </c>
      <c r="O32" s="12">
        <f t="shared" si="2"/>
        <v>105598</v>
      </c>
    </row>
    <row r="33" spans="1:15" ht="16.5" customHeight="1" x14ac:dyDescent="0.3">
      <c r="B33" s="11">
        <v>0.58333333333333304</v>
      </c>
      <c r="C33" s="25">
        <v>6327</v>
      </c>
      <c r="D33" s="26">
        <v>7568</v>
      </c>
      <c r="E33" s="26">
        <v>7060</v>
      </c>
      <c r="F33" s="26">
        <v>10990</v>
      </c>
      <c r="G33" s="26">
        <v>9932</v>
      </c>
      <c r="H33" s="26">
        <v>8190</v>
      </c>
      <c r="I33" s="26">
        <v>4337</v>
      </c>
      <c r="J33" s="26">
        <v>4319</v>
      </c>
      <c r="K33" s="26">
        <v>8394</v>
      </c>
      <c r="L33" s="26">
        <v>18531</v>
      </c>
      <c r="M33" s="26">
        <v>9921</v>
      </c>
      <c r="N33" s="27">
        <v>5313</v>
      </c>
      <c r="O33" s="12">
        <f t="shared" si="2"/>
        <v>100882</v>
      </c>
    </row>
    <row r="34" spans="1:15" ht="16.5" customHeight="1" x14ac:dyDescent="0.3">
      <c r="B34" s="11">
        <v>0.625</v>
      </c>
      <c r="C34" s="25">
        <v>2890</v>
      </c>
      <c r="D34" s="26">
        <v>4488</v>
      </c>
      <c r="E34" s="26">
        <v>5034</v>
      </c>
      <c r="F34" s="26">
        <v>9868</v>
      </c>
      <c r="G34" s="26">
        <v>9429</v>
      </c>
      <c r="H34" s="26">
        <v>7457</v>
      </c>
      <c r="I34" s="26">
        <v>3173</v>
      </c>
      <c r="J34" s="26">
        <v>4896</v>
      </c>
      <c r="K34" s="26">
        <v>9453</v>
      </c>
      <c r="L34" s="26">
        <v>17010</v>
      </c>
      <c r="M34" s="26">
        <v>9376</v>
      </c>
      <c r="N34" s="27">
        <v>4018</v>
      </c>
      <c r="O34" s="12">
        <f t="shared" si="2"/>
        <v>87092</v>
      </c>
    </row>
    <row r="35" spans="1:15" ht="16.5" customHeight="1" x14ac:dyDescent="0.3">
      <c r="B35" s="11">
        <v>0.66666666666666696</v>
      </c>
      <c r="C35" s="25">
        <v>1414</v>
      </c>
      <c r="D35" s="26">
        <v>3218</v>
      </c>
      <c r="E35" s="26">
        <v>5422</v>
      </c>
      <c r="F35" s="26">
        <v>10873</v>
      </c>
      <c r="G35" s="26">
        <v>9787</v>
      </c>
      <c r="H35" s="26">
        <v>8846</v>
      </c>
      <c r="I35" s="26">
        <v>4570</v>
      </c>
      <c r="J35" s="26">
        <v>7126</v>
      </c>
      <c r="K35" s="26">
        <v>13303</v>
      </c>
      <c r="L35" s="26">
        <v>21648</v>
      </c>
      <c r="M35" s="26">
        <v>13471</v>
      </c>
      <c r="N35" s="27">
        <v>3803</v>
      </c>
      <c r="O35" s="12">
        <f t="shared" si="2"/>
        <v>103481</v>
      </c>
    </row>
    <row r="36" spans="1:15" ht="16.5" customHeight="1" x14ac:dyDescent="0.3">
      <c r="B36" s="11">
        <v>0.70833333333333404</v>
      </c>
      <c r="C36" s="25">
        <v>476</v>
      </c>
      <c r="D36" s="26">
        <v>781</v>
      </c>
      <c r="E36" s="26">
        <v>2235</v>
      </c>
      <c r="F36" s="26">
        <v>5777</v>
      </c>
      <c r="G36" s="26">
        <v>4693</v>
      </c>
      <c r="H36" s="26">
        <v>5153</v>
      </c>
      <c r="I36" s="26">
        <v>3678</v>
      </c>
      <c r="J36" s="26">
        <v>5741</v>
      </c>
      <c r="K36" s="26">
        <v>8105</v>
      </c>
      <c r="L36" s="26">
        <v>9181</v>
      </c>
      <c r="M36" s="26">
        <v>6456</v>
      </c>
      <c r="N36" s="27">
        <v>2080</v>
      </c>
      <c r="O36" s="12">
        <f t="shared" si="2"/>
        <v>54356</v>
      </c>
    </row>
    <row r="37" spans="1:15" ht="16.5" customHeight="1" x14ac:dyDescent="0.3">
      <c r="B37" s="11">
        <v>0.75</v>
      </c>
      <c r="C37" s="25">
        <v>17</v>
      </c>
      <c r="D37" s="26">
        <v>214</v>
      </c>
      <c r="E37" s="26">
        <v>591</v>
      </c>
      <c r="F37" s="26">
        <v>4234</v>
      </c>
      <c r="G37" s="26">
        <v>3873</v>
      </c>
      <c r="H37" s="26">
        <v>4683</v>
      </c>
      <c r="I37" s="26">
        <v>4157</v>
      </c>
      <c r="J37" s="26">
        <v>6516</v>
      </c>
      <c r="K37" s="26">
        <v>6793</v>
      </c>
      <c r="L37" s="26">
        <v>6139</v>
      </c>
      <c r="M37" s="26">
        <v>4824</v>
      </c>
      <c r="N37" s="27">
        <v>2042</v>
      </c>
      <c r="O37" s="12">
        <f t="shared" si="2"/>
        <v>44083</v>
      </c>
    </row>
    <row r="38" spans="1:15" ht="16.5" customHeight="1" x14ac:dyDescent="0.3">
      <c r="B38" s="11">
        <v>0.79166666666666696</v>
      </c>
      <c r="C38" s="25">
        <v>1</v>
      </c>
      <c r="D38" s="26">
        <v>22</v>
      </c>
      <c r="E38" s="26">
        <v>74</v>
      </c>
      <c r="F38" s="26">
        <v>892</v>
      </c>
      <c r="G38" s="26">
        <v>781</v>
      </c>
      <c r="H38" s="26">
        <v>909</v>
      </c>
      <c r="I38" s="26">
        <v>716</v>
      </c>
      <c r="J38" s="26">
        <v>1170</v>
      </c>
      <c r="K38" s="26">
        <v>1026</v>
      </c>
      <c r="L38" s="26">
        <v>942</v>
      </c>
      <c r="M38" s="26">
        <v>827</v>
      </c>
      <c r="N38" s="27">
        <v>252</v>
      </c>
      <c r="O38" s="12">
        <f t="shared" si="2"/>
        <v>7612</v>
      </c>
    </row>
    <row r="39" spans="1:15" ht="16.5" customHeight="1" x14ac:dyDescent="0.3">
      <c r="B39" s="11">
        <v>0.83333333333333404</v>
      </c>
      <c r="C39" s="25">
        <v>0</v>
      </c>
      <c r="D39" s="26">
        <v>0</v>
      </c>
      <c r="E39" s="26">
        <v>3</v>
      </c>
      <c r="F39" s="26">
        <v>180</v>
      </c>
      <c r="G39" s="26">
        <v>77</v>
      </c>
      <c r="H39" s="26">
        <v>104</v>
      </c>
      <c r="I39" s="26">
        <v>79</v>
      </c>
      <c r="J39" s="26">
        <v>139</v>
      </c>
      <c r="K39" s="26">
        <v>153</v>
      </c>
      <c r="L39" s="26">
        <v>107</v>
      </c>
      <c r="M39" s="26">
        <v>62</v>
      </c>
      <c r="N39" s="27">
        <v>12</v>
      </c>
      <c r="O39" s="12">
        <f t="shared" si="2"/>
        <v>916</v>
      </c>
    </row>
    <row r="40" spans="1:15" ht="16.5" customHeight="1" x14ac:dyDescent="0.3">
      <c r="B40" s="11">
        <v>0.875</v>
      </c>
      <c r="C40" s="25">
        <v>0</v>
      </c>
      <c r="D40" s="26">
        <v>0</v>
      </c>
      <c r="E40" s="26">
        <v>1</v>
      </c>
      <c r="F40" s="26">
        <v>-2</v>
      </c>
      <c r="G40" s="26">
        <v>3</v>
      </c>
      <c r="H40" s="26">
        <v>13</v>
      </c>
      <c r="I40" s="26">
        <v>5</v>
      </c>
      <c r="J40" s="26">
        <v>0</v>
      </c>
      <c r="K40" s="26">
        <v>4</v>
      </c>
      <c r="L40" s="26">
        <v>3</v>
      </c>
      <c r="M40" s="26">
        <v>3</v>
      </c>
      <c r="N40" s="27">
        <v>0</v>
      </c>
      <c r="O40" s="12">
        <f t="shared" si="2"/>
        <v>30</v>
      </c>
    </row>
    <row r="41" spans="1:15" ht="16.5" customHeight="1" x14ac:dyDescent="0.3">
      <c r="B41" s="11">
        <v>0.91666666666666696</v>
      </c>
      <c r="C41" s="25">
        <v>0</v>
      </c>
      <c r="D41" s="26">
        <v>0</v>
      </c>
      <c r="E41" s="26">
        <v>1</v>
      </c>
      <c r="F41" s="26">
        <v>0</v>
      </c>
      <c r="G41" s="26">
        <v>0</v>
      </c>
      <c r="H41" s="26">
        <v>0</v>
      </c>
      <c r="I41" s="26">
        <v>0</v>
      </c>
      <c r="J41" s="26">
        <v>0</v>
      </c>
      <c r="K41" s="26">
        <v>0</v>
      </c>
      <c r="L41" s="26">
        <v>0</v>
      </c>
      <c r="M41" s="26">
        <v>0</v>
      </c>
      <c r="N41" s="27">
        <v>0</v>
      </c>
      <c r="O41" s="12">
        <f t="shared" si="2"/>
        <v>1</v>
      </c>
    </row>
    <row r="42" spans="1:15" ht="16.5" customHeight="1" thickBot="1" x14ac:dyDescent="0.35">
      <c r="B42" s="13">
        <v>0.95833333333333404</v>
      </c>
      <c r="C42" s="28">
        <v>0</v>
      </c>
      <c r="D42" s="29">
        <v>0</v>
      </c>
      <c r="E42" s="29">
        <v>0</v>
      </c>
      <c r="F42" s="29">
        <v>0</v>
      </c>
      <c r="G42" s="29">
        <v>0</v>
      </c>
      <c r="H42" s="29">
        <v>0</v>
      </c>
      <c r="I42" s="29">
        <v>0</v>
      </c>
      <c r="J42" s="29">
        <v>0</v>
      </c>
      <c r="K42" s="29">
        <v>0</v>
      </c>
      <c r="L42" s="29">
        <v>0</v>
      </c>
      <c r="M42" s="29">
        <v>0</v>
      </c>
      <c r="N42" s="30">
        <v>0</v>
      </c>
      <c r="O42" s="5">
        <f t="shared" si="2"/>
        <v>0</v>
      </c>
    </row>
    <row r="43" spans="1:15" ht="16.5" customHeight="1" thickTop="1" x14ac:dyDescent="0.3">
      <c r="B43" s="9" t="s">
        <v>13</v>
      </c>
      <c r="C43" s="31">
        <f t="shared" ref="C43:N43" si="3">SUM(C27:C42)</f>
        <v>77448</v>
      </c>
      <c r="D43" s="32">
        <f t="shared" si="3"/>
        <v>91264</v>
      </c>
      <c r="E43" s="32">
        <f t="shared" si="3"/>
        <v>73844</v>
      </c>
      <c r="F43" s="32">
        <f t="shared" si="3"/>
        <v>164652</v>
      </c>
      <c r="G43" s="32">
        <f t="shared" si="3"/>
        <v>178385</v>
      </c>
      <c r="H43" s="32">
        <f t="shared" si="3"/>
        <v>110174</v>
      </c>
      <c r="I43" s="32">
        <f t="shared" si="3"/>
        <v>50887</v>
      </c>
      <c r="J43" s="32">
        <f t="shared" si="3"/>
        <v>64502</v>
      </c>
      <c r="K43" s="32">
        <f t="shared" si="3"/>
        <v>128604</v>
      </c>
      <c r="L43" s="32">
        <f t="shared" si="3"/>
        <v>247465</v>
      </c>
      <c r="M43" s="32">
        <f t="shared" si="3"/>
        <v>130727</v>
      </c>
      <c r="N43" s="33">
        <f t="shared" si="3"/>
        <v>50616</v>
      </c>
      <c r="O43" s="6">
        <f t="shared" si="2"/>
        <v>1368568</v>
      </c>
    </row>
    <row r="45" spans="1:15" ht="18.75" x14ac:dyDescent="0.3">
      <c r="A45" s="4" t="s">
        <v>30</v>
      </c>
    </row>
    <row r="46" spans="1:15" x14ac:dyDescent="0.3">
      <c r="O46" s="3" t="s">
        <v>23</v>
      </c>
    </row>
    <row r="47" spans="1:15" ht="16.5" customHeight="1" x14ac:dyDescent="0.3">
      <c r="B47" s="66" t="s">
        <v>0</v>
      </c>
      <c r="C47" s="66" t="s">
        <v>17</v>
      </c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</row>
    <row r="48" spans="1:15" ht="16.5" customHeight="1" thickBot="1" x14ac:dyDescent="0.35">
      <c r="B48" s="67"/>
      <c r="C48" s="16" t="s">
        <v>1</v>
      </c>
      <c r="D48" s="17" t="s">
        <v>2</v>
      </c>
      <c r="E48" s="17" t="s">
        <v>3</v>
      </c>
      <c r="F48" s="17" t="s">
        <v>4</v>
      </c>
      <c r="G48" s="17" t="s">
        <v>5</v>
      </c>
      <c r="H48" s="17" t="s">
        <v>6</v>
      </c>
      <c r="I48" s="17" t="s">
        <v>7</v>
      </c>
      <c r="J48" s="17" t="s">
        <v>8</v>
      </c>
      <c r="K48" s="17" t="s">
        <v>9</v>
      </c>
      <c r="L48" s="17" t="s">
        <v>10</v>
      </c>
      <c r="M48" s="17" t="s">
        <v>11</v>
      </c>
      <c r="N48" s="18" t="s">
        <v>12</v>
      </c>
      <c r="O48" s="8" t="s">
        <v>13</v>
      </c>
    </row>
    <row r="49" spans="1:15" ht="16.5" customHeight="1" thickTop="1" x14ac:dyDescent="0.3">
      <c r="B49" s="10" t="s">
        <v>21</v>
      </c>
      <c r="C49" s="50">
        <f>SUM(C27:C30)</f>
        <v>51347</v>
      </c>
      <c r="D49" s="51">
        <f t="shared" ref="D49:N49" si="4">SUM(D27:D30)</f>
        <v>54450</v>
      </c>
      <c r="E49" s="51">
        <f t="shared" si="4"/>
        <v>36972</v>
      </c>
      <c r="F49" s="51">
        <f t="shared" si="4"/>
        <v>96265</v>
      </c>
      <c r="G49" s="51">
        <f t="shared" si="4"/>
        <v>114237</v>
      </c>
      <c r="H49" s="51">
        <f t="shared" si="4"/>
        <v>55093</v>
      </c>
      <c r="I49" s="51">
        <f t="shared" si="4"/>
        <v>20104</v>
      </c>
      <c r="J49" s="51">
        <f t="shared" si="4"/>
        <v>23750</v>
      </c>
      <c r="K49" s="51">
        <f t="shared" si="4"/>
        <v>60647</v>
      </c>
      <c r="L49" s="51">
        <f t="shared" si="4"/>
        <v>136214</v>
      </c>
      <c r="M49" s="51">
        <f t="shared" si="4"/>
        <v>62997</v>
      </c>
      <c r="N49" s="52">
        <f t="shared" si="4"/>
        <v>21628</v>
      </c>
      <c r="O49" s="53">
        <f>SUM(C49:N49)</f>
        <v>733704</v>
      </c>
    </row>
    <row r="50" spans="1:15" ht="16.5" customHeight="1" x14ac:dyDescent="0.3">
      <c r="B50" s="14" t="s">
        <v>18</v>
      </c>
      <c r="C50" s="54">
        <f>SUM(C31:C32)</f>
        <v>14976</v>
      </c>
      <c r="D50" s="55">
        <f t="shared" ref="D50:N50" si="5">SUM(D31:D32)</f>
        <v>20523</v>
      </c>
      <c r="E50" s="55">
        <f t="shared" si="5"/>
        <v>16451</v>
      </c>
      <c r="F50" s="55">
        <f t="shared" si="5"/>
        <v>25575</v>
      </c>
      <c r="G50" s="55">
        <f t="shared" si="5"/>
        <v>25573</v>
      </c>
      <c r="H50" s="55">
        <f t="shared" si="5"/>
        <v>19726</v>
      </c>
      <c r="I50" s="55">
        <f t="shared" si="5"/>
        <v>10068</v>
      </c>
      <c r="J50" s="55">
        <f t="shared" si="5"/>
        <v>10845</v>
      </c>
      <c r="K50" s="55">
        <f t="shared" si="5"/>
        <v>20726</v>
      </c>
      <c r="L50" s="55">
        <f t="shared" si="5"/>
        <v>37690</v>
      </c>
      <c r="M50" s="55">
        <f t="shared" si="5"/>
        <v>22790</v>
      </c>
      <c r="N50" s="56">
        <f t="shared" si="5"/>
        <v>11468</v>
      </c>
      <c r="O50" s="57">
        <f t="shared" ref="O50:O53" si="6">SUM(C50:N50)</f>
        <v>236411</v>
      </c>
    </row>
    <row r="51" spans="1:15" ht="16.5" customHeight="1" x14ac:dyDescent="0.3">
      <c r="B51" s="11" t="s">
        <v>19</v>
      </c>
      <c r="C51" s="58">
        <f>SUM(C33:C34)</f>
        <v>9217</v>
      </c>
      <c r="D51" s="59">
        <f t="shared" ref="D51:N51" si="7">SUM(D33:D34)</f>
        <v>12056</v>
      </c>
      <c r="E51" s="59">
        <f t="shared" si="7"/>
        <v>12094</v>
      </c>
      <c r="F51" s="59">
        <f t="shared" si="7"/>
        <v>20858</v>
      </c>
      <c r="G51" s="59">
        <f t="shared" si="7"/>
        <v>19361</v>
      </c>
      <c r="H51" s="59">
        <f t="shared" si="7"/>
        <v>15647</v>
      </c>
      <c r="I51" s="59">
        <f t="shared" si="7"/>
        <v>7510</v>
      </c>
      <c r="J51" s="59">
        <f t="shared" si="7"/>
        <v>9215</v>
      </c>
      <c r="K51" s="59">
        <f t="shared" si="7"/>
        <v>17847</v>
      </c>
      <c r="L51" s="59">
        <f t="shared" si="7"/>
        <v>35541</v>
      </c>
      <c r="M51" s="59">
        <f t="shared" si="7"/>
        <v>19297</v>
      </c>
      <c r="N51" s="60">
        <f t="shared" si="7"/>
        <v>9331</v>
      </c>
      <c r="O51" s="61">
        <f t="shared" si="6"/>
        <v>187974</v>
      </c>
    </row>
    <row r="52" spans="1:15" ht="16.5" customHeight="1" x14ac:dyDescent="0.3">
      <c r="B52" s="11" t="s">
        <v>20</v>
      </c>
      <c r="C52" s="58">
        <f>SUM(C35:C36)</f>
        <v>1890</v>
      </c>
      <c r="D52" s="59">
        <f t="shared" ref="D52:N52" si="8">SUM(D35:D36)</f>
        <v>3999</v>
      </c>
      <c r="E52" s="59">
        <f t="shared" si="8"/>
        <v>7657</v>
      </c>
      <c r="F52" s="59">
        <f t="shared" si="8"/>
        <v>16650</v>
      </c>
      <c r="G52" s="59">
        <f t="shared" si="8"/>
        <v>14480</v>
      </c>
      <c r="H52" s="59">
        <f t="shared" si="8"/>
        <v>13999</v>
      </c>
      <c r="I52" s="59">
        <f t="shared" si="8"/>
        <v>8248</v>
      </c>
      <c r="J52" s="59">
        <f t="shared" si="8"/>
        <v>12867</v>
      </c>
      <c r="K52" s="59">
        <f t="shared" si="8"/>
        <v>21408</v>
      </c>
      <c r="L52" s="59">
        <f t="shared" si="8"/>
        <v>30829</v>
      </c>
      <c r="M52" s="59">
        <f t="shared" si="8"/>
        <v>19927</v>
      </c>
      <c r="N52" s="60">
        <f t="shared" si="8"/>
        <v>5883</v>
      </c>
      <c r="O52" s="61">
        <f t="shared" si="6"/>
        <v>157837</v>
      </c>
    </row>
    <row r="53" spans="1:15" ht="16.5" customHeight="1" thickBot="1" x14ac:dyDescent="0.35">
      <c r="B53" s="11" t="s">
        <v>22</v>
      </c>
      <c r="C53" s="58">
        <f>SUM(C37:C42)</f>
        <v>18</v>
      </c>
      <c r="D53" s="59">
        <f t="shared" ref="D53:N53" si="9">SUM(D37:D42)</f>
        <v>236</v>
      </c>
      <c r="E53" s="59">
        <f t="shared" si="9"/>
        <v>670</v>
      </c>
      <c r="F53" s="59">
        <f t="shared" si="9"/>
        <v>5304</v>
      </c>
      <c r="G53" s="59">
        <f t="shared" si="9"/>
        <v>4734</v>
      </c>
      <c r="H53" s="59">
        <f t="shared" si="9"/>
        <v>5709</v>
      </c>
      <c r="I53" s="59">
        <f t="shared" si="9"/>
        <v>4957</v>
      </c>
      <c r="J53" s="59">
        <f t="shared" si="9"/>
        <v>7825</v>
      </c>
      <c r="K53" s="59">
        <f t="shared" si="9"/>
        <v>7976</v>
      </c>
      <c r="L53" s="59">
        <f t="shared" si="9"/>
        <v>7191</v>
      </c>
      <c r="M53" s="59">
        <f t="shared" si="9"/>
        <v>5716</v>
      </c>
      <c r="N53" s="60">
        <f t="shared" si="9"/>
        <v>2306</v>
      </c>
      <c r="O53" s="61">
        <f t="shared" si="6"/>
        <v>52642</v>
      </c>
    </row>
    <row r="54" spans="1:15" ht="16.5" customHeight="1" thickTop="1" x14ac:dyDescent="0.3">
      <c r="B54" s="9" t="s">
        <v>13</v>
      </c>
      <c r="C54" s="62">
        <f>SUM(C49:C53)</f>
        <v>77448</v>
      </c>
      <c r="D54" s="63">
        <f t="shared" ref="D54:O54" si="10">SUM(D49:D53)</f>
        <v>91264</v>
      </c>
      <c r="E54" s="63">
        <f t="shared" si="10"/>
        <v>73844</v>
      </c>
      <c r="F54" s="63">
        <f t="shared" si="10"/>
        <v>164652</v>
      </c>
      <c r="G54" s="63">
        <f t="shared" si="10"/>
        <v>178385</v>
      </c>
      <c r="H54" s="63">
        <f t="shared" si="10"/>
        <v>110174</v>
      </c>
      <c r="I54" s="63">
        <f t="shared" si="10"/>
        <v>50887</v>
      </c>
      <c r="J54" s="63">
        <f t="shared" si="10"/>
        <v>64502</v>
      </c>
      <c r="K54" s="63">
        <f t="shared" si="10"/>
        <v>128604</v>
      </c>
      <c r="L54" s="63">
        <f t="shared" si="10"/>
        <v>247465</v>
      </c>
      <c r="M54" s="63">
        <f t="shared" si="10"/>
        <v>130727</v>
      </c>
      <c r="N54" s="64">
        <f t="shared" si="10"/>
        <v>50616</v>
      </c>
      <c r="O54" s="65">
        <f t="shared" si="10"/>
        <v>1368568</v>
      </c>
    </row>
    <row r="56" spans="1:15" ht="18.75" x14ac:dyDescent="0.3">
      <c r="A56" s="4" t="s">
        <v>31</v>
      </c>
    </row>
    <row r="57" spans="1:15" x14ac:dyDescent="0.3">
      <c r="O57" s="3" t="s">
        <v>23</v>
      </c>
    </row>
    <row r="58" spans="1:15" ht="16.5" customHeight="1" x14ac:dyDescent="0.3">
      <c r="B58" s="66" t="s">
        <v>0</v>
      </c>
      <c r="C58" s="66" t="s">
        <v>17</v>
      </c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</row>
    <row r="59" spans="1:15" ht="16.5" customHeight="1" thickBot="1" x14ac:dyDescent="0.35">
      <c r="B59" s="67"/>
      <c r="C59" s="16" t="s">
        <v>1</v>
      </c>
      <c r="D59" s="17" t="s">
        <v>2</v>
      </c>
      <c r="E59" s="17" t="s">
        <v>3</v>
      </c>
      <c r="F59" s="17" t="s">
        <v>4</v>
      </c>
      <c r="G59" s="17" t="s">
        <v>5</v>
      </c>
      <c r="H59" s="17" t="s">
        <v>6</v>
      </c>
      <c r="I59" s="17" t="s">
        <v>7</v>
      </c>
      <c r="J59" s="17" t="s">
        <v>8</v>
      </c>
      <c r="K59" s="17" t="s">
        <v>9</v>
      </c>
      <c r="L59" s="17" t="s">
        <v>10</v>
      </c>
      <c r="M59" s="17" t="s">
        <v>11</v>
      </c>
      <c r="N59" s="18" t="s">
        <v>12</v>
      </c>
      <c r="O59" s="8" t="s">
        <v>25</v>
      </c>
    </row>
    <row r="60" spans="1:15" ht="16.5" customHeight="1" thickTop="1" x14ac:dyDescent="0.3">
      <c r="B60" s="10" t="s">
        <v>21</v>
      </c>
      <c r="C60" s="34">
        <f>C49/C$54</f>
        <v>0.66298677822538998</v>
      </c>
      <c r="D60" s="35">
        <f t="shared" ref="D60:N65" si="11">D49/D$54</f>
        <v>0.59662079242636745</v>
      </c>
      <c r="E60" s="35">
        <f t="shared" si="11"/>
        <v>0.50067710308217328</v>
      </c>
      <c r="F60" s="35">
        <f t="shared" si="11"/>
        <v>0.58465733790054175</v>
      </c>
      <c r="G60" s="35">
        <f t="shared" si="11"/>
        <v>0.64039577318720742</v>
      </c>
      <c r="H60" s="35">
        <f t="shared" si="11"/>
        <v>0.50005445930981907</v>
      </c>
      <c r="I60" s="35">
        <f t="shared" si="11"/>
        <v>0.3950714327824395</v>
      </c>
      <c r="J60" s="35">
        <f t="shared" si="11"/>
        <v>0.36820563703451054</v>
      </c>
      <c r="K60" s="35">
        <f t="shared" si="11"/>
        <v>0.47157942210195641</v>
      </c>
      <c r="L60" s="35">
        <f t="shared" si="11"/>
        <v>0.55043743559695313</v>
      </c>
      <c r="M60" s="35">
        <f t="shared" si="11"/>
        <v>0.48189738921569375</v>
      </c>
      <c r="N60" s="36">
        <f t="shared" si="11"/>
        <v>0.42729571676940098</v>
      </c>
      <c r="O60" s="37">
        <f>AVERAGE(C60:N60)</f>
        <v>0.51498993980270436</v>
      </c>
    </row>
    <row r="61" spans="1:15" ht="16.5" customHeight="1" x14ac:dyDescent="0.3">
      <c r="B61" s="14" t="s">
        <v>18</v>
      </c>
      <c r="C61" s="38">
        <f t="shared" ref="C61:C65" si="12">C50/C$54</f>
        <v>0.19336845367214131</v>
      </c>
      <c r="D61" s="39">
        <f t="shared" si="11"/>
        <v>0.22487508765778402</v>
      </c>
      <c r="E61" s="39">
        <f t="shared" si="11"/>
        <v>0.22278045609663616</v>
      </c>
      <c r="F61" s="39">
        <f t="shared" si="11"/>
        <v>0.15532760002915239</v>
      </c>
      <c r="G61" s="39">
        <f t="shared" si="11"/>
        <v>0.14335846623875326</v>
      </c>
      <c r="H61" s="39">
        <f t="shared" si="11"/>
        <v>0.17904405758164357</v>
      </c>
      <c r="I61" s="39">
        <f t="shared" si="11"/>
        <v>0.1978501385422603</v>
      </c>
      <c r="J61" s="39">
        <f t="shared" si="11"/>
        <v>0.16813432141639018</v>
      </c>
      <c r="K61" s="39">
        <f t="shared" si="11"/>
        <v>0.16116139466890611</v>
      </c>
      <c r="L61" s="39">
        <f t="shared" si="11"/>
        <v>0.15230436627401855</v>
      </c>
      <c r="M61" s="39">
        <f t="shared" si="11"/>
        <v>0.17433276981801771</v>
      </c>
      <c r="N61" s="40">
        <f t="shared" si="11"/>
        <v>0.22656867393709498</v>
      </c>
      <c r="O61" s="41">
        <f t="shared" ref="O61:O65" si="13">AVERAGE(C61:N61)</f>
        <v>0.1832588154943999</v>
      </c>
    </row>
    <row r="62" spans="1:15" ht="16.5" customHeight="1" x14ac:dyDescent="0.3">
      <c r="B62" s="11" t="s">
        <v>19</v>
      </c>
      <c r="C62" s="42">
        <f t="shared" si="12"/>
        <v>0.11900888337981613</v>
      </c>
      <c r="D62" s="43">
        <f t="shared" si="11"/>
        <v>0.13210028050490882</v>
      </c>
      <c r="E62" s="43">
        <f t="shared" si="11"/>
        <v>0.16377769351606089</v>
      </c>
      <c r="F62" s="43">
        <f t="shared" si="11"/>
        <v>0.12667929937079417</v>
      </c>
      <c r="G62" s="43">
        <f t="shared" si="11"/>
        <v>0.10853491044650615</v>
      </c>
      <c r="H62" s="43">
        <f t="shared" si="11"/>
        <v>0.14202080345635087</v>
      </c>
      <c r="I62" s="43">
        <f t="shared" si="11"/>
        <v>0.14758189714465383</v>
      </c>
      <c r="J62" s="43">
        <f t="shared" si="11"/>
        <v>0.14286378716939011</v>
      </c>
      <c r="K62" s="43">
        <f t="shared" si="11"/>
        <v>0.13877484370626109</v>
      </c>
      <c r="L62" s="43">
        <f t="shared" si="11"/>
        <v>0.14362030994282018</v>
      </c>
      <c r="M62" s="43">
        <f t="shared" si="11"/>
        <v>0.14761296442203983</v>
      </c>
      <c r="N62" s="44">
        <f t="shared" si="11"/>
        <v>0.18434882250671725</v>
      </c>
      <c r="O62" s="45">
        <f t="shared" si="13"/>
        <v>0.14141037463052661</v>
      </c>
    </row>
    <row r="63" spans="1:15" ht="16.5" customHeight="1" x14ac:dyDescent="0.3">
      <c r="B63" s="11" t="s">
        <v>20</v>
      </c>
      <c r="C63" s="42">
        <f t="shared" si="12"/>
        <v>2.4403470715835141E-2</v>
      </c>
      <c r="D63" s="43">
        <f t="shared" si="11"/>
        <v>4.3817934782608696E-2</v>
      </c>
      <c r="E63" s="43">
        <f t="shared" si="11"/>
        <v>0.10369156600400845</v>
      </c>
      <c r="F63" s="43">
        <f t="shared" si="11"/>
        <v>0.1011223671744042</v>
      </c>
      <c r="G63" s="43">
        <f t="shared" si="11"/>
        <v>8.1172744345096276E-2</v>
      </c>
      <c r="H63" s="43">
        <f t="shared" si="11"/>
        <v>0.12706264635939513</v>
      </c>
      <c r="I63" s="43">
        <f t="shared" si="11"/>
        <v>0.1620846188613988</v>
      </c>
      <c r="J63" s="43">
        <f t="shared" si="11"/>
        <v>0.19948218659886516</v>
      </c>
      <c r="K63" s="43">
        <f t="shared" si="11"/>
        <v>0.16646449566109919</v>
      </c>
      <c r="L63" s="43">
        <f t="shared" si="11"/>
        <v>0.12457923342694927</v>
      </c>
      <c r="M63" s="43">
        <f t="shared" si="11"/>
        <v>0.1524321678000719</v>
      </c>
      <c r="N63" s="44">
        <f t="shared" si="11"/>
        <v>0.1162280701754386</v>
      </c>
      <c r="O63" s="45">
        <f t="shared" si="13"/>
        <v>0.11687845849209756</v>
      </c>
    </row>
    <row r="64" spans="1:15" ht="16.5" customHeight="1" thickBot="1" x14ac:dyDescent="0.35">
      <c r="B64" s="11" t="s">
        <v>22</v>
      </c>
      <c r="C64" s="42">
        <f t="shared" si="12"/>
        <v>2.3241400681747753E-4</v>
      </c>
      <c r="D64" s="43">
        <f t="shared" si="11"/>
        <v>2.5859046283309957E-3</v>
      </c>
      <c r="E64" s="43">
        <f t="shared" si="11"/>
        <v>9.073181301121282E-3</v>
      </c>
      <c r="F64" s="43">
        <f t="shared" si="11"/>
        <v>3.2213395525107498E-2</v>
      </c>
      <c r="G64" s="43">
        <f t="shared" si="11"/>
        <v>2.6538105782436865E-2</v>
      </c>
      <c r="H64" s="43">
        <f t="shared" si="11"/>
        <v>5.1818033292791402E-2</v>
      </c>
      <c r="I64" s="43">
        <f t="shared" si="11"/>
        <v>9.741191266924755E-2</v>
      </c>
      <c r="J64" s="43">
        <f t="shared" si="11"/>
        <v>0.121314067780844</v>
      </c>
      <c r="K64" s="43">
        <f t="shared" si="11"/>
        <v>6.2019843861777238E-2</v>
      </c>
      <c r="L64" s="43">
        <f t="shared" si="11"/>
        <v>2.9058654759258885E-2</v>
      </c>
      <c r="M64" s="43">
        <f t="shared" si="11"/>
        <v>4.3724708744176798E-2</v>
      </c>
      <c r="N64" s="44">
        <f t="shared" si="11"/>
        <v>4.5558716611348193E-2</v>
      </c>
      <c r="O64" s="45">
        <f t="shared" si="13"/>
        <v>4.3462411580271511E-2</v>
      </c>
    </row>
    <row r="65" spans="2:15" ht="16.5" customHeight="1" thickTop="1" x14ac:dyDescent="0.3">
      <c r="B65" s="9" t="s">
        <v>13</v>
      </c>
      <c r="C65" s="46">
        <f t="shared" si="12"/>
        <v>1</v>
      </c>
      <c r="D65" s="47">
        <f t="shared" si="11"/>
        <v>1</v>
      </c>
      <c r="E65" s="47">
        <f t="shared" si="11"/>
        <v>1</v>
      </c>
      <c r="F65" s="47">
        <f t="shared" si="11"/>
        <v>1</v>
      </c>
      <c r="G65" s="47">
        <f t="shared" si="11"/>
        <v>1</v>
      </c>
      <c r="H65" s="47">
        <f t="shared" si="11"/>
        <v>1</v>
      </c>
      <c r="I65" s="47">
        <f t="shared" si="11"/>
        <v>1</v>
      </c>
      <c r="J65" s="47">
        <f t="shared" si="11"/>
        <v>1</v>
      </c>
      <c r="K65" s="47">
        <f t="shared" si="11"/>
        <v>1</v>
      </c>
      <c r="L65" s="47">
        <f t="shared" si="11"/>
        <v>1</v>
      </c>
      <c r="M65" s="47">
        <f t="shared" si="11"/>
        <v>1</v>
      </c>
      <c r="N65" s="48">
        <f t="shared" si="11"/>
        <v>1</v>
      </c>
      <c r="O65" s="49">
        <f t="shared" si="13"/>
        <v>1</v>
      </c>
    </row>
  </sheetData>
  <mergeCells count="8">
    <mergeCell ref="B58:B59"/>
    <mergeCell ref="C58:O58"/>
    <mergeCell ref="B3:B4"/>
    <mergeCell ref="C3:O3"/>
    <mergeCell ref="B25:B26"/>
    <mergeCell ref="C25:O25"/>
    <mergeCell ref="B47:B48"/>
    <mergeCell ref="C47:O47"/>
  </mergeCells>
  <phoneticPr fontId="1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7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7F299-8825-4CEA-8D60-D7850FB296E4}">
  <dimension ref="A1:O65"/>
  <sheetViews>
    <sheetView tabSelected="1" workbookViewId="0">
      <pane xSplit="2" ySplit="4" topLeftCell="C41" activePane="bottomRight" state="frozen"/>
      <selection pane="topRight" activeCell="E1" sqref="E1"/>
      <selection pane="bottomLeft" activeCell="A5" sqref="A5"/>
      <selection pane="bottomRight" activeCell="M66" sqref="M66"/>
    </sheetView>
  </sheetViews>
  <sheetFormatPr defaultRowHeight="15" x14ac:dyDescent="0.3"/>
  <cols>
    <col min="1" max="1" width="2.625" style="1" customWidth="1"/>
    <col min="2" max="2" width="8.625" style="2" customWidth="1"/>
    <col min="3" max="15" width="10.625" style="1" customWidth="1"/>
    <col min="16" max="16384" width="9" style="1"/>
  </cols>
  <sheetData>
    <row r="1" spans="1:15" ht="18.75" x14ac:dyDescent="0.3">
      <c r="A1" s="4" t="s">
        <v>32</v>
      </c>
    </row>
    <row r="2" spans="1:15" x14ac:dyDescent="0.3">
      <c r="O2" s="3" t="s">
        <v>16</v>
      </c>
    </row>
    <row r="3" spans="1:15" ht="16.5" customHeight="1" x14ac:dyDescent="0.3">
      <c r="B3" s="66" t="s">
        <v>0</v>
      </c>
      <c r="C3" s="66" t="s">
        <v>15</v>
      </c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</row>
    <row r="4" spans="1:15" ht="16.5" customHeight="1" thickBot="1" x14ac:dyDescent="0.35">
      <c r="B4" s="67"/>
      <c r="C4" s="16" t="s">
        <v>1</v>
      </c>
      <c r="D4" s="17" t="s">
        <v>2</v>
      </c>
      <c r="E4" s="17" t="s">
        <v>3</v>
      </c>
      <c r="F4" s="17" t="s">
        <v>4</v>
      </c>
      <c r="G4" s="17" t="s">
        <v>5</v>
      </c>
      <c r="H4" s="17" t="s">
        <v>6</v>
      </c>
      <c r="I4" s="17" t="s">
        <v>7</v>
      </c>
      <c r="J4" s="17" t="s">
        <v>8</v>
      </c>
      <c r="K4" s="17" t="s">
        <v>9</v>
      </c>
      <c r="L4" s="17" t="s">
        <v>10</v>
      </c>
      <c r="M4" s="17" t="s">
        <v>11</v>
      </c>
      <c r="N4" s="18" t="s">
        <v>12</v>
      </c>
      <c r="O4" s="8" t="s">
        <v>13</v>
      </c>
    </row>
    <row r="5" spans="1:15" ht="16.5" customHeight="1" thickTop="1" x14ac:dyDescent="0.3">
      <c r="B5" s="10">
        <v>0.33333333333333331</v>
      </c>
      <c r="C5" s="19">
        <v>0</v>
      </c>
      <c r="D5" s="20">
        <v>0</v>
      </c>
      <c r="E5" s="20">
        <v>0</v>
      </c>
      <c r="F5" s="20">
        <v>217</v>
      </c>
      <c r="G5" s="20">
        <v>1009</v>
      </c>
      <c r="H5" s="20">
        <v>813</v>
      </c>
      <c r="I5" s="20">
        <v>0</v>
      </c>
      <c r="J5" s="20">
        <v>1</v>
      </c>
      <c r="K5" s="20">
        <v>39</v>
      </c>
      <c r="L5" s="20">
        <v>924</v>
      </c>
      <c r="M5" s="20">
        <v>220</v>
      </c>
      <c r="N5" s="21">
        <v>1</v>
      </c>
      <c r="O5" s="7">
        <f>SUM(C5:N5)</f>
        <v>3224</v>
      </c>
    </row>
    <row r="6" spans="1:15" ht="16.5" customHeight="1" x14ac:dyDescent="0.3">
      <c r="B6" s="14">
        <v>0.375</v>
      </c>
      <c r="C6" s="22">
        <v>10716</v>
      </c>
      <c r="D6" s="23">
        <v>15290</v>
      </c>
      <c r="E6" s="23">
        <v>7252</v>
      </c>
      <c r="F6" s="23">
        <v>30327</v>
      </c>
      <c r="G6" s="23">
        <v>44010</v>
      </c>
      <c r="H6" s="23">
        <v>20734</v>
      </c>
      <c r="I6" s="23">
        <v>5603</v>
      </c>
      <c r="J6" s="23">
        <v>5693</v>
      </c>
      <c r="K6" s="23">
        <v>19721</v>
      </c>
      <c r="L6" s="23">
        <v>46306</v>
      </c>
      <c r="M6" s="23">
        <v>12389</v>
      </c>
      <c r="N6" s="24">
        <v>4540</v>
      </c>
      <c r="O6" s="15">
        <f t="shared" ref="O6:O21" si="0">SUM(C6:N6)</f>
        <v>222581</v>
      </c>
    </row>
    <row r="7" spans="1:15" ht="16.5" customHeight="1" x14ac:dyDescent="0.3">
      <c r="B7" s="11">
        <v>0.41666666666666669</v>
      </c>
      <c r="C7" s="25">
        <v>17521</v>
      </c>
      <c r="D7" s="26">
        <v>33101</v>
      </c>
      <c r="E7" s="26">
        <v>15966</v>
      </c>
      <c r="F7" s="26">
        <v>33441</v>
      </c>
      <c r="G7" s="26">
        <v>40209</v>
      </c>
      <c r="H7" s="26">
        <v>23711</v>
      </c>
      <c r="I7" s="26">
        <v>9109</v>
      </c>
      <c r="J7" s="26">
        <v>11212</v>
      </c>
      <c r="K7" s="26">
        <v>25848</v>
      </c>
      <c r="L7" s="26">
        <v>53362</v>
      </c>
      <c r="M7" s="26">
        <v>19643</v>
      </c>
      <c r="N7" s="27">
        <v>12851</v>
      </c>
      <c r="O7" s="12">
        <f t="shared" si="0"/>
        <v>295974</v>
      </c>
    </row>
    <row r="8" spans="1:15" ht="16.5" customHeight="1" x14ac:dyDescent="0.3">
      <c r="B8" s="11">
        <v>0.45833333333333298</v>
      </c>
      <c r="C8" s="25">
        <v>10830</v>
      </c>
      <c r="D8" s="26">
        <v>18829</v>
      </c>
      <c r="E8" s="26">
        <v>11539</v>
      </c>
      <c r="F8" s="26">
        <v>18428</v>
      </c>
      <c r="G8" s="26">
        <v>21945</v>
      </c>
      <c r="H8" s="26">
        <v>15294</v>
      </c>
      <c r="I8" s="26">
        <v>6472</v>
      </c>
      <c r="J8" s="26">
        <v>8326</v>
      </c>
      <c r="K8" s="26">
        <v>15822</v>
      </c>
      <c r="L8" s="26">
        <v>31084</v>
      </c>
      <c r="M8" s="26">
        <v>8767</v>
      </c>
      <c r="N8" s="27">
        <v>9670</v>
      </c>
      <c r="O8" s="12">
        <f t="shared" si="0"/>
        <v>177006</v>
      </c>
    </row>
    <row r="9" spans="1:15" ht="16.5" customHeight="1" x14ac:dyDescent="0.3">
      <c r="B9" s="11">
        <v>0.5</v>
      </c>
      <c r="C9" s="25">
        <v>8897</v>
      </c>
      <c r="D9" s="26">
        <v>12081</v>
      </c>
      <c r="E9" s="26">
        <v>9207</v>
      </c>
      <c r="F9" s="26">
        <v>12264</v>
      </c>
      <c r="G9" s="26">
        <v>12151</v>
      </c>
      <c r="H9" s="26">
        <v>10988</v>
      </c>
      <c r="I9" s="26">
        <v>4644</v>
      </c>
      <c r="J9" s="26">
        <v>6399</v>
      </c>
      <c r="K9" s="26">
        <v>12345</v>
      </c>
      <c r="L9" s="26">
        <v>22138</v>
      </c>
      <c r="M9" s="26">
        <v>7443</v>
      </c>
      <c r="N9" s="27">
        <v>8054</v>
      </c>
      <c r="O9" s="12">
        <f t="shared" si="0"/>
        <v>126611</v>
      </c>
    </row>
    <row r="10" spans="1:15" ht="16.5" customHeight="1" x14ac:dyDescent="0.3">
      <c r="B10" s="11">
        <v>0.54166666666666696</v>
      </c>
      <c r="C10" s="25">
        <v>7798</v>
      </c>
      <c r="D10" s="26">
        <v>11319</v>
      </c>
      <c r="E10" s="26">
        <v>8965</v>
      </c>
      <c r="F10" s="26">
        <v>10738</v>
      </c>
      <c r="G10" s="26">
        <v>11152</v>
      </c>
      <c r="H10" s="26">
        <v>9301</v>
      </c>
      <c r="I10" s="26">
        <v>4746</v>
      </c>
      <c r="J10" s="26">
        <v>6115</v>
      </c>
      <c r="K10" s="26">
        <v>11086</v>
      </c>
      <c r="L10" s="26">
        <v>20130</v>
      </c>
      <c r="M10" s="26">
        <v>5290</v>
      </c>
      <c r="N10" s="27">
        <v>6826</v>
      </c>
      <c r="O10" s="12">
        <f t="shared" si="0"/>
        <v>113466</v>
      </c>
    </row>
    <row r="11" spans="1:15" ht="16.5" customHeight="1" x14ac:dyDescent="0.3">
      <c r="B11" s="11">
        <v>0.58333333333333304</v>
      </c>
      <c r="C11" s="25">
        <v>5525</v>
      </c>
      <c r="D11" s="26">
        <v>9710</v>
      </c>
      <c r="E11" s="26">
        <v>8358</v>
      </c>
      <c r="F11" s="26">
        <v>9851</v>
      </c>
      <c r="G11" s="26">
        <v>11700</v>
      </c>
      <c r="H11" s="26">
        <v>9720</v>
      </c>
      <c r="I11" s="26">
        <v>5031</v>
      </c>
      <c r="J11" s="26">
        <v>7131</v>
      </c>
      <c r="K11" s="26">
        <v>9897</v>
      </c>
      <c r="L11" s="26">
        <v>19184</v>
      </c>
      <c r="M11" s="26">
        <v>4568</v>
      </c>
      <c r="N11" s="27">
        <v>6577</v>
      </c>
      <c r="O11" s="12">
        <f t="shared" si="0"/>
        <v>107252</v>
      </c>
    </row>
    <row r="12" spans="1:15" ht="16.5" customHeight="1" x14ac:dyDescent="0.3">
      <c r="B12" s="11">
        <v>0.625</v>
      </c>
      <c r="C12" s="25">
        <v>2555</v>
      </c>
      <c r="D12" s="26">
        <v>4957</v>
      </c>
      <c r="E12" s="26">
        <v>6310</v>
      </c>
      <c r="F12" s="26">
        <v>7781</v>
      </c>
      <c r="G12" s="26">
        <v>9165</v>
      </c>
      <c r="H12" s="26">
        <v>8738</v>
      </c>
      <c r="I12" s="26">
        <v>4335</v>
      </c>
      <c r="J12" s="26">
        <v>6913</v>
      </c>
      <c r="K12" s="26">
        <v>9398</v>
      </c>
      <c r="L12" s="26">
        <v>16308</v>
      </c>
      <c r="M12" s="26">
        <v>4087</v>
      </c>
      <c r="N12" s="27">
        <v>4122</v>
      </c>
      <c r="O12" s="12">
        <f t="shared" si="0"/>
        <v>84669</v>
      </c>
    </row>
    <row r="13" spans="1:15" ht="16.5" customHeight="1" x14ac:dyDescent="0.3">
      <c r="B13" s="11">
        <v>0.66666666666666696</v>
      </c>
      <c r="C13" s="25">
        <v>1572</v>
      </c>
      <c r="D13" s="26">
        <v>2906</v>
      </c>
      <c r="E13" s="26">
        <v>5575</v>
      </c>
      <c r="F13" s="26">
        <v>8393</v>
      </c>
      <c r="G13" s="26">
        <v>8566</v>
      </c>
      <c r="H13" s="26">
        <v>8259</v>
      </c>
      <c r="I13" s="26">
        <v>4657</v>
      </c>
      <c r="J13" s="26">
        <v>7407</v>
      </c>
      <c r="K13" s="26">
        <v>11464</v>
      </c>
      <c r="L13" s="26">
        <v>18314</v>
      </c>
      <c r="M13" s="26">
        <v>3820</v>
      </c>
      <c r="N13" s="27">
        <v>3895</v>
      </c>
      <c r="O13" s="12">
        <f t="shared" si="0"/>
        <v>84828</v>
      </c>
    </row>
    <row r="14" spans="1:15" ht="16.5" customHeight="1" x14ac:dyDescent="0.3">
      <c r="B14" s="11">
        <v>0.70833333333333404</v>
      </c>
      <c r="C14" s="25">
        <v>406</v>
      </c>
      <c r="D14" s="26">
        <v>848</v>
      </c>
      <c r="E14" s="26">
        <v>2505</v>
      </c>
      <c r="F14" s="26">
        <v>4543</v>
      </c>
      <c r="G14" s="26">
        <v>4237</v>
      </c>
      <c r="H14" s="26">
        <v>5221</v>
      </c>
      <c r="I14" s="26">
        <v>3864</v>
      </c>
      <c r="J14" s="26">
        <v>6912</v>
      </c>
      <c r="K14" s="26">
        <v>7784</v>
      </c>
      <c r="L14" s="26">
        <v>8381</v>
      </c>
      <c r="M14" s="26">
        <v>3029</v>
      </c>
      <c r="N14" s="27">
        <v>1025</v>
      </c>
      <c r="O14" s="12">
        <f t="shared" si="0"/>
        <v>48755</v>
      </c>
    </row>
    <row r="15" spans="1:15" ht="16.5" customHeight="1" x14ac:dyDescent="0.3">
      <c r="B15" s="11">
        <v>0.75</v>
      </c>
      <c r="C15" s="25">
        <v>125</v>
      </c>
      <c r="D15" s="26">
        <v>184</v>
      </c>
      <c r="E15" s="26">
        <v>889</v>
      </c>
      <c r="F15" s="26">
        <v>3483</v>
      </c>
      <c r="G15" s="26">
        <v>2874</v>
      </c>
      <c r="H15" s="26">
        <v>4775</v>
      </c>
      <c r="I15" s="26">
        <v>4242</v>
      </c>
      <c r="J15" s="26">
        <v>8368</v>
      </c>
      <c r="K15" s="26">
        <v>7078</v>
      </c>
      <c r="L15" s="26">
        <v>6582</v>
      </c>
      <c r="M15" s="26">
        <v>791</v>
      </c>
      <c r="N15" s="27">
        <v>1622</v>
      </c>
      <c r="O15" s="12">
        <f t="shared" si="0"/>
        <v>41013</v>
      </c>
    </row>
    <row r="16" spans="1:15" ht="16.5" customHeight="1" x14ac:dyDescent="0.3">
      <c r="B16" s="11">
        <v>0.79166666666666696</v>
      </c>
      <c r="C16" s="25">
        <v>10</v>
      </c>
      <c r="D16" s="26">
        <v>128</v>
      </c>
      <c r="E16" s="26">
        <v>495</v>
      </c>
      <c r="F16" s="26">
        <v>960</v>
      </c>
      <c r="G16" s="26">
        <v>1023</v>
      </c>
      <c r="H16" s="26">
        <v>1909</v>
      </c>
      <c r="I16" s="26">
        <v>1338</v>
      </c>
      <c r="J16" s="26">
        <v>1581</v>
      </c>
      <c r="K16" s="26">
        <v>2529</v>
      </c>
      <c r="L16" s="26">
        <v>898</v>
      </c>
      <c r="M16" s="26">
        <v>413</v>
      </c>
      <c r="N16" s="27">
        <v>21</v>
      </c>
      <c r="O16" s="12">
        <f t="shared" si="0"/>
        <v>11305</v>
      </c>
    </row>
    <row r="17" spans="1:15" ht="16.5" customHeight="1" x14ac:dyDescent="0.3">
      <c r="B17" s="11">
        <v>0.83333333333333404</v>
      </c>
      <c r="C17" s="25">
        <v>0</v>
      </c>
      <c r="D17" s="26">
        <v>0</v>
      </c>
      <c r="E17" s="26">
        <v>648</v>
      </c>
      <c r="F17" s="26">
        <v>3273</v>
      </c>
      <c r="G17" s="26">
        <v>1569</v>
      </c>
      <c r="H17" s="26">
        <v>360</v>
      </c>
      <c r="I17" s="26">
        <v>322</v>
      </c>
      <c r="J17" s="26">
        <v>849</v>
      </c>
      <c r="K17" s="26">
        <v>2245</v>
      </c>
      <c r="L17" s="26">
        <v>657</v>
      </c>
      <c r="M17" s="26">
        <v>47</v>
      </c>
      <c r="N17" s="27">
        <v>4504</v>
      </c>
      <c r="O17" s="12">
        <f t="shared" si="0"/>
        <v>14474</v>
      </c>
    </row>
    <row r="18" spans="1:15" ht="16.5" customHeight="1" x14ac:dyDescent="0.3">
      <c r="B18" s="11">
        <v>0.875</v>
      </c>
      <c r="C18" s="25">
        <v>0</v>
      </c>
      <c r="D18" s="26">
        <v>0</v>
      </c>
      <c r="E18" s="26">
        <v>3</v>
      </c>
      <c r="F18" s="26">
        <v>2442</v>
      </c>
      <c r="G18" s="26">
        <v>2234</v>
      </c>
      <c r="H18" s="26">
        <v>24068</v>
      </c>
      <c r="I18" s="26">
        <v>13823</v>
      </c>
      <c r="J18" s="26">
        <v>5581</v>
      </c>
      <c r="K18" s="26">
        <v>30258</v>
      </c>
      <c r="L18" s="26">
        <v>3919</v>
      </c>
      <c r="M18" s="26">
        <v>1304</v>
      </c>
      <c r="N18" s="27">
        <v>0</v>
      </c>
      <c r="O18" s="12">
        <f t="shared" si="0"/>
        <v>83632</v>
      </c>
    </row>
    <row r="19" spans="1:15" ht="16.5" customHeight="1" x14ac:dyDescent="0.3">
      <c r="B19" s="11">
        <v>0.91666666666666696</v>
      </c>
      <c r="C19" s="25">
        <v>0</v>
      </c>
      <c r="D19" s="26">
        <v>0</v>
      </c>
      <c r="E19" s="26">
        <v>73</v>
      </c>
      <c r="F19" s="26">
        <v>0</v>
      </c>
      <c r="G19" s="26">
        <v>0</v>
      </c>
      <c r="H19" s="26">
        <v>0</v>
      </c>
      <c r="I19" s="26">
        <v>0</v>
      </c>
      <c r="J19" s="26">
        <v>6</v>
      </c>
      <c r="K19" s="26">
        <v>3000</v>
      </c>
      <c r="L19" s="26">
        <v>0</v>
      </c>
      <c r="M19" s="26">
        <v>0</v>
      </c>
      <c r="N19" s="27">
        <v>0</v>
      </c>
      <c r="O19" s="12">
        <f t="shared" si="0"/>
        <v>3079</v>
      </c>
    </row>
    <row r="20" spans="1:15" ht="16.5" customHeight="1" thickBot="1" x14ac:dyDescent="0.35">
      <c r="B20" s="13">
        <v>0.95833333333333404</v>
      </c>
      <c r="C20" s="28">
        <v>0</v>
      </c>
      <c r="D20" s="29">
        <v>0</v>
      </c>
      <c r="E20" s="29">
        <v>0</v>
      </c>
      <c r="F20" s="29">
        <v>0</v>
      </c>
      <c r="G20" s="29">
        <v>0</v>
      </c>
      <c r="H20" s="29">
        <v>0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  <c r="N20" s="30">
        <v>0</v>
      </c>
      <c r="O20" s="5">
        <f t="shared" si="0"/>
        <v>0</v>
      </c>
    </row>
    <row r="21" spans="1:15" ht="16.5" customHeight="1" thickTop="1" x14ac:dyDescent="0.3">
      <c r="B21" s="9" t="s">
        <v>13</v>
      </c>
      <c r="C21" s="31">
        <f t="shared" ref="C21:N21" si="1">SUM(C5:C20)</f>
        <v>65955</v>
      </c>
      <c r="D21" s="32">
        <f t="shared" si="1"/>
        <v>109353</v>
      </c>
      <c r="E21" s="32">
        <f t="shared" si="1"/>
        <v>77785</v>
      </c>
      <c r="F21" s="32">
        <f t="shared" si="1"/>
        <v>146141</v>
      </c>
      <c r="G21" s="32">
        <f t="shared" si="1"/>
        <v>171844</v>
      </c>
      <c r="H21" s="32">
        <f t="shared" si="1"/>
        <v>143891</v>
      </c>
      <c r="I21" s="32">
        <f t="shared" si="1"/>
        <v>68186</v>
      </c>
      <c r="J21" s="32">
        <f t="shared" si="1"/>
        <v>82494</v>
      </c>
      <c r="K21" s="32">
        <f t="shared" si="1"/>
        <v>168514</v>
      </c>
      <c r="L21" s="32">
        <f t="shared" si="1"/>
        <v>248187</v>
      </c>
      <c r="M21" s="32">
        <f t="shared" si="1"/>
        <v>71811</v>
      </c>
      <c r="N21" s="33">
        <f t="shared" si="1"/>
        <v>63708</v>
      </c>
      <c r="O21" s="6">
        <f t="shared" si="0"/>
        <v>1417869</v>
      </c>
    </row>
    <row r="23" spans="1:15" ht="18.75" x14ac:dyDescent="0.3">
      <c r="A23" s="4" t="s">
        <v>33</v>
      </c>
    </row>
    <row r="24" spans="1:15" x14ac:dyDescent="0.3">
      <c r="O24" s="3" t="s">
        <v>16</v>
      </c>
    </row>
    <row r="25" spans="1:15" ht="16.5" customHeight="1" x14ac:dyDescent="0.3">
      <c r="B25" s="66" t="s">
        <v>0</v>
      </c>
      <c r="C25" s="66" t="s">
        <v>15</v>
      </c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</row>
    <row r="26" spans="1:15" ht="16.5" customHeight="1" thickBot="1" x14ac:dyDescent="0.35">
      <c r="B26" s="67"/>
      <c r="C26" s="16" t="s">
        <v>1</v>
      </c>
      <c r="D26" s="17" t="s">
        <v>2</v>
      </c>
      <c r="E26" s="17" t="s">
        <v>3</v>
      </c>
      <c r="F26" s="17" t="s">
        <v>4</v>
      </c>
      <c r="G26" s="17" t="s">
        <v>5</v>
      </c>
      <c r="H26" s="17" t="s">
        <v>6</v>
      </c>
      <c r="I26" s="17" t="s">
        <v>7</v>
      </c>
      <c r="J26" s="17" t="s">
        <v>8</v>
      </c>
      <c r="K26" s="17" t="s">
        <v>9</v>
      </c>
      <c r="L26" s="17" t="s">
        <v>10</v>
      </c>
      <c r="M26" s="17" t="s">
        <v>11</v>
      </c>
      <c r="N26" s="18" t="s">
        <v>12</v>
      </c>
      <c r="O26" s="8" t="s">
        <v>13</v>
      </c>
    </row>
    <row r="27" spans="1:15" ht="16.5" customHeight="1" thickTop="1" x14ac:dyDescent="0.3">
      <c r="B27" s="10">
        <v>0.33333333333333331</v>
      </c>
      <c r="C27" s="19">
        <v>0</v>
      </c>
      <c r="D27" s="20">
        <v>0</v>
      </c>
      <c r="E27" s="20">
        <v>0</v>
      </c>
      <c r="F27" s="20">
        <v>217</v>
      </c>
      <c r="G27" s="20">
        <v>1009</v>
      </c>
      <c r="H27" s="20">
        <v>813</v>
      </c>
      <c r="I27" s="20">
        <v>0</v>
      </c>
      <c r="J27" s="20">
        <v>1</v>
      </c>
      <c r="K27" s="20">
        <v>39</v>
      </c>
      <c r="L27" s="20">
        <v>924</v>
      </c>
      <c r="M27" s="20">
        <v>220</v>
      </c>
      <c r="N27" s="21">
        <v>1</v>
      </c>
      <c r="O27" s="7">
        <f>SUM(C27:N27)</f>
        <v>3224</v>
      </c>
    </row>
    <row r="28" spans="1:15" ht="16.5" customHeight="1" x14ac:dyDescent="0.3">
      <c r="B28" s="14">
        <v>0.375</v>
      </c>
      <c r="C28" s="22">
        <v>10716</v>
      </c>
      <c r="D28" s="23">
        <v>15280</v>
      </c>
      <c r="E28" s="23">
        <v>7252</v>
      </c>
      <c r="F28" s="23">
        <v>30327</v>
      </c>
      <c r="G28" s="23">
        <v>44010</v>
      </c>
      <c r="H28" s="23">
        <v>20734</v>
      </c>
      <c r="I28" s="23">
        <v>5603</v>
      </c>
      <c r="J28" s="23">
        <v>5693</v>
      </c>
      <c r="K28" s="23">
        <v>19721</v>
      </c>
      <c r="L28" s="23">
        <v>46306</v>
      </c>
      <c r="M28" s="23">
        <v>12389</v>
      </c>
      <c r="N28" s="24">
        <v>4540</v>
      </c>
      <c r="O28" s="15">
        <f t="shared" ref="O28:O43" si="2">SUM(C28:N28)</f>
        <v>222571</v>
      </c>
    </row>
    <row r="29" spans="1:15" ht="16.5" customHeight="1" x14ac:dyDescent="0.3">
      <c r="B29" s="11">
        <v>0.41666666666666669</v>
      </c>
      <c r="C29" s="25">
        <v>17521</v>
      </c>
      <c r="D29" s="26">
        <v>33101</v>
      </c>
      <c r="E29" s="26">
        <v>15966</v>
      </c>
      <c r="F29" s="26">
        <v>33441</v>
      </c>
      <c r="G29" s="26">
        <v>40209</v>
      </c>
      <c r="H29" s="26">
        <v>23711</v>
      </c>
      <c r="I29" s="26">
        <v>9109</v>
      </c>
      <c r="J29" s="26">
        <v>11179</v>
      </c>
      <c r="K29" s="26">
        <v>25848</v>
      </c>
      <c r="L29" s="26">
        <v>53362</v>
      </c>
      <c r="M29" s="26">
        <v>19643</v>
      </c>
      <c r="N29" s="27">
        <v>12851</v>
      </c>
      <c r="O29" s="12">
        <f t="shared" si="2"/>
        <v>295941</v>
      </c>
    </row>
    <row r="30" spans="1:15" ht="16.5" customHeight="1" x14ac:dyDescent="0.3">
      <c r="B30" s="11">
        <v>0.45833333333333298</v>
      </c>
      <c r="C30" s="25">
        <v>10830</v>
      </c>
      <c r="D30" s="26">
        <v>18829</v>
      </c>
      <c r="E30" s="26">
        <v>11539</v>
      </c>
      <c r="F30" s="26">
        <v>18700</v>
      </c>
      <c r="G30" s="26">
        <v>21868</v>
      </c>
      <c r="H30" s="26">
        <v>15294</v>
      </c>
      <c r="I30" s="26">
        <v>6472</v>
      </c>
      <c r="J30" s="26">
        <v>8326</v>
      </c>
      <c r="K30" s="26">
        <v>15822</v>
      </c>
      <c r="L30" s="26">
        <v>31084</v>
      </c>
      <c r="M30" s="26">
        <v>8767</v>
      </c>
      <c r="N30" s="27">
        <v>9670</v>
      </c>
      <c r="O30" s="12">
        <f t="shared" si="2"/>
        <v>177201</v>
      </c>
    </row>
    <row r="31" spans="1:15" ht="16.5" customHeight="1" x14ac:dyDescent="0.3">
      <c r="B31" s="11">
        <v>0.5</v>
      </c>
      <c r="C31" s="25">
        <v>8897</v>
      </c>
      <c r="D31" s="26">
        <v>12081</v>
      </c>
      <c r="E31" s="26">
        <v>9207</v>
      </c>
      <c r="F31" s="26">
        <v>12264</v>
      </c>
      <c r="G31" s="26">
        <v>12151</v>
      </c>
      <c r="H31" s="26">
        <v>10988</v>
      </c>
      <c r="I31" s="26">
        <v>4644</v>
      </c>
      <c r="J31" s="26">
        <v>6399</v>
      </c>
      <c r="K31" s="26">
        <v>12345</v>
      </c>
      <c r="L31" s="26">
        <v>22138</v>
      </c>
      <c r="M31" s="26">
        <v>7443</v>
      </c>
      <c r="N31" s="27">
        <v>8054</v>
      </c>
      <c r="O31" s="12">
        <f t="shared" si="2"/>
        <v>126611</v>
      </c>
    </row>
    <row r="32" spans="1:15" ht="16.5" customHeight="1" x14ac:dyDescent="0.3">
      <c r="B32" s="11">
        <v>0.54166666666666696</v>
      </c>
      <c r="C32" s="25">
        <v>7798</v>
      </c>
      <c r="D32" s="26">
        <v>11319</v>
      </c>
      <c r="E32" s="26">
        <v>8965</v>
      </c>
      <c r="F32" s="26">
        <v>10738</v>
      </c>
      <c r="G32" s="26">
        <v>11152</v>
      </c>
      <c r="H32" s="26">
        <v>9301</v>
      </c>
      <c r="I32" s="26">
        <v>4746</v>
      </c>
      <c r="J32" s="26">
        <v>6115</v>
      </c>
      <c r="K32" s="26">
        <v>11086</v>
      </c>
      <c r="L32" s="26">
        <v>20130</v>
      </c>
      <c r="M32" s="26">
        <v>5290</v>
      </c>
      <c r="N32" s="27">
        <v>6794</v>
      </c>
      <c r="O32" s="12">
        <f t="shared" si="2"/>
        <v>113434</v>
      </c>
    </row>
    <row r="33" spans="1:15" ht="16.5" customHeight="1" x14ac:dyDescent="0.3">
      <c r="B33" s="11">
        <v>0.58333333333333304</v>
      </c>
      <c r="C33" s="25">
        <v>5425</v>
      </c>
      <c r="D33" s="26">
        <v>9710</v>
      </c>
      <c r="E33" s="26">
        <v>8358</v>
      </c>
      <c r="F33" s="26">
        <v>9851</v>
      </c>
      <c r="G33" s="26">
        <v>11700</v>
      </c>
      <c r="H33" s="26">
        <v>9720</v>
      </c>
      <c r="I33" s="26">
        <v>5031</v>
      </c>
      <c r="J33" s="26">
        <v>7131</v>
      </c>
      <c r="K33" s="26">
        <v>9897</v>
      </c>
      <c r="L33" s="26">
        <v>19184</v>
      </c>
      <c r="M33" s="26">
        <v>4568</v>
      </c>
      <c r="N33" s="27">
        <v>6547</v>
      </c>
      <c r="O33" s="12">
        <f t="shared" si="2"/>
        <v>107122</v>
      </c>
    </row>
    <row r="34" spans="1:15" ht="16.5" customHeight="1" x14ac:dyDescent="0.3">
      <c r="B34" s="11">
        <v>0.625</v>
      </c>
      <c r="C34" s="25">
        <v>2555</v>
      </c>
      <c r="D34" s="26">
        <v>4957</v>
      </c>
      <c r="E34" s="26">
        <v>6309</v>
      </c>
      <c r="F34" s="26">
        <v>7781</v>
      </c>
      <c r="G34" s="26">
        <v>9165</v>
      </c>
      <c r="H34" s="26">
        <v>8738</v>
      </c>
      <c r="I34" s="26">
        <v>4335</v>
      </c>
      <c r="J34" s="26">
        <v>6913</v>
      </c>
      <c r="K34" s="26">
        <v>9398</v>
      </c>
      <c r="L34" s="26">
        <v>16308</v>
      </c>
      <c r="M34" s="26">
        <v>4087</v>
      </c>
      <c r="N34" s="27">
        <v>4122</v>
      </c>
      <c r="O34" s="12">
        <f t="shared" si="2"/>
        <v>84668</v>
      </c>
    </row>
    <row r="35" spans="1:15" ht="16.5" customHeight="1" x14ac:dyDescent="0.3">
      <c r="B35" s="11">
        <v>0.66666666666666696</v>
      </c>
      <c r="C35" s="25">
        <v>1572</v>
      </c>
      <c r="D35" s="26">
        <v>2906</v>
      </c>
      <c r="E35" s="26">
        <v>5576</v>
      </c>
      <c r="F35" s="26">
        <v>8393</v>
      </c>
      <c r="G35" s="26">
        <v>8566</v>
      </c>
      <c r="H35" s="26">
        <v>8259</v>
      </c>
      <c r="I35" s="26">
        <v>4526</v>
      </c>
      <c r="J35" s="26">
        <v>7397</v>
      </c>
      <c r="K35" s="26">
        <v>11464</v>
      </c>
      <c r="L35" s="26">
        <v>18314</v>
      </c>
      <c r="M35" s="26">
        <v>3820</v>
      </c>
      <c r="N35" s="27">
        <v>2947</v>
      </c>
      <c r="O35" s="12">
        <f t="shared" si="2"/>
        <v>83740</v>
      </c>
    </row>
    <row r="36" spans="1:15" ht="16.5" customHeight="1" x14ac:dyDescent="0.3">
      <c r="B36" s="11">
        <v>0.70833333333333404</v>
      </c>
      <c r="C36" s="25">
        <v>406</v>
      </c>
      <c r="D36" s="26">
        <v>838</v>
      </c>
      <c r="E36" s="26">
        <v>2505</v>
      </c>
      <c r="F36" s="26">
        <v>4543</v>
      </c>
      <c r="G36" s="26">
        <v>4237</v>
      </c>
      <c r="H36" s="26">
        <v>5199</v>
      </c>
      <c r="I36" s="26">
        <v>3733</v>
      </c>
      <c r="J36" s="26">
        <v>6912</v>
      </c>
      <c r="K36" s="26">
        <v>7657</v>
      </c>
      <c r="L36" s="26">
        <v>8381</v>
      </c>
      <c r="M36" s="26">
        <v>1529</v>
      </c>
      <c r="N36" s="27">
        <v>866</v>
      </c>
      <c r="O36" s="12">
        <f t="shared" si="2"/>
        <v>46806</v>
      </c>
    </row>
    <row r="37" spans="1:15" ht="16.5" customHeight="1" x14ac:dyDescent="0.3">
      <c r="B37" s="11">
        <v>0.75</v>
      </c>
      <c r="C37" s="25">
        <v>77</v>
      </c>
      <c r="D37" s="26">
        <v>184</v>
      </c>
      <c r="E37" s="26">
        <v>889</v>
      </c>
      <c r="F37" s="26">
        <v>2689</v>
      </c>
      <c r="G37" s="26">
        <v>2874</v>
      </c>
      <c r="H37" s="26">
        <v>4775</v>
      </c>
      <c r="I37" s="26">
        <v>4242</v>
      </c>
      <c r="J37" s="26">
        <v>8358</v>
      </c>
      <c r="K37" s="26">
        <v>6074</v>
      </c>
      <c r="L37" s="26">
        <v>6582</v>
      </c>
      <c r="M37" s="26">
        <v>637</v>
      </c>
      <c r="N37" s="27">
        <v>289</v>
      </c>
      <c r="O37" s="12">
        <f t="shared" si="2"/>
        <v>37670</v>
      </c>
    </row>
    <row r="38" spans="1:15" ht="16.5" customHeight="1" x14ac:dyDescent="0.3">
      <c r="B38" s="11">
        <v>0.79166666666666696</v>
      </c>
      <c r="C38" s="25">
        <v>10</v>
      </c>
      <c r="D38" s="26">
        <v>11</v>
      </c>
      <c r="E38" s="26">
        <v>348</v>
      </c>
      <c r="F38" s="26">
        <v>469</v>
      </c>
      <c r="G38" s="26">
        <v>555</v>
      </c>
      <c r="H38" s="26">
        <v>900</v>
      </c>
      <c r="I38" s="26">
        <v>1040</v>
      </c>
      <c r="J38" s="26">
        <v>1551</v>
      </c>
      <c r="K38" s="26">
        <v>1118</v>
      </c>
      <c r="L38" s="26">
        <v>775</v>
      </c>
      <c r="M38" s="26">
        <v>85</v>
      </c>
      <c r="N38" s="27">
        <v>21</v>
      </c>
      <c r="O38" s="12">
        <f t="shared" si="2"/>
        <v>6883</v>
      </c>
    </row>
    <row r="39" spans="1:15" ht="16.5" customHeight="1" x14ac:dyDescent="0.3">
      <c r="B39" s="11">
        <v>0.83333333333333404</v>
      </c>
      <c r="C39" s="25">
        <v>0</v>
      </c>
      <c r="D39" s="26">
        <v>0</v>
      </c>
      <c r="E39" s="26">
        <v>616</v>
      </c>
      <c r="F39" s="26">
        <v>69</v>
      </c>
      <c r="G39" s="26">
        <v>79</v>
      </c>
      <c r="H39" s="26">
        <v>151</v>
      </c>
      <c r="I39" s="26">
        <v>149</v>
      </c>
      <c r="J39" s="26">
        <v>219</v>
      </c>
      <c r="K39" s="26">
        <v>122</v>
      </c>
      <c r="L39" s="26">
        <v>73</v>
      </c>
      <c r="M39" s="26">
        <v>16</v>
      </c>
      <c r="N39" s="27">
        <v>4</v>
      </c>
      <c r="O39" s="12">
        <f t="shared" si="2"/>
        <v>1498</v>
      </c>
    </row>
    <row r="40" spans="1:15" ht="16.5" customHeight="1" x14ac:dyDescent="0.3">
      <c r="B40" s="11">
        <v>0.875</v>
      </c>
      <c r="C40" s="25">
        <v>0</v>
      </c>
      <c r="D40" s="26">
        <v>0</v>
      </c>
      <c r="E40" s="26">
        <v>3</v>
      </c>
      <c r="F40" s="26">
        <v>3</v>
      </c>
      <c r="G40" s="26">
        <v>0</v>
      </c>
      <c r="H40" s="26">
        <v>6</v>
      </c>
      <c r="I40" s="26">
        <v>11</v>
      </c>
      <c r="J40" s="26">
        <v>3</v>
      </c>
      <c r="K40" s="26">
        <v>7</v>
      </c>
      <c r="L40" s="26">
        <v>1</v>
      </c>
      <c r="M40" s="26">
        <v>6</v>
      </c>
      <c r="N40" s="27">
        <v>0</v>
      </c>
      <c r="O40" s="12">
        <f t="shared" si="2"/>
        <v>40</v>
      </c>
    </row>
    <row r="41" spans="1:15" ht="16.5" customHeight="1" x14ac:dyDescent="0.3">
      <c r="B41" s="11">
        <v>0.91666666666666696</v>
      </c>
      <c r="C41" s="25">
        <v>0</v>
      </c>
      <c r="D41" s="26">
        <v>0</v>
      </c>
      <c r="E41" s="26">
        <v>73</v>
      </c>
      <c r="F41" s="26">
        <v>0</v>
      </c>
      <c r="G41" s="26">
        <v>0</v>
      </c>
      <c r="H41" s="26">
        <v>0</v>
      </c>
      <c r="I41" s="26">
        <v>0</v>
      </c>
      <c r="J41" s="26">
        <v>6</v>
      </c>
      <c r="K41" s="26">
        <v>0</v>
      </c>
      <c r="L41" s="26">
        <v>0</v>
      </c>
      <c r="M41" s="26">
        <v>0</v>
      </c>
      <c r="N41" s="27">
        <v>0</v>
      </c>
      <c r="O41" s="12">
        <f t="shared" si="2"/>
        <v>79</v>
      </c>
    </row>
    <row r="42" spans="1:15" ht="16.5" customHeight="1" thickBot="1" x14ac:dyDescent="0.35">
      <c r="B42" s="13">
        <v>0.95833333333333404</v>
      </c>
      <c r="C42" s="28">
        <v>0</v>
      </c>
      <c r="D42" s="29">
        <v>0</v>
      </c>
      <c r="E42" s="29">
        <v>0</v>
      </c>
      <c r="F42" s="29">
        <v>0</v>
      </c>
      <c r="G42" s="29">
        <v>0</v>
      </c>
      <c r="H42" s="29">
        <v>0</v>
      </c>
      <c r="I42" s="29">
        <v>0</v>
      </c>
      <c r="J42" s="29">
        <v>0</v>
      </c>
      <c r="K42" s="29">
        <v>0</v>
      </c>
      <c r="L42" s="29">
        <v>0</v>
      </c>
      <c r="M42" s="29">
        <v>0</v>
      </c>
      <c r="N42" s="30">
        <v>0</v>
      </c>
      <c r="O42" s="5">
        <f t="shared" si="2"/>
        <v>0</v>
      </c>
    </row>
    <row r="43" spans="1:15" ht="16.5" customHeight="1" thickTop="1" x14ac:dyDescent="0.3">
      <c r="B43" s="9" t="s">
        <v>13</v>
      </c>
      <c r="C43" s="31">
        <f t="shared" ref="C43:N43" si="3">SUM(C27:C42)</f>
        <v>65807</v>
      </c>
      <c r="D43" s="32">
        <f t="shared" si="3"/>
        <v>109216</v>
      </c>
      <c r="E43" s="32">
        <f t="shared" si="3"/>
        <v>77606</v>
      </c>
      <c r="F43" s="32">
        <f t="shared" si="3"/>
        <v>139485</v>
      </c>
      <c r="G43" s="32">
        <f t="shared" si="3"/>
        <v>167575</v>
      </c>
      <c r="H43" s="32">
        <f t="shared" si="3"/>
        <v>118589</v>
      </c>
      <c r="I43" s="32">
        <f t="shared" si="3"/>
        <v>53641</v>
      </c>
      <c r="J43" s="32">
        <f t="shared" si="3"/>
        <v>76203</v>
      </c>
      <c r="K43" s="32">
        <f t="shared" si="3"/>
        <v>130598</v>
      </c>
      <c r="L43" s="32">
        <f t="shared" si="3"/>
        <v>243562</v>
      </c>
      <c r="M43" s="32">
        <f t="shared" si="3"/>
        <v>68500</v>
      </c>
      <c r="N43" s="33">
        <f t="shared" si="3"/>
        <v>56706</v>
      </c>
      <c r="O43" s="6">
        <f t="shared" si="2"/>
        <v>1307488</v>
      </c>
    </row>
    <row r="45" spans="1:15" ht="18.75" x14ac:dyDescent="0.3">
      <c r="A45" s="4" t="s">
        <v>33</v>
      </c>
    </row>
    <row r="46" spans="1:15" x14ac:dyDescent="0.3">
      <c r="O46" s="3" t="s">
        <v>23</v>
      </c>
    </row>
    <row r="47" spans="1:15" ht="16.5" customHeight="1" x14ac:dyDescent="0.3">
      <c r="B47" s="66" t="s">
        <v>0</v>
      </c>
      <c r="C47" s="66" t="s">
        <v>17</v>
      </c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</row>
    <row r="48" spans="1:15" ht="16.5" customHeight="1" thickBot="1" x14ac:dyDescent="0.35">
      <c r="B48" s="67"/>
      <c r="C48" s="16" t="s">
        <v>1</v>
      </c>
      <c r="D48" s="17" t="s">
        <v>2</v>
      </c>
      <c r="E48" s="17" t="s">
        <v>3</v>
      </c>
      <c r="F48" s="17" t="s">
        <v>4</v>
      </c>
      <c r="G48" s="17" t="s">
        <v>5</v>
      </c>
      <c r="H48" s="17" t="s">
        <v>6</v>
      </c>
      <c r="I48" s="17" t="s">
        <v>7</v>
      </c>
      <c r="J48" s="17" t="s">
        <v>8</v>
      </c>
      <c r="K48" s="17" t="s">
        <v>9</v>
      </c>
      <c r="L48" s="17" t="s">
        <v>10</v>
      </c>
      <c r="M48" s="17" t="s">
        <v>11</v>
      </c>
      <c r="N48" s="18" t="s">
        <v>12</v>
      </c>
      <c r="O48" s="8" t="s">
        <v>13</v>
      </c>
    </row>
    <row r="49" spans="1:15" ht="16.5" customHeight="1" thickTop="1" x14ac:dyDescent="0.3">
      <c r="B49" s="10" t="s">
        <v>21</v>
      </c>
      <c r="C49" s="50">
        <f>SUM(C27:C30)</f>
        <v>39067</v>
      </c>
      <c r="D49" s="51">
        <f t="shared" ref="D49:N49" si="4">SUM(D27:D30)</f>
        <v>67210</v>
      </c>
      <c r="E49" s="51">
        <f t="shared" si="4"/>
        <v>34757</v>
      </c>
      <c r="F49" s="51">
        <f t="shared" si="4"/>
        <v>82685</v>
      </c>
      <c r="G49" s="51">
        <f t="shared" si="4"/>
        <v>107096</v>
      </c>
      <c r="H49" s="51">
        <f t="shared" si="4"/>
        <v>60552</v>
      </c>
      <c r="I49" s="51">
        <f t="shared" si="4"/>
        <v>21184</v>
      </c>
      <c r="J49" s="51">
        <f t="shared" si="4"/>
        <v>25199</v>
      </c>
      <c r="K49" s="51">
        <f t="shared" si="4"/>
        <v>61430</v>
      </c>
      <c r="L49" s="51">
        <f t="shared" si="4"/>
        <v>131676</v>
      </c>
      <c r="M49" s="51">
        <f t="shared" si="4"/>
        <v>41019</v>
      </c>
      <c r="N49" s="52">
        <f t="shared" si="4"/>
        <v>27062</v>
      </c>
      <c r="O49" s="53">
        <f>SUM(C49:N49)</f>
        <v>698937</v>
      </c>
    </row>
    <row r="50" spans="1:15" ht="16.5" customHeight="1" x14ac:dyDescent="0.3">
      <c r="B50" s="14" t="s">
        <v>18</v>
      </c>
      <c r="C50" s="54">
        <f>SUM(C31:C32)</f>
        <v>16695</v>
      </c>
      <c r="D50" s="55">
        <f t="shared" ref="D50:N50" si="5">SUM(D31:D32)</f>
        <v>23400</v>
      </c>
      <c r="E50" s="55">
        <f t="shared" si="5"/>
        <v>18172</v>
      </c>
      <c r="F50" s="55">
        <f t="shared" si="5"/>
        <v>23002</v>
      </c>
      <c r="G50" s="55">
        <f t="shared" si="5"/>
        <v>23303</v>
      </c>
      <c r="H50" s="55">
        <f t="shared" si="5"/>
        <v>20289</v>
      </c>
      <c r="I50" s="55">
        <f t="shared" si="5"/>
        <v>9390</v>
      </c>
      <c r="J50" s="55">
        <f t="shared" si="5"/>
        <v>12514</v>
      </c>
      <c r="K50" s="55">
        <f t="shared" si="5"/>
        <v>23431</v>
      </c>
      <c r="L50" s="55">
        <f t="shared" si="5"/>
        <v>42268</v>
      </c>
      <c r="M50" s="55">
        <f t="shared" si="5"/>
        <v>12733</v>
      </c>
      <c r="N50" s="56">
        <f t="shared" si="5"/>
        <v>14848</v>
      </c>
      <c r="O50" s="57">
        <f t="shared" ref="O50:O53" si="6">SUM(C50:N50)</f>
        <v>240045</v>
      </c>
    </row>
    <row r="51" spans="1:15" ht="16.5" customHeight="1" x14ac:dyDescent="0.3">
      <c r="B51" s="11" t="s">
        <v>19</v>
      </c>
      <c r="C51" s="58">
        <f>SUM(C33:C34)</f>
        <v>7980</v>
      </c>
      <c r="D51" s="59">
        <f t="shared" ref="D51:N51" si="7">SUM(D33:D34)</f>
        <v>14667</v>
      </c>
      <c r="E51" s="59">
        <f t="shared" si="7"/>
        <v>14667</v>
      </c>
      <c r="F51" s="59">
        <f t="shared" si="7"/>
        <v>17632</v>
      </c>
      <c r="G51" s="59">
        <f t="shared" si="7"/>
        <v>20865</v>
      </c>
      <c r="H51" s="59">
        <f t="shared" si="7"/>
        <v>18458</v>
      </c>
      <c r="I51" s="59">
        <f t="shared" si="7"/>
        <v>9366</v>
      </c>
      <c r="J51" s="59">
        <f t="shared" si="7"/>
        <v>14044</v>
      </c>
      <c r="K51" s="59">
        <f t="shared" si="7"/>
        <v>19295</v>
      </c>
      <c r="L51" s="59">
        <f t="shared" si="7"/>
        <v>35492</v>
      </c>
      <c r="M51" s="59">
        <f t="shared" si="7"/>
        <v>8655</v>
      </c>
      <c r="N51" s="60">
        <f t="shared" si="7"/>
        <v>10669</v>
      </c>
      <c r="O51" s="61">
        <f t="shared" si="6"/>
        <v>191790</v>
      </c>
    </row>
    <row r="52" spans="1:15" ht="16.5" customHeight="1" x14ac:dyDescent="0.3">
      <c r="B52" s="11" t="s">
        <v>20</v>
      </c>
      <c r="C52" s="58">
        <f>SUM(C35:C36)</f>
        <v>1978</v>
      </c>
      <c r="D52" s="59">
        <f t="shared" ref="D52:N52" si="8">SUM(D35:D36)</f>
        <v>3744</v>
      </c>
      <c r="E52" s="59">
        <f t="shared" si="8"/>
        <v>8081</v>
      </c>
      <c r="F52" s="59">
        <f t="shared" si="8"/>
        <v>12936</v>
      </c>
      <c r="G52" s="59">
        <f t="shared" si="8"/>
        <v>12803</v>
      </c>
      <c r="H52" s="59">
        <f t="shared" si="8"/>
        <v>13458</v>
      </c>
      <c r="I52" s="59">
        <f t="shared" si="8"/>
        <v>8259</v>
      </c>
      <c r="J52" s="59">
        <f t="shared" si="8"/>
        <v>14309</v>
      </c>
      <c r="K52" s="59">
        <f t="shared" si="8"/>
        <v>19121</v>
      </c>
      <c r="L52" s="59">
        <f t="shared" si="8"/>
        <v>26695</v>
      </c>
      <c r="M52" s="59">
        <f t="shared" si="8"/>
        <v>5349</v>
      </c>
      <c r="N52" s="60">
        <f t="shared" si="8"/>
        <v>3813</v>
      </c>
      <c r="O52" s="61">
        <f t="shared" si="6"/>
        <v>130546</v>
      </c>
    </row>
    <row r="53" spans="1:15" ht="16.5" customHeight="1" thickBot="1" x14ac:dyDescent="0.35">
      <c r="B53" s="11" t="s">
        <v>22</v>
      </c>
      <c r="C53" s="58">
        <f>SUM(C37:C42)</f>
        <v>87</v>
      </c>
      <c r="D53" s="59">
        <f t="shared" ref="D53:N53" si="9">SUM(D37:D42)</f>
        <v>195</v>
      </c>
      <c r="E53" s="59">
        <f t="shared" si="9"/>
        <v>1929</v>
      </c>
      <c r="F53" s="59">
        <f t="shared" si="9"/>
        <v>3230</v>
      </c>
      <c r="G53" s="59">
        <f t="shared" si="9"/>
        <v>3508</v>
      </c>
      <c r="H53" s="59">
        <f t="shared" si="9"/>
        <v>5832</v>
      </c>
      <c r="I53" s="59">
        <f t="shared" si="9"/>
        <v>5442</v>
      </c>
      <c r="J53" s="59">
        <f t="shared" si="9"/>
        <v>10137</v>
      </c>
      <c r="K53" s="59">
        <f t="shared" si="9"/>
        <v>7321</v>
      </c>
      <c r="L53" s="59">
        <f t="shared" si="9"/>
        <v>7431</v>
      </c>
      <c r="M53" s="59">
        <f t="shared" si="9"/>
        <v>744</v>
      </c>
      <c r="N53" s="60">
        <f t="shared" si="9"/>
        <v>314</v>
      </c>
      <c r="O53" s="61">
        <f t="shared" si="6"/>
        <v>46170</v>
      </c>
    </row>
    <row r="54" spans="1:15" ht="16.5" customHeight="1" thickTop="1" x14ac:dyDescent="0.3">
      <c r="B54" s="9" t="s">
        <v>13</v>
      </c>
      <c r="C54" s="62">
        <f>SUM(C49:C53)</f>
        <v>65807</v>
      </c>
      <c r="D54" s="63">
        <f t="shared" ref="D54:O54" si="10">SUM(D49:D53)</f>
        <v>109216</v>
      </c>
      <c r="E54" s="63">
        <f t="shared" si="10"/>
        <v>77606</v>
      </c>
      <c r="F54" s="63">
        <f t="shared" si="10"/>
        <v>139485</v>
      </c>
      <c r="G54" s="63">
        <f t="shared" si="10"/>
        <v>167575</v>
      </c>
      <c r="H54" s="63">
        <f t="shared" si="10"/>
        <v>118589</v>
      </c>
      <c r="I54" s="63">
        <f t="shared" si="10"/>
        <v>53641</v>
      </c>
      <c r="J54" s="63">
        <f t="shared" si="10"/>
        <v>76203</v>
      </c>
      <c r="K54" s="63">
        <f t="shared" si="10"/>
        <v>130598</v>
      </c>
      <c r="L54" s="63">
        <f t="shared" si="10"/>
        <v>243562</v>
      </c>
      <c r="M54" s="63">
        <f t="shared" si="10"/>
        <v>68500</v>
      </c>
      <c r="N54" s="64">
        <f t="shared" si="10"/>
        <v>56706</v>
      </c>
      <c r="O54" s="65">
        <f t="shared" si="10"/>
        <v>1307488</v>
      </c>
    </row>
    <row r="56" spans="1:15" ht="18.75" x14ac:dyDescent="0.3">
      <c r="A56" s="4" t="s">
        <v>34</v>
      </c>
    </row>
    <row r="57" spans="1:15" x14ac:dyDescent="0.3">
      <c r="O57" s="3" t="s">
        <v>23</v>
      </c>
    </row>
    <row r="58" spans="1:15" ht="16.5" customHeight="1" x14ac:dyDescent="0.3">
      <c r="B58" s="66" t="s">
        <v>0</v>
      </c>
      <c r="C58" s="66" t="s">
        <v>17</v>
      </c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</row>
    <row r="59" spans="1:15" ht="16.5" customHeight="1" thickBot="1" x14ac:dyDescent="0.35">
      <c r="B59" s="67"/>
      <c r="C59" s="16" t="s">
        <v>1</v>
      </c>
      <c r="D59" s="17" t="s">
        <v>2</v>
      </c>
      <c r="E59" s="17" t="s">
        <v>3</v>
      </c>
      <c r="F59" s="17" t="s">
        <v>4</v>
      </c>
      <c r="G59" s="17" t="s">
        <v>5</v>
      </c>
      <c r="H59" s="17" t="s">
        <v>6</v>
      </c>
      <c r="I59" s="17" t="s">
        <v>7</v>
      </c>
      <c r="J59" s="17" t="s">
        <v>8</v>
      </c>
      <c r="K59" s="17" t="s">
        <v>9</v>
      </c>
      <c r="L59" s="17" t="s">
        <v>10</v>
      </c>
      <c r="M59" s="17" t="s">
        <v>11</v>
      </c>
      <c r="N59" s="18" t="s">
        <v>12</v>
      </c>
      <c r="O59" s="8" t="s">
        <v>25</v>
      </c>
    </row>
    <row r="60" spans="1:15" ht="16.5" customHeight="1" thickTop="1" x14ac:dyDescent="0.3">
      <c r="B60" s="10" t="s">
        <v>21</v>
      </c>
      <c r="C60" s="34">
        <f>C49/C$54</f>
        <v>0.59366024890969049</v>
      </c>
      <c r="D60" s="35">
        <f t="shared" ref="D60:N65" si="11">D49/D$54</f>
        <v>0.6153860240257838</v>
      </c>
      <c r="E60" s="35">
        <f t="shared" si="11"/>
        <v>0.44786485581011776</v>
      </c>
      <c r="F60" s="35">
        <f t="shared" si="11"/>
        <v>0.59278775495573</v>
      </c>
      <c r="G60" s="35">
        <f t="shared" si="11"/>
        <v>0.63909294345815304</v>
      </c>
      <c r="H60" s="35">
        <f t="shared" si="11"/>
        <v>0.51060385027279087</v>
      </c>
      <c r="I60" s="35">
        <f t="shared" si="11"/>
        <v>0.39492179489569545</v>
      </c>
      <c r="J60" s="35">
        <f t="shared" si="11"/>
        <v>0.33068251906092938</v>
      </c>
      <c r="K60" s="35">
        <f t="shared" si="11"/>
        <v>0.47037473774483529</v>
      </c>
      <c r="L60" s="35">
        <f t="shared" si="11"/>
        <v>0.54062620605841638</v>
      </c>
      <c r="M60" s="35">
        <f t="shared" si="11"/>
        <v>0.5988175182481752</v>
      </c>
      <c r="N60" s="36">
        <f t="shared" si="11"/>
        <v>0.47723344972313336</v>
      </c>
      <c r="O60" s="37">
        <f>AVERAGE(C60:N60)</f>
        <v>0.51767099193028765</v>
      </c>
    </row>
    <row r="61" spans="1:15" ht="16.5" customHeight="1" x14ac:dyDescent="0.3">
      <c r="B61" s="14" t="s">
        <v>18</v>
      </c>
      <c r="C61" s="38">
        <f t="shared" ref="C61:C65" si="12">C50/C$54</f>
        <v>0.25369641527497072</v>
      </c>
      <c r="D61" s="39">
        <f t="shared" si="11"/>
        <v>0.21425432171110459</v>
      </c>
      <c r="E61" s="39">
        <f t="shared" si="11"/>
        <v>0.2341571527974641</v>
      </c>
      <c r="F61" s="39">
        <f t="shared" si="11"/>
        <v>0.1649066207835968</v>
      </c>
      <c r="G61" s="39">
        <f t="shared" si="11"/>
        <v>0.1390601223332836</v>
      </c>
      <c r="H61" s="39">
        <f t="shared" si="11"/>
        <v>0.17108669438143503</v>
      </c>
      <c r="I61" s="39">
        <f t="shared" si="11"/>
        <v>0.17505266493913238</v>
      </c>
      <c r="J61" s="39">
        <f t="shared" si="11"/>
        <v>0.16421925645971944</v>
      </c>
      <c r="K61" s="39">
        <f t="shared" si="11"/>
        <v>0.17941316099787133</v>
      </c>
      <c r="L61" s="39">
        <f t="shared" si="11"/>
        <v>0.17354102856767475</v>
      </c>
      <c r="M61" s="39">
        <f t="shared" si="11"/>
        <v>0.18588321167883212</v>
      </c>
      <c r="N61" s="40">
        <f t="shared" si="11"/>
        <v>0.26184178041124395</v>
      </c>
      <c r="O61" s="41">
        <f t="shared" ref="O61:O65" si="13">AVERAGE(C61:N61)</f>
        <v>0.19309270252802743</v>
      </c>
    </row>
    <row r="62" spans="1:15" ht="16.5" customHeight="1" x14ac:dyDescent="0.3">
      <c r="B62" s="11" t="s">
        <v>19</v>
      </c>
      <c r="C62" s="42">
        <f t="shared" si="12"/>
        <v>0.12126369535155834</v>
      </c>
      <c r="D62" s="43">
        <f t="shared" si="11"/>
        <v>0.13429351010840904</v>
      </c>
      <c r="E62" s="43">
        <f t="shared" si="11"/>
        <v>0.18899311908873026</v>
      </c>
      <c r="F62" s="43">
        <f t="shared" si="11"/>
        <v>0.12640785747571423</v>
      </c>
      <c r="G62" s="43">
        <f t="shared" si="11"/>
        <v>0.1245114128002387</v>
      </c>
      <c r="H62" s="43">
        <f t="shared" si="11"/>
        <v>0.15564681378542697</v>
      </c>
      <c r="I62" s="43">
        <f t="shared" si="11"/>
        <v>0.17460524598721128</v>
      </c>
      <c r="J62" s="43">
        <f t="shared" si="11"/>
        <v>0.18429720614673964</v>
      </c>
      <c r="K62" s="43">
        <f t="shared" si="11"/>
        <v>0.14774345702078132</v>
      </c>
      <c r="L62" s="43">
        <f t="shared" si="11"/>
        <v>0.14572059680902605</v>
      </c>
      <c r="M62" s="43">
        <f t="shared" si="11"/>
        <v>0.12635036496350366</v>
      </c>
      <c r="N62" s="44">
        <f t="shared" si="11"/>
        <v>0.18814587521602652</v>
      </c>
      <c r="O62" s="45">
        <f t="shared" si="13"/>
        <v>0.15149826289611384</v>
      </c>
    </row>
    <row r="63" spans="1:15" ht="16.5" customHeight="1" x14ac:dyDescent="0.3">
      <c r="B63" s="11" t="s">
        <v>20</v>
      </c>
      <c r="C63" s="42">
        <f t="shared" si="12"/>
        <v>3.0057592657316091E-2</v>
      </c>
      <c r="D63" s="43">
        <f t="shared" si="11"/>
        <v>3.4280691473776735E-2</v>
      </c>
      <c r="E63" s="43">
        <f t="shared" si="11"/>
        <v>0.10412854676184831</v>
      </c>
      <c r="F63" s="43">
        <f t="shared" si="11"/>
        <v>9.2741154962899239E-2</v>
      </c>
      <c r="G63" s="43">
        <f t="shared" si="11"/>
        <v>7.6401611218857232E-2</v>
      </c>
      <c r="H63" s="43">
        <f t="shared" si="11"/>
        <v>0.11348438725345521</v>
      </c>
      <c r="I63" s="43">
        <f t="shared" si="11"/>
        <v>0.1539680468298503</v>
      </c>
      <c r="J63" s="43">
        <f t="shared" si="11"/>
        <v>0.18777475952390327</v>
      </c>
      <c r="K63" s="43">
        <f t="shared" si="11"/>
        <v>0.14641112421323452</v>
      </c>
      <c r="L63" s="43">
        <f t="shared" si="11"/>
        <v>0.10960248314597515</v>
      </c>
      <c r="M63" s="43">
        <f t="shared" si="11"/>
        <v>7.8087591240875914E-2</v>
      </c>
      <c r="N63" s="44">
        <f t="shared" si="11"/>
        <v>6.7241561739498468E-2</v>
      </c>
      <c r="O63" s="45">
        <f t="shared" si="13"/>
        <v>9.9514962585124198E-2</v>
      </c>
    </row>
    <row r="64" spans="1:15" ht="16.5" customHeight="1" thickBot="1" x14ac:dyDescent="0.35">
      <c r="B64" s="11" t="s">
        <v>22</v>
      </c>
      <c r="C64" s="42">
        <f t="shared" si="12"/>
        <v>1.322047806464358E-3</v>
      </c>
      <c r="D64" s="43">
        <f t="shared" si="11"/>
        <v>1.7854526809258718E-3</v>
      </c>
      <c r="E64" s="43">
        <f t="shared" si="11"/>
        <v>2.4856325541839547E-2</v>
      </c>
      <c r="F64" s="43">
        <f t="shared" si="11"/>
        <v>2.3156611822059719E-2</v>
      </c>
      <c r="G64" s="43">
        <f t="shared" si="11"/>
        <v>2.0933910189467404E-2</v>
      </c>
      <c r="H64" s="43">
        <f t="shared" si="11"/>
        <v>4.9178254306891871E-2</v>
      </c>
      <c r="I64" s="43">
        <f t="shared" si="11"/>
        <v>0.10145224734811059</v>
      </c>
      <c r="J64" s="43">
        <f t="shared" si="11"/>
        <v>0.13302625880870833</v>
      </c>
      <c r="K64" s="43">
        <f t="shared" si="11"/>
        <v>5.6057520023277539E-2</v>
      </c>
      <c r="L64" s="43">
        <f t="shared" si="11"/>
        <v>3.0509685418907712E-2</v>
      </c>
      <c r="M64" s="43">
        <f t="shared" si="11"/>
        <v>1.0861313868613139E-2</v>
      </c>
      <c r="N64" s="44">
        <f t="shared" si="11"/>
        <v>5.5373329100976967E-3</v>
      </c>
      <c r="O64" s="45">
        <f t="shared" si="13"/>
        <v>3.822308006044698E-2</v>
      </c>
    </row>
    <row r="65" spans="2:15" ht="16.5" customHeight="1" thickTop="1" x14ac:dyDescent="0.3">
      <c r="B65" s="9" t="s">
        <v>13</v>
      </c>
      <c r="C65" s="46">
        <f t="shared" si="12"/>
        <v>1</v>
      </c>
      <c r="D65" s="47">
        <f t="shared" si="11"/>
        <v>1</v>
      </c>
      <c r="E65" s="47">
        <f t="shared" si="11"/>
        <v>1</v>
      </c>
      <c r="F65" s="47">
        <f t="shared" si="11"/>
        <v>1</v>
      </c>
      <c r="G65" s="47">
        <f t="shared" si="11"/>
        <v>1</v>
      </c>
      <c r="H65" s="47">
        <f t="shared" si="11"/>
        <v>1</v>
      </c>
      <c r="I65" s="47">
        <f t="shared" si="11"/>
        <v>1</v>
      </c>
      <c r="J65" s="47">
        <f t="shared" si="11"/>
        <v>1</v>
      </c>
      <c r="K65" s="47">
        <f t="shared" si="11"/>
        <v>1</v>
      </c>
      <c r="L65" s="47">
        <f t="shared" si="11"/>
        <v>1</v>
      </c>
      <c r="M65" s="47">
        <f t="shared" si="11"/>
        <v>1</v>
      </c>
      <c r="N65" s="48">
        <f t="shared" si="11"/>
        <v>1</v>
      </c>
      <c r="O65" s="49">
        <f t="shared" si="13"/>
        <v>1</v>
      </c>
    </row>
  </sheetData>
  <mergeCells count="8">
    <mergeCell ref="B58:B59"/>
    <mergeCell ref="C58:O58"/>
    <mergeCell ref="B3:B4"/>
    <mergeCell ref="C3:O3"/>
    <mergeCell ref="B25:B26"/>
    <mergeCell ref="C25:O25"/>
    <mergeCell ref="B47:B48"/>
    <mergeCell ref="C47:O47"/>
  </mergeCells>
  <phoneticPr fontId="1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25년</vt:lpstr>
      <vt:lpstr>24년</vt:lpstr>
      <vt:lpstr>23년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김묵주</dc:creator>
  <cp:lastModifiedBy>김묵주</cp:lastModifiedBy>
  <cp:lastPrinted>2020-01-15T04:18:58Z</cp:lastPrinted>
  <dcterms:created xsi:type="dcterms:W3CDTF">2020-01-14T06:14:31Z</dcterms:created>
  <dcterms:modified xsi:type="dcterms:W3CDTF">2026-01-16T08:47:03Z</dcterms:modified>
</cp:coreProperties>
</file>