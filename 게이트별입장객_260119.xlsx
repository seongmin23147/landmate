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기획팀(기획)\4.기획업무\기타\2026_한국외대\2.전달\5.게이트별입장객\"/>
    </mc:Choice>
  </mc:AlternateContent>
  <xr:revisionPtr revIDLastSave="0" documentId="13_ncr:1_{9E24AEE5-687A-4457-BD5C-6FD8E9843A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게이트별입장객" sheetId="1" r:id="rId1"/>
  </sheets>
  <calcPr calcId="191029"/>
</workbook>
</file>

<file path=xl/calcChain.xml><?xml version="1.0" encoding="utf-8"?>
<calcChain xmlns="http://schemas.openxmlformats.org/spreadsheetml/2006/main">
  <c r="C38" i="1" l="1"/>
  <c r="C37" i="1"/>
  <c r="C36" i="1"/>
  <c r="C26" i="1"/>
  <c r="C25" i="1"/>
  <c r="C24" i="1"/>
  <c r="C23" i="1"/>
  <c r="G13" i="1"/>
  <c r="G27" i="1" s="1"/>
  <c r="H8" i="1"/>
  <c r="H22" i="1" s="1"/>
  <c r="N8" i="1"/>
  <c r="C10" i="1"/>
  <c r="C11" i="1"/>
  <c r="C12" i="1"/>
  <c r="C9" i="1"/>
  <c r="F8" i="1"/>
  <c r="F22" i="1" s="1"/>
  <c r="O13" i="1" l="1"/>
  <c r="N22" i="1"/>
  <c r="P12" i="1"/>
  <c r="O8" i="1"/>
  <c r="H34" i="1"/>
  <c r="H33" i="1"/>
  <c r="H13" i="1"/>
  <c r="H27" i="1" s="1"/>
  <c r="I8" i="1"/>
  <c r="I22" i="1" s="1"/>
  <c r="N32" i="1"/>
  <c r="N34" i="1"/>
  <c r="P7" i="1"/>
  <c r="F33" i="1"/>
  <c r="J13" i="1"/>
  <c r="J27" i="1" s="1"/>
  <c r="P5" i="1"/>
  <c r="M13" i="1"/>
  <c r="E13" i="1"/>
  <c r="E36" i="1" s="1"/>
  <c r="H32" i="1"/>
  <c r="P6" i="1"/>
  <c r="F32" i="1"/>
  <c r="G37" i="1"/>
  <c r="L8" i="1"/>
  <c r="F34" i="1"/>
  <c r="F13" i="1"/>
  <c r="F36" i="1" s="1"/>
  <c r="N13" i="1"/>
  <c r="M8" i="1"/>
  <c r="P11" i="1"/>
  <c r="J8" i="1"/>
  <c r="J22" i="1" s="1"/>
  <c r="K13" i="1"/>
  <c r="K27" i="1" s="1"/>
  <c r="N33" i="1"/>
  <c r="G36" i="1"/>
  <c r="G38" i="1"/>
  <c r="N19" i="1"/>
  <c r="H19" i="1"/>
  <c r="F19" i="1"/>
  <c r="G23" i="1"/>
  <c r="G24" i="1"/>
  <c r="N18" i="1"/>
  <c r="H18" i="1"/>
  <c r="F18" i="1"/>
  <c r="N20" i="1"/>
  <c r="H20" i="1"/>
  <c r="F20" i="1"/>
  <c r="N21" i="1"/>
  <c r="H21" i="1"/>
  <c r="F21" i="1"/>
  <c r="G25" i="1"/>
  <c r="G26" i="1"/>
  <c r="P4" i="1"/>
  <c r="D8" i="1"/>
  <c r="D33" i="1" s="1"/>
  <c r="E8" i="1"/>
  <c r="E22" i="1" s="1"/>
  <c r="O37" i="1" l="1"/>
  <c r="O26" i="1"/>
  <c r="O24" i="1"/>
  <c r="O25" i="1"/>
  <c r="O38" i="1"/>
  <c r="O23" i="1"/>
  <c r="O27" i="1"/>
  <c r="O36" i="1"/>
  <c r="O39" i="1" s="1"/>
  <c r="N38" i="1"/>
  <c r="N23" i="1"/>
  <c r="N27" i="1"/>
  <c r="N36" i="1"/>
  <c r="N37" i="1"/>
  <c r="N24" i="1"/>
  <c r="N25" i="1"/>
  <c r="N26" i="1"/>
  <c r="M24" i="1"/>
  <c r="M26" i="1"/>
  <c r="M27" i="1"/>
  <c r="M36" i="1"/>
  <c r="M25" i="1"/>
  <c r="M37" i="1"/>
  <c r="M38" i="1"/>
  <c r="M23" i="1"/>
  <c r="L13" i="1"/>
  <c r="M22" i="1"/>
  <c r="L20" i="1"/>
  <c r="O22" i="1"/>
  <c r="H35" i="1"/>
  <c r="F23" i="1"/>
  <c r="K24" i="1"/>
  <c r="M18" i="1"/>
  <c r="O19" i="1"/>
  <c r="O21" i="1"/>
  <c r="E26" i="1"/>
  <c r="E25" i="1"/>
  <c r="F24" i="1"/>
  <c r="E23" i="1"/>
  <c r="O20" i="1"/>
  <c r="O33" i="1"/>
  <c r="O32" i="1"/>
  <c r="O18" i="1"/>
  <c r="O34" i="1"/>
  <c r="F25" i="1"/>
  <c r="F38" i="1"/>
  <c r="E24" i="1"/>
  <c r="K38" i="1"/>
  <c r="J23" i="1"/>
  <c r="J26" i="1"/>
  <c r="K36" i="1"/>
  <c r="K26" i="1"/>
  <c r="K23" i="1"/>
  <c r="K25" i="1"/>
  <c r="J21" i="1"/>
  <c r="J20" i="1"/>
  <c r="I20" i="1"/>
  <c r="K37" i="1"/>
  <c r="H38" i="1"/>
  <c r="J34" i="1"/>
  <c r="J33" i="1"/>
  <c r="H24" i="1"/>
  <c r="H23" i="1"/>
  <c r="J18" i="1"/>
  <c r="H26" i="1"/>
  <c r="H25" i="1"/>
  <c r="J32" i="1"/>
  <c r="H36" i="1"/>
  <c r="M33" i="1"/>
  <c r="E34" i="1"/>
  <c r="L22" i="1"/>
  <c r="L32" i="1"/>
  <c r="J38" i="1"/>
  <c r="P10" i="1"/>
  <c r="L18" i="1"/>
  <c r="F26" i="1"/>
  <c r="J25" i="1"/>
  <c r="M20" i="1"/>
  <c r="J19" i="1"/>
  <c r="I18" i="1"/>
  <c r="G39" i="1"/>
  <c r="I34" i="1"/>
  <c r="I13" i="1"/>
  <c r="I37" i="1" s="1"/>
  <c r="J37" i="1"/>
  <c r="F35" i="1"/>
  <c r="E27" i="1"/>
  <c r="E38" i="1"/>
  <c r="E37" i="1"/>
  <c r="N35" i="1"/>
  <c r="G8" i="1"/>
  <c r="I32" i="1"/>
  <c r="L34" i="1"/>
  <c r="D22" i="1"/>
  <c r="D32" i="1"/>
  <c r="M19" i="1"/>
  <c r="M21" i="1"/>
  <c r="M32" i="1"/>
  <c r="E33" i="1"/>
  <c r="P9" i="1"/>
  <c r="D13" i="1"/>
  <c r="D23" i="1" s="1"/>
  <c r="P8" i="1"/>
  <c r="P22" i="1" s="1"/>
  <c r="J24" i="1"/>
  <c r="L21" i="1"/>
  <c r="I19" i="1"/>
  <c r="I21" i="1"/>
  <c r="L19" i="1"/>
  <c r="I33" i="1"/>
  <c r="M34" i="1"/>
  <c r="F27" i="1"/>
  <c r="F37" i="1"/>
  <c r="F39" i="1" s="1"/>
  <c r="J36" i="1"/>
  <c r="D34" i="1"/>
  <c r="E32" i="1"/>
  <c r="K8" i="1"/>
  <c r="K32" i="1" s="1"/>
  <c r="L33" i="1"/>
  <c r="H37" i="1"/>
  <c r="E20" i="1"/>
  <c r="E18" i="1"/>
  <c r="D20" i="1"/>
  <c r="D18" i="1"/>
  <c r="D21" i="1"/>
  <c r="E21" i="1"/>
  <c r="D19" i="1"/>
  <c r="E19" i="1"/>
  <c r="M39" i="1" l="1"/>
  <c r="N39" i="1"/>
  <c r="L36" i="1"/>
  <c r="L25" i="1"/>
  <c r="L38" i="1"/>
  <c r="L23" i="1"/>
  <c r="L37" i="1"/>
  <c r="L26" i="1"/>
  <c r="L27" i="1"/>
  <c r="L24" i="1"/>
  <c r="K39" i="1"/>
  <c r="E39" i="1"/>
  <c r="J39" i="1"/>
  <c r="O35" i="1"/>
  <c r="J35" i="1"/>
  <c r="L35" i="1"/>
  <c r="H39" i="1"/>
  <c r="P18" i="1"/>
  <c r="D27" i="1"/>
  <c r="D26" i="1"/>
  <c r="D37" i="1"/>
  <c r="D25" i="1"/>
  <c r="D38" i="1"/>
  <c r="D24" i="1"/>
  <c r="I35" i="1"/>
  <c r="I27" i="1"/>
  <c r="I36" i="1"/>
  <c r="I38" i="1"/>
  <c r="I25" i="1"/>
  <c r="I23" i="1"/>
  <c r="I26" i="1"/>
  <c r="I24" i="1"/>
  <c r="P32" i="1"/>
  <c r="P20" i="1"/>
  <c r="P34" i="1"/>
  <c r="D36" i="1"/>
  <c r="D35" i="1"/>
  <c r="G22" i="1"/>
  <c r="G20" i="1"/>
  <c r="G18" i="1"/>
  <c r="G21" i="1"/>
  <c r="G19" i="1"/>
  <c r="G33" i="1"/>
  <c r="G34" i="1"/>
  <c r="P21" i="1"/>
  <c r="P19" i="1"/>
  <c r="E35" i="1"/>
  <c r="M35" i="1"/>
  <c r="K22" i="1"/>
  <c r="K18" i="1"/>
  <c r="K20" i="1"/>
  <c r="K33" i="1"/>
  <c r="K21" i="1"/>
  <c r="K19" i="1"/>
  <c r="K34" i="1"/>
  <c r="P13" i="1"/>
  <c r="P37" i="1" s="1"/>
  <c r="G32" i="1"/>
  <c r="P33" i="1"/>
  <c r="P24" i="1" l="1"/>
  <c r="P27" i="1"/>
  <c r="P25" i="1"/>
  <c r="P38" i="1"/>
  <c r="P26" i="1"/>
  <c r="L39" i="1"/>
  <c r="P23" i="1"/>
  <c r="P36" i="1"/>
  <c r="P39" i="1" s="1"/>
  <c r="K35" i="1"/>
  <c r="G35" i="1"/>
  <c r="P35" i="1"/>
  <c r="D39" i="1"/>
  <c r="I39" i="1"/>
</calcChain>
</file>

<file path=xl/sharedStrings.xml><?xml version="1.0" encoding="utf-8"?>
<sst xmlns="http://schemas.openxmlformats.org/spreadsheetml/2006/main" count="71" uniqueCount="26">
  <si>
    <t>합계</t>
    <phoneticPr fontId="2" type="noConversion"/>
  </si>
  <si>
    <t>1월</t>
    <phoneticPr fontId="2" type="noConversion"/>
  </si>
  <si>
    <t>2월</t>
    <phoneticPr fontId="2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</si>
  <si>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</si>
  <si>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</si>
  <si>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</si>
  <si>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</si>
  <si>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</si>
  <si>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</si>
  <si>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</si>
  <si>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</si>
  <si>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</si>
  <si>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</si>
  <si>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구분</t>
    <phoneticPr fontId="2" type="noConversion"/>
  </si>
  <si>
    <t>(단위 : 명)</t>
    <phoneticPr fontId="2" type="noConversion"/>
  </si>
  <si>
    <t>합계</t>
    <phoneticPr fontId="2" type="noConversion"/>
  </si>
  <si>
    <t>동문</t>
    <phoneticPr fontId="2" type="noConversion"/>
  </si>
  <si>
    <t>정문</t>
    <phoneticPr fontId="2" type="noConversion"/>
  </si>
  <si>
    <t>후문</t>
    <phoneticPr fontId="2" type="noConversion"/>
  </si>
  <si>
    <t>사무실</t>
    <phoneticPr fontId="2" type="noConversion"/>
  </si>
  <si>
    <t>■ 기초자료 - 게이트별 비율</t>
    <phoneticPr fontId="2" type="noConversion"/>
  </si>
  <si>
    <t>(단위 : %)</t>
    <phoneticPr fontId="2" type="noConversion"/>
  </si>
  <si>
    <t>■ 기초자료 - 게이트별 비율 (사무실 매표 입장객 제외)</t>
    <phoneticPr fontId="2" type="noConversion"/>
  </si>
  <si>
    <t>2024년</t>
    <phoneticPr fontId="2" type="noConversion"/>
  </si>
  <si>
    <t>2025년</t>
    <phoneticPr fontId="2" type="noConversion"/>
  </si>
  <si>
    <t>■ 기초자료 - 매표 입장객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</si>
</sst>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YoonGothic Medium"/>
      <family val="1"/>
      <charset val="129"/>
    </font>
    <font>
      <sz val="14"/>
      <color theme="1"/>
      <name val="YoonGothic Medium"/>
      <family val="1"/>
      <charset val="129"/>
    </font>
    <font>
      <sz val="10"/>
      <color theme="1"/>
      <name val="YoonGothic Medium"/>
      <family val="1"/>
      <charset val="129"/>
    </font>
    <font>
      <sz val="9"/>
      <color theme="1"/>
      <name val="YoonGothic Medium"/>
      <family val="1"/>
      <charset val="129"/>
    </font>
    <font>
      <b/>
      <sz val="10"/>
      <color theme="1"/>
      <name val="YoonGothic Medium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41" fontId="5" fillId="0" borderId="2" xfId="1" applyFont="1" applyBorder="1" applyAlignment="1">
      <alignment horizontal="center" vertical="center"/>
    </xf>
    <xf numFmtId="41" fontId="5" fillId="0" borderId="3" xfId="1" applyFont="1" applyBorder="1" applyAlignment="1">
      <alignment horizontal="center" vertical="center"/>
    </xf>
    <xf numFmtId="41" fontId="5" fillId="0" borderId="4" xfId="1" applyFont="1" applyBorder="1" applyAlignment="1">
      <alignment horizontal="center" vertical="center"/>
    </xf>
    <xf numFmtId="41" fontId="7" fillId="2" borderId="8" xfId="1" applyFont="1" applyFill="1" applyBorder="1" applyAlignment="1">
      <alignment horizontal="center" vertical="center"/>
    </xf>
    <xf numFmtId="41" fontId="5" fillId="0" borderId="9" xfId="1" applyFont="1" applyBorder="1" applyAlignment="1">
      <alignment horizontal="center" vertical="center"/>
    </xf>
    <xf numFmtId="41" fontId="7" fillId="3" borderId="11" xfId="1" applyFont="1" applyFill="1" applyBorder="1" applyAlignment="1">
      <alignment horizontal="center" vertical="center"/>
    </xf>
    <xf numFmtId="41" fontId="7" fillId="3" borderId="8" xfId="1" applyFont="1" applyFill="1" applyBorder="1" applyAlignment="1">
      <alignment horizontal="center" vertical="center"/>
    </xf>
    <xf numFmtId="41" fontId="7" fillId="4" borderId="5" xfId="1" applyFont="1" applyFill="1" applyBorder="1" applyAlignment="1">
      <alignment horizontal="center" vertical="center"/>
    </xf>
    <xf numFmtId="41" fontId="7" fillId="4" borderId="1" xfId="1" applyFont="1" applyFill="1" applyBorder="1" applyAlignment="1">
      <alignment horizontal="center" vertical="center"/>
    </xf>
    <xf numFmtId="176" fontId="5" fillId="0" borderId="9" xfId="2" applyNumberFormat="1" applyFont="1" applyBorder="1" applyAlignment="1">
      <alignment horizontal="center" vertical="center"/>
    </xf>
    <xf numFmtId="176" fontId="5" fillId="0" borderId="3" xfId="2" applyNumberFormat="1" applyFont="1" applyBorder="1" applyAlignment="1">
      <alignment horizontal="center" vertical="center"/>
    </xf>
    <xf numFmtId="176" fontId="5" fillId="0" borderId="4" xfId="2" applyNumberFormat="1" applyFont="1" applyBorder="1" applyAlignment="1">
      <alignment horizontal="center" vertical="center"/>
    </xf>
    <xf numFmtId="176" fontId="7" fillId="3" borderId="8" xfId="2" applyNumberFormat="1" applyFont="1" applyFill="1" applyBorder="1" applyAlignment="1">
      <alignment horizontal="center" vertical="center"/>
    </xf>
    <xf numFmtId="176" fontId="5" fillId="0" borderId="2" xfId="2" applyNumberFormat="1" applyFont="1" applyBorder="1" applyAlignment="1">
      <alignment horizontal="center" vertical="center"/>
    </xf>
    <xf numFmtId="176" fontId="7" fillId="4" borderId="1" xfId="2" applyNumberFormat="1" applyFont="1" applyFill="1" applyBorder="1" applyAlignment="1">
      <alignment horizontal="center" vertical="center"/>
    </xf>
    <xf numFmtId="41" fontId="6" fillId="0" borderId="0" xfId="0" applyNumberFormat="1" applyFont="1">
      <alignment vertical="center"/>
    </xf>
    <xf numFmtId="41" fontId="7" fillId="2" borderId="8" xfId="1" applyFont="1" applyFill="1" applyBorder="1" applyAlignment="1">
      <alignment horizontal="center" vertical="center"/>
    </xf>
    <xf numFmtId="41" fontId="7" fillId="4" borderId="1" xfId="1" applyFont="1" applyFill="1" applyBorder="1" applyAlignment="1">
      <alignment horizontal="center" vertical="center"/>
    </xf>
    <xf numFmtId="41" fontId="7" fillId="4" borderId="6" xfId="1" applyFont="1" applyFill="1" applyBorder="1" applyAlignment="1">
      <alignment horizontal="center" vertical="center"/>
    </xf>
    <xf numFmtId="41" fontId="7" fillId="3" borderId="7" xfId="1" applyFont="1" applyFill="1" applyBorder="1" applyAlignment="1">
      <alignment horizontal="center" vertical="center"/>
    </xf>
    <xf numFmtId="41" fontId="7" fillId="3" borderId="1" xfId="1" applyFont="1" applyFill="1" applyBorder="1" applyAlignment="1">
      <alignment horizontal="center" vertical="center"/>
    </xf>
    <xf numFmtId="41" fontId="7" fillId="3" borderId="10" xfId="1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T7" sqref="T7"/>
    </sheetView>
  </sheetViews>
  <sheetFormatPr defaultRowHeight="15" x14ac:dyDescent="0.3"/>
  <cols>
    <col min="1" max="1" width="2.625" style="1" customWidth="1"/>
    <col min="2" max="3" width="9" style="1"/>
    <col min="4" max="15" width="9.625" style="1" customWidth="1"/>
    <col min="16" max="16" width="12.625" style="1" customWidth="1"/>
    <col min="17" max="17" width="9" style="1"/>
    <col min="18" max="18" width="13.375" style="1" bestFit="1" customWidth="1"/>
    <col min="19" max="16384" width="9" style="1"/>
  </cols>
  <sheetData>
    <row r="1" spans="1:16" ht="18.75" x14ac:dyDescent="0.3">
      <c r="A1" s="2" t="s">
        <v>25</v>
      </c>
    </row>
    <row r="2" spans="1:16" x14ac:dyDescent="0.3">
      <c r="P2" s="3" t="s">
        <v>14</v>
      </c>
    </row>
    <row r="3" spans="1:16" ht="16.5" customHeight="1" thickBot="1" x14ac:dyDescent="0.35">
      <c r="B3" s="20" t="s">
        <v>13</v>
      </c>
      <c r="C3" s="20"/>
      <c r="D3" s="7" t="s">
        <v>1</v>
      </c>
      <c r="E3" s="7" t="s">
        <v>2</v>
      </c>
      <c r="F3" s="7" t="s">
        <v>3</v>
      </c>
      <c r="G3" s="7" t="s">
        <v>4</v>
      </c>
      <c r="H3" s="7" t="s">
        <v>5</v>
      </c>
      <c r="I3" s="7" t="s">
        <v>6</v>
      </c>
      <c r="J3" s="7" t="s">
        <v>7</v>
      </c>
      <c r="K3" s="7" t="s">
        <v>8</v>
      </c>
      <c r="L3" s="7" t="s">
        <v>9</v>
      </c>
      <c r="M3" s="7" t="s">
        <v>10</v>
      </c>
      <c r="N3" s="7" t="s">
        <v>11</v>
      </c>
      <c r="O3" s="7" t="s">
        <v>12</v>
      </c>
      <c r="P3" s="7" t="s">
        <v>15</v>
      </c>
    </row>
    <row r="4" spans="1:16" ht="16.5" customHeight="1" thickTop="1" x14ac:dyDescent="0.3">
      <c r="B4" s="23" t="s">
        <v>23</v>
      </c>
      <c r="C4" s="8" t="s">
        <v>17</v>
      </c>
      <c r="D4" s="8">
        <v>21076</v>
      </c>
      <c r="E4" s="8">
        <v>29043</v>
      </c>
      <c r="F4" s="8">
        <v>27191</v>
      </c>
      <c r="G4" s="8">
        <v>62866</v>
      </c>
      <c r="H4" s="8">
        <v>73279</v>
      </c>
      <c r="I4" s="8">
        <v>40284</v>
      </c>
      <c r="J4" s="8">
        <v>17297</v>
      </c>
      <c r="K4" s="8">
        <v>18440</v>
      </c>
      <c r="L4" s="8">
        <v>38970</v>
      </c>
      <c r="M4" s="8">
        <v>104714</v>
      </c>
      <c r="N4" s="8">
        <v>47954</v>
      </c>
      <c r="O4" s="8">
        <v>20683</v>
      </c>
      <c r="P4" s="8">
        <f>SUM(D4:O4)</f>
        <v>501797</v>
      </c>
    </row>
    <row r="5" spans="1:16" ht="16.5" customHeight="1" x14ac:dyDescent="0.3">
      <c r="B5" s="24"/>
      <c r="C5" s="5" t="s">
        <v>16</v>
      </c>
      <c r="D5" s="5">
        <v>48348</v>
      </c>
      <c r="E5" s="5">
        <v>54095</v>
      </c>
      <c r="F5" s="5">
        <v>37864</v>
      </c>
      <c r="G5" s="5">
        <v>85804</v>
      </c>
      <c r="H5" s="5">
        <v>89667</v>
      </c>
      <c r="I5" s="5">
        <v>51127</v>
      </c>
      <c r="J5" s="5">
        <v>26067</v>
      </c>
      <c r="K5" s="5">
        <v>41842</v>
      </c>
      <c r="L5" s="5">
        <v>73813</v>
      </c>
      <c r="M5" s="5">
        <v>117513</v>
      </c>
      <c r="N5" s="5">
        <v>69176</v>
      </c>
      <c r="O5" s="5">
        <v>25122</v>
      </c>
      <c r="P5" s="5">
        <f t="shared" ref="P5:P7" si="0">SUM(D5:O5)</f>
        <v>720438</v>
      </c>
    </row>
    <row r="6" spans="1:16" ht="16.5" customHeight="1" x14ac:dyDescent="0.3">
      <c r="B6" s="24"/>
      <c r="C6" s="5" t="s">
        <v>18</v>
      </c>
      <c r="D6" s="5">
        <v>8024</v>
      </c>
      <c r="E6" s="5">
        <v>8126</v>
      </c>
      <c r="F6" s="5">
        <v>8789</v>
      </c>
      <c r="G6" s="5">
        <v>15982</v>
      </c>
      <c r="H6" s="5">
        <v>15439</v>
      </c>
      <c r="I6" s="5">
        <v>18763</v>
      </c>
      <c r="J6" s="5">
        <v>7523</v>
      </c>
      <c r="K6" s="5">
        <v>4220</v>
      </c>
      <c r="L6" s="5">
        <v>15821</v>
      </c>
      <c r="M6" s="5">
        <v>25238</v>
      </c>
      <c r="N6" s="5">
        <v>13597</v>
      </c>
      <c r="O6" s="5">
        <v>4811</v>
      </c>
      <c r="P6" s="5">
        <f t="shared" si="0"/>
        <v>146333</v>
      </c>
    </row>
    <row r="7" spans="1:16" ht="16.5" customHeight="1" x14ac:dyDescent="0.3">
      <c r="B7" s="24"/>
      <c r="C7" s="6" t="s">
        <v>19</v>
      </c>
      <c r="D7" s="6">
        <v>836</v>
      </c>
      <c r="E7" s="6">
        <v>751</v>
      </c>
      <c r="F7" s="6">
        <v>120</v>
      </c>
      <c r="G7" s="6">
        <v>5045</v>
      </c>
      <c r="H7" s="6">
        <v>2874</v>
      </c>
      <c r="I7" s="6">
        <v>23694</v>
      </c>
      <c r="J7" s="6">
        <v>13190</v>
      </c>
      <c r="K7" s="6">
        <v>3989</v>
      </c>
      <c r="L7" s="6">
        <v>10116</v>
      </c>
      <c r="M7" s="6">
        <v>15271</v>
      </c>
      <c r="N7" s="6">
        <v>3235</v>
      </c>
      <c r="O7" s="6">
        <v>2092</v>
      </c>
      <c r="P7" s="6">
        <f t="shared" si="0"/>
        <v>81213</v>
      </c>
    </row>
    <row r="8" spans="1:16" ht="16.5" customHeight="1" x14ac:dyDescent="0.3">
      <c r="B8" s="25"/>
      <c r="C8" s="9" t="s">
        <v>0</v>
      </c>
      <c r="D8" s="10">
        <f>SUM(D4:D7)</f>
        <v>78284</v>
      </c>
      <c r="E8" s="10">
        <f t="shared" ref="E8:P8" si="1">SUM(E4:E7)</f>
        <v>92015</v>
      </c>
      <c r="F8" s="10">
        <f t="shared" si="1"/>
        <v>73964</v>
      </c>
      <c r="G8" s="10">
        <f t="shared" si="1"/>
        <v>169697</v>
      </c>
      <c r="H8" s="10">
        <f t="shared" si="1"/>
        <v>181259</v>
      </c>
      <c r="I8" s="10">
        <f t="shared" si="1"/>
        <v>133868</v>
      </c>
      <c r="J8" s="10">
        <f t="shared" si="1"/>
        <v>64077</v>
      </c>
      <c r="K8" s="10">
        <f t="shared" si="1"/>
        <v>68491</v>
      </c>
      <c r="L8" s="10">
        <f t="shared" si="1"/>
        <v>138720</v>
      </c>
      <c r="M8" s="10">
        <f t="shared" si="1"/>
        <v>262736</v>
      </c>
      <c r="N8" s="10">
        <f t="shared" si="1"/>
        <v>133962</v>
      </c>
      <c r="O8" s="10">
        <f t="shared" si="1"/>
        <v>52708</v>
      </c>
      <c r="P8" s="10">
        <f t="shared" si="1"/>
        <v>1449781</v>
      </c>
    </row>
    <row r="9" spans="1:16" ht="16.5" customHeight="1" x14ac:dyDescent="0.3">
      <c r="B9" s="21" t="s">
        <v>24</v>
      </c>
      <c r="C9" s="4" t="str">
        <f>C4</f>
        <v>정문</v>
      </c>
      <c r="D9" s="4">
        <v>18679</v>
      </c>
      <c r="E9" s="4">
        <v>19714</v>
      </c>
      <c r="F9" s="4">
        <v>20518</v>
      </c>
      <c r="G9" s="4">
        <v>43171</v>
      </c>
      <c r="H9" s="4">
        <v>74044</v>
      </c>
      <c r="I9" s="4">
        <v>33819</v>
      </c>
      <c r="J9" s="4">
        <v>11691</v>
      </c>
      <c r="K9" s="4">
        <v>19419</v>
      </c>
      <c r="L9" s="4">
        <v>25689</v>
      </c>
      <c r="M9" s="4">
        <v>86913</v>
      </c>
      <c r="N9" s="4">
        <v>36087</v>
      </c>
      <c r="O9" s="4">
        <v>17516</v>
      </c>
      <c r="P9" s="4">
        <f>SUM(D9:O9)</f>
        <v>407260</v>
      </c>
    </row>
    <row r="10" spans="1:16" ht="16.5" customHeight="1" x14ac:dyDescent="0.3">
      <c r="B10" s="21"/>
      <c r="C10" s="5" t="str">
        <f t="shared" ref="C10:C12" si="2">C5</f>
        <v>동문</v>
      </c>
      <c r="D10" s="5">
        <v>37778</v>
      </c>
      <c r="E10" s="5">
        <v>39331</v>
      </c>
      <c r="F10" s="5">
        <v>34047</v>
      </c>
      <c r="G10" s="5">
        <v>66054</v>
      </c>
      <c r="H10" s="5">
        <v>89688</v>
      </c>
      <c r="I10" s="5">
        <v>48159</v>
      </c>
      <c r="J10" s="5">
        <v>24545</v>
      </c>
      <c r="K10" s="5">
        <v>40032</v>
      </c>
      <c r="L10" s="5">
        <v>51182</v>
      </c>
      <c r="M10" s="5">
        <v>90679</v>
      </c>
      <c r="N10" s="5">
        <v>59530</v>
      </c>
      <c r="O10" s="5">
        <v>19240</v>
      </c>
      <c r="P10" s="5">
        <f t="shared" ref="P10:P12" si="3">SUM(D10:O10)</f>
        <v>600265</v>
      </c>
    </row>
    <row r="11" spans="1:16" ht="16.5" customHeight="1" x14ac:dyDescent="0.3">
      <c r="B11" s="21"/>
      <c r="C11" s="5" t="str">
        <f t="shared" si="2"/>
        <v>후문</v>
      </c>
      <c r="D11" s="5">
        <v>9887</v>
      </c>
      <c r="E11" s="5">
        <v>6476</v>
      </c>
      <c r="F11" s="5">
        <v>6837</v>
      </c>
      <c r="G11" s="5">
        <v>9074</v>
      </c>
      <c r="H11" s="5">
        <v>23411</v>
      </c>
      <c r="I11" s="5">
        <v>18391</v>
      </c>
      <c r="J11" s="5">
        <v>6252</v>
      </c>
      <c r="K11" s="5">
        <v>14411</v>
      </c>
      <c r="L11" s="5">
        <v>8982</v>
      </c>
      <c r="M11" s="5">
        <v>23949</v>
      </c>
      <c r="N11" s="5">
        <v>13703</v>
      </c>
      <c r="O11" s="5">
        <v>4270</v>
      </c>
      <c r="P11" s="5">
        <f t="shared" si="3"/>
        <v>145643</v>
      </c>
    </row>
    <row r="12" spans="1:16" ht="16.5" customHeight="1" x14ac:dyDescent="0.3">
      <c r="B12" s="21"/>
      <c r="C12" s="6" t="str">
        <f t="shared" si="2"/>
        <v>사무실</v>
      </c>
      <c r="D12" s="6">
        <v>165</v>
      </c>
      <c r="E12" s="6">
        <v>846</v>
      </c>
      <c r="F12" s="6">
        <v>1441</v>
      </c>
      <c r="G12" s="6">
        <v>6214</v>
      </c>
      <c r="H12" s="6">
        <v>6465</v>
      </c>
      <c r="I12" s="6">
        <v>37837</v>
      </c>
      <c r="J12" s="6">
        <v>14094</v>
      </c>
      <c r="K12" s="6">
        <v>17569</v>
      </c>
      <c r="L12" s="6">
        <v>9075</v>
      </c>
      <c r="M12" s="6">
        <v>7884</v>
      </c>
      <c r="N12" s="6">
        <v>10637</v>
      </c>
      <c r="O12" s="6">
        <v>1105</v>
      </c>
      <c r="P12" s="6">
        <f t="shared" si="3"/>
        <v>113332</v>
      </c>
    </row>
    <row r="13" spans="1:16" ht="16.5" customHeight="1" x14ac:dyDescent="0.3">
      <c r="B13" s="22"/>
      <c r="C13" s="11" t="s">
        <v>0</v>
      </c>
      <c r="D13" s="12">
        <f>SUM(D9:D12)</f>
        <v>66509</v>
      </c>
      <c r="E13" s="12">
        <f t="shared" ref="E13" si="4">SUM(E9:E12)</f>
        <v>66367</v>
      </c>
      <c r="F13" s="12">
        <f t="shared" ref="F13" si="5">SUM(F9:F12)</f>
        <v>62843</v>
      </c>
      <c r="G13" s="12">
        <f t="shared" ref="G13" si="6">SUM(G9:G12)</f>
        <v>124513</v>
      </c>
      <c r="H13" s="12">
        <f t="shared" ref="H13" si="7">SUM(H9:H12)</f>
        <v>193608</v>
      </c>
      <c r="I13" s="12">
        <f t="shared" ref="I13" si="8">SUM(I9:I12)</f>
        <v>138206</v>
      </c>
      <c r="J13" s="12">
        <f t="shared" ref="J13" si="9">SUM(J9:J12)</f>
        <v>56582</v>
      </c>
      <c r="K13" s="12">
        <f t="shared" ref="K13" si="10">SUM(K9:K12)</f>
        <v>91431</v>
      </c>
      <c r="L13" s="12">
        <f t="shared" ref="L13" si="11">SUM(L9:L12)</f>
        <v>94928</v>
      </c>
      <c r="M13" s="12">
        <f t="shared" ref="M13" si="12">SUM(M9:M12)</f>
        <v>209425</v>
      </c>
      <c r="N13" s="12">
        <f t="shared" ref="N13" si="13">SUM(N9:N12)</f>
        <v>119957</v>
      </c>
      <c r="O13" s="12">
        <f t="shared" ref="O13" si="14">SUM(O9:O12)</f>
        <v>42131</v>
      </c>
      <c r="P13" s="12">
        <f t="shared" ref="P13" si="15">SUM(P9:P12)</f>
        <v>1266500</v>
      </c>
    </row>
    <row r="14" spans="1:16" ht="16.5" customHeight="1" x14ac:dyDescent="0.3"/>
    <row r="15" spans="1:16" ht="18.75" x14ac:dyDescent="0.3">
      <c r="A15" s="2" t="s">
        <v>20</v>
      </c>
    </row>
    <row r="16" spans="1:16" x14ac:dyDescent="0.3">
      <c r="P16" s="3" t="s">
        <v>21</v>
      </c>
    </row>
    <row r="17" spans="1:16" ht="16.5" customHeight="1" thickBot="1" x14ac:dyDescent="0.35">
      <c r="B17" s="20" t="s">
        <v>13</v>
      </c>
      <c r="C17" s="20"/>
      <c r="D17" s="7" t="s">
        <v>1</v>
      </c>
      <c r="E17" s="7" t="s">
        <v>2</v>
      </c>
      <c r="F17" s="7" t="s">
        <v>3</v>
      </c>
      <c r="G17" s="7" t="s">
        <v>4</v>
      </c>
      <c r="H17" s="7" t="s">
        <v>5</v>
      </c>
      <c r="I17" s="7" t="s">
        <v>6</v>
      </c>
      <c r="J17" s="7" t="s">
        <v>7</v>
      </c>
      <c r="K17" s="7" t="s">
        <v>8</v>
      </c>
      <c r="L17" s="7" t="s">
        <v>9</v>
      </c>
      <c r="M17" s="7" t="s">
        <v>10</v>
      </c>
      <c r="N17" s="7" t="s">
        <v>11</v>
      </c>
      <c r="O17" s="7" t="s">
        <v>12</v>
      </c>
      <c r="P17" s="7" t="s">
        <v>15</v>
      </c>
    </row>
    <row r="18" spans="1:16" ht="16.5" customHeight="1" thickTop="1" x14ac:dyDescent="0.3">
      <c r="B18" s="23" t="s">
        <v>23</v>
      </c>
      <c r="C18" s="8" t="s">
        <v>17</v>
      </c>
      <c r="D18" s="13">
        <f t="shared" ref="D18:P18" si="16">D4/D$8</f>
        <v>0.26922487353737673</v>
      </c>
      <c r="E18" s="13">
        <f t="shared" si="16"/>
        <v>0.31563332065424116</v>
      </c>
      <c r="F18" s="13">
        <f t="shared" si="16"/>
        <v>0.36762479043859175</v>
      </c>
      <c r="G18" s="13">
        <f t="shared" si="16"/>
        <v>0.37046029098923378</v>
      </c>
      <c r="H18" s="13">
        <f t="shared" si="16"/>
        <v>0.40427785654781279</v>
      </c>
      <c r="I18" s="13">
        <f t="shared" si="16"/>
        <v>0.30092329757671737</v>
      </c>
      <c r="J18" s="13">
        <f t="shared" si="16"/>
        <v>0.26994085241194188</v>
      </c>
      <c r="K18" s="13">
        <f t="shared" si="16"/>
        <v>0.26923245389905243</v>
      </c>
      <c r="L18" s="13">
        <f t="shared" si="16"/>
        <v>0.28092560553633217</v>
      </c>
      <c r="M18" s="13">
        <f t="shared" si="16"/>
        <v>0.39855215882102185</v>
      </c>
      <c r="N18" s="13">
        <f t="shared" si="16"/>
        <v>0.35796718472402622</v>
      </c>
      <c r="O18" s="13">
        <f t="shared" si="16"/>
        <v>0.3924072247097215</v>
      </c>
      <c r="P18" s="13">
        <f t="shared" si="16"/>
        <v>0.34611917248191276</v>
      </c>
    </row>
    <row r="19" spans="1:16" ht="16.5" customHeight="1" x14ac:dyDescent="0.3">
      <c r="B19" s="24"/>
      <c r="C19" s="5" t="s">
        <v>16</v>
      </c>
      <c r="D19" s="14">
        <f t="shared" ref="D19:P19" si="17">D5/D$8</f>
        <v>0.61759746563793372</v>
      </c>
      <c r="E19" s="14">
        <f t="shared" si="17"/>
        <v>0.58789327826984727</v>
      </c>
      <c r="F19" s="14">
        <f t="shared" si="17"/>
        <v>0.51192472013411927</v>
      </c>
      <c r="G19" s="14">
        <f t="shared" si="17"/>
        <v>0.5056306239945314</v>
      </c>
      <c r="H19" s="14">
        <f t="shared" si="17"/>
        <v>0.49468991884540908</v>
      </c>
      <c r="I19" s="14">
        <f t="shared" si="17"/>
        <v>0.38192099680282071</v>
      </c>
      <c r="J19" s="14">
        <f t="shared" si="17"/>
        <v>0.40680743480500026</v>
      </c>
      <c r="K19" s="14">
        <f t="shared" si="17"/>
        <v>0.6109123826488152</v>
      </c>
      <c r="L19" s="14">
        <f t="shared" si="17"/>
        <v>0.53210063437139565</v>
      </c>
      <c r="M19" s="14">
        <f t="shared" si="17"/>
        <v>0.44726645758479994</v>
      </c>
      <c r="N19" s="14">
        <f t="shared" si="17"/>
        <v>0.51638524357653659</v>
      </c>
      <c r="O19" s="14">
        <f t="shared" si="17"/>
        <v>0.47662593913637397</v>
      </c>
      <c r="P19" s="14">
        <f t="shared" si="17"/>
        <v>0.49692884649474645</v>
      </c>
    </row>
    <row r="20" spans="1:16" ht="16.5" customHeight="1" x14ac:dyDescent="0.3">
      <c r="B20" s="24"/>
      <c r="C20" s="5" t="s">
        <v>18</v>
      </c>
      <c r="D20" s="14">
        <f t="shared" ref="D20:P20" si="18">D6/D$8</f>
        <v>0.10249859485974146</v>
      </c>
      <c r="E20" s="14">
        <f t="shared" si="18"/>
        <v>8.8311688311688313E-2</v>
      </c>
      <c r="F20" s="14">
        <f t="shared" si="18"/>
        <v>0.11882807852468769</v>
      </c>
      <c r="G20" s="14">
        <f t="shared" si="18"/>
        <v>9.4179626039352496E-2</v>
      </c>
      <c r="H20" s="14">
        <f t="shared" si="18"/>
        <v>8.5176460203355425E-2</v>
      </c>
      <c r="I20" s="14">
        <f t="shared" si="18"/>
        <v>0.14016045656915768</v>
      </c>
      <c r="J20" s="14">
        <f t="shared" si="18"/>
        <v>0.11740562136179909</v>
      </c>
      <c r="K20" s="14">
        <f t="shared" si="18"/>
        <v>6.1613934677548873E-2</v>
      </c>
      <c r="L20" s="14">
        <f t="shared" si="18"/>
        <v>0.11404988465974625</v>
      </c>
      <c r="M20" s="14">
        <f t="shared" si="18"/>
        <v>9.6058400828207782E-2</v>
      </c>
      <c r="N20" s="14">
        <f t="shared" si="18"/>
        <v>0.10149893253310641</v>
      </c>
      <c r="O20" s="14">
        <f t="shared" si="18"/>
        <v>9.1276466570539574E-2</v>
      </c>
      <c r="P20" s="14">
        <f t="shared" si="18"/>
        <v>0.10093455494312589</v>
      </c>
    </row>
    <row r="21" spans="1:16" ht="16.5" customHeight="1" x14ac:dyDescent="0.3">
      <c r="B21" s="24"/>
      <c r="C21" s="6" t="s">
        <v>19</v>
      </c>
      <c r="D21" s="15">
        <f t="shared" ref="D21:P21" si="19">D7/D$8</f>
        <v>1.0679065964948137E-2</v>
      </c>
      <c r="E21" s="15">
        <f t="shared" si="19"/>
        <v>8.1617127642232244E-3</v>
      </c>
      <c r="F21" s="15">
        <f t="shared" si="19"/>
        <v>1.6224109026012656E-3</v>
      </c>
      <c r="G21" s="15">
        <f t="shared" si="19"/>
        <v>2.9729458976882325E-2</v>
      </c>
      <c r="H21" s="15">
        <f t="shared" si="19"/>
        <v>1.5855764403422727E-2</v>
      </c>
      <c r="I21" s="15">
        <f t="shared" si="19"/>
        <v>0.17699524905130426</v>
      </c>
      <c r="J21" s="15">
        <f t="shared" si="19"/>
        <v>0.20584609142125879</v>
      </c>
      <c r="K21" s="15">
        <f t="shared" si="19"/>
        <v>5.8241228774583521E-2</v>
      </c>
      <c r="L21" s="15">
        <f t="shared" si="19"/>
        <v>7.2923875432525945E-2</v>
      </c>
      <c r="M21" s="15">
        <f t="shared" si="19"/>
        <v>5.8122982765970402E-2</v>
      </c>
      <c r="N21" s="15">
        <f t="shared" si="19"/>
        <v>2.4148639166330751E-2</v>
      </c>
      <c r="O21" s="15">
        <f t="shared" si="19"/>
        <v>3.9690369583364957E-2</v>
      </c>
      <c r="P21" s="15">
        <f t="shared" si="19"/>
        <v>5.6017426080214872E-2</v>
      </c>
    </row>
    <row r="22" spans="1:16" ht="16.5" customHeight="1" x14ac:dyDescent="0.3">
      <c r="B22" s="25"/>
      <c r="C22" s="9" t="s">
        <v>0</v>
      </c>
      <c r="D22" s="16">
        <f t="shared" ref="D22:P22" si="20">D8/D$8</f>
        <v>1</v>
      </c>
      <c r="E22" s="16">
        <f t="shared" si="20"/>
        <v>1</v>
      </c>
      <c r="F22" s="16">
        <f t="shared" si="20"/>
        <v>1</v>
      </c>
      <c r="G22" s="16">
        <f t="shared" si="20"/>
        <v>1</v>
      </c>
      <c r="H22" s="16">
        <f t="shared" si="20"/>
        <v>1</v>
      </c>
      <c r="I22" s="16">
        <f t="shared" si="20"/>
        <v>1</v>
      </c>
      <c r="J22" s="16">
        <f t="shared" si="20"/>
        <v>1</v>
      </c>
      <c r="K22" s="16">
        <f t="shared" si="20"/>
        <v>1</v>
      </c>
      <c r="L22" s="16">
        <f t="shared" si="20"/>
        <v>1</v>
      </c>
      <c r="M22" s="16">
        <f t="shared" si="20"/>
        <v>1</v>
      </c>
      <c r="N22" s="16">
        <f t="shared" si="20"/>
        <v>1</v>
      </c>
      <c r="O22" s="16">
        <f t="shared" si="20"/>
        <v>1</v>
      </c>
      <c r="P22" s="16">
        <f t="shared" si="20"/>
        <v>1</v>
      </c>
    </row>
    <row r="23" spans="1:16" ht="16.5" customHeight="1" x14ac:dyDescent="0.3">
      <c r="B23" s="21" t="s">
        <v>24</v>
      </c>
      <c r="C23" s="4" t="str">
        <f>C18</f>
        <v>정문</v>
      </c>
      <c r="D23" s="17">
        <f t="shared" ref="D23:K27" si="21">D9/D$13</f>
        <v>0.28084920837781352</v>
      </c>
      <c r="E23" s="17">
        <f t="shared" si="21"/>
        <v>0.29704521825606101</v>
      </c>
      <c r="F23" s="17">
        <f t="shared" si="21"/>
        <v>0.32649618891523319</v>
      </c>
      <c r="G23" s="17">
        <f t="shared" si="21"/>
        <v>0.34671881650911951</v>
      </c>
      <c r="H23" s="17">
        <f t="shared" si="21"/>
        <v>0.38244287426139417</v>
      </c>
      <c r="I23" s="17">
        <f t="shared" si="21"/>
        <v>0.2446999406682778</v>
      </c>
      <c r="J23" s="17">
        <f t="shared" si="21"/>
        <v>0.20662048001131103</v>
      </c>
      <c r="K23" s="17">
        <f t="shared" si="21"/>
        <v>0.21238967089936672</v>
      </c>
      <c r="L23" s="17">
        <f t="shared" ref="L23:P23" si="22">L9/L$13</f>
        <v>0.27061562447328502</v>
      </c>
      <c r="M23" s="17">
        <f t="shared" si="22"/>
        <v>0.41500775934105288</v>
      </c>
      <c r="N23" s="17">
        <f t="shared" si="22"/>
        <v>0.30083279841943361</v>
      </c>
      <c r="O23" s="17">
        <f t="shared" si="22"/>
        <v>0.41575087227931928</v>
      </c>
      <c r="P23" s="17">
        <f t="shared" si="22"/>
        <v>0.32156336360047377</v>
      </c>
    </row>
    <row r="24" spans="1:16" ht="16.5" customHeight="1" x14ac:dyDescent="0.3">
      <c r="B24" s="21"/>
      <c r="C24" s="5" t="str">
        <f t="shared" ref="C24:C26" si="23">C19</f>
        <v>동문</v>
      </c>
      <c r="D24" s="14">
        <f t="shared" si="21"/>
        <v>0.56801335157647836</v>
      </c>
      <c r="E24" s="14">
        <f t="shared" si="21"/>
        <v>0.59262886675606852</v>
      </c>
      <c r="F24" s="14">
        <f t="shared" si="21"/>
        <v>0.5417787183934567</v>
      </c>
      <c r="G24" s="14">
        <f t="shared" si="21"/>
        <v>0.53049882341602883</v>
      </c>
      <c r="H24" s="14">
        <f t="shared" si="21"/>
        <v>0.46324532044130406</v>
      </c>
      <c r="I24" s="14">
        <f t="shared" si="21"/>
        <v>0.34845809878008188</v>
      </c>
      <c r="J24" s="14">
        <f t="shared" si="21"/>
        <v>0.4337951998868898</v>
      </c>
      <c r="K24" s="14">
        <f t="shared" si="21"/>
        <v>0.43783836991829905</v>
      </c>
      <c r="L24" s="14">
        <f t="shared" ref="L24:P24" si="24">L10/L$13</f>
        <v>0.53916652620933758</v>
      </c>
      <c r="M24" s="14">
        <f t="shared" si="24"/>
        <v>0.43299033066730336</v>
      </c>
      <c r="N24" s="14">
        <f t="shared" si="24"/>
        <v>0.49626116024908928</v>
      </c>
      <c r="O24" s="14">
        <f t="shared" si="24"/>
        <v>0.45667085993686357</v>
      </c>
      <c r="P24" s="14">
        <f t="shared" si="24"/>
        <v>0.4739557836557442</v>
      </c>
    </row>
    <row r="25" spans="1:16" ht="16.5" customHeight="1" x14ac:dyDescent="0.3">
      <c r="B25" s="21"/>
      <c r="C25" s="5" t="str">
        <f t="shared" si="23"/>
        <v>후문</v>
      </c>
      <c r="D25" s="14">
        <f t="shared" si="21"/>
        <v>0.14865657279465938</v>
      </c>
      <c r="E25" s="14">
        <f t="shared" si="21"/>
        <v>9.7578615878373284E-2</v>
      </c>
      <c r="F25" s="14">
        <f t="shared" si="21"/>
        <v>0.10879493340547078</v>
      </c>
      <c r="G25" s="14">
        <f t="shared" si="21"/>
        <v>7.2875924602250369E-2</v>
      </c>
      <c r="H25" s="14">
        <f t="shared" si="21"/>
        <v>0.12091959009958266</v>
      </c>
      <c r="I25" s="14">
        <f t="shared" si="21"/>
        <v>0.13306947599959482</v>
      </c>
      <c r="J25" s="14">
        <f t="shared" si="21"/>
        <v>0.11049450355236648</v>
      </c>
      <c r="K25" s="14">
        <f t="shared" si="21"/>
        <v>0.15761612582165785</v>
      </c>
      <c r="L25" s="14">
        <f t="shared" ref="L25:P25" si="25">L11/L$13</f>
        <v>9.4619079723579982E-2</v>
      </c>
      <c r="M25" s="14">
        <f t="shared" si="25"/>
        <v>0.11435597469261072</v>
      </c>
      <c r="N25" s="14">
        <f t="shared" si="25"/>
        <v>0.11423260001500538</v>
      </c>
      <c r="O25" s="14">
        <f t="shared" si="25"/>
        <v>0.10135054947663241</v>
      </c>
      <c r="P25" s="14">
        <f t="shared" si="25"/>
        <v>0.11499644690090802</v>
      </c>
    </row>
    <row r="26" spans="1:16" ht="16.5" customHeight="1" x14ac:dyDescent="0.3">
      <c r="B26" s="21"/>
      <c r="C26" s="6" t="str">
        <f t="shared" si="23"/>
        <v>사무실</v>
      </c>
      <c r="D26" s="15">
        <f t="shared" si="21"/>
        <v>2.4808672510487303E-3</v>
      </c>
      <c r="E26" s="15">
        <f t="shared" si="21"/>
        <v>1.2747299109497189E-2</v>
      </c>
      <c r="F26" s="15">
        <f t="shared" si="21"/>
        <v>2.2930159285839313E-2</v>
      </c>
      <c r="G26" s="15">
        <f t="shared" si="21"/>
        <v>4.9906435472601256E-2</v>
      </c>
      <c r="H26" s="15">
        <f t="shared" si="21"/>
        <v>3.3392215197719101E-2</v>
      </c>
      <c r="I26" s="15">
        <f t="shared" si="21"/>
        <v>0.2737724845520455</v>
      </c>
      <c r="J26" s="15">
        <f t="shared" si="21"/>
        <v>0.24908981654943269</v>
      </c>
      <c r="K26" s="15">
        <f t="shared" si="21"/>
        <v>0.19215583336067635</v>
      </c>
      <c r="L26" s="15">
        <f t="shared" ref="L26:P26" si="26">L12/L$13</f>
        <v>9.55987695937974E-2</v>
      </c>
      <c r="M26" s="15">
        <f t="shared" si="26"/>
        <v>3.7645935299033068E-2</v>
      </c>
      <c r="N26" s="15">
        <f t="shared" si="26"/>
        <v>8.8673441316471729E-2</v>
      </c>
      <c r="O26" s="15">
        <f t="shared" si="26"/>
        <v>2.6227718307184733E-2</v>
      </c>
      <c r="P26" s="15">
        <f t="shared" si="26"/>
        <v>8.9484405842874065E-2</v>
      </c>
    </row>
    <row r="27" spans="1:16" ht="16.5" customHeight="1" x14ac:dyDescent="0.3">
      <c r="B27" s="22"/>
      <c r="C27" s="11" t="s">
        <v>0</v>
      </c>
      <c r="D27" s="18">
        <f t="shared" si="21"/>
        <v>1</v>
      </c>
      <c r="E27" s="18">
        <f t="shared" si="21"/>
        <v>1</v>
      </c>
      <c r="F27" s="18">
        <f t="shared" si="21"/>
        <v>1</v>
      </c>
      <c r="G27" s="18">
        <f t="shared" si="21"/>
        <v>1</v>
      </c>
      <c r="H27" s="18">
        <f t="shared" si="21"/>
        <v>1</v>
      </c>
      <c r="I27" s="18">
        <f t="shared" si="21"/>
        <v>1</v>
      </c>
      <c r="J27" s="18">
        <f t="shared" si="21"/>
        <v>1</v>
      </c>
      <c r="K27" s="18">
        <f t="shared" si="21"/>
        <v>1</v>
      </c>
      <c r="L27" s="18">
        <f t="shared" ref="L27:P27" si="27">L13/L$13</f>
        <v>1</v>
      </c>
      <c r="M27" s="18">
        <f t="shared" si="27"/>
        <v>1</v>
      </c>
      <c r="N27" s="18">
        <f t="shared" si="27"/>
        <v>1</v>
      </c>
      <c r="O27" s="18">
        <f t="shared" si="27"/>
        <v>1</v>
      </c>
      <c r="P27" s="18">
        <f t="shared" si="27"/>
        <v>1</v>
      </c>
    </row>
    <row r="28" spans="1:16" ht="16.5" customHeight="1" x14ac:dyDescent="0.3"/>
    <row r="29" spans="1:16" ht="18.75" x14ac:dyDescent="0.3">
      <c r="A29" s="2" t="s">
        <v>22</v>
      </c>
    </row>
    <row r="30" spans="1:16" x14ac:dyDescent="0.3">
      <c r="P30" s="3" t="s">
        <v>21</v>
      </c>
    </row>
    <row r="31" spans="1:16" ht="16.5" customHeight="1" thickBot="1" x14ac:dyDescent="0.35">
      <c r="B31" s="20" t="s">
        <v>13</v>
      </c>
      <c r="C31" s="20"/>
      <c r="D31" s="7" t="s">
        <v>1</v>
      </c>
      <c r="E31" s="7" t="s">
        <v>2</v>
      </c>
      <c r="F31" s="7" t="s">
        <v>3</v>
      </c>
      <c r="G31" s="7" t="s">
        <v>4</v>
      </c>
      <c r="H31" s="7" t="s">
        <v>5</v>
      </c>
      <c r="I31" s="7" t="s">
        <v>6</v>
      </c>
      <c r="J31" s="7" t="s">
        <v>7</v>
      </c>
      <c r="K31" s="7" t="s">
        <v>8</v>
      </c>
      <c r="L31" s="7" t="s">
        <v>9</v>
      </c>
      <c r="M31" s="7" t="s">
        <v>10</v>
      </c>
      <c r="N31" s="7" t="s">
        <v>11</v>
      </c>
      <c r="O31" s="7" t="s">
        <v>12</v>
      </c>
      <c r="P31" s="7" t="s">
        <v>15</v>
      </c>
    </row>
    <row r="32" spans="1:16" ht="16.5" customHeight="1" thickTop="1" x14ac:dyDescent="0.3">
      <c r="B32" s="23" t="s">
        <v>23</v>
      </c>
      <c r="C32" s="8" t="s">
        <v>17</v>
      </c>
      <c r="D32" s="13">
        <f t="shared" ref="D32:P32" si="28">D4/(D$8-D$7)</f>
        <v>0.27213097820473092</v>
      </c>
      <c r="E32" s="13">
        <f t="shared" si="28"/>
        <v>0.31823062762973353</v>
      </c>
      <c r="F32" s="13">
        <f t="shared" si="28"/>
        <v>0.36822219814744594</v>
      </c>
      <c r="G32" s="13">
        <f t="shared" si="28"/>
        <v>0.38181133542258827</v>
      </c>
      <c r="H32" s="13">
        <f t="shared" si="28"/>
        <v>0.4107912660817894</v>
      </c>
      <c r="I32" s="13">
        <f t="shared" si="28"/>
        <v>0.36563980612485703</v>
      </c>
      <c r="J32" s="13">
        <f t="shared" si="28"/>
        <v>0.33990999665926463</v>
      </c>
      <c r="K32" s="13">
        <f t="shared" si="28"/>
        <v>0.28588260829121576</v>
      </c>
      <c r="L32" s="13">
        <f t="shared" si="28"/>
        <v>0.30302323411402443</v>
      </c>
      <c r="M32" s="13">
        <f t="shared" si="28"/>
        <v>0.42314670761521833</v>
      </c>
      <c r="N32" s="13">
        <f t="shared" si="28"/>
        <v>0.3668255218891277</v>
      </c>
      <c r="O32" s="13">
        <f t="shared" si="28"/>
        <v>0.40862573099415206</v>
      </c>
      <c r="P32" s="13">
        <f t="shared" si="28"/>
        <v>0.36665843421737171</v>
      </c>
    </row>
    <row r="33" spans="2:16" ht="16.5" customHeight="1" x14ac:dyDescent="0.3">
      <c r="B33" s="24"/>
      <c r="C33" s="5" t="s">
        <v>16</v>
      </c>
      <c r="D33" s="14">
        <f t="shared" ref="D33:P33" si="29">D5/(D$8-D$7)</f>
        <v>0.6242640223117446</v>
      </c>
      <c r="E33" s="14">
        <f t="shared" si="29"/>
        <v>0.59273097826086951</v>
      </c>
      <c r="F33" s="14">
        <f t="shared" si="29"/>
        <v>0.51275662206814365</v>
      </c>
      <c r="G33" s="14">
        <f t="shared" si="29"/>
        <v>0.52112333892087559</v>
      </c>
      <c r="H33" s="14">
        <f t="shared" si="29"/>
        <v>0.50265997701600473</v>
      </c>
      <c r="I33" s="14">
        <f t="shared" si="29"/>
        <v>0.46405685551945103</v>
      </c>
      <c r="J33" s="14">
        <f t="shared" si="29"/>
        <v>0.51225263819836109</v>
      </c>
      <c r="K33" s="14">
        <f t="shared" si="29"/>
        <v>0.64869306378096803</v>
      </c>
      <c r="L33" s="14">
        <f t="shared" si="29"/>
        <v>0.57395570899816495</v>
      </c>
      <c r="M33" s="14">
        <f t="shared" si="29"/>
        <v>0.47486715293071746</v>
      </c>
      <c r="N33" s="14">
        <f t="shared" si="29"/>
        <v>0.52916382996626554</v>
      </c>
      <c r="O33" s="14">
        <f t="shared" si="29"/>
        <v>0.49632527264106213</v>
      </c>
      <c r="P33" s="14">
        <f t="shared" si="29"/>
        <v>0.52641739394754228</v>
      </c>
    </row>
    <row r="34" spans="2:16" ht="16.5" customHeight="1" x14ac:dyDescent="0.3">
      <c r="B34" s="24"/>
      <c r="C34" s="5" t="s">
        <v>18</v>
      </c>
      <c r="D34" s="14">
        <f t="shared" ref="D34:P34" si="30">D6/(D$8-D$7)</f>
        <v>0.10360499948352443</v>
      </c>
      <c r="E34" s="14">
        <f t="shared" si="30"/>
        <v>8.9038394109396915E-2</v>
      </c>
      <c r="F34" s="14">
        <f t="shared" si="30"/>
        <v>0.11902117978441037</v>
      </c>
      <c r="G34" s="14">
        <f t="shared" si="30"/>
        <v>9.7065325656536208E-2</v>
      </c>
      <c r="H34" s="14">
        <f t="shared" si="30"/>
        <v>8.6548756902205898E-2</v>
      </c>
      <c r="I34" s="14">
        <f t="shared" si="30"/>
        <v>0.17030333835569192</v>
      </c>
      <c r="J34" s="14">
        <f t="shared" si="30"/>
        <v>0.14783736514237428</v>
      </c>
      <c r="K34" s="14">
        <f t="shared" si="30"/>
        <v>6.5424327927816189E-2</v>
      </c>
      <c r="L34" s="14">
        <f t="shared" si="30"/>
        <v>0.12302105688781065</v>
      </c>
      <c r="M34" s="14">
        <f t="shared" si="30"/>
        <v>0.10198613945406421</v>
      </c>
      <c r="N34" s="14">
        <f t="shared" si="30"/>
        <v>0.1040106481446067</v>
      </c>
      <c r="O34" s="14">
        <f t="shared" si="30"/>
        <v>9.5048996364785837E-2</v>
      </c>
      <c r="P34" s="14">
        <f t="shared" si="30"/>
        <v>0.10692417183508601</v>
      </c>
    </row>
    <row r="35" spans="2:16" ht="16.5" customHeight="1" x14ac:dyDescent="0.3">
      <c r="B35" s="25"/>
      <c r="C35" s="9" t="s">
        <v>0</v>
      </c>
      <c r="D35" s="16">
        <f>SUM(D32:D34)</f>
        <v>1</v>
      </c>
      <c r="E35" s="16">
        <f t="shared" ref="E35:P35" si="31">SUM(E32:E34)</f>
        <v>1</v>
      </c>
      <c r="F35" s="16">
        <f t="shared" si="31"/>
        <v>1</v>
      </c>
      <c r="G35" s="16">
        <f t="shared" si="31"/>
        <v>1</v>
      </c>
      <c r="H35" s="16">
        <f t="shared" si="31"/>
        <v>1</v>
      </c>
      <c r="I35" s="16">
        <f t="shared" si="31"/>
        <v>0.99999999999999989</v>
      </c>
      <c r="J35" s="16">
        <f t="shared" si="31"/>
        <v>1</v>
      </c>
      <c r="K35" s="16">
        <f t="shared" si="31"/>
        <v>1</v>
      </c>
      <c r="L35" s="16">
        <f t="shared" si="31"/>
        <v>1</v>
      </c>
      <c r="M35" s="16">
        <f t="shared" si="31"/>
        <v>1</v>
      </c>
      <c r="N35" s="16">
        <f t="shared" si="31"/>
        <v>0.99999999999999989</v>
      </c>
      <c r="O35" s="16">
        <f t="shared" si="31"/>
        <v>1</v>
      </c>
      <c r="P35" s="16">
        <f t="shared" si="31"/>
        <v>1</v>
      </c>
    </row>
    <row r="36" spans="2:16" ht="16.5" customHeight="1" x14ac:dyDescent="0.3">
      <c r="B36" s="21" t="s">
        <v>24</v>
      </c>
      <c r="C36" s="4" t="str">
        <f>C32</f>
        <v>정문</v>
      </c>
      <c r="D36" s="17">
        <f t="shared" ref="D36:K38" si="32">D9/(D$13-D$12)</f>
        <v>0.28154769082358616</v>
      </c>
      <c r="E36" s="17">
        <f t="shared" si="32"/>
        <v>0.30088063368996198</v>
      </c>
      <c r="F36" s="17">
        <f t="shared" si="32"/>
        <v>0.33415849646591317</v>
      </c>
      <c r="G36" s="17">
        <f t="shared" si="32"/>
        <v>0.36493123356917639</v>
      </c>
      <c r="H36" s="17">
        <f t="shared" si="32"/>
        <v>0.39565465980560321</v>
      </c>
      <c r="I36" s="17">
        <f t="shared" si="32"/>
        <v>0.3369466667995098</v>
      </c>
      <c r="J36" s="17">
        <f t="shared" si="32"/>
        <v>0.27516004518922987</v>
      </c>
      <c r="K36" s="17">
        <f t="shared" si="32"/>
        <v>0.26290920906555471</v>
      </c>
      <c r="L36" s="17">
        <f t="shared" ref="L36:P36" si="33">L9/(L$13-L$12)</f>
        <v>0.29922076106833773</v>
      </c>
      <c r="M36" s="17">
        <f t="shared" si="33"/>
        <v>0.43124227824611372</v>
      </c>
      <c r="N36" s="17">
        <f t="shared" si="33"/>
        <v>0.33010428100987926</v>
      </c>
      <c r="O36" s="17">
        <f t="shared" si="33"/>
        <v>0.42694876419831329</v>
      </c>
      <c r="P36" s="17">
        <f t="shared" si="33"/>
        <v>0.35316623423473426</v>
      </c>
    </row>
    <row r="37" spans="2:16" ht="16.5" customHeight="1" x14ac:dyDescent="0.3">
      <c r="B37" s="21"/>
      <c r="C37" s="5" t="str">
        <f>C33</f>
        <v>동문</v>
      </c>
      <c r="D37" s="14">
        <f t="shared" si="32"/>
        <v>0.56942602194621972</v>
      </c>
      <c r="E37" s="14">
        <f t="shared" si="32"/>
        <v>0.60028082599471921</v>
      </c>
      <c r="F37" s="14">
        <f t="shared" si="32"/>
        <v>0.5544933389791864</v>
      </c>
      <c r="G37" s="14">
        <f t="shared" si="32"/>
        <v>0.5583648213425304</v>
      </c>
      <c r="H37" s="14">
        <f t="shared" si="32"/>
        <v>0.47924848912329077</v>
      </c>
      <c r="I37" s="14">
        <f t="shared" si="32"/>
        <v>0.47981946616983334</v>
      </c>
      <c r="J37" s="14">
        <f t="shared" si="32"/>
        <v>0.57769252494822065</v>
      </c>
      <c r="K37" s="14">
        <f t="shared" si="32"/>
        <v>0.54198369933118518</v>
      </c>
      <c r="L37" s="14">
        <f t="shared" ref="L37:P37" si="34">L10/(L$13-L$12)</f>
        <v>0.59615855007978757</v>
      </c>
      <c r="M37" s="14">
        <f t="shared" si="34"/>
        <v>0.44992830242977855</v>
      </c>
      <c r="N37" s="14">
        <f t="shared" si="34"/>
        <v>0.54454811562385652</v>
      </c>
      <c r="O37" s="14">
        <f t="shared" si="34"/>
        <v>0.46897089650465557</v>
      </c>
      <c r="P37" s="14">
        <f t="shared" si="34"/>
        <v>0.52053560279161404</v>
      </c>
    </row>
    <row r="38" spans="2:16" ht="16.5" customHeight="1" x14ac:dyDescent="0.3">
      <c r="B38" s="21"/>
      <c r="C38" s="5" t="str">
        <f>C34</f>
        <v>후문</v>
      </c>
      <c r="D38" s="14">
        <f t="shared" si="32"/>
        <v>0.14902628723019415</v>
      </c>
      <c r="E38" s="14">
        <f t="shared" si="32"/>
        <v>9.8838540315318746E-2</v>
      </c>
      <c r="F38" s="14">
        <f t="shared" si="32"/>
        <v>0.11134816455490049</v>
      </c>
      <c r="G38" s="14">
        <f t="shared" si="32"/>
        <v>7.6703945088293229E-2</v>
      </c>
      <c r="H38" s="14">
        <f t="shared" si="32"/>
        <v>0.12509685107110605</v>
      </c>
      <c r="I38" s="14">
        <f t="shared" si="32"/>
        <v>0.18323386703065689</v>
      </c>
      <c r="J38" s="14">
        <f t="shared" si="32"/>
        <v>0.14714742986254942</v>
      </c>
      <c r="K38" s="14">
        <f t="shared" si="32"/>
        <v>0.19510709160326015</v>
      </c>
      <c r="L38" s="14">
        <f t="shared" ref="L38:P38" si="35">L11/(L$13-L$12)</f>
        <v>0.10462068885187471</v>
      </c>
      <c r="M38" s="14">
        <f t="shared" si="35"/>
        <v>0.11882941932410775</v>
      </c>
      <c r="N38" s="14">
        <f t="shared" si="35"/>
        <v>0.12534760336626419</v>
      </c>
      <c r="O38" s="14">
        <f t="shared" si="35"/>
        <v>0.10408033929703116</v>
      </c>
      <c r="P38" s="14">
        <f t="shared" si="35"/>
        <v>0.12629816297365171</v>
      </c>
    </row>
    <row r="39" spans="2:16" ht="16.5" customHeight="1" x14ac:dyDescent="0.3">
      <c r="B39" s="22"/>
      <c r="C39" s="11" t="s">
        <v>0</v>
      </c>
      <c r="D39" s="18">
        <f>SUM(D36:D38)</f>
        <v>1</v>
      </c>
      <c r="E39" s="18">
        <f t="shared" ref="E39:K39" si="36">SUM(E36:E38)</f>
        <v>1</v>
      </c>
      <c r="F39" s="18">
        <f t="shared" si="36"/>
        <v>1</v>
      </c>
      <c r="G39" s="18">
        <f t="shared" si="36"/>
        <v>1</v>
      </c>
      <c r="H39" s="18">
        <f t="shared" si="36"/>
        <v>1</v>
      </c>
      <c r="I39" s="18">
        <f t="shared" si="36"/>
        <v>1</v>
      </c>
      <c r="J39" s="18">
        <f t="shared" si="36"/>
        <v>1</v>
      </c>
      <c r="K39" s="18">
        <f t="shared" si="36"/>
        <v>1</v>
      </c>
      <c r="L39" s="18">
        <f t="shared" ref="L39:P39" si="37">SUM(L36:L38)</f>
        <v>1</v>
      </c>
      <c r="M39" s="18">
        <f t="shared" si="37"/>
        <v>1</v>
      </c>
      <c r="N39" s="18">
        <f t="shared" si="37"/>
        <v>1</v>
      </c>
      <c r="O39" s="18">
        <f t="shared" si="37"/>
        <v>1</v>
      </c>
      <c r="P39" s="18">
        <f t="shared" si="37"/>
        <v>1</v>
      </c>
    </row>
    <row r="40" spans="2:16" x14ac:dyDescent="0.3"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</row>
  </sheetData>
  <mergeCells count="9">
    <mergeCell ref="B17:C17"/>
    <mergeCell ref="B4:B8"/>
    <mergeCell ref="B3:C3"/>
    <mergeCell ref="B9:B13"/>
    <mergeCell ref="B36:B39"/>
    <mergeCell ref="B18:B22"/>
    <mergeCell ref="B23:B27"/>
    <mergeCell ref="B31:C31"/>
    <mergeCell ref="B32:B3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게이트별입장객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KIMMJ</dc:creator>
  <cp:lastModifiedBy>김묵주</cp:lastModifiedBy>
  <dcterms:created xsi:type="dcterms:W3CDTF">2021-04-20T03:52:13Z</dcterms:created>
  <dcterms:modified xsi:type="dcterms:W3CDTF">2026-01-19T08:46:58Z</dcterms:modified>
</cp:coreProperties>
</file>