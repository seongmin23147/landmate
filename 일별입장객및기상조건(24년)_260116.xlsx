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기획팀(기획)\4.기획업무\기타\2026_한국외대\2.전달\"/>
    </mc:Choice>
  </mc:AlternateContent>
  <xr:revisionPtr revIDLastSave="0" documentId="13_ncr:1_{266D4296-8E32-4001-BC5A-4A8D62459F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월" sheetId="64" r:id="rId1"/>
    <sheet name="2월" sheetId="65" r:id="rId2"/>
    <sheet name="3월" sheetId="66" r:id="rId3"/>
    <sheet name="4월" sheetId="67" r:id="rId4"/>
    <sheet name="5월" sheetId="68" r:id="rId5"/>
    <sheet name="6월" sheetId="69" r:id="rId6"/>
    <sheet name="7월" sheetId="70" r:id="rId7"/>
    <sheet name="8월" sheetId="71" r:id="rId8"/>
    <sheet name="9월" sheetId="72" r:id="rId9"/>
    <sheet name="10월" sheetId="73" r:id="rId10"/>
    <sheet name="11월" sheetId="74" r:id="rId11"/>
    <sheet name="12월" sheetId="75" r:id="rId12"/>
  </sheets>
  <calcPr calcId="191029"/>
</workbook>
</file>

<file path=xl/calcChain.xml><?xml version="1.0" encoding="utf-8"?>
<calcChain xmlns="http://schemas.openxmlformats.org/spreadsheetml/2006/main">
  <c r="I36" i="69" l="1"/>
  <c r="I36" i="68"/>
  <c r="I36" i="67"/>
  <c r="I36" i="65"/>
  <c r="H36" i="65"/>
  <c r="H36" i="68" l="1"/>
  <c r="H36" i="69"/>
  <c r="I36" i="75"/>
  <c r="H36" i="75"/>
  <c r="I36" i="74"/>
  <c r="H36" i="74"/>
  <c r="I36" i="73"/>
  <c r="H36" i="73"/>
  <c r="I36" i="72"/>
  <c r="H36" i="72"/>
  <c r="I36" i="71"/>
  <c r="H36" i="71"/>
  <c r="I36" i="70"/>
  <c r="H36" i="70"/>
  <c r="H36" i="67"/>
  <c r="I36" i="66"/>
  <c r="H36" i="66"/>
  <c r="H36" i="64"/>
  <c r="H37" i="64" s="1"/>
  <c r="H37" i="65" s="1"/>
  <c r="I36" i="64"/>
  <c r="I37" i="64" s="1"/>
  <c r="I37" i="65" s="1"/>
  <c r="I37" i="66" l="1"/>
  <c r="I37" i="67" s="1"/>
  <c r="I37" i="68" s="1"/>
  <c r="I37" i="69" s="1"/>
  <c r="I37" i="70" s="1"/>
  <c r="I37" i="71" s="1"/>
  <c r="H37" i="66"/>
  <c r="H37" i="67" s="1"/>
  <c r="H37" i="68" s="1"/>
  <c r="H37" i="69" s="1"/>
  <c r="H37" i="70" s="1"/>
  <c r="H37" i="71" s="1"/>
  <c r="H37" i="72" s="1"/>
  <c r="H37" i="73" s="1"/>
  <c r="H37" i="74" s="1"/>
  <c r="H37" i="75" s="1"/>
  <c r="I37" i="72" l="1"/>
  <c r="I37" i="73" s="1"/>
  <c r="I37" i="74" s="1"/>
  <c r="I37" i="7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7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>(~10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(12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~16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미세먼지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10" authorId="0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>(19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C13" authorId="0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대설주의보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8" authorId="0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오후비</t>
        </r>
        <r>
          <rPr>
            <sz val="9"/>
            <color indexed="81"/>
            <rFont val="Tahoma"/>
            <family val="2"/>
          </rPr>
          <t>(11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~15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)</t>
        </r>
      </text>
    </comment>
    <comment ref="C21" authorId="0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>(~13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~), </t>
        </r>
        <r>
          <rPr>
            <sz val="9"/>
            <color indexed="81"/>
            <rFont val="돋움"/>
            <family val="3"/>
            <charset val="129"/>
          </rPr>
          <t>미세먼지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4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~),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5" authorId="0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>(11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~15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6" authorId="0" shapeId="0" xr:uid="{00000000-0006-0000-00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>(~11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한파주의보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구름조금</t>
        </r>
      </text>
    </comment>
    <comment ref="C27" authorId="0" shapeId="0" xr:uid="{00000000-0006-0000-00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한파주의보</t>
        </r>
      </text>
    </comment>
    <comment ref="C28" authorId="0" shapeId="0" xr:uid="{00000000-0006-0000-0000-00000B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한파주의보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7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저녁비</t>
        </r>
        <r>
          <rPr>
            <sz val="9"/>
            <color indexed="81"/>
            <rFont val="Tahoma"/>
            <family val="2"/>
          </rPr>
          <t>(20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~)</t>
        </r>
      </text>
    </comment>
    <comment ref="C9" authorId="0" shapeId="0" xr:uid="{00000000-0006-0000-01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(~10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>(10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~),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A16" authorId="0" shapeId="0" xr:uid="{00000000-0006-0000-01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대체휴일</t>
        </r>
      </text>
    </comment>
    <comment ref="C19" authorId="0" shapeId="0" xr:uid="{00000000-0006-0000-01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(~12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>(12~15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22" authorId="0" shapeId="0" xr:uid="{00000000-0006-0000-01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(15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C23" authorId="0" shapeId="0" xr:uid="{00000000-0006-0000-01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4" authorId="0" shapeId="0" xr:uid="{00000000-0006-0000-01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C25" authorId="0" shapeId="0" xr:uid="{00000000-0006-0000-01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>(15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~),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6" authorId="0" shapeId="0" xr:uid="{00000000-0006-0000-01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>(15~18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28" authorId="0" shapeId="0" xr:uid="{00000000-0006-0000-0100-00000B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(15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6" authorId="0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눈예보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구름조금</t>
        </r>
      </text>
    </comment>
    <comment ref="C16" authorId="0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21" authorId="0" shapeId="0" xr:uid="{00000000-0006-0000-02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23" authorId="0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26" authorId="0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(17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C29" authorId="0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~)</t>
        </r>
      </text>
    </comment>
    <comment ref="C30" authorId="0" shapeId="0" xr:uid="{00000000-0006-0000-02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(~11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32" authorId="0" shapeId="0" xr:uid="{00000000-0006-0000-02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33" authorId="0" shapeId="0" xr:uid="{00000000-0006-0000-02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구름조금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4" authorId="0" shapeId="0" xr:uid="{00000000-0006-0000-0200-00000B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구름조금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7" authorId="0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A14" authorId="0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22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국회의원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선거</t>
        </r>
      </text>
    </comment>
    <comment ref="C15" authorId="0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구름조금</t>
        </r>
      </text>
    </comment>
    <comment ref="C19" authorId="0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0" authorId="0" shapeId="0" xr:uid="{00000000-0006-0000-03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(~10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미세먼지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21" authorId="0" shapeId="0" xr:uid="{00000000-0006-0000-03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22" authorId="0" shapeId="0" xr:uid="{00000000-0006-0000-03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23" authorId="0" shapeId="0" xr:uid="{00000000-0006-0000-03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24" authorId="0" shapeId="0" xr:uid="{00000000-0006-0000-03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7" authorId="0" shapeId="0" xr:uid="{00000000-0006-0000-0300-00000C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(18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~)</t>
        </r>
      </text>
    </comment>
    <comment ref="C28" authorId="0" shapeId="0" xr:uid="{00000000-0006-0000-0300-00000D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(~10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30" authorId="0" shapeId="0" xr:uid="{00000000-0006-0000-0300-00000E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9" authorId="0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A10" authorId="0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휴일</t>
        </r>
      </text>
    </comment>
    <comment ref="C10" authorId="0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1" authorId="0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5" authorId="0" shapeId="0" xr:uid="{00000000-0006-0000-04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~)</t>
        </r>
      </text>
    </comment>
    <comment ref="C16" authorId="0" shapeId="0" xr:uid="{00000000-0006-0000-04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19" authorId="0" shapeId="0" xr:uid="{00000000-0006-0000-04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~)</t>
        </r>
      </text>
    </comment>
    <comment ref="C30" authorId="0" shapeId="0" xr:uid="{00000000-0006-0000-04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~)</t>
        </r>
      </text>
    </comment>
    <comment ref="C35" authorId="0" shapeId="0" xr:uid="{00000000-0006-0000-04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소나기</t>
        </r>
        <r>
          <rPr>
            <sz val="9"/>
            <color indexed="81"/>
            <rFont val="Tahoma"/>
            <family val="2"/>
          </rPr>
          <t>(18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11" authorId="0" shapeId="0" xr:uid="{00000000-0006-0000-05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(20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C12" authorId="0" shapeId="0" xr:uid="{00000000-0006-0000-05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소나기</t>
        </r>
      </text>
    </comment>
    <comment ref="C18" authorId="0" shapeId="0" xr:uid="{00000000-0006-0000-05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저녁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소나기</t>
        </r>
      </text>
    </comment>
    <comment ref="C19" authorId="0" shapeId="0" xr:uid="{00000000-0006-0000-05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소나기</t>
        </r>
        <r>
          <rPr>
            <sz val="9"/>
            <color indexed="81"/>
            <rFont val="Tahoma"/>
            <family val="2"/>
          </rPr>
          <t>(20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~21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26" authorId="0" shapeId="0" xr:uid="{00000000-0006-0000-05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(~18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, 21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~),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33" authorId="0" shapeId="0" xr:uid="{00000000-0006-0000-05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(18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~), </t>
        </r>
        <r>
          <rPr>
            <sz val="9"/>
            <color indexed="81"/>
            <rFont val="돋움"/>
            <family val="3"/>
            <charset val="129"/>
          </rPr>
          <t>호우주의보</t>
        </r>
      </text>
    </comment>
    <comment ref="C34" authorId="0" shapeId="0" xr:uid="{00000000-0006-0000-05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오전비예보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6" authorId="0" shapeId="0" xr:uid="{00000000-0006-0000-06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8" authorId="0" shapeId="0" xr:uid="{00000000-0006-0000-06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소나기</t>
        </r>
        <r>
          <rPr>
            <sz val="9"/>
            <color indexed="81"/>
            <rFont val="Tahoma"/>
            <family val="2"/>
          </rPr>
          <t>(18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40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~19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)</t>
        </r>
      </text>
    </comment>
    <comment ref="C10" authorId="0" shapeId="0" xr:uid="{00000000-0006-0000-06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~11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, 21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C11" authorId="0" shapeId="0" xr:uid="{00000000-0006-0000-06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비예보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소나기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(16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C12" authorId="0" shapeId="0" xr:uid="{00000000-0006-0000-06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3" authorId="0" shapeId="0" xr:uid="{00000000-0006-0000-06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(12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~),</t>
        </r>
        <r>
          <rPr>
            <sz val="9"/>
            <color indexed="81"/>
            <rFont val="돋움"/>
            <family val="3"/>
            <charset val="129"/>
          </rPr>
          <t>오락가락</t>
        </r>
      </text>
    </comment>
    <comment ref="C14" authorId="0" shapeId="0" xr:uid="{00000000-0006-0000-06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(15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C18" authorId="0" shapeId="0" xr:uid="{00000000-0006-0000-06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구름조금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오후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비예보</t>
        </r>
      </text>
    </comment>
    <comment ref="C20" authorId="0" shapeId="0" xr:uid="{00000000-0006-0000-0600-00000C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(12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~)</t>
        </r>
      </text>
    </comment>
    <comment ref="C21" authorId="0" shapeId="0" xr:uid="{00000000-0006-0000-0600-00000D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2" authorId="0" shapeId="0" xr:uid="{00000000-0006-0000-0600-00000E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4" authorId="0" shapeId="0" xr:uid="{00000000-0006-0000-0600-00000F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(18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~19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흐림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" authorId="0" shapeId="0" xr:uid="{00000000-0006-0000-0600-000010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(~10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6" authorId="0" shapeId="0" xr:uid="{00000000-0006-0000-0600-000011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7" authorId="0" shapeId="0" xr:uid="{00000000-0006-0000-0600-00001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8" authorId="0" shapeId="0" xr:uid="{00000000-0006-0000-0600-00001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29" authorId="0" shapeId="0" xr:uid="{00000000-0006-0000-0600-00001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30" authorId="0" shapeId="0" xr:uid="{00000000-0006-0000-0600-00001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소나기</t>
        </r>
      </text>
    </comment>
    <comment ref="C31" authorId="0" shapeId="0" xr:uid="{00000000-0006-0000-0600-00001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소나기</t>
        </r>
      </text>
    </comment>
    <comment ref="C33" authorId="0" shapeId="0" xr:uid="{00000000-0006-0000-0600-00001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비예보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6" authorId="0" shapeId="0" xr:uid="{00000000-0006-0000-07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9" authorId="0" shapeId="0" xr:uid="{00000000-0006-0000-07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10" authorId="0" shapeId="0" xr:uid="{00000000-0006-0000-07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구름조금</t>
        </r>
      </text>
    </comment>
    <comment ref="C11" authorId="0" shapeId="0" xr:uid="{00000000-0006-0000-07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구름조금</t>
        </r>
      </text>
    </comment>
    <comment ref="C12" authorId="0" shapeId="0" xr:uid="{00000000-0006-0000-07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비예보</t>
        </r>
      </text>
    </comment>
    <comment ref="C13" authorId="0" shapeId="0" xr:uid="{00000000-0006-0000-07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구름조금</t>
        </r>
      </text>
    </comment>
    <comment ref="C17" authorId="0" shapeId="0" xr:uid="{00000000-0006-0000-07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구름조금</t>
        </r>
      </text>
    </comment>
    <comment ref="C22" authorId="0" shapeId="0" xr:uid="{00000000-0006-0000-07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25" authorId="0" shapeId="0" xr:uid="{00000000-0006-0000-07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호우주의보</t>
        </r>
      </text>
    </comment>
    <comment ref="C26" authorId="0" shapeId="0" xr:uid="{00000000-0006-0000-0700-00000B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8" authorId="0" shapeId="0" xr:uid="{FB049A84-E01C-4A9A-BC93-79526C50BAD3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구름조금</t>
        </r>
      </text>
    </comment>
    <comment ref="C30" authorId="0" shapeId="0" xr:uid="{7ABD48E0-B395-42AF-B7FD-65A66BF46DE1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구름많음
</t>
        </r>
      </text>
    </comment>
    <comment ref="C31" authorId="0" shapeId="0" xr:uid="{491A2645-8AA3-49E1-A8DB-3FF802AB88F9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오전비</t>
        </r>
        <r>
          <rPr>
            <sz val="9"/>
            <color indexed="81"/>
            <rFont val="Tahoma"/>
            <family val="2"/>
          </rPr>
          <t>(~13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9" authorId="0" shapeId="0" xr:uid="{FDFC8723-F054-4D13-8BFF-C58A1C9448A1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~17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10" authorId="0" shapeId="0" xr:uid="{493F1F35-4A58-4C40-9E3D-A52222AA70E6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,18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C15" authorId="0" shapeId="0" xr:uid="{ABF2C422-8DCF-428A-A9B7-97245264747E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16" authorId="0" shapeId="0" xr:uid="{6C62434E-DF35-4645-A02D-F3671DD2DC7E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7" authorId="0" shapeId="0" xr:uid="{1EF73A03-163F-4668-9D4C-12E659D3743D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</t>
        </r>
      </text>
    </comment>
    <comment ref="C18" authorId="0" shapeId="0" xr:uid="{42D8344F-FDC9-4635-931B-C8050DD5C18C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구름조금</t>
        </r>
      </text>
    </comment>
    <comment ref="C21" authorId="0" shapeId="0" xr:uid="{0C02E9A3-6923-4EA2-9788-D49A14CC86A3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24" authorId="0" shapeId="0" xr:uid="{36BC9F5E-CAA0-4DDD-8594-DA366C6D51C7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5" authorId="0" shapeId="0" xr:uid="{9611162B-765C-4FC7-B61D-C0FAD83998EC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)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A5" authorId="0" shapeId="0" xr:uid="{855F4ED0-F03A-46AE-B40F-567AE0D38B85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임시공휴일</t>
        </r>
      </text>
    </comment>
    <comment ref="C5" authorId="0" shapeId="0" xr:uid="{17B95444-21E9-4E96-9EFF-5292C2376202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10" authorId="0" shapeId="0" xr:uid="{50B148F8-4742-4D1B-B427-4A5E6398FE89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~17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18" authorId="0" shapeId="0" xr:uid="{57BF1337-8A97-482B-A6F4-C7885FC86C35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(12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~15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19" authorId="0" shapeId="0" xr:uid="{170984DE-9838-4689-8444-42F0FB1573EB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(~12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22" authorId="0" shapeId="0" xr:uid="{0E81C977-95D3-48E8-90AB-9F4852CF147E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5" authorId="0" shapeId="0" xr:uid="{DADD0B63-3314-429C-86B1-D150948FB6C9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(19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C26" authorId="0" shapeId="0" xr:uid="{11087CE4-19A5-4EC6-AFC5-6FA3F2598353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31" authorId="0" shapeId="0" xr:uid="{6C7AFB36-E8CC-47CE-AAFA-F33C5DC2DA3E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:14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~15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20" authorId="0" shapeId="0" xr:uid="{FF45F37B-13AB-498B-B509-D1E03895212B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(15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~20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24" authorId="0" shapeId="0" xr:uid="{D0D67AF4-E24C-44DD-B8EC-67045EA2C5C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한때비</t>
        </r>
        <r>
          <rPr>
            <sz val="9"/>
            <color indexed="81"/>
            <rFont val="Tahoma"/>
            <family val="2"/>
          </rPr>
          <t>(15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~17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25" authorId="0" shapeId="0" xr:uid="{A7ECD203-1B70-425E-8C07-84BB1E26EDD3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~17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구름조금</t>
        </r>
      </text>
    </comment>
    <comment ref="C30" authorId="0" shapeId="0" xr:uid="{E989A4D6-014B-420B-A5B6-73FCCAD1115D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31" authorId="0" shapeId="0" xr:uid="{430F673F-54E2-4C83-B191-9A9A49A8F625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A32" authorId="0" shapeId="0" xr:uid="{BE2DACAB-A4DE-4A2A-81E5-83846C1FDC69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무료입장</t>
        </r>
      </text>
    </comment>
    <comment ref="C32" authorId="0" shapeId="0" xr:uid="{8FCEB1C7-A6E8-49C4-B784-CAF6990ABCA5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>(~10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구름조금</t>
        </r>
      </text>
    </comment>
    <comment ref="C33" authorId="0" shapeId="0" xr:uid="{0B6A07EF-8E81-4BB7-84EC-BB210E5524EE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한때눈</t>
        </r>
        <r>
          <rPr>
            <sz val="9"/>
            <color indexed="81"/>
            <rFont val="Tahoma"/>
            <family val="2"/>
          </rPr>
          <t>(14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~16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34" authorId="0" shapeId="0" xr:uid="{8EE06D16-D6AD-45F0-8B3C-DA48CEBC427F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구름조금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6" authorId="0" shapeId="0" xr:uid="{5A5C3E36-5AD8-4DAB-9F8B-4FA4956B13DF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구름조금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9" authorId="0" shapeId="0" xr:uid="{C19AB3E2-2BC4-4F04-BDBD-BC44EE251D12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구름조금</t>
        </r>
      </text>
    </comment>
    <comment ref="C19" authorId="0" shapeId="0" xr:uid="{A4C5D29E-DD6C-4CA8-B533-ED03E30F707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>(10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~11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20" authorId="0" shapeId="0" xr:uid="{EA2B351A-ACCE-4F2A-A23B-D49F6102105A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>(13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~18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25" authorId="0" shapeId="0" xr:uid="{5C14F210-DDB8-4D23-B852-1040211F349C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구름조금</t>
        </r>
      </text>
    </comment>
    <comment ref="C29" authorId="0" shapeId="0" xr:uid="{E564A4C6-11E8-4950-A50F-ACA79096C8AE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한때비</t>
        </r>
        <r>
          <rPr>
            <sz val="9"/>
            <color indexed="81"/>
            <rFont val="Tahoma"/>
            <family val="2"/>
          </rPr>
          <t>(19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~19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20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<sst xmlns="http://schemas.openxmlformats.org/spreadsheetml/2006/main" count="1668" uniqueCount="645">
  <si>
    <t>월   계</t>
    <phoneticPr fontId="3" type="noConversion"/>
  </si>
  <si>
    <t>요일</t>
    <phoneticPr fontId="3" type="noConversion"/>
  </si>
  <si>
    <t>일자</t>
    <phoneticPr fontId="3" type="noConversion"/>
  </si>
  <si>
    <t>1월</t>
    <phoneticPr fontId="3" type="noConversion"/>
  </si>
  <si>
    <t>연   계</t>
    <phoneticPr fontId="3" type="noConversion"/>
  </si>
  <si>
    <t>금</t>
  </si>
  <si>
    <t>토</t>
  </si>
  <si>
    <t>일</t>
  </si>
  <si>
    <t>월</t>
  </si>
  <si>
    <t>화</t>
  </si>
  <si>
    <t>수</t>
  </si>
  <si>
    <t>목</t>
  </si>
  <si>
    <t>날씨</t>
    <phoneticPr fontId="3" type="noConversion"/>
  </si>
  <si>
    <t>최저</t>
    <phoneticPr fontId="3" type="noConversion"/>
  </si>
  <si>
    <t>최고</t>
    <phoneticPr fontId="3" type="noConversion"/>
  </si>
  <si>
    <t>기온(℃)</t>
    <phoneticPr fontId="3" type="noConversion"/>
  </si>
  <si>
    <t>운영시간</t>
    <phoneticPr fontId="3" type="noConversion"/>
  </si>
  <si>
    <t>폐장</t>
    <phoneticPr fontId="3" type="noConversion"/>
  </si>
  <si>
    <t>개장</t>
    <phoneticPr fontId="3" type="noConversion"/>
  </si>
  <si>
    <t>A</t>
    <phoneticPr fontId="3" type="noConversion"/>
  </si>
  <si>
    <t>실입장객</t>
    <phoneticPr fontId="3" type="noConversion"/>
  </si>
  <si>
    <t>일간보고</t>
    <phoneticPr fontId="3" type="noConversion"/>
  </si>
  <si>
    <t>주간보고</t>
    <phoneticPr fontId="3" type="noConversion"/>
  </si>
  <si>
    <t>매표입장객</t>
    <phoneticPr fontId="3" type="noConversion"/>
  </si>
  <si>
    <t>2월</t>
    <phoneticPr fontId="3" type="noConversion"/>
  </si>
  <si>
    <t>3월</t>
    <phoneticPr fontId="3" type="noConversion"/>
  </si>
  <si>
    <t>4월</t>
    <phoneticPr fontId="3" type="noConversion"/>
  </si>
  <si>
    <t>월   계</t>
    <phoneticPr fontId="3" type="noConversion"/>
  </si>
  <si>
    <t>연   계</t>
    <phoneticPr fontId="3" type="noConversion"/>
  </si>
  <si>
    <t>5월</t>
    <phoneticPr fontId="3" type="noConversion"/>
  </si>
  <si>
    <t>6월</t>
    <phoneticPr fontId="3" type="noConversion"/>
  </si>
  <si>
    <t>7월</t>
    <phoneticPr fontId="3" type="noConversion"/>
  </si>
  <si>
    <t>8월</t>
    <phoneticPr fontId="3" type="noConversion"/>
  </si>
  <si>
    <t>9월</t>
    <phoneticPr fontId="3" type="noConversion"/>
  </si>
  <si>
    <t>10월</t>
    <phoneticPr fontId="3" type="noConversion"/>
  </si>
  <si>
    <t>11월</t>
    <phoneticPr fontId="3" type="noConversion"/>
  </si>
  <si>
    <t>12월</t>
    <phoneticPr fontId="3" type="noConversion"/>
  </si>
  <si>
    <t>주간보고</t>
    <phoneticPr fontId="3" type="noConversion"/>
  </si>
  <si>
    <t>월</t>
    <phoneticPr fontId="3" type="noConversion"/>
  </si>
  <si>
    <t>화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</si>
  <si>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</si>
  <si>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</si>
  <si>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</si>
  <si>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</si>
  <si>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</si>
  <si>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</si>
  <si>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토</t>
    <phoneticPr fontId="3" type="noConversion"/>
  </si>
  <si>
    <t>일</t>
    <phoneticPr fontId="3" type="noConversion"/>
  </si>
  <si>
    <t>화</t>
    <phoneticPr fontId="3" type="noConversion"/>
  </si>
  <si>
    <t>목</t>
    <phoneticPr fontId="3" type="noConversion"/>
  </si>
  <si>
    <t>금</t>
    <phoneticPr fontId="3" type="noConversion"/>
  </si>
  <si>
    <t>일</t>
    <phoneticPr fontId="3" type="noConversion"/>
  </si>
  <si>
    <t>월</t>
    <phoneticPr fontId="3" type="noConversion"/>
  </si>
  <si>
    <t>수</t>
    <phoneticPr fontId="3" type="noConversion"/>
  </si>
  <si>
    <t>토</t>
    <phoneticPr fontId="3" type="noConversion"/>
  </si>
  <si>
    <t>일</t>
    <phoneticPr fontId="3" type="noConversion"/>
  </si>
  <si>
    <t>월</t>
    <phoneticPr fontId="3" type="noConversion"/>
  </si>
  <si>
    <t>10시</t>
  </si>
  <si>
    <t>10시</t>
    <phoneticPr fontId="3" type="noConversion"/>
  </si>
  <si>
    <t>20시</t>
  </si>
  <si>
    <t>19시</t>
  </si>
  <si>
    <t>19시</t>
    <phoneticPr fontId="3" type="noConversion"/>
  </si>
  <si>
    <t>20시</t>
    <phoneticPr fontId="3" type="noConversion"/>
  </si>
  <si>
    <t>구름많음</t>
    <phoneticPr fontId="3" type="noConversion"/>
  </si>
  <si>
    <t>10시</t>
    <phoneticPr fontId="3" type="noConversion"/>
  </si>
  <si>
    <t>20시</t>
    <phoneticPr fontId="3" type="noConversion"/>
  </si>
  <si>
    <t>21시</t>
    <phoneticPr fontId="3" type="noConversion"/>
  </si>
  <si>
    <t>22시</t>
    <phoneticPr fontId="3" type="noConversion"/>
  </si>
  <si>
    <t>19시</t>
    <phoneticPr fontId="3" type="noConversion"/>
  </si>
  <si>
    <t>흐림</t>
    <phoneticPr fontId="3" type="noConversion"/>
  </si>
  <si>
    <t>오전눈(오후비)</t>
    <phoneticPr fontId="3" type="noConversion"/>
  </si>
  <si>
    <t>19시</t>
    <phoneticPr fontId="3" type="noConversion"/>
  </si>
  <si>
    <t>구름많음(미세먼지)</t>
    <phoneticPr fontId="3" type="noConversion"/>
  </si>
  <si>
    <t>19시</t>
    <phoneticPr fontId="3" type="noConversion"/>
  </si>
  <si>
    <t>19시</t>
    <phoneticPr fontId="3" type="noConversion"/>
  </si>
  <si>
    <t>맑음</t>
    <phoneticPr fontId="3" type="noConversion"/>
  </si>
  <si>
    <t>20시</t>
    <phoneticPr fontId="3" type="noConversion"/>
  </si>
  <si>
    <t>21시</t>
    <phoneticPr fontId="3" type="noConversion"/>
  </si>
  <si>
    <t>맑음(저녁눈)</t>
    <phoneticPr fontId="3" type="noConversion"/>
  </si>
  <si>
    <t>구름조금(미세먼지)</t>
    <phoneticPr fontId="3" type="noConversion"/>
  </si>
  <si>
    <t>구름조금</t>
    <phoneticPr fontId="3" type="noConversion"/>
  </si>
  <si>
    <t>19시</t>
    <phoneticPr fontId="3" type="noConversion"/>
  </si>
  <si>
    <t>19시</t>
    <phoneticPr fontId="3" type="noConversion"/>
  </si>
  <si>
    <t>눈</t>
    <phoneticPr fontId="3" type="noConversion"/>
  </si>
  <si>
    <t>19시</t>
    <phoneticPr fontId="3" type="noConversion"/>
  </si>
  <si>
    <t>구름조금(미세먼지)</t>
    <phoneticPr fontId="3" type="noConversion"/>
  </si>
  <si>
    <t>구름많음(미세먼지)</t>
    <phoneticPr fontId="3" type="noConversion"/>
  </si>
  <si>
    <t>19시</t>
    <phoneticPr fontId="3" type="noConversion"/>
  </si>
  <si>
    <t>19시</t>
    <phoneticPr fontId="3" type="noConversion"/>
  </si>
  <si>
    <t>21시</t>
    <phoneticPr fontId="3" type="noConversion"/>
  </si>
  <si>
    <t>맑음</t>
    <phoneticPr fontId="3" type="noConversion"/>
  </si>
  <si>
    <t>맑음(미세먼지)</t>
    <phoneticPr fontId="3" type="noConversion"/>
  </si>
  <si>
    <t>오후비(구름많음)</t>
    <phoneticPr fontId="3" type="noConversion"/>
  </si>
  <si>
    <t>20시</t>
    <phoneticPr fontId="3" type="noConversion"/>
  </si>
  <si>
    <t>맑음</t>
    <phoneticPr fontId="3" type="noConversion"/>
  </si>
  <si>
    <t>19시</t>
    <phoneticPr fontId="3" type="noConversion"/>
  </si>
  <si>
    <t>맑음</t>
    <phoneticPr fontId="3" type="noConversion"/>
  </si>
  <si>
    <t>19시</t>
    <phoneticPr fontId="3" type="noConversion"/>
  </si>
  <si>
    <t>19시</t>
    <phoneticPr fontId="3" type="noConversion"/>
  </si>
  <si>
    <t>19시</t>
    <phoneticPr fontId="3" type="noConversion"/>
  </si>
  <si>
    <t>구름조금(미세먼지)</t>
    <phoneticPr fontId="3" type="noConversion"/>
  </si>
  <si>
    <t>19시</t>
    <phoneticPr fontId="3" type="noConversion"/>
  </si>
  <si>
    <t>20시</t>
    <phoneticPr fontId="3" type="noConversion"/>
  </si>
  <si>
    <t>20시</t>
    <phoneticPr fontId="3" type="noConversion"/>
  </si>
  <si>
    <t>비</t>
    <phoneticPr fontId="3" type="noConversion"/>
  </si>
  <si>
    <t>구름많음</t>
    <phoneticPr fontId="3" type="noConversion"/>
  </si>
  <si>
    <t>비/눈</t>
    <phoneticPr fontId="3" type="noConversion"/>
  </si>
  <si>
    <t>오전눈(한파)</t>
    <phoneticPr fontId="3" type="noConversion"/>
  </si>
  <si>
    <t>19시</t>
    <phoneticPr fontId="3" type="noConversion"/>
  </si>
  <si>
    <t>맑음(한파)</t>
    <phoneticPr fontId="3" type="noConversion"/>
  </si>
  <si>
    <t>19시</t>
    <phoneticPr fontId="3" type="noConversion"/>
  </si>
  <si>
    <t>19시</t>
    <phoneticPr fontId="3" type="noConversion"/>
  </si>
  <si>
    <t>맑음(한파)</t>
    <phoneticPr fontId="3" type="noConversion"/>
  </si>
  <si>
    <t>맑음</t>
    <phoneticPr fontId="3" type="noConversion"/>
  </si>
  <si>
    <t>19시</t>
    <phoneticPr fontId="3" type="noConversion"/>
  </si>
  <si>
    <t>20시</t>
    <phoneticPr fontId="3" type="noConversion"/>
  </si>
  <si>
    <t>21시</t>
    <phoneticPr fontId="3" type="noConversion"/>
  </si>
  <si>
    <t>19시</t>
    <phoneticPr fontId="3" type="noConversion"/>
  </si>
  <si>
    <t>맑음</t>
    <phoneticPr fontId="3" type="noConversion"/>
  </si>
  <si>
    <t>구름조금(미세먼지)</t>
    <phoneticPr fontId="3" type="noConversion"/>
  </si>
  <si>
    <t>맑음</t>
    <phoneticPr fontId="3" type="noConversion"/>
  </si>
  <si>
    <t>19시</t>
    <phoneticPr fontId="3" type="noConversion"/>
  </si>
  <si>
    <t>맑음(미세먼지)</t>
    <phoneticPr fontId="3" type="noConversion"/>
  </si>
  <si>
    <t>맑음(미세먼지)</t>
    <phoneticPr fontId="3" type="noConversion"/>
  </si>
  <si>
    <t>19시</t>
    <phoneticPr fontId="3" type="noConversion"/>
  </si>
  <si>
    <t>19시</t>
    <phoneticPr fontId="3" type="noConversion"/>
  </si>
  <si>
    <t>구름조금(미세먼지)</t>
    <phoneticPr fontId="3" type="noConversion"/>
  </si>
  <si>
    <t>10시</t>
    <phoneticPr fontId="3" type="noConversion"/>
  </si>
  <si>
    <t>19시</t>
    <phoneticPr fontId="3" type="noConversion"/>
  </si>
  <si>
    <t>구름많음(미세먼지)</t>
    <phoneticPr fontId="3" type="noConversion"/>
  </si>
  <si>
    <t>19시</t>
    <phoneticPr fontId="3" type="noConversion"/>
  </si>
  <si>
    <t>20시</t>
    <phoneticPr fontId="3" type="noConversion"/>
  </si>
  <si>
    <t>21시</t>
    <phoneticPr fontId="3" type="noConversion"/>
  </si>
  <si>
    <t>흐림</t>
    <phoneticPr fontId="3" type="noConversion"/>
  </si>
  <si>
    <t>비예보(미세먼지)</t>
    <phoneticPr fontId="3" type="noConversion"/>
  </si>
  <si>
    <t>구름조금(미세먼지)</t>
    <phoneticPr fontId="3" type="noConversion"/>
  </si>
  <si>
    <t>19시</t>
    <phoneticPr fontId="3" type="noConversion"/>
  </si>
  <si>
    <t>19시</t>
    <phoneticPr fontId="3" type="noConversion"/>
  </si>
  <si>
    <t>흐림(한때비)</t>
    <phoneticPr fontId="3" type="noConversion"/>
  </si>
  <si>
    <t>구름많음(한때눈)</t>
    <phoneticPr fontId="3" type="noConversion"/>
  </si>
  <si>
    <t>19시</t>
    <phoneticPr fontId="3" type="noConversion"/>
  </si>
  <si>
    <t>19시</t>
    <phoneticPr fontId="3" type="noConversion"/>
  </si>
  <si>
    <t>21시</t>
    <phoneticPr fontId="3" type="noConversion"/>
  </si>
  <si>
    <t>20시</t>
    <phoneticPr fontId="3" type="noConversion"/>
  </si>
  <si>
    <t>19시</t>
    <phoneticPr fontId="3" type="noConversion"/>
  </si>
  <si>
    <t>19시</t>
    <phoneticPr fontId="3" type="noConversion"/>
  </si>
  <si>
    <t>19시</t>
    <phoneticPr fontId="3" type="noConversion"/>
  </si>
  <si>
    <t>19시</t>
    <phoneticPr fontId="3" type="noConversion"/>
  </si>
  <si>
    <t>20시</t>
    <phoneticPr fontId="3" type="noConversion"/>
  </si>
  <si>
    <t>21시</t>
    <phoneticPr fontId="3" type="noConversion"/>
  </si>
  <si>
    <t>맑음(미세먼지)</t>
    <phoneticPr fontId="3" type="noConversion"/>
  </si>
  <si>
    <t>맑음(미세먼지)</t>
    <phoneticPr fontId="3" type="noConversion"/>
  </si>
  <si>
    <t>맑음(미세먼지)</t>
    <phoneticPr fontId="3" type="noConversion"/>
  </si>
  <si>
    <t>구름많음</t>
    <phoneticPr fontId="3" type="noConversion"/>
  </si>
  <si>
    <t>18시</t>
    <phoneticPr fontId="3" type="noConversion"/>
  </si>
  <si>
    <t>오후비(구름많음)</t>
    <phoneticPr fontId="3" type="noConversion"/>
  </si>
  <si>
    <t>맑음</t>
    <phoneticPr fontId="3" type="noConversion"/>
  </si>
  <si>
    <t>맑음</t>
    <phoneticPr fontId="3" type="noConversion"/>
  </si>
  <si>
    <t>오후비(흐림)</t>
    <phoneticPr fontId="3" type="noConversion"/>
  </si>
  <si>
    <t>비/눈(~15시)</t>
    <phoneticPr fontId="3" type="noConversion"/>
  </si>
  <si>
    <t>17시</t>
    <phoneticPr fontId="3" type="noConversion"/>
  </si>
  <si>
    <t>오후눈(흐림)</t>
    <phoneticPr fontId="3" type="noConversion"/>
  </si>
  <si>
    <t>구름많음</t>
    <phoneticPr fontId="3" type="noConversion"/>
  </si>
  <si>
    <t>구름많음</t>
    <phoneticPr fontId="3" type="noConversion"/>
  </si>
  <si>
    <t>맑음</t>
    <phoneticPr fontId="3" type="noConversion"/>
  </si>
  <si>
    <t>오후비(구름많음)</t>
    <phoneticPr fontId="3" type="noConversion"/>
  </si>
  <si>
    <t>구름많음</t>
    <phoneticPr fontId="3" type="noConversion"/>
  </si>
  <si>
    <t>흐림</t>
    <phoneticPr fontId="3" type="noConversion"/>
  </si>
  <si>
    <t>10시</t>
    <phoneticPr fontId="3" type="noConversion"/>
  </si>
  <si>
    <t>21시</t>
    <phoneticPr fontId="3" type="noConversion"/>
  </si>
  <si>
    <t>21시</t>
    <phoneticPr fontId="3" type="noConversion"/>
  </si>
  <si>
    <t>20시</t>
    <phoneticPr fontId="3" type="noConversion"/>
  </si>
  <si>
    <t>한때눈(비예보)</t>
    <phoneticPr fontId="3" type="noConversion"/>
  </si>
  <si>
    <t>맑음(미세먼지)</t>
    <phoneticPr fontId="3" type="noConversion"/>
  </si>
  <si>
    <t>맑음</t>
    <phoneticPr fontId="3" type="noConversion"/>
  </si>
  <si>
    <t>구름많음(미세먼지)</t>
    <phoneticPr fontId="3" type="noConversion"/>
  </si>
  <si>
    <t>10시</t>
    <phoneticPr fontId="3" type="noConversion"/>
  </si>
  <si>
    <t>20시</t>
    <phoneticPr fontId="3" type="noConversion"/>
  </si>
  <si>
    <t>비예보(흐림)</t>
    <phoneticPr fontId="3" type="noConversion"/>
  </si>
  <si>
    <t>10시</t>
    <phoneticPr fontId="3" type="noConversion"/>
  </si>
  <si>
    <t>20시</t>
    <phoneticPr fontId="3" type="noConversion"/>
  </si>
  <si>
    <t>구름많음</t>
    <phoneticPr fontId="3" type="noConversion"/>
  </si>
  <si>
    <t>10시</t>
    <phoneticPr fontId="3" type="noConversion"/>
  </si>
  <si>
    <t>20시</t>
    <phoneticPr fontId="3" type="noConversion"/>
  </si>
  <si>
    <t>10시</t>
    <phoneticPr fontId="3" type="noConversion"/>
  </si>
  <si>
    <t>19시</t>
    <phoneticPr fontId="3" type="noConversion"/>
  </si>
  <si>
    <t>10시</t>
    <phoneticPr fontId="3" type="noConversion"/>
  </si>
  <si>
    <t>19시</t>
    <phoneticPr fontId="3" type="noConversion"/>
  </si>
  <si>
    <t>10시</t>
    <phoneticPr fontId="3" type="noConversion"/>
  </si>
  <si>
    <t>19시</t>
    <phoneticPr fontId="3" type="noConversion"/>
  </si>
  <si>
    <t>19시</t>
    <phoneticPr fontId="3" type="noConversion"/>
  </si>
  <si>
    <t>10시</t>
    <phoneticPr fontId="3" type="noConversion"/>
  </si>
  <si>
    <t>20시</t>
    <phoneticPr fontId="3" type="noConversion"/>
  </si>
  <si>
    <t>21시</t>
    <phoneticPr fontId="3" type="noConversion"/>
  </si>
  <si>
    <t>10시</t>
    <phoneticPr fontId="3" type="noConversion"/>
  </si>
  <si>
    <t>21시</t>
    <phoneticPr fontId="3" type="noConversion"/>
  </si>
  <si>
    <t>10시</t>
    <phoneticPr fontId="3" type="noConversion"/>
  </si>
  <si>
    <t>비예보(구름조금)</t>
    <phoneticPr fontId="3" type="noConversion"/>
  </si>
  <si>
    <t>맑음</t>
    <phoneticPr fontId="3" type="noConversion"/>
  </si>
  <si>
    <t>맑음</t>
    <phoneticPr fontId="3" type="noConversion"/>
  </si>
  <si>
    <t>맑음</t>
    <phoneticPr fontId="3" type="noConversion"/>
  </si>
  <si>
    <t>구름많음</t>
    <phoneticPr fontId="3" type="noConversion"/>
  </si>
  <si>
    <t>비</t>
    <phoneticPr fontId="3" type="noConversion"/>
  </si>
  <si>
    <t>맑음</t>
    <phoneticPr fontId="3" type="noConversion"/>
  </si>
  <si>
    <t>맑음(미세먼지)</t>
    <phoneticPr fontId="3" type="noConversion"/>
  </si>
  <si>
    <t>19시</t>
    <phoneticPr fontId="3" type="noConversion"/>
  </si>
  <si>
    <t>19시</t>
    <phoneticPr fontId="3" type="noConversion"/>
  </si>
  <si>
    <t>19시</t>
    <phoneticPr fontId="3" type="noConversion"/>
  </si>
  <si>
    <t>19시</t>
    <phoneticPr fontId="3" type="noConversion"/>
  </si>
  <si>
    <t>구름많음(황사)</t>
    <phoneticPr fontId="3" type="noConversion"/>
  </si>
  <si>
    <t>구름조금(미세먼지)</t>
    <phoneticPr fontId="3" type="noConversion"/>
  </si>
  <si>
    <t>맑음(미세먼지)</t>
    <phoneticPr fontId="3" type="noConversion"/>
  </si>
  <si>
    <t>10시</t>
    <phoneticPr fontId="3" type="noConversion"/>
  </si>
  <si>
    <t>맑음</t>
    <phoneticPr fontId="3" type="noConversion"/>
  </si>
  <si>
    <t>한때비(비예보)</t>
    <phoneticPr fontId="3" type="noConversion"/>
  </si>
  <si>
    <t>맑음</t>
    <phoneticPr fontId="3" type="noConversion"/>
  </si>
  <si>
    <t>21시</t>
    <phoneticPr fontId="3" type="noConversion"/>
  </si>
  <si>
    <t>10시</t>
    <phoneticPr fontId="3" type="noConversion"/>
  </si>
  <si>
    <t>구름많음(미세먼지)</t>
    <phoneticPr fontId="3" type="noConversion"/>
  </si>
  <si>
    <t>오후비(구름많음)</t>
    <phoneticPr fontId="3" type="noConversion"/>
  </si>
  <si>
    <t>21시</t>
    <phoneticPr fontId="3" type="noConversion"/>
  </si>
  <si>
    <t>구름조금</t>
    <phoneticPr fontId="3" type="noConversion"/>
  </si>
  <si>
    <t>10시</t>
    <phoneticPr fontId="3" type="noConversion"/>
  </si>
  <si>
    <t>19시</t>
    <phoneticPr fontId="3" type="noConversion"/>
  </si>
  <si>
    <t>10시</t>
    <phoneticPr fontId="3" type="noConversion"/>
  </si>
  <si>
    <t>10시</t>
    <phoneticPr fontId="3" type="noConversion"/>
  </si>
  <si>
    <t>10시</t>
    <phoneticPr fontId="3" type="noConversion"/>
  </si>
  <si>
    <t>22시</t>
  </si>
  <si>
    <t>오후비(흐림)</t>
    <phoneticPr fontId="3" type="noConversion"/>
  </si>
  <si>
    <t>구름조금</t>
    <phoneticPr fontId="3" type="noConversion"/>
  </si>
  <si>
    <t>오전비(구름많음)</t>
    <phoneticPr fontId="3" type="noConversion"/>
  </si>
  <si>
    <t>20시</t>
    <phoneticPr fontId="3" type="noConversion"/>
  </si>
  <si>
    <t>비/눈</t>
    <phoneticPr fontId="3" type="noConversion"/>
  </si>
  <si>
    <t>눈/비</t>
    <phoneticPr fontId="3" type="noConversion"/>
  </si>
  <si>
    <t>비(황사)</t>
    <phoneticPr fontId="3" type="noConversion"/>
  </si>
  <si>
    <t>19시</t>
    <phoneticPr fontId="3" type="noConversion"/>
  </si>
  <si>
    <t>오전비(황사)</t>
    <phoneticPr fontId="3" type="noConversion"/>
  </si>
  <si>
    <t>21시</t>
    <phoneticPr fontId="3" type="noConversion"/>
  </si>
  <si>
    <t>21시</t>
    <phoneticPr fontId="3" type="noConversion"/>
  </si>
  <si>
    <t>10시</t>
    <phoneticPr fontId="3" type="noConversion"/>
  </si>
  <si>
    <t>10시</t>
    <phoneticPr fontId="3" type="noConversion"/>
  </si>
  <si>
    <t>맑음</t>
    <phoneticPr fontId="3" type="noConversion"/>
  </si>
  <si>
    <t>한때비(황사)</t>
    <phoneticPr fontId="3" type="noConversion"/>
  </si>
  <si>
    <t>10시</t>
    <phoneticPr fontId="3" type="noConversion"/>
  </si>
  <si>
    <t>맑음</t>
    <phoneticPr fontId="3" type="noConversion"/>
  </si>
  <si>
    <t>21시</t>
    <phoneticPr fontId="3" type="noConversion"/>
  </si>
  <si>
    <t>10시</t>
    <phoneticPr fontId="3" type="noConversion"/>
  </si>
  <si>
    <t>구름조금</t>
    <phoneticPr fontId="3" type="noConversion"/>
  </si>
  <si>
    <t>21시</t>
    <phoneticPr fontId="3" type="noConversion"/>
  </si>
  <si>
    <t>오전비(구름많음)</t>
    <phoneticPr fontId="3" type="noConversion"/>
  </si>
  <si>
    <t>21시</t>
    <phoneticPr fontId="3" type="noConversion"/>
  </si>
  <si>
    <t>21시</t>
    <phoneticPr fontId="3" type="noConversion"/>
  </si>
  <si>
    <t>구름많음</t>
    <phoneticPr fontId="3" type="noConversion"/>
  </si>
  <si>
    <t>맑음(미세먼지)</t>
    <phoneticPr fontId="3" type="noConversion"/>
  </si>
  <si>
    <t>구름조금</t>
    <phoneticPr fontId="3" type="noConversion"/>
  </si>
  <si>
    <t>구름조금</t>
    <phoneticPr fontId="3" type="noConversion"/>
  </si>
  <si>
    <t>22시</t>
    <phoneticPr fontId="3" type="noConversion"/>
  </si>
  <si>
    <t>9시30분</t>
    <phoneticPr fontId="3" type="noConversion"/>
  </si>
  <si>
    <t>22시</t>
    <phoneticPr fontId="3" type="noConversion"/>
  </si>
  <si>
    <t>9시30분</t>
    <phoneticPr fontId="3" type="noConversion"/>
  </si>
  <si>
    <t>22시</t>
    <phoneticPr fontId="3" type="noConversion"/>
  </si>
  <si>
    <t>21시</t>
    <phoneticPr fontId="3" type="noConversion"/>
  </si>
  <si>
    <t>10시</t>
    <phoneticPr fontId="3" type="noConversion"/>
  </si>
  <si>
    <t>구름많음(미세먼지)</t>
    <phoneticPr fontId="3" type="noConversion"/>
  </si>
  <si>
    <t>21시</t>
    <phoneticPr fontId="3" type="noConversion"/>
  </si>
  <si>
    <t>10시</t>
    <phoneticPr fontId="3" type="noConversion"/>
  </si>
  <si>
    <t>22시</t>
    <phoneticPr fontId="3" type="noConversion"/>
  </si>
  <si>
    <t>구름많음</t>
    <phoneticPr fontId="3" type="noConversion"/>
  </si>
  <si>
    <t>맑음</t>
    <phoneticPr fontId="3" type="noConversion"/>
  </si>
  <si>
    <t>10시</t>
    <phoneticPr fontId="3" type="noConversion"/>
  </si>
  <si>
    <t>21시</t>
    <phoneticPr fontId="3" type="noConversion"/>
  </si>
  <si>
    <t>22시</t>
    <phoneticPr fontId="3" type="noConversion"/>
  </si>
  <si>
    <t>9시30분</t>
    <phoneticPr fontId="3" type="noConversion"/>
  </si>
  <si>
    <t>22시</t>
    <phoneticPr fontId="3" type="noConversion"/>
  </si>
  <si>
    <t>비예보(한때비)</t>
    <phoneticPr fontId="3" type="noConversion"/>
  </si>
  <si>
    <t>구름조금</t>
    <phoneticPr fontId="3" type="noConversion"/>
  </si>
  <si>
    <t>맑음</t>
    <phoneticPr fontId="3" type="noConversion"/>
  </si>
  <si>
    <t>맑음</t>
    <phoneticPr fontId="3" type="noConversion"/>
  </si>
  <si>
    <t>10시</t>
    <phoneticPr fontId="3" type="noConversion"/>
  </si>
  <si>
    <t>19시</t>
    <phoneticPr fontId="3" type="noConversion"/>
  </si>
  <si>
    <t>비</t>
    <phoneticPr fontId="3" type="noConversion"/>
  </si>
  <si>
    <t>10시</t>
    <phoneticPr fontId="3" type="noConversion"/>
  </si>
  <si>
    <t>비예보(황사)</t>
    <phoneticPr fontId="3" type="noConversion"/>
  </si>
  <si>
    <t>21시</t>
    <phoneticPr fontId="3" type="noConversion"/>
  </si>
  <si>
    <t>구름조금(황사)</t>
    <phoneticPr fontId="3" type="noConversion"/>
  </si>
  <si>
    <t>10시</t>
    <phoneticPr fontId="3" type="noConversion"/>
  </si>
  <si>
    <t>21시</t>
    <phoneticPr fontId="3" type="noConversion"/>
  </si>
  <si>
    <t>맑음(황사)</t>
    <phoneticPr fontId="3" type="noConversion"/>
  </si>
  <si>
    <t>10시</t>
    <phoneticPr fontId="3" type="noConversion"/>
  </si>
  <si>
    <t>21시</t>
    <phoneticPr fontId="3" type="noConversion"/>
  </si>
  <si>
    <t>구름조금(황사)</t>
    <phoneticPr fontId="3" type="noConversion"/>
  </si>
  <si>
    <t>10시</t>
    <phoneticPr fontId="3" type="noConversion"/>
  </si>
  <si>
    <t>22시</t>
    <phoneticPr fontId="3" type="noConversion"/>
  </si>
  <si>
    <t>22시</t>
    <phoneticPr fontId="3" type="noConversion"/>
  </si>
  <si>
    <t>비</t>
    <phoneticPr fontId="3" type="noConversion"/>
  </si>
  <si>
    <t>흐림</t>
    <phoneticPr fontId="3" type="noConversion"/>
  </si>
  <si>
    <t>22시</t>
    <phoneticPr fontId="3" type="noConversion"/>
  </si>
  <si>
    <t>9시30분</t>
    <phoneticPr fontId="3" type="noConversion"/>
  </si>
  <si>
    <t>10시</t>
    <phoneticPr fontId="3" type="noConversion"/>
  </si>
  <si>
    <t>10시</t>
    <phoneticPr fontId="3" type="noConversion"/>
  </si>
  <si>
    <t>10시</t>
    <phoneticPr fontId="3" type="noConversion"/>
  </si>
  <si>
    <t>10시</t>
    <phoneticPr fontId="3" type="noConversion"/>
  </si>
  <si>
    <t>10시</t>
    <phoneticPr fontId="3" type="noConversion"/>
  </si>
  <si>
    <t>구름많음</t>
    <phoneticPr fontId="3" type="noConversion"/>
  </si>
  <si>
    <t>21시</t>
    <phoneticPr fontId="3" type="noConversion"/>
  </si>
  <si>
    <t>21시</t>
    <phoneticPr fontId="3" type="noConversion"/>
  </si>
  <si>
    <t>구름많음(저녁비)</t>
    <phoneticPr fontId="3" type="noConversion"/>
  </si>
  <si>
    <t>오전비(비예보)</t>
    <phoneticPr fontId="3" type="noConversion"/>
  </si>
  <si>
    <t>21시</t>
    <phoneticPr fontId="3" type="noConversion"/>
  </si>
  <si>
    <t>21시</t>
    <phoneticPr fontId="3" type="noConversion"/>
  </si>
  <si>
    <t>구름조금</t>
    <phoneticPr fontId="3" type="noConversion"/>
  </si>
  <si>
    <t>9시30분</t>
    <phoneticPr fontId="3" type="noConversion"/>
  </si>
  <si>
    <t>22시</t>
    <phoneticPr fontId="3" type="noConversion"/>
  </si>
  <si>
    <t>9시30분</t>
    <phoneticPr fontId="3" type="noConversion"/>
  </si>
  <si>
    <t>22시</t>
    <phoneticPr fontId="3" type="noConversion"/>
  </si>
  <si>
    <t>22시</t>
    <phoneticPr fontId="3" type="noConversion"/>
  </si>
  <si>
    <t>구름많음</t>
    <phoneticPr fontId="3" type="noConversion"/>
  </si>
  <si>
    <t>맑음</t>
    <phoneticPr fontId="3" type="noConversion"/>
  </si>
  <si>
    <t>구름조금(황사)</t>
    <phoneticPr fontId="3" type="noConversion"/>
  </si>
  <si>
    <t>비예보(구름많음)</t>
    <phoneticPr fontId="3" type="noConversion"/>
  </si>
  <si>
    <t>21시</t>
    <phoneticPr fontId="3" type="noConversion"/>
  </si>
  <si>
    <t>흐림</t>
    <phoneticPr fontId="3" type="noConversion"/>
  </si>
  <si>
    <t>10시</t>
    <phoneticPr fontId="3" type="noConversion"/>
  </si>
  <si>
    <t>21시</t>
    <phoneticPr fontId="3" type="noConversion"/>
  </si>
  <si>
    <t>9시</t>
    <phoneticPr fontId="3" type="noConversion"/>
  </si>
  <si>
    <t>22시</t>
    <phoneticPr fontId="3" type="noConversion"/>
  </si>
  <si>
    <t>21시</t>
    <phoneticPr fontId="3" type="noConversion"/>
  </si>
  <si>
    <t>구름조금</t>
    <phoneticPr fontId="3" type="noConversion"/>
  </si>
  <si>
    <t>맑음</t>
    <phoneticPr fontId="3" type="noConversion"/>
  </si>
  <si>
    <t>10시</t>
    <phoneticPr fontId="3" type="noConversion"/>
  </si>
  <si>
    <t>22시</t>
    <phoneticPr fontId="3" type="noConversion"/>
  </si>
  <si>
    <t>9시</t>
    <phoneticPr fontId="3" type="noConversion"/>
  </si>
  <si>
    <t>9시30분</t>
    <phoneticPr fontId="3" type="noConversion"/>
  </si>
  <si>
    <t>10시</t>
    <phoneticPr fontId="3" type="noConversion"/>
  </si>
  <si>
    <t>비</t>
    <phoneticPr fontId="3" type="noConversion"/>
  </si>
  <si>
    <t>구름조금</t>
    <phoneticPr fontId="3" type="noConversion"/>
  </si>
  <si>
    <t>맑음</t>
    <phoneticPr fontId="3" type="noConversion"/>
  </si>
  <si>
    <t>9시</t>
    <phoneticPr fontId="3" type="noConversion"/>
  </si>
  <si>
    <t>19시</t>
    <phoneticPr fontId="3" type="noConversion"/>
  </si>
  <si>
    <t>9시30분</t>
    <phoneticPr fontId="3" type="noConversion"/>
  </si>
  <si>
    <t>19시</t>
    <phoneticPr fontId="3" type="noConversion"/>
  </si>
  <si>
    <t>비</t>
    <phoneticPr fontId="3" type="noConversion"/>
  </si>
  <si>
    <t>비</t>
    <phoneticPr fontId="3" type="noConversion"/>
  </si>
  <si>
    <t>19시</t>
    <phoneticPr fontId="3" type="noConversion"/>
  </si>
  <si>
    <t>맑음</t>
    <phoneticPr fontId="3" type="noConversion"/>
  </si>
  <si>
    <t>21시</t>
    <phoneticPr fontId="3" type="noConversion"/>
  </si>
  <si>
    <t>21시</t>
    <phoneticPr fontId="3" type="noConversion"/>
  </si>
  <si>
    <t>22시</t>
    <phoneticPr fontId="3" type="noConversion"/>
  </si>
  <si>
    <t>20시</t>
    <phoneticPr fontId="3" type="noConversion"/>
  </si>
  <si>
    <t>흐림(오후비)</t>
    <phoneticPr fontId="3" type="noConversion"/>
  </si>
  <si>
    <t>맑음</t>
    <phoneticPr fontId="3" type="noConversion"/>
  </si>
  <si>
    <t>10시</t>
    <phoneticPr fontId="3" type="noConversion"/>
  </si>
  <si>
    <t>21시</t>
    <phoneticPr fontId="3" type="noConversion"/>
  </si>
  <si>
    <t>맑음</t>
    <phoneticPr fontId="3" type="noConversion"/>
  </si>
  <si>
    <t>10시</t>
    <phoneticPr fontId="3" type="noConversion"/>
  </si>
  <si>
    <t>9시30분</t>
    <phoneticPr fontId="3" type="noConversion"/>
  </si>
  <si>
    <t>19시</t>
    <phoneticPr fontId="3" type="noConversion"/>
  </si>
  <si>
    <t>21시</t>
    <phoneticPr fontId="3" type="noConversion"/>
  </si>
  <si>
    <t>10시</t>
    <phoneticPr fontId="3" type="noConversion"/>
  </si>
  <si>
    <t>10시</t>
    <phoneticPr fontId="3" type="noConversion"/>
  </si>
  <si>
    <t>9시30분</t>
    <phoneticPr fontId="3" type="noConversion"/>
  </si>
  <si>
    <t>구름조금</t>
    <phoneticPr fontId="3" type="noConversion"/>
  </si>
  <si>
    <t>맑음</t>
    <phoneticPr fontId="3" type="noConversion"/>
  </si>
  <si>
    <t>구름조금(황사)</t>
    <phoneticPr fontId="3" type="noConversion"/>
  </si>
  <si>
    <t>맑음</t>
    <phoneticPr fontId="3" type="noConversion"/>
  </si>
  <si>
    <t>구름많음(오후비)</t>
    <phoneticPr fontId="3" type="noConversion"/>
  </si>
  <si>
    <t>21시</t>
    <phoneticPr fontId="3" type="noConversion"/>
  </si>
  <si>
    <t>22시</t>
    <phoneticPr fontId="3" type="noConversion"/>
  </si>
  <si>
    <t>22시</t>
    <phoneticPr fontId="3" type="noConversion"/>
  </si>
  <si>
    <t>맑음</t>
    <phoneticPr fontId="3" type="noConversion"/>
  </si>
  <si>
    <t>맑음</t>
    <phoneticPr fontId="3" type="noConversion"/>
  </si>
  <si>
    <t>21시</t>
    <phoneticPr fontId="3" type="noConversion"/>
  </si>
  <si>
    <t>비예보(구름많음)</t>
    <phoneticPr fontId="3" type="noConversion"/>
  </si>
  <si>
    <t>21시</t>
    <phoneticPr fontId="3" type="noConversion"/>
  </si>
  <si>
    <t>구름조금</t>
    <phoneticPr fontId="3" type="noConversion"/>
  </si>
  <si>
    <t>구름많음</t>
    <phoneticPr fontId="3" type="noConversion"/>
  </si>
  <si>
    <t>21시</t>
    <phoneticPr fontId="3" type="noConversion"/>
  </si>
  <si>
    <t>맑음</t>
    <phoneticPr fontId="3" type="noConversion"/>
  </si>
  <si>
    <t>21시</t>
    <phoneticPr fontId="3" type="noConversion"/>
  </si>
  <si>
    <t>오후비(흐림)</t>
    <phoneticPr fontId="3" type="noConversion"/>
  </si>
  <si>
    <t>20시</t>
    <phoneticPr fontId="3" type="noConversion"/>
  </si>
  <si>
    <t>구름많음</t>
    <phoneticPr fontId="3" type="noConversion"/>
  </si>
  <si>
    <t>구름많음</t>
    <phoneticPr fontId="3" type="noConversion"/>
  </si>
  <si>
    <t>9시30분</t>
    <phoneticPr fontId="3" type="noConversion"/>
  </si>
  <si>
    <t>9시30분</t>
    <phoneticPr fontId="3" type="noConversion"/>
  </si>
  <si>
    <t>22시</t>
    <phoneticPr fontId="3" type="noConversion"/>
  </si>
  <si>
    <t>10시</t>
    <phoneticPr fontId="3" type="noConversion"/>
  </si>
  <si>
    <t>22시</t>
    <phoneticPr fontId="3" type="noConversion"/>
  </si>
  <si>
    <t>구름조금</t>
    <phoneticPr fontId="3" type="noConversion"/>
  </si>
  <si>
    <t>21시</t>
    <phoneticPr fontId="3" type="noConversion"/>
  </si>
  <si>
    <t>맑음</t>
    <phoneticPr fontId="3" type="noConversion"/>
  </si>
  <si>
    <t>21시</t>
    <phoneticPr fontId="3" type="noConversion"/>
  </si>
  <si>
    <t>21시</t>
    <phoneticPr fontId="3" type="noConversion"/>
  </si>
  <si>
    <t>구름조금</t>
    <phoneticPr fontId="3" type="noConversion"/>
  </si>
  <si>
    <t>흐림</t>
    <phoneticPr fontId="3" type="noConversion"/>
  </si>
  <si>
    <t>21시</t>
    <phoneticPr fontId="3" type="noConversion"/>
  </si>
  <si>
    <t>구름조금</t>
    <phoneticPr fontId="3" type="noConversion"/>
  </si>
  <si>
    <t>맑음</t>
    <phoneticPr fontId="3" type="noConversion"/>
  </si>
  <si>
    <t>9시30분</t>
    <phoneticPr fontId="3" type="noConversion"/>
  </si>
  <si>
    <t>22시</t>
    <phoneticPr fontId="3" type="noConversion"/>
  </si>
  <si>
    <t>9시30분</t>
    <phoneticPr fontId="3" type="noConversion"/>
  </si>
  <si>
    <t>22시</t>
    <phoneticPr fontId="3" type="noConversion"/>
  </si>
  <si>
    <t>22시</t>
    <phoneticPr fontId="3" type="noConversion"/>
  </si>
  <si>
    <t>구름조금(소나기)</t>
    <phoneticPr fontId="3" type="noConversion"/>
  </si>
  <si>
    <t>맑음</t>
    <phoneticPr fontId="3" type="noConversion"/>
  </si>
  <si>
    <t>10시</t>
    <phoneticPr fontId="3" type="noConversion"/>
  </si>
  <si>
    <t>21시</t>
    <phoneticPr fontId="3" type="noConversion"/>
  </si>
  <si>
    <t>맑음</t>
    <phoneticPr fontId="3" type="noConversion"/>
  </si>
  <si>
    <t>10시</t>
    <phoneticPr fontId="3" type="noConversion"/>
  </si>
  <si>
    <t>21시</t>
    <phoneticPr fontId="3" type="noConversion"/>
  </si>
  <si>
    <t>9시30분</t>
    <phoneticPr fontId="3" type="noConversion"/>
  </si>
  <si>
    <t>22시</t>
    <phoneticPr fontId="3" type="noConversion"/>
  </si>
  <si>
    <t>10시</t>
    <phoneticPr fontId="3" type="noConversion"/>
  </si>
  <si>
    <t>21시</t>
    <phoneticPr fontId="3" type="noConversion"/>
  </si>
  <si>
    <t>구름조금</t>
    <phoneticPr fontId="3" type="noConversion"/>
  </si>
  <si>
    <t>9시30분</t>
    <phoneticPr fontId="3" type="noConversion"/>
  </si>
  <si>
    <t>22시</t>
    <phoneticPr fontId="3" type="noConversion"/>
  </si>
  <si>
    <t>22시</t>
    <phoneticPr fontId="3" type="noConversion"/>
  </si>
  <si>
    <t>10시</t>
    <phoneticPr fontId="3" type="noConversion"/>
  </si>
  <si>
    <t>22시</t>
    <phoneticPr fontId="3" type="noConversion"/>
  </si>
  <si>
    <t>구름많음(저녁비)</t>
    <phoneticPr fontId="3" type="noConversion"/>
  </si>
  <si>
    <t>오전비(구름많음)</t>
    <phoneticPr fontId="3" type="noConversion"/>
  </si>
  <si>
    <t>구름조금</t>
    <phoneticPr fontId="3" type="noConversion"/>
  </si>
  <si>
    <t>맑음</t>
    <phoneticPr fontId="3" type="noConversion"/>
  </si>
  <si>
    <t>10시</t>
    <phoneticPr fontId="3" type="noConversion"/>
  </si>
  <si>
    <t>21시</t>
    <phoneticPr fontId="3" type="noConversion"/>
  </si>
  <si>
    <t>10시</t>
    <phoneticPr fontId="3" type="noConversion"/>
  </si>
  <si>
    <t>21시</t>
    <phoneticPr fontId="3" type="noConversion"/>
  </si>
  <si>
    <t>구름조금(미세먼지)</t>
    <phoneticPr fontId="3" type="noConversion"/>
  </si>
  <si>
    <t>구름조금</t>
    <phoneticPr fontId="3" type="noConversion"/>
  </si>
  <si>
    <t>10시</t>
    <phoneticPr fontId="3" type="noConversion"/>
  </si>
  <si>
    <t>21시</t>
    <phoneticPr fontId="3" type="noConversion"/>
  </si>
  <si>
    <t>10시</t>
    <phoneticPr fontId="3" type="noConversion"/>
  </si>
  <si>
    <t>21시</t>
    <phoneticPr fontId="3" type="noConversion"/>
  </si>
  <si>
    <t>10시</t>
    <phoneticPr fontId="3" type="noConversion"/>
  </si>
  <si>
    <t>맑음</t>
    <phoneticPr fontId="3" type="noConversion"/>
  </si>
  <si>
    <t>22시</t>
    <phoneticPr fontId="3" type="noConversion"/>
  </si>
  <si>
    <t>9시30분</t>
    <phoneticPr fontId="3" type="noConversion"/>
  </si>
  <si>
    <t>9시30분</t>
    <phoneticPr fontId="3" type="noConversion"/>
  </si>
  <si>
    <t>22시</t>
    <phoneticPr fontId="3" type="noConversion"/>
  </si>
  <si>
    <t>22시</t>
    <phoneticPr fontId="3" type="noConversion"/>
  </si>
  <si>
    <t>맑음</t>
    <phoneticPr fontId="3" type="noConversion"/>
  </si>
  <si>
    <t>오전비(저녁소나기)</t>
    <phoneticPr fontId="3" type="noConversion"/>
  </si>
  <si>
    <t>구름많음(소나기)</t>
    <phoneticPr fontId="3" type="noConversion"/>
  </si>
  <si>
    <t>10시</t>
    <phoneticPr fontId="3" type="noConversion"/>
  </si>
  <si>
    <t>21시</t>
    <phoneticPr fontId="3" type="noConversion"/>
  </si>
  <si>
    <t>구름조금</t>
    <phoneticPr fontId="3" type="noConversion"/>
  </si>
  <si>
    <t>맑음</t>
    <phoneticPr fontId="3" type="noConversion"/>
  </si>
  <si>
    <t>구름조금(폭염주의보)</t>
    <phoneticPr fontId="3" type="noConversion"/>
  </si>
  <si>
    <t>10시</t>
    <phoneticPr fontId="3" type="noConversion"/>
  </si>
  <si>
    <t>10시</t>
    <phoneticPr fontId="3" type="noConversion"/>
  </si>
  <si>
    <t>21시</t>
    <phoneticPr fontId="3" type="noConversion"/>
  </si>
  <si>
    <t>21시</t>
    <phoneticPr fontId="3" type="noConversion"/>
  </si>
  <si>
    <t>구름조금(폭염주의보)</t>
    <phoneticPr fontId="3" type="noConversion"/>
  </si>
  <si>
    <t>10시</t>
    <phoneticPr fontId="3" type="noConversion"/>
  </si>
  <si>
    <t>21시</t>
    <phoneticPr fontId="3" type="noConversion"/>
  </si>
  <si>
    <t>비</t>
    <phoneticPr fontId="3" type="noConversion"/>
  </si>
  <si>
    <t>22시</t>
    <phoneticPr fontId="3" type="noConversion"/>
  </si>
  <si>
    <t>9시30분</t>
    <phoneticPr fontId="3" type="noConversion"/>
  </si>
  <si>
    <t>9시30분</t>
    <phoneticPr fontId="3" type="noConversion"/>
  </si>
  <si>
    <t>22시</t>
    <phoneticPr fontId="3" type="noConversion"/>
  </si>
  <si>
    <t>10시</t>
    <phoneticPr fontId="3" type="noConversion"/>
  </si>
  <si>
    <t>22시</t>
    <phoneticPr fontId="3" type="noConversion"/>
  </si>
  <si>
    <t>구름많음</t>
    <phoneticPr fontId="3" type="noConversion"/>
  </si>
  <si>
    <t>구름많음(폭염주의보)</t>
    <phoneticPr fontId="3" type="noConversion"/>
  </si>
  <si>
    <t>구름많음</t>
    <phoneticPr fontId="3" type="noConversion"/>
  </si>
  <si>
    <t>10시</t>
    <phoneticPr fontId="3" type="noConversion"/>
  </si>
  <si>
    <t>21시</t>
    <phoneticPr fontId="3" type="noConversion"/>
  </si>
  <si>
    <t>10시</t>
    <phoneticPr fontId="3" type="noConversion"/>
  </si>
  <si>
    <t>21시</t>
    <phoneticPr fontId="3" type="noConversion"/>
  </si>
  <si>
    <t>10시</t>
    <phoneticPr fontId="3" type="noConversion"/>
  </si>
  <si>
    <t>21시</t>
    <phoneticPr fontId="3" type="noConversion"/>
  </si>
  <si>
    <t>구름조금</t>
    <phoneticPr fontId="3" type="noConversion"/>
  </si>
  <si>
    <t>맑음</t>
    <phoneticPr fontId="3" type="noConversion"/>
  </si>
  <si>
    <t>10시</t>
    <phoneticPr fontId="3" type="noConversion"/>
  </si>
  <si>
    <t>21시</t>
    <phoneticPr fontId="3" type="noConversion"/>
  </si>
  <si>
    <t>구름조금</t>
    <phoneticPr fontId="3" type="noConversion"/>
  </si>
  <si>
    <t>맑음</t>
    <phoneticPr fontId="3" type="noConversion"/>
  </si>
  <si>
    <t>10시</t>
    <phoneticPr fontId="3" type="noConversion"/>
  </si>
  <si>
    <t>22시</t>
    <phoneticPr fontId="3" type="noConversion"/>
  </si>
  <si>
    <t>21시</t>
    <phoneticPr fontId="3" type="noConversion"/>
  </si>
  <si>
    <t>9시30분</t>
    <phoneticPr fontId="3" type="noConversion"/>
  </si>
  <si>
    <t>22시</t>
    <phoneticPr fontId="3" type="noConversion"/>
  </si>
  <si>
    <t>구름많음(저녁비)</t>
    <phoneticPr fontId="3" type="noConversion"/>
  </si>
  <si>
    <t>흐림(비예보)</t>
    <phoneticPr fontId="3" type="noConversion"/>
  </si>
  <si>
    <t>21시</t>
  </si>
  <si>
    <t>10시</t>
    <phoneticPr fontId="3" type="noConversion"/>
  </si>
  <si>
    <t>구름많음</t>
    <phoneticPr fontId="3" type="noConversion"/>
  </si>
  <si>
    <t>21시</t>
    <phoneticPr fontId="3" type="noConversion"/>
  </si>
  <si>
    <t>17시</t>
    <phoneticPr fontId="3" type="noConversion"/>
  </si>
  <si>
    <t>비(호우주의보)</t>
    <phoneticPr fontId="3" type="noConversion"/>
  </si>
  <si>
    <t>흐림(비예보)</t>
    <phoneticPr fontId="3" type="noConversion"/>
  </si>
  <si>
    <t>21시</t>
    <phoneticPr fontId="3" type="noConversion"/>
  </si>
  <si>
    <t>흐림(소나기)</t>
    <phoneticPr fontId="3" type="noConversion"/>
  </si>
  <si>
    <t>21시</t>
    <phoneticPr fontId="3" type="noConversion"/>
  </si>
  <si>
    <t>22시</t>
    <phoneticPr fontId="3" type="noConversion"/>
  </si>
  <si>
    <t>9시30분</t>
    <phoneticPr fontId="3" type="noConversion"/>
  </si>
  <si>
    <t>9시30분</t>
    <phoneticPr fontId="3" type="noConversion"/>
  </si>
  <si>
    <t>22시</t>
    <phoneticPr fontId="3" type="noConversion"/>
  </si>
  <si>
    <t>흐림(비예보)</t>
    <phoneticPr fontId="3" type="noConversion"/>
  </si>
  <si>
    <t>비예보(한때비)</t>
    <phoneticPr fontId="3" type="noConversion"/>
  </si>
  <si>
    <t>비(호우주의보)</t>
    <phoneticPr fontId="3" type="noConversion"/>
  </si>
  <si>
    <t>18시</t>
    <phoneticPr fontId="3" type="noConversion"/>
  </si>
  <si>
    <t>19시</t>
    <phoneticPr fontId="3" type="noConversion"/>
  </si>
  <si>
    <t>비예보(한때비)</t>
    <phoneticPr fontId="3" type="noConversion"/>
  </si>
  <si>
    <t>21시</t>
    <phoneticPr fontId="3" type="noConversion"/>
  </si>
  <si>
    <t>구름조금(폭염주의보)</t>
    <phoneticPr fontId="3" type="noConversion"/>
  </si>
  <si>
    <t>21시</t>
    <phoneticPr fontId="3" type="noConversion"/>
  </si>
  <si>
    <t>22시</t>
    <phoneticPr fontId="3" type="noConversion"/>
  </si>
  <si>
    <t>구름조금(폭염주의보)</t>
    <phoneticPr fontId="3" type="noConversion"/>
  </si>
  <si>
    <t>9시30분</t>
    <phoneticPr fontId="3" type="noConversion"/>
  </si>
  <si>
    <t>22시</t>
    <phoneticPr fontId="3" type="noConversion"/>
  </si>
  <si>
    <t>9시30분</t>
    <phoneticPr fontId="3" type="noConversion"/>
  </si>
  <si>
    <t>22시</t>
    <phoneticPr fontId="3" type="noConversion"/>
  </si>
  <si>
    <t>폭염주의보(비예보)</t>
    <phoneticPr fontId="3" type="noConversion"/>
  </si>
  <si>
    <t>맑음(폭염주의보)</t>
    <phoneticPr fontId="3" type="noConversion"/>
  </si>
  <si>
    <t>10시</t>
    <phoneticPr fontId="3" type="noConversion"/>
  </si>
  <si>
    <t>10시</t>
    <phoneticPr fontId="3" type="noConversion"/>
  </si>
  <si>
    <t>10시</t>
    <phoneticPr fontId="3" type="noConversion"/>
  </si>
  <si>
    <t>10시</t>
    <phoneticPr fontId="3" type="noConversion"/>
  </si>
  <si>
    <t>21시</t>
    <phoneticPr fontId="3" type="noConversion"/>
  </si>
  <si>
    <t>19시</t>
    <phoneticPr fontId="3" type="noConversion"/>
  </si>
  <si>
    <t>오후비(흐림)</t>
    <phoneticPr fontId="3" type="noConversion"/>
  </si>
  <si>
    <t>오후비(구름많음)</t>
    <phoneticPr fontId="3" type="noConversion"/>
  </si>
  <si>
    <t>오후비(구름많음)</t>
    <phoneticPr fontId="3" type="noConversion"/>
  </si>
  <si>
    <t>비예보(한때비)</t>
    <phoneticPr fontId="3" type="noConversion"/>
  </si>
  <si>
    <t>18시</t>
    <phoneticPr fontId="3" type="noConversion"/>
  </si>
  <si>
    <t>19시</t>
    <phoneticPr fontId="3" type="noConversion"/>
  </si>
  <si>
    <t>비(호우경보)</t>
    <phoneticPr fontId="3" type="noConversion"/>
  </si>
  <si>
    <t>비예보(한때비)</t>
    <phoneticPr fontId="3" type="noConversion"/>
  </si>
  <si>
    <t>비예보(한때비)</t>
    <phoneticPr fontId="3" type="noConversion"/>
  </si>
  <si>
    <t>9시30분</t>
    <phoneticPr fontId="3" type="noConversion"/>
  </si>
  <si>
    <t>22시</t>
    <phoneticPr fontId="3" type="noConversion"/>
  </si>
  <si>
    <t>9시30분</t>
    <phoneticPr fontId="3" type="noConversion"/>
  </si>
  <si>
    <t>22시</t>
    <phoneticPr fontId="3" type="noConversion"/>
  </si>
  <si>
    <t>22시</t>
    <phoneticPr fontId="3" type="noConversion"/>
  </si>
  <si>
    <t>구름많음(비예보)</t>
    <phoneticPr fontId="3" type="noConversion"/>
  </si>
  <si>
    <t>10시</t>
    <phoneticPr fontId="3" type="noConversion"/>
  </si>
  <si>
    <t>19시</t>
    <phoneticPr fontId="3" type="noConversion"/>
  </si>
  <si>
    <t>비</t>
    <phoneticPr fontId="3" type="noConversion"/>
  </si>
  <si>
    <t>10시</t>
    <phoneticPr fontId="3" type="noConversion"/>
  </si>
  <si>
    <t>18시</t>
    <phoneticPr fontId="3" type="noConversion"/>
  </si>
  <si>
    <t>비</t>
    <phoneticPr fontId="3" type="noConversion"/>
  </si>
  <si>
    <t>비(폭염주의보)</t>
    <phoneticPr fontId="3" type="noConversion"/>
  </si>
  <si>
    <t>10시</t>
    <phoneticPr fontId="3" type="noConversion"/>
  </si>
  <si>
    <t>21시</t>
    <phoneticPr fontId="3" type="noConversion"/>
  </si>
  <si>
    <t>10시</t>
    <phoneticPr fontId="3" type="noConversion"/>
  </si>
  <si>
    <t>21시</t>
    <phoneticPr fontId="3" type="noConversion"/>
  </si>
  <si>
    <t>10시</t>
    <phoneticPr fontId="3" type="noConversion"/>
  </si>
  <si>
    <t>폭염경보(소나기)</t>
    <phoneticPr fontId="3" type="noConversion"/>
  </si>
  <si>
    <t>오후비(폭염경보)</t>
    <phoneticPr fontId="3" type="noConversion"/>
  </si>
  <si>
    <t>오후비(폭염경보)</t>
    <phoneticPr fontId="3" type="noConversion"/>
  </si>
  <si>
    <t>구름많음(폭염경보)</t>
    <phoneticPr fontId="3" type="noConversion"/>
  </si>
  <si>
    <t>9시30분</t>
    <phoneticPr fontId="3" type="noConversion"/>
  </si>
  <si>
    <t>22시</t>
    <phoneticPr fontId="3" type="noConversion"/>
  </si>
  <si>
    <t>22시</t>
    <phoneticPr fontId="3" type="noConversion"/>
  </si>
  <si>
    <t>폭염주의보(한때비)</t>
    <phoneticPr fontId="3" type="noConversion"/>
  </si>
  <si>
    <t>10시</t>
    <phoneticPr fontId="3" type="noConversion"/>
  </si>
  <si>
    <t>22시</t>
    <phoneticPr fontId="3" type="noConversion"/>
  </si>
  <si>
    <t>구름많음(폭염주의보)</t>
    <phoneticPr fontId="3" type="noConversion"/>
  </si>
  <si>
    <t>10시</t>
    <phoneticPr fontId="3" type="noConversion"/>
  </si>
  <si>
    <t>22시</t>
    <phoneticPr fontId="3" type="noConversion"/>
  </si>
  <si>
    <t>10시</t>
    <phoneticPr fontId="3" type="noConversion"/>
  </si>
  <si>
    <t>22시</t>
    <phoneticPr fontId="3" type="noConversion"/>
  </si>
  <si>
    <t>구름많음(폭염경보)</t>
    <phoneticPr fontId="3" type="noConversion"/>
  </si>
  <si>
    <t>비예보(폭염경보)</t>
    <phoneticPr fontId="3" type="noConversion"/>
  </si>
  <si>
    <t>10시</t>
    <phoneticPr fontId="3" type="noConversion"/>
  </si>
  <si>
    <t>22시</t>
    <phoneticPr fontId="3" type="noConversion"/>
  </si>
  <si>
    <t>구름많음(폭염경보)</t>
    <phoneticPr fontId="3" type="noConversion"/>
  </si>
  <si>
    <t>10시</t>
    <phoneticPr fontId="3" type="noConversion"/>
  </si>
  <si>
    <t>9시30분</t>
    <phoneticPr fontId="3" type="noConversion"/>
  </si>
  <si>
    <t>9시30분</t>
    <phoneticPr fontId="3" type="noConversion"/>
  </si>
  <si>
    <t>구름조금(폭염경보)</t>
    <phoneticPr fontId="3" type="noConversion"/>
  </si>
  <si>
    <t>22시</t>
    <phoneticPr fontId="3" type="noConversion"/>
  </si>
  <si>
    <t>22시</t>
    <phoneticPr fontId="3" type="noConversion"/>
  </si>
  <si>
    <t>폭염경보(소나기)</t>
    <phoneticPr fontId="3" type="noConversion"/>
  </si>
  <si>
    <t>10시</t>
    <phoneticPr fontId="3" type="noConversion"/>
  </si>
  <si>
    <t>22시</t>
    <phoneticPr fontId="3" type="noConversion"/>
  </si>
  <si>
    <t>10시</t>
    <phoneticPr fontId="3" type="noConversion"/>
  </si>
  <si>
    <t>22시</t>
    <phoneticPr fontId="3" type="noConversion"/>
  </si>
  <si>
    <t>폭염경보(소나기)</t>
    <phoneticPr fontId="3" type="noConversion"/>
  </si>
  <si>
    <t>10시</t>
    <phoneticPr fontId="3" type="noConversion"/>
  </si>
  <si>
    <t>22시</t>
    <phoneticPr fontId="3" type="noConversion"/>
  </si>
  <si>
    <t>폭염경보(한때비)</t>
    <phoneticPr fontId="3" type="noConversion"/>
  </si>
  <si>
    <t>10시</t>
    <phoneticPr fontId="3" type="noConversion"/>
  </si>
  <si>
    <t>10시</t>
    <phoneticPr fontId="3" type="noConversion"/>
  </si>
  <si>
    <t>22시</t>
    <phoneticPr fontId="3" type="noConversion"/>
  </si>
  <si>
    <t>폭염경보(소나기)</t>
    <phoneticPr fontId="3" type="noConversion"/>
  </si>
  <si>
    <t>구름많음(폭염경보)</t>
    <phoneticPr fontId="3" type="noConversion"/>
  </si>
  <si>
    <t>구름많음(폭염경보)</t>
    <phoneticPr fontId="3" type="noConversion"/>
  </si>
  <si>
    <t>9시30분</t>
    <phoneticPr fontId="3" type="noConversion"/>
  </si>
  <si>
    <t>22시</t>
    <phoneticPr fontId="3" type="noConversion"/>
  </si>
  <si>
    <t>22시</t>
    <phoneticPr fontId="3" type="noConversion"/>
  </si>
  <si>
    <t>구름조금(폭염경보)</t>
    <phoneticPr fontId="3" type="noConversion"/>
  </si>
  <si>
    <t>10시</t>
    <phoneticPr fontId="3" type="noConversion"/>
  </si>
  <si>
    <t>22시</t>
    <phoneticPr fontId="3" type="noConversion"/>
  </si>
  <si>
    <t>10시</t>
    <phoneticPr fontId="3" type="noConversion"/>
  </si>
  <si>
    <t>22시</t>
    <phoneticPr fontId="3" type="noConversion"/>
  </si>
  <si>
    <t>폭염경보(소나기)</t>
    <phoneticPr fontId="3" type="noConversion"/>
  </si>
  <si>
    <t>10시</t>
    <phoneticPr fontId="3" type="noConversion"/>
  </si>
  <si>
    <t>22시</t>
    <phoneticPr fontId="3" type="noConversion"/>
  </si>
  <si>
    <t>9시30분</t>
    <phoneticPr fontId="3" type="noConversion"/>
  </si>
  <si>
    <t>22시</t>
    <phoneticPr fontId="3" type="noConversion"/>
  </si>
  <si>
    <t>구름많음(폭염경보)</t>
    <phoneticPr fontId="3" type="noConversion"/>
  </si>
  <si>
    <t>구름조금(폭염경보)</t>
    <phoneticPr fontId="3" type="noConversion"/>
  </si>
  <si>
    <t>10시</t>
    <phoneticPr fontId="3" type="noConversion"/>
  </si>
  <si>
    <t>9시30분</t>
    <phoneticPr fontId="3" type="noConversion"/>
  </si>
  <si>
    <t>9시30분</t>
    <phoneticPr fontId="3" type="noConversion"/>
  </si>
  <si>
    <t>구름조금(폭염경보)</t>
    <phoneticPr fontId="3" type="noConversion"/>
  </si>
  <si>
    <t>폭염경보(소나기)</t>
    <phoneticPr fontId="3" type="noConversion"/>
  </si>
  <si>
    <t>22시</t>
    <phoneticPr fontId="3" type="noConversion"/>
  </si>
  <si>
    <t>22시</t>
    <phoneticPr fontId="3" type="noConversion"/>
  </si>
  <si>
    <t>22시</t>
    <phoneticPr fontId="3" type="noConversion"/>
  </si>
  <si>
    <t>10시</t>
    <phoneticPr fontId="3" type="noConversion"/>
  </si>
  <si>
    <t>21시</t>
    <phoneticPr fontId="3" type="noConversion"/>
  </si>
  <si>
    <t>구름조금(폭염경보)</t>
    <phoneticPr fontId="3" type="noConversion"/>
  </si>
  <si>
    <t>오전비(폭염주의보)</t>
  </si>
  <si>
    <t>구름많음(폭염경보)</t>
    <phoneticPr fontId="3" type="noConversion"/>
  </si>
  <si>
    <t>10시</t>
    <phoneticPr fontId="3" type="noConversion"/>
  </si>
  <si>
    <t>18시</t>
    <phoneticPr fontId="3" type="noConversion"/>
  </si>
  <si>
    <t>21시</t>
    <phoneticPr fontId="3" type="noConversion"/>
  </si>
  <si>
    <t>오후비(폭염주의보)</t>
    <phoneticPr fontId="3" type="noConversion"/>
  </si>
  <si>
    <t>10시</t>
    <phoneticPr fontId="3" type="noConversion"/>
  </si>
  <si>
    <t>21시</t>
    <phoneticPr fontId="3" type="noConversion"/>
  </si>
  <si>
    <t>폭염주의보(소나기)</t>
    <phoneticPr fontId="3" type="noConversion"/>
  </si>
  <si>
    <t>오전비(폭염주의보)</t>
    <phoneticPr fontId="3" type="noConversion"/>
  </si>
  <si>
    <t>맑음(폭염주의보)</t>
  </si>
  <si>
    <t>오전비(저녁비)</t>
    <phoneticPr fontId="3" type="noConversion"/>
  </si>
  <si>
    <t>9시30분</t>
  </si>
  <si>
    <t>흐림(폭염주의보)</t>
    <phoneticPr fontId="3" type="noConversion"/>
  </si>
  <si>
    <t>오전비(흐림)</t>
    <phoneticPr fontId="3" type="noConversion"/>
  </si>
  <si>
    <t>구름많음</t>
  </si>
  <si>
    <t>구름조금</t>
  </si>
  <si>
    <t>흐림(저녁비)</t>
    <phoneticPr fontId="3" type="noConversion"/>
  </si>
  <si>
    <t>구름많음(한때비)</t>
    <phoneticPr fontId="3" type="noConversion"/>
  </si>
  <si>
    <t>한때비(미세먼지)</t>
    <phoneticPr fontId="3" type="noConversion"/>
  </si>
  <si>
    <t>비(강풍주의보)</t>
    <phoneticPr fontId="3" type="noConversion"/>
  </si>
  <si>
    <t>눈(대설경보)</t>
    <phoneticPr fontId="3" type="noConversion"/>
  </si>
  <si>
    <t>오전눈(대설경보)</t>
    <phoneticPr fontId="3" type="noConversion"/>
  </si>
  <si>
    <t>맑음(한때눈)</t>
    <phoneticPr fontId="3" type="noConversion"/>
  </si>
  <si>
    <t>구름조금(한때눈)</t>
    <phoneticPr fontId="3" type="noConversion"/>
  </si>
  <si>
    <t>구름조금(눈비예보)</t>
    <phoneticPr fontId="3" type="noConversion"/>
  </si>
  <si>
    <t>오후눈(구름조금)</t>
    <phoneticPr fontId="3" type="noConversion"/>
  </si>
  <si>
    <t>흐림(미세먼지)</t>
    <phoneticPr fontId="3" type="noConversion"/>
  </si>
  <si>
    <t>한때눈(미세먼지)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</si>
</sst>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_ ;_ * \-#,##0_ ;_ * &quot;-&quot;_ ;_ @_ "/>
    <numFmt numFmtId="177" formatCode="_ * #,##0.00_ ;_ * &quot;₩&quot;&quot;₩&quot;&quot;₩&quot;&quot;₩&quot;&quot;₩&quot;&quot;₩&quot;&quot;₩&quot;\-#,##0.00_ ;_ * &quot;-&quot;??_ ;_ @_ 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0_ "/>
  </numFmts>
  <fonts count="2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10"/>
      <color indexed="10"/>
      <name val="돋움"/>
      <family val="3"/>
      <charset val="129"/>
    </font>
    <font>
      <sz val="11"/>
      <name val="굴림체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11"/>
      <color rgb="FFFF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11"/>
      <color rgb="FF00206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rgb="FF0070C0"/>
      <name val="돋움"/>
      <family val="3"/>
      <charset val="129"/>
    </font>
    <font>
      <b/>
      <sz val="10"/>
      <color rgb="FF0070C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6">
    <xf numFmtId="0" fontId="0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6" fontId="7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0" fontId="11" fillId="0" borderId="0" xfId="0" applyFont="1"/>
    <xf numFmtId="0" fontId="11" fillId="0" borderId="0" xfId="0" applyFont="1" applyAlignment="1">
      <alignment vertical="center"/>
    </xf>
    <xf numFmtId="41" fontId="12" fillId="0" borderId="0" xfId="7" applyFont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2" fillId="0" borderId="0" xfId="0" applyFont="1"/>
    <xf numFmtId="0" fontId="14" fillId="2" borderId="1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41" fontId="16" fillId="0" borderId="19" xfId="7" applyFont="1" applyBorder="1" applyAlignment="1">
      <alignment horizontal="center" vertical="center"/>
    </xf>
    <xf numFmtId="41" fontId="16" fillId="0" borderId="21" xfId="7" applyFont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 shrinkToFit="1"/>
    </xf>
    <xf numFmtId="0" fontId="4" fillId="2" borderId="26" xfId="0" applyFont="1" applyFill="1" applyBorder="1" applyAlignment="1">
      <alignment horizontal="center" vertical="center"/>
    </xf>
    <xf numFmtId="181" fontId="14" fillId="5" borderId="24" xfId="0" quotePrefix="1" applyNumberFormat="1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181" fontId="14" fillId="5" borderId="25" xfId="0" applyNumberFormat="1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181" fontId="14" fillId="5" borderId="5" xfId="0" applyNumberFormat="1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41" fontId="16" fillId="0" borderId="20" xfId="7" applyFont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 shrinkToFit="1"/>
    </xf>
    <xf numFmtId="181" fontId="14" fillId="5" borderId="16" xfId="0" applyNumberFormat="1" applyFont="1" applyFill="1" applyBorder="1" applyAlignment="1">
      <alignment horizontal="center" vertical="center" wrapText="1"/>
    </xf>
    <xf numFmtId="0" fontId="14" fillId="5" borderId="18" xfId="0" applyFont="1" applyFill="1" applyBorder="1" applyAlignment="1">
      <alignment horizontal="center" vertical="center" wrapText="1"/>
    </xf>
    <xf numFmtId="41" fontId="16" fillId="0" borderId="45" xfId="7" applyFont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 shrinkToFit="1"/>
    </xf>
    <xf numFmtId="0" fontId="14" fillId="2" borderId="4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shrinkToFit="1"/>
    </xf>
    <xf numFmtId="0" fontId="12" fillId="5" borderId="8" xfId="0" applyFont="1" applyFill="1" applyBorder="1" applyAlignment="1">
      <alignment horizontal="center" vertical="center" wrapText="1"/>
    </xf>
    <xf numFmtId="41" fontId="13" fillId="0" borderId="19" xfId="7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181" fontId="12" fillId="5" borderId="5" xfId="0" applyNumberFormat="1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41" fontId="13" fillId="0" borderId="20" xfId="7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81" fontId="12" fillId="5" borderId="25" xfId="0" applyNumberFormat="1" applyFont="1" applyFill="1" applyBorder="1" applyAlignment="1">
      <alignment horizontal="center" vertical="center" shrinkToFit="1"/>
    </xf>
    <xf numFmtId="0" fontId="12" fillId="5" borderId="3" xfId="0" applyFont="1" applyFill="1" applyBorder="1" applyAlignment="1">
      <alignment horizontal="center" vertical="center" shrinkToFit="1"/>
    </xf>
    <xf numFmtId="41" fontId="13" fillId="0" borderId="21" xfId="7" applyFont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 shrinkToFi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shrinkToFit="1"/>
    </xf>
    <xf numFmtId="0" fontId="12" fillId="2" borderId="47" xfId="0" applyFont="1" applyFill="1" applyBorder="1" applyAlignment="1">
      <alignment horizontal="center" vertical="center"/>
    </xf>
    <xf numFmtId="0" fontId="12" fillId="2" borderId="48" xfId="0" applyFont="1" applyFill="1" applyBorder="1" applyAlignment="1">
      <alignment horizontal="center" vertical="center"/>
    </xf>
    <xf numFmtId="0" fontId="12" fillId="5" borderId="48" xfId="0" applyFont="1" applyFill="1" applyBorder="1" applyAlignment="1">
      <alignment horizontal="center" vertical="center" shrinkToFit="1"/>
    </xf>
    <xf numFmtId="181" fontId="12" fillId="5" borderId="49" xfId="0" applyNumberFormat="1" applyFont="1" applyFill="1" applyBorder="1" applyAlignment="1">
      <alignment horizontal="center" vertical="center" wrapText="1"/>
    </xf>
    <xf numFmtId="0" fontId="12" fillId="5" borderId="50" xfId="0" applyFont="1" applyFill="1" applyBorder="1" applyAlignment="1">
      <alignment horizontal="center" vertical="center" wrapText="1"/>
    </xf>
    <xf numFmtId="41" fontId="13" fillId="0" borderId="51" xfId="7" applyFont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 shrinkToFit="1"/>
    </xf>
    <xf numFmtId="181" fontId="22" fillId="5" borderId="24" xfId="0" quotePrefix="1" applyNumberFormat="1" applyFont="1" applyFill="1" applyBorder="1" applyAlignment="1">
      <alignment horizontal="center" vertical="center" wrapText="1"/>
    </xf>
    <xf numFmtId="41" fontId="23" fillId="0" borderId="19" xfId="7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 shrinkToFit="1"/>
    </xf>
    <xf numFmtId="181" fontId="22" fillId="5" borderId="25" xfId="0" applyNumberFormat="1" applyFont="1" applyFill="1" applyBorder="1" applyAlignment="1">
      <alignment horizontal="center" vertical="center" wrapText="1" shrinkToFit="1"/>
    </xf>
    <xf numFmtId="0" fontId="22" fillId="5" borderId="3" xfId="0" applyFont="1" applyFill="1" applyBorder="1" applyAlignment="1">
      <alignment horizontal="center" vertical="center" wrapText="1"/>
    </xf>
    <xf numFmtId="41" fontId="23" fillId="0" borderId="21" xfId="7" applyFont="1" applyBorder="1" applyAlignment="1">
      <alignment horizontal="center" vertical="center"/>
    </xf>
    <xf numFmtId="181" fontId="22" fillId="5" borderId="25" xfId="0" applyNumberFormat="1" applyFont="1" applyFill="1" applyBorder="1" applyAlignment="1">
      <alignment horizontal="center" vertical="center" wrapText="1"/>
    </xf>
    <xf numFmtId="181" fontId="14" fillId="5" borderId="16" xfId="0" applyNumberFormat="1" applyFont="1" applyFill="1" applyBorder="1" applyAlignment="1">
      <alignment horizontal="center" vertical="center" wrapText="1" shrinkToFit="1"/>
    </xf>
    <xf numFmtId="0" fontId="14" fillId="2" borderId="52" xfId="0" applyFont="1" applyFill="1" applyBorder="1" applyAlignment="1">
      <alignment horizontal="center" vertical="center"/>
    </xf>
    <xf numFmtId="0" fontId="14" fillId="2" borderId="53" xfId="0" applyFont="1" applyFill="1" applyBorder="1" applyAlignment="1">
      <alignment horizontal="center" vertical="center"/>
    </xf>
    <xf numFmtId="0" fontId="14" fillId="5" borderId="53" xfId="0" applyFont="1" applyFill="1" applyBorder="1" applyAlignment="1">
      <alignment horizontal="center" vertical="center" shrinkToFit="1"/>
    </xf>
    <xf numFmtId="181" fontId="14" fillId="5" borderId="54" xfId="0" quotePrefix="1" applyNumberFormat="1" applyFont="1" applyFill="1" applyBorder="1" applyAlignment="1">
      <alignment horizontal="center" vertical="center" wrapText="1"/>
    </xf>
    <xf numFmtId="41" fontId="16" fillId="0" borderId="56" xfId="7" applyFont="1" applyBorder="1" applyAlignment="1">
      <alignment horizontal="center" vertical="center"/>
    </xf>
    <xf numFmtId="181" fontId="12" fillId="5" borderId="5" xfId="0" applyNumberFormat="1" applyFont="1" applyFill="1" applyBorder="1" applyAlignment="1">
      <alignment horizontal="center" vertical="center" wrapText="1" shrinkToFit="1"/>
    </xf>
    <xf numFmtId="181" fontId="12" fillId="5" borderId="24" xfId="0" quotePrefix="1" applyNumberFormat="1" applyFont="1" applyFill="1" applyBorder="1" applyAlignment="1">
      <alignment horizontal="center" vertical="center" wrapText="1"/>
    </xf>
    <xf numFmtId="181" fontId="22" fillId="5" borderId="25" xfId="0" applyNumberFormat="1" applyFont="1" applyFill="1" applyBorder="1" applyAlignment="1">
      <alignment horizontal="center" vertical="center" shrinkToFit="1"/>
    </xf>
    <xf numFmtId="0" fontId="22" fillId="5" borderId="3" xfId="0" applyFont="1" applyFill="1" applyBorder="1" applyAlignment="1">
      <alignment horizontal="center" vertical="center" shrinkToFit="1"/>
    </xf>
    <xf numFmtId="181" fontId="12" fillId="5" borderId="5" xfId="0" applyNumberFormat="1" applyFont="1" applyFill="1" applyBorder="1" applyAlignment="1">
      <alignment horizontal="center" vertical="center" shrinkToFit="1"/>
    </xf>
    <xf numFmtId="0" fontId="12" fillId="5" borderId="12" xfId="0" applyFont="1" applyFill="1" applyBorder="1" applyAlignment="1">
      <alignment horizontal="center" vertical="center" shrinkToFit="1"/>
    </xf>
    <xf numFmtId="0" fontId="14" fillId="2" borderId="47" xfId="0" applyFont="1" applyFill="1" applyBorder="1" applyAlignment="1">
      <alignment horizontal="center" vertical="center"/>
    </xf>
    <xf numFmtId="0" fontId="14" fillId="2" borderId="48" xfId="0" applyFont="1" applyFill="1" applyBorder="1" applyAlignment="1">
      <alignment horizontal="center" vertical="center"/>
    </xf>
    <xf numFmtId="0" fontId="14" fillId="5" borderId="48" xfId="0" applyFont="1" applyFill="1" applyBorder="1" applyAlignment="1">
      <alignment horizontal="center" vertical="center" shrinkToFit="1"/>
    </xf>
    <xf numFmtId="41" fontId="16" fillId="0" borderId="51" xfId="7" applyFont="1" applyBorder="1" applyAlignment="1">
      <alignment horizontal="center" vertical="center"/>
    </xf>
    <xf numFmtId="0" fontId="12" fillId="2" borderId="57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 shrinkToFit="1"/>
    </xf>
    <xf numFmtId="181" fontId="12" fillId="5" borderId="58" xfId="0" applyNumberFormat="1" applyFont="1" applyFill="1" applyBorder="1" applyAlignment="1">
      <alignment horizontal="center" vertical="center" wrapText="1"/>
    </xf>
    <xf numFmtId="41" fontId="13" fillId="0" borderId="22" xfId="7" applyFont="1" applyBorder="1" applyAlignment="1">
      <alignment horizontal="center" vertical="center"/>
    </xf>
    <xf numFmtId="181" fontId="14" fillId="5" borderId="16" xfId="0" applyNumberFormat="1" applyFont="1" applyFill="1" applyBorder="1" applyAlignment="1">
      <alignment horizontal="center" vertical="center" shrinkToFit="1"/>
    </xf>
    <xf numFmtId="0" fontId="14" fillId="5" borderId="18" xfId="0" applyFont="1" applyFill="1" applyBorder="1" applyAlignment="1">
      <alignment horizontal="center" vertical="center" shrinkToFit="1"/>
    </xf>
    <xf numFmtId="0" fontId="14" fillId="5" borderId="6" xfId="0" applyFont="1" applyFill="1" applyBorder="1" applyAlignment="1">
      <alignment horizontal="center" vertical="center" shrinkToFit="1"/>
    </xf>
    <xf numFmtId="181" fontId="12" fillId="5" borderId="25" xfId="0" applyNumberFormat="1" applyFont="1" applyFill="1" applyBorder="1" applyAlignment="1">
      <alignment horizontal="center" vertical="center" wrapText="1"/>
    </xf>
    <xf numFmtId="181" fontId="12" fillId="5" borderId="25" xfId="0" applyNumberFormat="1" applyFont="1" applyFill="1" applyBorder="1" applyAlignment="1">
      <alignment horizontal="center" vertical="center" wrapText="1" shrinkToFit="1"/>
    </xf>
    <xf numFmtId="181" fontId="12" fillId="5" borderId="49" xfId="0" applyNumberFormat="1" applyFont="1" applyFill="1" applyBorder="1" applyAlignment="1">
      <alignment horizontal="center" vertical="center" shrinkToFit="1"/>
    </xf>
    <xf numFmtId="0" fontId="12" fillId="5" borderId="50" xfId="0" applyFont="1" applyFill="1" applyBorder="1" applyAlignment="1">
      <alignment horizontal="center" vertical="center" shrinkToFit="1"/>
    </xf>
    <xf numFmtId="181" fontId="14" fillId="5" borderId="25" xfId="0" applyNumberFormat="1" applyFont="1" applyFill="1" applyBorder="1" applyAlignment="1">
      <alignment horizontal="center" vertical="center" shrinkToFit="1"/>
    </xf>
    <xf numFmtId="0" fontId="14" fillId="5" borderId="3" xfId="0" applyFont="1" applyFill="1" applyBorder="1" applyAlignment="1">
      <alignment horizontal="center" vertical="center" shrinkToFit="1"/>
    </xf>
    <xf numFmtId="0" fontId="12" fillId="5" borderId="8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14" fillId="5" borderId="18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50" xfId="0" applyFont="1" applyFill="1" applyBorder="1" applyAlignment="1">
      <alignment horizontal="center" vertical="center"/>
    </xf>
    <xf numFmtId="181" fontId="12" fillId="5" borderId="5" xfId="0" applyNumberFormat="1" applyFont="1" applyFill="1" applyBorder="1" applyAlignment="1">
      <alignment horizontal="center" vertical="center"/>
    </xf>
    <xf numFmtId="181" fontId="12" fillId="5" borderId="25" xfId="0" applyNumberFormat="1" applyFont="1" applyFill="1" applyBorder="1" applyAlignment="1">
      <alignment horizontal="center" vertical="center"/>
    </xf>
    <xf numFmtId="181" fontId="22" fillId="5" borderId="25" xfId="0" applyNumberFormat="1" applyFont="1" applyFill="1" applyBorder="1" applyAlignment="1">
      <alignment horizontal="center" vertical="center"/>
    </xf>
    <xf numFmtId="181" fontId="14" fillId="5" borderId="16" xfId="0" applyNumberFormat="1" applyFont="1" applyFill="1" applyBorder="1" applyAlignment="1">
      <alignment horizontal="center" vertical="center"/>
    </xf>
    <xf numFmtId="0" fontId="15" fillId="0" borderId="0" xfId="0" applyFont="1"/>
    <xf numFmtId="0" fontId="17" fillId="0" borderId="0" xfId="0" applyFont="1"/>
    <xf numFmtId="181" fontId="12" fillId="5" borderId="24" xfId="0" applyNumberFormat="1" applyFont="1" applyFill="1" applyBorder="1" applyAlignment="1">
      <alignment horizontal="center" vertical="center" wrapText="1"/>
    </xf>
    <xf numFmtId="181" fontId="14" fillId="5" borderId="24" xfId="0" applyNumberFormat="1" applyFont="1" applyFill="1" applyBorder="1" applyAlignment="1">
      <alignment horizontal="center" vertical="center" wrapText="1"/>
    </xf>
    <xf numFmtId="181" fontId="14" fillId="5" borderId="49" xfId="0" applyNumberFormat="1" applyFont="1" applyFill="1" applyBorder="1" applyAlignment="1">
      <alignment horizontal="center" vertical="center" wrapText="1"/>
    </xf>
    <xf numFmtId="0" fontId="14" fillId="5" borderId="50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/>
    </xf>
    <xf numFmtId="181" fontId="14" fillId="5" borderId="24" xfId="0" applyNumberFormat="1" applyFont="1" applyFill="1" applyBorder="1" applyAlignment="1">
      <alignment horizontal="center" vertical="center" shrinkToFit="1"/>
    </xf>
    <xf numFmtId="0" fontId="14" fillId="5" borderId="8" xfId="0" applyFont="1" applyFill="1" applyBorder="1" applyAlignment="1">
      <alignment horizontal="center" vertical="center" shrinkToFit="1"/>
    </xf>
    <xf numFmtId="181" fontId="14" fillId="5" borderId="54" xfId="0" applyNumberFormat="1" applyFont="1" applyFill="1" applyBorder="1" applyAlignment="1">
      <alignment horizontal="center" vertical="center" wrapText="1"/>
    </xf>
    <xf numFmtId="0" fontId="14" fillId="5" borderId="55" xfId="0" applyFont="1" applyFill="1" applyBorder="1" applyAlignment="1">
      <alignment horizontal="center" vertical="center" wrapText="1"/>
    </xf>
    <xf numFmtId="0" fontId="22" fillId="5" borderId="8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181" fontId="14" fillId="5" borderId="5" xfId="0" applyNumberFormat="1" applyFont="1" applyFill="1" applyBorder="1" applyAlignment="1">
      <alignment horizontal="center" vertical="center" shrinkToFit="1"/>
    </xf>
    <xf numFmtId="0" fontId="14" fillId="5" borderId="12" xfId="0" applyFont="1" applyFill="1" applyBorder="1" applyAlignment="1">
      <alignment horizontal="center" vertical="center" shrinkToFit="1"/>
    </xf>
    <xf numFmtId="181" fontId="14" fillId="5" borderId="25" xfId="0" applyNumberFormat="1" applyFont="1" applyFill="1" applyBorder="1" applyAlignment="1">
      <alignment horizontal="center" vertical="center" wrapText="1" shrinkToFit="1"/>
    </xf>
    <xf numFmtId="181" fontId="12" fillId="5" borderId="49" xfId="0" applyNumberFormat="1" applyFont="1" applyFill="1" applyBorder="1" applyAlignment="1">
      <alignment horizontal="center" vertical="center"/>
    </xf>
    <xf numFmtId="181" fontId="12" fillId="5" borderId="24" xfId="0" quotePrefix="1" applyNumberFormat="1" applyFont="1" applyFill="1" applyBorder="1" applyAlignment="1">
      <alignment horizontal="center" vertical="center"/>
    </xf>
    <xf numFmtId="181" fontId="12" fillId="5" borderId="24" xfId="0" applyNumberFormat="1" applyFont="1" applyFill="1" applyBorder="1" applyAlignment="1">
      <alignment horizontal="center" vertical="center"/>
    </xf>
    <xf numFmtId="181" fontId="12" fillId="5" borderId="24" xfId="0" applyNumberFormat="1" applyFont="1" applyFill="1" applyBorder="1" applyAlignment="1">
      <alignment horizontal="center" vertical="center" shrinkToFit="1"/>
    </xf>
    <xf numFmtId="0" fontId="12" fillId="5" borderId="8" xfId="0" applyFont="1" applyFill="1" applyBorder="1" applyAlignment="1">
      <alignment horizontal="center" vertical="center" shrinkToFit="1"/>
    </xf>
    <xf numFmtId="181" fontId="22" fillId="5" borderId="24" xfId="0" applyNumberFormat="1" applyFont="1" applyFill="1" applyBorder="1" applyAlignment="1">
      <alignment horizontal="center" vertical="center" wrapText="1"/>
    </xf>
    <xf numFmtId="0" fontId="22" fillId="2" borderId="47" xfId="0" applyFont="1" applyFill="1" applyBorder="1" applyAlignment="1">
      <alignment horizontal="center" vertical="center"/>
    </xf>
    <xf numFmtId="0" fontId="22" fillId="2" borderId="48" xfId="0" applyFont="1" applyFill="1" applyBorder="1" applyAlignment="1">
      <alignment horizontal="center" vertical="center"/>
    </xf>
    <xf numFmtId="0" fontId="22" fillId="5" borderId="48" xfId="0" applyFont="1" applyFill="1" applyBorder="1" applyAlignment="1">
      <alignment horizontal="center" vertical="center" shrinkToFit="1"/>
    </xf>
    <xf numFmtId="181" fontId="22" fillId="5" borderId="49" xfId="0" applyNumberFormat="1" applyFont="1" applyFill="1" applyBorder="1" applyAlignment="1">
      <alignment horizontal="center" vertical="center" wrapText="1"/>
    </xf>
    <xf numFmtId="0" fontId="22" fillId="5" borderId="50" xfId="0" applyFont="1" applyFill="1" applyBorder="1" applyAlignment="1">
      <alignment horizontal="center" vertical="center" wrapText="1"/>
    </xf>
    <xf numFmtId="41" fontId="23" fillId="0" borderId="51" xfId="7" applyFont="1" applyBorder="1" applyAlignment="1">
      <alignment horizontal="center" vertical="center"/>
    </xf>
    <xf numFmtId="41" fontId="13" fillId="3" borderId="38" xfId="7" applyFont="1" applyFill="1" applyBorder="1" applyAlignment="1">
      <alignment horizontal="center" vertical="center"/>
    </xf>
    <xf numFmtId="41" fontId="13" fillId="3" borderId="13" xfId="7" applyFont="1" applyFill="1" applyBorder="1" applyAlignment="1">
      <alignment horizontal="center" vertical="center"/>
    </xf>
    <xf numFmtId="41" fontId="13" fillId="3" borderId="39" xfId="7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41" fontId="13" fillId="4" borderId="38" xfId="7" applyFont="1" applyFill="1" applyBorder="1" applyAlignment="1">
      <alignment horizontal="center" vertical="center"/>
    </xf>
    <xf numFmtId="41" fontId="13" fillId="4" borderId="13" xfId="7" applyFont="1" applyFill="1" applyBorder="1" applyAlignment="1">
      <alignment horizontal="center" vertical="center"/>
    </xf>
    <xf numFmtId="41" fontId="13" fillId="4" borderId="39" xfId="7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 wrapText="1"/>
    </xf>
    <xf numFmtId="0" fontId="5" fillId="5" borderId="59" xfId="0" applyFont="1" applyFill="1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 wrapText="1"/>
    </xf>
    <xf numFmtId="0" fontId="5" fillId="6" borderId="59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 wrapText="1"/>
    </xf>
    <xf numFmtId="0" fontId="4" fillId="3" borderId="60" xfId="0" applyFont="1" applyFill="1" applyBorder="1" applyAlignment="1">
      <alignment horizontal="center" vertical="center"/>
    </xf>
    <xf numFmtId="41" fontId="16" fillId="0" borderId="61" xfId="7" applyFont="1" applyBorder="1" applyAlignment="1">
      <alignment horizontal="center" vertical="center"/>
    </xf>
    <xf numFmtId="41" fontId="13" fillId="0" borderId="62" xfId="7" applyFont="1" applyBorder="1" applyAlignment="1">
      <alignment horizontal="center" vertical="center"/>
    </xf>
    <xf numFmtId="41" fontId="13" fillId="0" borderId="59" xfId="7" applyFont="1" applyBorder="1" applyAlignment="1">
      <alignment horizontal="center" vertical="center"/>
    </xf>
    <xf numFmtId="41" fontId="23" fillId="0" borderId="59" xfId="7" applyFont="1" applyBorder="1" applyAlignment="1">
      <alignment horizontal="center" vertical="center"/>
    </xf>
    <xf numFmtId="41" fontId="16" fillId="0" borderId="63" xfId="7" applyFont="1" applyBorder="1" applyAlignment="1">
      <alignment horizontal="center" vertical="center"/>
    </xf>
    <xf numFmtId="41" fontId="16" fillId="0" borderId="59" xfId="7" applyFont="1" applyBorder="1" applyAlignment="1">
      <alignment horizontal="center" vertical="center"/>
    </xf>
    <xf numFmtId="41" fontId="13" fillId="0" borderId="64" xfId="7" applyFont="1" applyBorder="1" applyAlignment="1">
      <alignment horizontal="center" vertical="center"/>
    </xf>
    <xf numFmtId="41" fontId="13" fillId="4" borderId="38" xfId="7" applyFont="1" applyFill="1" applyBorder="1" applyAlignment="1">
      <alignment vertical="center"/>
    </xf>
    <xf numFmtId="41" fontId="13" fillId="4" borderId="65" xfId="7" applyFont="1" applyFill="1" applyBorder="1" applyAlignment="1">
      <alignment vertical="center"/>
    </xf>
    <xf numFmtId="41" fontId="13" fillId="3" borderId="38" xfId="7" applyFont="1" applyFill="1" applyBorder="1" applyAlignment="1">
      <alignment vertical="center"/>
    </xf>
    <xf numFmtId="41" fontId="13" fillId="3" borderId="65" xfId="7" applyFont="1" applyFill="1" applyBorder="1" applyAlignment="1">
      <alignment vertical="center"/>
    </xf>
    <xf numFmtId="41" fontId="13" fillId="0" borderId="66" xfId="7" applyFont="1" applyBorder="1" applyAlignment="1">
      <alignment horizontal="center" vertical="center"/>
    </xf>
    <xf numFmtId="41" fontId="16" fillId="0" borderId="66" xfId="7" applyFont="1" applyBorder="1" applyAlignment="1">
      <alignment horizontal="center" vertical="center"/>
    </xf>
    <xf numFmtId="41" fontId="16" fillId="0" borderId="62" xfId="7" applyFont="1" applyBorder="1" applyAlignment="1">
      <alignment horizontal="center" vertical="center"/>
    </xf>
    <xf numFmtId="41" fontId="23" fillId="0" borderId="64" xfId="7" applyFont="1" applyBorder="1" applyAlignment="1">
      <alignment horizontal="center" vertical="center"/>
    </xf>
    <xf numFmtId="41" fontId="23" fillId="0" borderId="66" xfId="7" applyFont="1" applyBorder="1" applyAlignment="1">
      <alignment horizontal="center" vertical="center"/>
    </xf>
    <xf numFmtId="41" fontId="13" fillId="0" borderId="67" xfId="7" applyFont="1" applyBorder="1" applyAlignment="1">
      <alignment horizontal="center" vertical="center"/>
    </xf>
    <xf numFmtId="41" fontId="16" fillId="0" borderId="64" xfId="7" applyFont="1" applyBorder="1" applyAlignment="1">
      <alignment horizontal="center" vertical="center"/>
    </xf>
  </cellXfs>
  <cellStyles count="16">
    <cellStyle name="Comma [0]_laroux" xfId="1" xr:uid="{00000000-0005-0000-0000-000000000000}"/>
    <cellStyle name="Comma_laroux" xfId="2" xr:uid="{00000000-0005-0000-0000-000001000000}"/>
    <cellStyle name="Currency [0]_laroux" xfId="3" xr:uid="{00000000-0005-0000-0000-000002000000}"/>
    <cellStyle name="Currency_laroux" xfId="4" xr:uid="{00000000-0005-0000-0000-000003000000}"/>
    <cellStyle name="Normal_Certs Q2" xfId="5" xr:uid="{00000000-0005-0000-0000-000004000000}"/>
    <cellStyle name="백분율 2" xfId="6" xr:uid="{00000000-0005-0000-0000-000006000000}"/>
    <cellStyle name="쉼표 [0]" xfId="7" builtinId="6"/>
    <cellStyle name="쉼표 [0] 5" xfId="8" xr:uid="{00000000-0005-0000-0000-000008000000}"/>
    <cellStyle name="콤마 [0]_급여지급" xfId="9" xr:uid="{00000000-0005-0000-0000-000009000000}"/>
    <cellStyle name="콤마_승인업체" xfId="10" xr:uid="{00000000-0005-0000-0000-00000A000000}"/>
    <cellStyle name="표준" xfId="0" builtinId="0"/>
    <cellStyle name="표준 11" xfId="11" xr:uid="{00000000-0005-0000-0000-00000C000000}"/>
    <cellStyle name="표준 2" xfId="12" xr:uid="{00000000-0005-0000-0000-00000D000000}"/>
    <cellStyle name="표준 3" xfId="13" xr:uid="{00000000-0005-0000-0000-00000E000000}"/>
    <cellStyle name="표준 4" xfId="14" xr:uid="{00000000-0005-0000-0000-00000F000000}"/>
    <cellStyle name="표준 5" xfId="15" xr:uid="{00000000-0005-0000-0000-000010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I37"/>
  <sheetViews>
    <sheetView tabSelected="1" workbookViewId="0">
      <pane xSplit="7" ySplit="4" topLeftCell="H5" activePane="bottomRight" state="frozen"/>
      <selection activeCell="J26" sqref="J26"/>
      <selection pane="topRight" activeCell="J26" sqref="J26"/>
      <selection pane="bottomLeft" activeCell="J26" sqref="J26"/>
      <selection pane="bottomRight" activeCell="L29" sqref="L29"/>
    </sheetView>
  </sheetViews>
  <sheetFormatPr defaultColWidth="8.88671875" defaultRowHeight="13.5" x14ac:dyDescent="0.15"/>
  <cols>
    <col min="1" max="2" width="5.77734375" style="1" customWidth="1"/>
    <col min="3" max="3" width="8.77734375" style="8" customWidth="1"/>
    <col min="4" max="5" width="3.77734375" style="8" customWidth="1"/>
    <col min="6" max="6" width="5.77734375" style="8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1" t="s">
        <v>3</v>
      </c>
      <c r="B1" s="152"/>
      <c r="C1" s="152"/>
      <c r="D1" s="152"/>
      <c r="E1" s="152"/>
      <c r="F1" s="152"/>
      <c r="G1" s="152"/>
      <c r="H1" s="152"/>
      <c r="I1" s="153"/>
    </row>
    <row r="2" spans="1:9" s="2" customFormat="1" ht="22.5" customHeight="1" x14ac:dyDescent="0.15">
      <c r="A2" s="143" t="s">
        <v>2</v>
      </c>
      <c r="B2" s="146" t="s">
        <v>1</v>
      </c>
      <c r="C2" s="137" t="s">
        <v>12</v>
      </c>
      <c r="D2" s="137" t="s">
        <v>15</v>
      </c>
      <c r="E2" s="138"/>
      <c r="F2" s="137" t="s">
        <v>16</v>
      </c>
      <c r="G2" s="141"/>
      <c r="H2" s="157" t="s">
        <v>22</v>
      </c>
      <c r="I2" s="158" t="s">
        <v>21</v>
      </c>
    </row>
    <row r="3" spans="1:9" s="2" customFormat="1" ht="18.75" customHeight="1" x14ac:dyDescent="0.15">
      <c r="A3" s="144"/>
      <c r="B3" s="154"/>
      <c r="C3" s="155"/>
      <c r="D3" s="139"/>
      <c r="E3" s="140"/>
      <c r="F3" s="139"/>
      <c r="G3" s="142"/>
      <c r="H3" s="159" t="s">
        <v>23</v>
      </c>
      <c r="I3" s="160" t="s">
        <v>20</v>
      </c>
    </row>
    <row r="4" spans="1:9" s="2" customFormat="1" ht="18.75" customHeight="1" x14ac:dyDescent="0.15">
      <c r="A4" s="145"/>
      <c r="B4" s="147"/>
      <c r="C4" s="156"/>
      <c r="D4" s="13" t="s">
        <v>13</v>
      </c>
      <c r="E4" s="13" t="s">
        <v>14</v>
      </c>
      <c r="F4" s="13" t="s">
        <v>18</v>
      </c>
      <c r="G4" s="15" t="s">
        <v>17</v>
      </c>
      <c r="H4" s="161"/>
      <c r="I4" s="162" t="s">
        <v>19</v>
      </c>
    </row>
    <row r="5" spans="1:9" s="106" customFormat="1" ht="23.1" customHeight="1" x14ac:dyDescent="0.15">
      <c r="A5" s="6">
        <v>1</v>
      </c>
      <c r="B5" s="7" t="s">
        <v>38</v>
      </c>
      <c r="C5" s="89" t="s">
        <v>63</v>
      </c>
      <c r="D5" s="16">
        <v>0</v>
      </c>
      <c r="E5" s="16">
        <v>7</v>
      </c>
      <c r="F5" s="109" t="s">
        <v>64</v>
      </c>
      <c r="G5" s="17" t="s">
        <v>65</v>
      </c>
      <c r="H5" s="11">
        <v>4212</v>
      </c>
      <c r="I5" s="175">
        <v>5848</v>
      </c>
    </row>
    <row r="6" spans="1:9" customFormat="1" ht="23.1" customHeight="1" x14ac:dyDescent="0.15">
      <c r="A6" s="40">
        <v>2</v>
      </c>
      <c r="B6" s="41" t="s">
        <v>39</v>
      </c>
      <c r="C6" s="32" t="s">
        <v>69</v>
      </c>
      <c r="D6" s="90">
        <v>2</v>
      </c>
      <c r="E6" s="90">
        <v>4</v>
      </c>
      <c r="F6" s="90" t="s">
        <v>57</v>
      </c>
      <c r="G6" s="46" t="s">
        <v>68</v>
      </c>
      <c r="H6" s="44">
        <v>1470</v>
      </c>
      <c r="I6" s="165">
        <v>1753</v>
      </c>
    </row>
    <row r="7" spans="1:9" customFormat="1" ht="23.1" customHeight="1" x14ac:dyDescent="0.15">
      <c r="A7" s="40">
        <v>3</v>
      </c>
      <c r="B7" s="41" t="s">
        <v>10</v>
      </c>
      <c r="C7" s="32" t="s">
        <v>70</v>
      </c>
      <c r="D7" s="90">
        <v>-1</v>
      </c>
      <c r="E7" s="90">
        <v>4</v>
      </c>
      <c r="F7" s="90" t="s">
        <v>57</v>
      </c>
      <c r="G7" s="46" t="s">
        <v>71</v>
      </c>
      <c r="H7" s="44">
        <v>829</v>
      </c>
      <c r="I7" s="165">
        <v>939</v>
      </c>
    </row>
    <row r="8" spans="1:9" s="107" customFormat="1" ht="23.1" customHeight="1" x14ac:dyDescent="0.15">
      <c r="A8" s="40">
        <v>4</v>
      </c>
      <c r="B8" s="41" t="s">
        <v>11</v>
      </c>
      <c r="C8" s="32" t="s">
        <v>72</v>
      </c>
      <c r="D8" s="42">
        <v>-3</v>
      </c>
      <c r="E8" s="42">
        <v>5</v>
      </c>
      <c r="F8" s="42" t="s">
        <v>57</v>
      </c>
      <c r="G8" s="43" t="s">
        <v>73</v>
      </c>
      <c r="H8" s="44">
        <v>2160</v>
      </c>
      <c r="I8" s="165">
        <v>2361</v>
      </c>
    </row>
    <row r="9" spans="1:9" s="106" customFormat="1" ht="23.1" customHeight="1" x14ac:dyDescent="0.15">
      <c r="A9" s="40">
        <v>5</v>
      </c>
      <c r="B9" s="41" t="s">
        <v>5</v>
      </c>
      <c r="C9" s="32" t="s">
        <v>79</v>
      </c>
      <c r="D9" s="90">
        <v>1</v>
      </c>
      <c r="E9" s="90">
        <v>9</v>
      </c>
      <c r="F9" s="90" t="s">
        <v>57</v>
      </c>
      <c r="G9" s="46" t="s">
        <v>74</v>
      </c>
      <c r="H9" s="44">
        <v>1855</v>
      </c>
      <c r="I9" s="165">
        <v>2171</v>
      </c>
    </row>
    <row r="10" spans="1:9" customFormat="1" ht="23.1" customHeight="1" x14ac:dyDescent="0.15">
      <c r="A10" s="59">
        <v>6</v>
      </c>
      <c r="B10" s="60" t="s">
        <v>6</v>
      </c>
      <c r="C10" s="61" t="s">
        <v>78</v>
      </c>
      <c r="D10" s="65">
        <v>-3</v>
      </c>
      <c r="E10" s="65">
        <v>5</v>
      </c>
      <c r="F10" s="65" t="s">
        <v>57</v>
      </c>
      <c r="G10" s="63" t="s">
        <v>77</v>
      </c>
      <c r="H10" s="64">
        <v>6466</v>
      </c>
      <c r="I10" s="166">
        <v>8029</v>
      </c>
    </row>
    <row r="11" spans="1:9" customFormat="1" ht="23.1" customHeight="1" x14ac:dyDescent="0.15">
      <c r="A11" s="29">
        <v>7</v>
      </c>
      <c r="B11" s="23" t="s">
        <v>7</v>
      </c>
      <c r="C11" s="24" t="s">
        <v>75</v>
      </c>
      <c r="D11" s="25">
        <v>-8</v>
      </c>
      <c r="E11" s="25">
        <v>-1</v>
      </c>
      <c r="F11" s="25" t="s">
        <v>57</v>
      </c>
      <c r="G11" s="26" t="s">
        <v>76</v>
      </c>
      <c r="H11" s="27">
        <v>2454</v>
      </c>
      <c r="I11" s="167">
        <v>3496</v>
      </c>
    </row>
    <row r="12" spans="1:9" customFormat="1" ht="23.1" customHeight="1" x14ac:dyDescent="0.15">
      <c r="A12" s="35">
        <v>8</v>
      </c>
      <c r="B12" s="36" t="s">
        <v>8</v>
      </c>
      <c r="C12" s="47" t="s">
        <v>80</v>
      </c>
      <c r="D12" s="72">
        <v>-10</v>
      </c>
      <c r="E12" s="72">
        <v>0</v>
      </c>
      <c r="F12" s="72" t="s">
        <v>57</v>
      </c>
      <c r="G12" s="38" t="s">
        <v>81</v>
      </c>
      <c r="H12" s="39">
        <v>567</v>
      </c>
      <c r="I12" s="164">
        <v>649</v>
      </c>
    </row>
    <row r="13" spans="1:9" customFormat="1" ht="23.1" customHeight="1" x14ac:dyDescent="0.15">
      <c r="A13" s="40">
        <v>9</v>
      </c>
      <c r="B13" s="41" t="s">
        <v>9</v>
      </c>
      <c r="C13" s="32" t="s">
        <v>83</v>
      </c>
      <c r="D13" s="91">
        <v>-2</v>
      </c>
      <c r="E13" s="91">
        <v>0</v>
      </c>
      <c r="F13" s="91" t="s">
        <v>57</v>
      </c>
      <c r="G13" s="46" t="s">
        <v>82</v>
      </c>
      <c r="H13" s="44">
        <v>437</v>
      </c>
      <c r="I13" s="165">
        <v>481</v>
      </c>
    </row>
    <row r="14" spans="1:9" customFormat="1" ht="23.1" customHeight="1" x14ac:dyDescent="0.15">
      <c r="A14" s="40">
        <v>10</v>
      </c>
      <c r="B14" s="41" t="s">
        <v>10</v>
      </c>
      <c r="C14" s="32" t="s">
        <v>85</v>
      </c>
      <c r="D14" s="90">
        <v>-4</v>
      </c>
      <c r="E14" s="90">
        <v>3</v>
      </c>
      <c r="F14" s="90" t="s">
        <v>57</v>
      </c>
      <c r="G14" s="46" t="s">
        <v>84</v>
      </c>
      <c r="H14" s="44">
        <v>921</v>
      </c>
      <c r="I14" s="165">
        <v>1061</v>
      </c>
    </row>
    <row r="15" spans="1:9" s="107" customFormat="1" ht="23.1" customHeight="1" x14ac:dyDescent="0.15">
      <c r="A15" s="40">
        <v>11</v>
      </c>
      <c r="B15" s="41" t="s">
        <v>11</v>
      </c>
      <c r="C15" s="32" t="s">
        <v>86</v>
      </c>
      <c r="D15" s="90">
        <v>-2</v>
      </c>
      <c r="E15" s="90">
        <v>5</v>
      </c>
      <c r="F15" s="90" t="s">
        <v>57</v>
      </c>
      <c r="G15" s="46" t="s">
        <v>87</v>
      </c>
      <c r="H15" s="44">
        <v>1464</v>
      </c>
      <c r="I15" s="165">
        <v>1632</v>
      </c>
    </row>
    <row r="16" spans="1:9" s="106" customFormat="1" ht="23.1" customHeight="1" x14ac:dyDescent="0.15">
      <c r="A16" s="40">
        <v>12</v>
      </c>
      <c r="B16" s="41" t="s">
        <v>5</v>
      </c>
      <c r="C16" s="32" t="s">
        <v>91</v>
      </c>
      <c r="D16" s="90">
        <v>-1</v>
      </c>
      <c r="E16" s="90">
        <v>4</v>
      </c>
      <c r="F16" s="90" t="s">
        <v>57</v>
      </c>
      <c r="G16" s="46" t="s">
        <v>88</v>
      </c>
      <c r="H16" s="44">
        <v>2578</v>
      </c>
      <c r="I16" s="165">
        <v>2801</v>
      </c>
    </row>
    <row r="17" spans="1:9" customFormat="1" ht="23.1" customHeight="1" x14ac:dyDescent="0.15">
      <c r="A17" s="59">
        <v>13</v>
      </c>
      <c r="B17" s="60" t="s">
        <v>6</v>
      </c>
      <c r="C17" s="61" t="s">
        <v>90</v>
      </c>
      <c r="D17" s="65">
        <v>-4</v>
      </c>
      <c r="E17" s="65">
        <v>6</v>
      </c>
      <c r="F17" s="65" t="s">
        <v>57</v>
      </c>
      <c r="G17" s="63" t="s">
        <v>89</v>
      </c>
      <c r="H17" s="64">
        <v>8770</v>
      </c>
      <c r="I17" s="166">
        <v>10175</v>
      </c>
    </row>
    <row r="18" spans="1:9" customFormat="1" ht="23.1" customHeight="1" x14ac:dyDescent="0.15">
      <c r="A18" s="29">
        <v>14</v>
      </c>
      <c r="B18" s="23" t="s">
        <v>7</v>
      </c>
      <c r="C18" s="24" t="s">
        <v>92</v>
      </c>
      <c r="D18" s="25">
        <v>-3</v>
      </c>
      <c r="E18" s="25">
        <v>2</v>
      </c>
      <c r="F18" s="25" t="s">
        <v>57</v>
      </c>
      <c r="G18" s="26" t="s">
        <v>93</v>
      </c>
      <c r="H18" s="27">
        <v>1434</v>
      </c>
      <c r="I18" s="167">
        <v>1950</v>
      </c>
    </row>
    <row r="19" spans="1:9" customFormat="1" ht="23.1" customHeight="1" x14ac:dyDescent="0.15">
      <c r="A19" s="35">
        <v>15</v>
      </c>
      <c r="B19" s="36" t="s">
        <v>8</v>
      </c>
      <c r="C19" s="47" t="s">
        <v>94</v>
      </c>
      <c r="D19" s="37">
        <v>-7</v>
      </c>
      <c r="E19" s="37">
        <v>1</v>
      </c>
      <c r="F19" s="37" t="s">
        <v>57</v>
      </c>
      <c r="G19" s="38" t="s">
        <v>95</v>
      </c>
      <c r="H19" s="39">
        <v>821</v>
      </c>
      <c r="I19" s="164">
        <v>907</v>
      </c>
    </row>
    <row r="20" spans="1:9" customFormat="1" ht="23.1" customHeight="1" x14ac:dyDescent="0.15">
      <c r="A20" s="40">
        <v>16</v>
      </c>
      <c r="B20" s="41" t="s">
        <v>9</v>
      </c>
      <c r="C20" s="32" t="s">
        <v>96</v>
      </c>
      <c r="D20" s="90">
        <v>-7</v>
      </c>
      <c r="E20" s="90">
        <v>4</v>
      </c>
      <c r="F20" s="90" t="s">
        <v>57</v>
      </c>
      <c r="G20" s="46" t="s">
        <v>97</v>
      </c>
      <c r="H20" s="44">
        <v>1819</v>
      </c>
      <c r="I20" s="165">
        <v>1916</v>
      </c>
    </row>
    <row r="21" spans="1:9" customFormat="1" ht="23.1" customHeight="1" x14ac:dyDescent="0.15">
      <c r="A21" s="40">
        <v>17</v>
      </c>
      <c r="B21" s="41" t="s">
        <v>10</v>
      </c>
      <c r="C21" s="32" t="s">
        <v>70</v>
      </c>
      <c r="D21" s="90">
        <v>-2</v>
      </c>
      <c r="E21" s="90">
        <v>2</v>
      </c>
      <c r="F21" s="90" t="s">
        <v>57</v>
      </c>
      <c r="G21" s="46" t="s">
        <v>98</v>
      </c>
      <c r="H21" s="44">
        <v>810</v>
      </c>
      <c r="I21" s="165">
        <v>874</v>
      </c>
    </row>
    <row r="22" spans="1:9" s="107" customFormat="1" ht="23.1" customHeight="1" x14ac:dyDescent="0.15">
      <c r="A22" s="40">
        <v>18</v>
      </c>
      <c r="B22" s="41" t="s">
        <v>11</v>
      </c>
      <c r="C22" s="32" t="s">
        <v>100</v>
      </c>
      <c r="D22" s="90">
        <v>1</v>
      </c>
      <c r="E22" s="90">
        <v>9</v>
      </c>
      <c r="F22" s="90" t="s">
        <v>57</v>
      </c>
      <c r="G22" s="46" t="s">
        <v>99</v>
      </c>
      <c r="H22" s="44">
        <v>1732</v>
      </c>
      <c r="I22" s="165">
        <v>1897</v>
      </c>
    </row>
    <row r="23" spans="1:9" s="106" customFormat="1" ht="23.1" customHeight="1" x14ac:dyDescent="0.15">
      <c r="A23" s="40">
        <v>19</v>
      </c>
      <c r="B23" s="41" t="s">
        <v>5</v>
      </c>
      <c r="C23" s="32" t="s">
        <v>105</v>
      </c>
      <c r="D23" s="90">
        <v>4</v>
      </c>
      <c r="E23" s="90">
        <v>9</v>
      </c>
      <c r="F23" s="90" t="s">
        <v>57</v>
      </c>
      <c r="G23" s="46" t="s">
        <v>101</v>
      </c>
      <c r="H23" s="44">
        <v>3213</v>
      </c>
      <c r="I23" s="165">
        <v>3472</v>
      </c>
    </row>
    <row r="24" spans="1:9" customFormat="1" ht="23.1" customHeight="1" x14ac:dyDescent="0.15">
      <c r="A24" s="59">
        <v>20</v>
      </c>
      <c r="B24" s="60" t="s">
        <v>6</v>
      </c>
      <c r="C24" s="61" t="s">
        <v>104</v>
      </c>
      <c r="D24" s="65">
        <v>2</v>
      </c>
      <c r="E24" s="65">
        <v>5</v>
      </c>
      <c r="F24" s="65" t="s">
        <v>57</v>
      </c>
      <c r="G24" s="63" t="s">
        <v>102</v>
      </c>
      <c r="H24" s="64">
        <v>8704</v>
      </c>
      <c r="I24" s="166">
        <v>9560</v>
      </c>
    </row>
    <row r="25" spans="1:9" customFormat="1" ht="23.1" customHeight="1" x14ac:dyDescent="0.15">
      <c r="A25" s="29">
        <v>21</v>
      </c>
      <c r="B25" s="23" t="s">
        <v>7</v>
      </c>
      <c r="C25" s="24" t="s">
        <v>106</v>
      </c>
      <c r="D25" s="25">
        <v>-2</v>
      </c>
      <c r="E25" s="25">
        <v>4</v>
      </c>
      <c r="F25" s="25" t="s">
        <v>57</v>
      </c>
      <c r="G25" s="26" t="s">
        <v>103</v>
      </c>
      <c r="H25" s="27">
        <v>3866</v>
      </c>
      <c r="I25" s="167">
        <v>5067</v>
      </c>
    </row>
    <row r="26" spans="1:9" customFormat="1" ht="23.1" customHeight="1" x14ac:dyDescent="0.15">
      <c r="A26" s="35">
        <v>22</v>
      </c>
      <c r="B26" s="36" t="s">
        <v>8</v>
      </c>
      <c r="C26" s="47" t="s">
        <v>107</v>
      </c>
      <c r="D26" s="37">
        <v>-12</v>
      </c>
      <c r="E26" s="37">
        <v>-2</v>
      </c>
      <c r="F26" s="37" t="s">
        <v>57</v>
      </c>
      <c r="G26" s="38" t="s">
        <v>108</v>
      </c>
      <c r="H26" s="39">
        <v>470</v>
      </c>
      <c r="I26" s="164">
        <v>506</v>
      </c>
    </row>
    <row r="27" spans="1:9" customFormat="1" ht="23.1" customHeight="1" x14ac:dyDescent="0.15">
      <c r="A27" s="40">
        <v>23</v>
      </c>
      <c r="B27" s="41" t="s">
        <v>9</v>
      </c>
      <c r="C27" s="32" t="s">
        <v>109</v>
      </c>
      <c r="D27" s="90">
        <v>-14</v>
      </c>
      <c r="E27" s="90">
        <v>-8</v>
      </c>
      <c r="F27" s="90" t="s">
        <v>57</v>
      </c>
      <c r="G27" s="46" t="s">
        <v>110</v>
      </c>
      <c r="H27" s="44">
        <v>224</v>
      </c>
      <c r="I27" s="165">
        <v>233</v>
      </c>
    </row>
    <row r="28" spans="1:9" s="106" customFormat="1" ht="23.1" customHeight="1" x14ac:dyDescent="0.15">
      <c r="A28" s="40">
        <v>24</v>
      </c>
      <c r="B28" s="41" t="s">
        <v>10</v>
      </c>
      <c r="C28" s="32" t="s">
        <v>112</v>
      </c>
      <c r="D28" s="90">
        <v>-11</v>
      </c>
      <c r="E28" s="90">
        <v>-4</v>
      </c>
      <c r="F28" s="90" t="s">
        <v>57</v>
      </c>
      <c r="G28" s="46" t="s">
        <v>111</v>
      </c>
      <c r="H28" s="44">
        <v>467</v>
      </c>
      <c r="I28" s="165">
        <v>488</v>
      </c>
    </row>
    <row r="29" spans="1:9" s="106" customFormat="1" ht="23.1" customHeight="1" x14ac:dyDescent="0.15">
      <c r="A29" s="40">
        <v>25</v>
      </c>
      <c r="B29" s="41" t="s">
        <v>11</v>
      </c>
      <c r="C29" s="32" t="s">
        <v>113</v>
      </c>
      <c r="D29" s="90">
        <v>-10</v>
      </c>
      <c r="E29" s="90">
        <v>0</v>
      </c>
      <c r="F29" s="90" t="s">
        <v>57</v>
      </c>
      <c r="G29" s="46" t="s">
        <v>114</v>
      </c>
      <c r="H29" s="44">
        <v>481</v>
      </c>
      <c r="I29" s="165">
        <v>515</v>
      </c>
    </row>
    <row r="30" spans="1:9" s="106" customFormat="1" ht="23.1" customHeight="1" x14ac:dyDescent="0.15">
      <c r="A30" s="40">
        <v>26</v>
      </c>
      <c r="B30" s="41" t="s">
        <v>5</v>
      </c>
      <c r="C30" s="32" t="s">
        <v>120</v>
      </c>
      <c r="D30" s="90">
        <v>-7</v>
      </c>
      <c r="E30" s="90">
        <v>4</v>
      </c>
      <c r="F30" s="90" t="s">
        <v>57</v>
      </c>
      <c r="G30" s="46" t="s">
        <v>117</v>
      </c>
      <c r="H30" s="44">
        <v>2275</v>
      </c>
      <c r="I30" s="165">
        <v>2432</v>
      </c>
    </row>
    <row r="31" spans="1:9" s="106" customFormat="1" ht="23.1" customHeight="1" x14ac:dyDescent="0.15">
      <c r="A31" s="59">
        <v>27</v>
      </c>
      <c r="B31" s="60" t="s">
        <v>6</v>
      </c>
      <c r="C31" s="61" t="s">
        <v>119</v>
      </c>
      <c r="D31" s="65">
        <v>-5</v>
      </c>
      <c r="E31" s="65">
        <v>5</v>
      </c>
      <c r="F31" s="65" t="s">
        <v>57</v>
      </c>
      <c r="G31" s="63" t="s">
        <v>116</v>
      </c>
      <c r="H31" s="64">
        <v>9057</v>
      </c>
      <c r="I31" s="166">
        <v>10101</v>
      </c>
    </row>
    <row r="32" spans="1:9" customFormat="1" ht="23.1" customHeight="1" x14ac:dyDescent="0.15">
      <c r="A32" s="29">
        <v>28</v>
      </c>
      <c r="B32" s="23" t="s">
        <v>7</v>
      </c>
      <c r="C32" s="24" t="s">
        <v>118</v>
      </c>
      <c r="D32" s="25">
        <v>-5</v>
      </c>
      <c r="E32" s="25">
        <v>4</v>
      </c>
      <c r="F32" s="25" t="s">
        <v>57</v>
      </c>
      <c r="G32" s="26" t="s">
        <v>115</v>
      </c>
      <c r="H32" s="27">
        <v>4656</v>
      </c>
      <c r="I32" s="167">
        <v>6247</v>
      </c>
    </row>
    <row r="33" spans="1:9" customFormat="1" ht="23.1" customHeight="1" x14ac:dyDescent="0.15">
      <c r="A33" s="35">
        <v>29</v>
      </c>
      <c r="B33" s="36" t="s">
        <v>8</v>
      </c>
      <c r="C33" s="47" t="s">
        <v>122</v>
      </c>
      <c r="D33" s="37">
        <v>-5</v>
      </c>
      <c r="E33" s="37">
        <v>5</v>
      </c>
      <c r="F33" s="37" t="s">
        <v>57</v>
      </c>
      <c r="G33" s="38" t="s">
        <v>121</v>
      </c>
      <c r="H33" s="39">
        <v>1163</v>
      </c>
      <c r="I33" s="164">
        <v>1295</v>
      </c>
    </row>
    <row r="34" spans="1:9" customFormat="1" ht="23.25" customHeight="1" x14ac:dyDescent="0.15">
      <c r="A34" s="40">
        <v>30</v>
      </c>
      <c r="B34" s="41" t="s">
        <v>9</v>
      </c>
      <c r="C34" s="32" t="s">
        <v>123</v>
      </c>
      <c r="D34" s="90">
        <v>-4</v>
      </c>
      <c r="E34" s="90">
        <v>8</v>
      </c>
      <c r="F34" s="90" t="s">
        <v>57</v>
      </c>
      <c r="G34" s="46" t="s">
        <v>124</v>
      </c>
      <c r="H34" s="44">
        <v>1249</v>
      </c>
      <c r="I34" s="165">
        <v>1399</v>
      </c>
    </row>
    <row r="35" spans="1:9" customFormat="1" ht="23.1" customHeight="1" thickBot="1" x14ac:dyDescent="0.2">
      <c r="A35" s="48">
        <v>31</v>
      </c>
      <c r="B35" s="49" t="s">
        <v>10</v>
      </c>
      <c r="C35" s="50" t="s">
        <v>126</v>
      </c>
      <c r="D35" s="51">
        <v>1</v>
      </c>
      <c r="E35" s="51">
        <v>11</v>
      </c>
      <c r="F35" s="51" t="s">
        <v>57</v>
      </c>
      <c r="G35" s="52" t="s">
        <v>125</v>
      </c>
      <c r="H35" s="53">
        <v>1660</v>
      </c>
      <c r="I35" s="169">
        <v>1848</v>
      </c>
    </row>
    <row r="36" spans="1:9" s="3" customFormat="1" ht="21" customHeight="1" thickBot="1" x14ac:dyDescent="0.2">
      <c r="A36" s="148" t="s">
        <v>0</v>
      </c>
      <c r="B36" s="149"/>
      <c r="C36" s="149"/>
      <c r="D36" s="149"/>
      <c r="E36" s="149"/>
      <c r="F36" s="149"/>
      <c r="G36" s="150"/>
      <c r="H36" s="170">
        <f t="shared" ref="H36:I36" si="0">SUM(H5:H35)</f>
        <v>78284</v>
      </c>
      <c r="I36" s="171">
        <f t="shared" si="0"/>
        <v>92103</v>
      </c>
    </row>
    <row r="37" spans="1:9" s="3" customFormat="1" ht="21" customHeight="1" thickBot="1" x14ac:dyDescent="0.2">
      <c r="A37" s="134" t="s">
        <v>4</v>
      </c>
      <c r="B37" s="135"/>
      <c r="C37" s="135"/>
      <c r="D37" s="135"/>
      <c r="E37" s="135"/>
      <c r="F37" s="135"/>
      <c r="G37" s="136"/>
      <c r="H37" s="172">
        <f t="shared" ref="H37:I37" si="1">H36</f>
        <v>78284</v>
      </c>
      <c r="I37" s="173">
        <f t="shared" si="1"/>
        <v>92103</v>
      </c>
    </row>
  </sheetData>
  <mergeCells count="9">
    <mergeCell ref="B2:B4"/>
    <mergeCell ref="C2:C4"/>
    <mergeCell ref="A1:I1"/>
    <mergeCell ref="A37:G37"/>
    <mergeCell ref="D2:E3"/>
    <mergeCell ref="F2:G3"/>
    <mergeCell ref="A2:A4"/>
    <mergeCell ref="A36:G36"/>
    <mergeCell ref="H3:H4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I37"/>
  <sheetViews>
    <sheetView workbookViewId="0">
      <pane xSplit="7" ySplit="4" topLeftCell="H17" activePane="bottomRight" state="frozen"/>
      <selection activeCell="J26" sqref="J26"/>
      <selection pane="topRight" activeCell="J26" sqref="J26"/>
      <selection pane="bottomLeft" activeCell="J26" sqref="J26"/>
      <selection pane="bottomRight" activeCell="J26" sqref="J26"/>
    </sheetView>
  </sheetViews>
  <sheetFormatPr defaultColWidth="8.88671875" defaultRowHeight="13.5" x14ac:dyDescent="0.15"/>
  <cols>
    <col min="1" max="2" width="5.77734375" style="1" customWidth="1"/>
    <col min="3" max="3" width="8.77734375" style="8" customWidth="1"/>
    <col min="4" max="5" width="3.77734375" style="8" customWidth="1"/>
    <col min="6" max="6" width="5.77734375" style="8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1" t="s">
        <v>24</v>
      </c>
      <c r="B1" s="152"/>
      <c r="C1" s="152"/>
      <c r="D1" s="152"/>
      <c r="E1" s="152"/>
      <c r="F1" s="152"/>
      <c r="G1" s="152"/>
      <c r="H1" s="152"/>
      <c r="I1" s="153"/>
    </row>
    <row r="2" spans="1:9" s="2" customFormat="1" ht="22.5" customHeight="1" x14ac:dyDescent="0.15">
      <c r="A2" s="143" t="s">
        <v>2</v>
      </c>
      <c r="B2" s="146" t="s">
        <v>1</v>
      </c>
      <c r="C2" s="137" t="s">
        <v>12</v>
      </c>
      <c r="D2" s="137" t="s">
        <v>15</v>
      </c>
      <c r="E2" s="138"/>
      <c r="F2" s="137" t="s">
        <v>16</v>
      </c>
      <c r="G2" s="141"/>
      <c r="H2" s="157" t="s">
        <v>22</v>
      </c>
      <c r="I2" s="158" t="s">
        <v>21</v>
      </c>
    </row>
    <row r="3" spans="1:9" s="2" customFormat="1" ht="18.75" customHeight="1" x14ac:dyDescent="0.15">
      <c r="A3" s="144"/>
      <c r="B3" s="154"/>
      <c r="C3" s="155"/>
      <c r="D3" s="139"/>
      <c r="E3" s="140"/>
      <c r="F3" s="139"/>
      <c r="G3" s="142"/>
      <c r="H3" s="159" t="s">
        <v>23</v>
      </c>
      <c r="I3" s="160" t="s">
        <v>20</v>
      </c>
    </row>
    <row r="4" spans="1:9" s="2" customFormat="1" ht="18.75" customHeight="1" x14ac:dyDescent="0.15">
      <c r="A4" s="145"/>
      <c r="B4" s="147"/>
      <c r="C4" s="156"/>
      <c r="D4" s="13" t="s">
        <v>13</v>
      </c>
      <c r="E4" s="13" t="s">
        <v>14</v>
      </c>
      <c r="F4" s="13" t="s">
        <v>18</v>
      </c>
      <c r="G4" s="15" t="s">
        <v>17</v>
      </c>
      <c r="H4" s="161"/>
      <c r="I4" s="162" t="s">
        <v>19</v>
      </c>
    </row>
    <row r="5" spans="1:9" s="106" customFormat="1" ht="23.1" customHeight="1" x14ac:dyDescent="0.15">
      <c r="A5" s="30">
        <v>1</v>
      </c>
      <c r="B5" s="31" t="s">
        <v>40</v>
      </c>
      <c r="C5" s="45" t="s">
        <v>129</v>
      </c>
      <c r="D5" s="73">
        <v>-1</v>
      </c>
      <c r="E5" s="73">
        <v>8</v>
      </c>
      <c r="F5" s="108" t="s">
        <v>127</v>
      </c>
      <c r="G5" s="33" t="s">
        <v>128</v>
      </c>
      <c r="H5" s="34">
        <v>1383</v>
      </c>
      <c r="I5" s="174">
        <v>1503</v>
      </c>
    </row>
    <row r="6" spans="1:9" customFormat="1" ht="23.1" customHeight="1" x14ac:dyDescent="0.15">
      <c r="A6" s="40">
        <v>2</v>
      </c>
      <c r="B6" s="41" t="s">
        <v>41</v>
      </c>
      <c r="C6" s="32" t="s">
        <v>135</v>
      </c>
      <c r="D6" s="90">
        <v>1</v>
      </c>
      <c r="E6" s="90">
        <v>8</v>
      </c>
      <c r="F6" s="90" t="s">
        <v>57</v>
      </c>
      <c r="G6" s="46" t="s">
        <v>130</v>
      </c>
      <c r="H6" s="44">
        <v>2642</v>
      </c>
      <c r="I6" s="165">
        <v>2859</v>
      </c>
    </row>
    <row r="7" spans="1:9" customFormat="1" ht="23.1" customHeight="1" x14ac:dyDescent="0.15">
      <c r="A7" s="59">
        <v>3</v>
      </c>
      <c r="B7" s="60" t="s">
        <v>6</v>
      </c>
      <c r="C7" s="61" t="s">
        <v>134</v>
      </c>
      <c r="D7" s="65">
        <v>0</v>
      </c>
      <c r="E7" s="65">
        <v>8</v>
      </c>
      <c r="F7" s="65" t="s">
        <v>57</v>
      </c>
      <c r="G7" s="63" t="s">
        <v>132</v>
      </c>
      <c r="H7" s="64">
        <v>6803</v>
      </c>
      <c r="I7" s="166">
        <v>7915</v>
      </c>
    </row>
    <row r="8" spans="1:9" s="107" customFormat="1" ht="23.1" customHeight="1" x14ac:dyDescent="0.15">
      <c r="A8" s="29">
        <v>4</v>
      </c>
      <c r="B8" s="23" t="s">
        <v>7</v>
      </c>
      <c r="C8" s="24" t="s">
        <v>133</v>
      </c>
      <c r="D8" s="87">
        <v>4</v>
      </c>
      <c r="E8" s="87">
        <v>12</v>
      </c>
      <c r="F8" s="87" t="s">
        <v>57</v>
      </c>
      <c r="G8" s="88" t="s">
        <v>131</v>
      </c>
      <c r="H8" s="27">
        <v>5367</v>
      </c>
      <c r="I8" s="167">
        <v>7204</v>
      </c>
    </row>
    <row r="9" spans="1:9" s="106" customFormat="1" ht="23.1" customHeight="1" x14ac:dyDescent="0.15">
      <c r="A9" s="35">
        <v>5</v>
      </c>
      <c r="B9" s="36" t="s">
        <v>8</v>
      </c>
      <c r="C9" s="47" t="s">
        <v>233</v>
      </c>
      <c r="D9" s="37">
        <v>0</v>
      </c>
      <c r="E9" s="37">
        <v>7</v>
      </c>
      <c r="F9" s="37" t="s">
        <v>57</v>
      </c>
      <c r="G9" s="38" t="s">
        <v>136</v>
      </c>
      <c r="H9" s="39">
        <v>116</v>
      </c>
      <c r="I9" s="164">
        <v>146</v>
      </c>
    </row>
    <row r="10" spans="1:9" customFormat="1" ht="23.1" customHeight="1" x14ac:dyDescent="0.15">
      <c r="A10" s="40">
        <v>6</v>
      </c>
      <c r="B10" s="41" t="s">
        <v>9</v>
      </c>
      <c r="C10" s="32" t="s">
        <v>138</v>
      </c>
      <c r="D10" s="90">
        <v>0</v>
      </c>
      <c r="E10" s="90">
        <v>3</v>
      </c>
      <c r="F10" s="90" t="s">
        <v>57</v>
      </c>
      <c r="G10" s="46" t="s">
        <v>137</v>
      </c>
      <c r="H10" s="44">
        <v>917</v>
      </c>
      <c r="I10" s="165">
        <v>985</v>
      </c>
    </row>
    <row r="11" spans="1:9" customFormat="1" ht="23.1" customHeight="1" x14ac:dyDescent="0.15">
      <c r="A11" s="40">
        <v>7</v>
      </c>
      <c r="B11" s="41" t="s">
        <v>10</v>
      </c>
      <c r="C11" s="32" t="s">
        <v>139</v>
      </c>
      <c r="D11" s="90">
        <v>-1</v>
      </c>
      <c r="E11" s="90">
        <v>3</v>
      </c>
      <c r="F11" s="90" t="s">
        <v>57</v>
      </c>
      <c r="G11" s="46" t="s">
        <v>140</v>
      </c>
      <c r="H11" s="44">
        <v>856</v>
      </c>
      <c r="I11" s="165">
        <v>924</v>
      </c>
    </row>
    <row r="12" spans="1:9" customFormat="1" ht="23.1" customHeight="1" x14ac:dyDescent="0.15">
      <c r="A12" s="40">
        <v>8</v>
      </c>
      <c r="B12" s="41" t="s">
        <v>11</v>
      </c>
      <c r="C12" s="32" t="s">
        <v>151</v>
      </c>
      <c r="D12" s="91">
        <v>-3</v>
      </c>
      <c r="E12" s="91">
        <v>6</v>
      </c>
      <c r="F12" s="91" t="s">
        <v>57</v>
      </c>
      <c r="G12" s="46" t="s">
        <v>141</v>
      </c>
      <c r="H12" s="44">
        <v>1285</v>
      </c>
      <c r="I12" s="165">
        <v>1458</v>
      </c>
    </row>
    <row r="13" spans="1:9" customFormat="1" ht="23.1" customHeight="1" x14ac:dyDescent="0.15">
      <c r="A13" s="4">
        <v>9</v>
      </c>
      <c r="B13" s="5" t="s">
        <v>5</v>
      </c>
      <c r="C13" s="14" t="s">
        <v>79</v>
      </c>
      <c r="D13" s="121">
        <v>-2</v>
      </c>
      <c r="E13" s="121">
        <v>6</v>
      </c>
      <c r="F13" s="121" t="s">
        <v>57</v>
      </c>
      <c r="G13" s="19" t="s">
        <v>142</v>
      </c>
      <c r="H13" s="12">
        <v>3966</v>
      </c>
      <c r="I13" s="168">
        <v>4792</v>
      </c>
    </row>
    <row r="14" spans="1:9" customFormat="1" ht="23.1" customHeight="1" x14ac:dyDescent="0.15">
      <c r="A14" s="4">
        <v>10</v>
      </c>
      <c r="B14" s="5" t="s">
        <v>6</v>
      </c>
      <c r="C14" s="14" t="s">
        <v>152</v>
      </c>
      <c r="D14" s="18">
        <v>-1</v>
      </c>
      <c r="E14" s="18">
        <v>7</v>
      </c>
      <c r="F14" s="18" t="s">
        <v>57</v>
      </c>
      <c r="G14" s="19" t="s">
        <v>142</v>
      </c>
      <c r="H14" s="12">
        <v>3763</v>
      </c>
      <c r="I14" s="168">
        <v>4344</v>
      </c>
    </row>
    <row r="15" spans="1:9" s="107" customFormat="1" ht="23.1" customHeight="1" x14ac:dyDescent="0.15">
      <c r="A15" s="29">
        <v>11</v>
      </c>
      <c r="B15" s="23" t="s">
        <v>7</v>
      </c>
      <c r="C15" s="24" t="s">
        <v>151</v>
      </c>
      <c r="D15" s="25">
        <v>-3</v>
      </c>
      <c r="E15" s="25">
        <v>6</v>
      </c>
      <c r="F15" s="25" t="s">
        <v>57</v>
      </c>
      <c r="G15" s="26" t="s">
        <v>142</v>
      </c>
      <c r="H15" s="27">
        <v>5309</v>
      </c>
      <c r="I15" s="167">
        <v>6413</v>
      </c>
    </row>
    <row r="16" spans="1:9" s="106" customFormat="1" ht="23.1" customHeight="1" x14ac:dyDescent="0.15">
      <c r="A16" s="9">
        <v>12</v>
      </c>
      <c r="B16" s="10" t="s">
        <v>8</v>
      </c>
      <c r="C16" s="28" t="s">
        <v>150</v>
      </c>
      <c r="D16" s="20">
        <v>-3</v>
      </c>
      <c r="E16" s="20">
        <v>11</v>
      </c>
      <c r="F16" s="20" t="s">
        <v>57</v>
      </c>
      <c r="G16" s="21" t="s">
        <v>143</v>
      </c>
      <c r="H16" s="22">
        <v>6156</v>
      </c>
      <c r="I16" s="176">
        <v>7341</v>
      </c>
    </row>
    <row r="17" spans="1:9" customFormat="1" ht="23.1" customHeight="1" x14ac:dyDescent="0.15">
      <c r="A17" s="40">
        <v>13</v>
      </c>
      <c r="B17" s="41" t="s">
        <v>9</v>
      </c>
      <c r="C17" s="32" t="s">
        <v>79</v>
      </c>
      <c r="D17" s="90">
        <v>2</v>
      </c>
      <c r="E17" s="90">
        <v>14</v>
      </c>
      <c r="F17" s="90" t="s">
        <v>57</v>
      </c>
      <c r="G17" s="46" t="s">
        <v>141</v>
      </c>
      <c r="H17" s="44">
        <v>2393</v>
      </c>
      <c r="I17" s="165">
        <v>2654</v>
      </c>
    </row>
    <row r="18" spans="1:9" customFormat="1" ht="23.1" customHeight="1" x14ac:dyDescent="0.15">
      <c r="A18" s="40">
        <v>14</v>
      </c>
      <c r="B18" s="41" t="s">
        <v>10</v>
      </c>
      <c r="C18" s="32" t="s">
        <v>153</v>
      </c>
      <c r="D18" s="90">
        <v>9</v>
      </c>
      <c r="E18" s="90">
        <v>18</v>
      </c>
      <c r="F18" s="90" t="s">
        <v>57</v>
      </c>
      <c r="G18" s="46" t="s">
        <v>144</v>
      </c>
      <c r="H18" s="44">
        <v>1791</v>
      </c>
      <c r="I18" s="165">
        <v>1988</v>
      </c>
    </row>
    <row r="19" spans="1:9" customFormat="1" ht="23.1" customHeight="1" x14ac:dyDescent="0.15">
      <c r="A19" s="40">
        <v>15</v>
      </c>
      <c r="B19" s="41" t="s">
        <v>11</v>
      </c>
      <c r="C19" s="32" t="s">
        <v>159</v>
      </c>
      <c r="D19" s="90">
        <v>1</v>
      </c>
      <c r="E19" s="90">
        <v>12</v>
      </c>
      <c r="F19" s="90" t="s">
        <v>57</v>
      </c>
      <c r="G19" s="46" t="s">
        <v>154</v>
      </c>
      <c r="H19" s="44">
        <v>165</v>
      </c>
      <c r="I19" s="165">
        <v>165</v>
      </c>
    </row>
    <row r="20" spans="1:9" customFormat="1" ht="23.1" customHeight="1" x14ac:dyDescent="0.15">
      <c r="A20" s="40">
        <v>16</v>
      </c>
      <c r="B20" s="41" t="s">
        <v>5</v>
      </c>
      <c r="C20" s="32" t="s">
        <v>157</v>
      </c>
      <c r="D20" s="90">
        <v>-1</v>
      </c>
      <c r="E20" s="90">
        <v>8</v>
      </c>
      <c r="F20" s="90" t="s">
        <v>57</v>
      </c>
      <c r="G20" s="46" t="s">
        <v>141</v>
      </c>
      <c r="H20" s="44">
        <v>2851</v>
      </c>
      <c r="I20" s="165">
        <v>2978</v>
      </c>
    </row>
    <row r="21" spans="1:9" customFormat="1" ht="23.1" customHeight="1" x14ac:dyDescent="0.15">
      <c r="A21" s="59">
        <v>17</v>
      </c>
      <c r="B21" s="60" t="s">
        <v>6</v>
      </c>
      <c r="C21" s="61" t="s">
        <v>156</v>
      </c>
      <c r="D21" s="65">
        <v>-1</v>
      </c>
      <c r="E21" s="65">
        <v>12</v>
      </c>
      <c r="F21" s="65" t="s">
        <v>57</v>
      </c>
      <c r="G21" s="63" t="s">
        <v>142</v>
      </c>
      <c r="H21" s="64">
        <v>9910</v>
      </c>
      <c r="I21" s="166">
        <v>11433</v>
      </c>
    </row>
    <row r="22" spans="1:9" s="107" customFormat="1" ht="23.1" customHeight="1" x14ac:dyDescent="0.15">
      <c r="A22" s="29">
        <v>18</v>
      </c>
      <c r="B22" s="23" t="s">
        <v>7</v>
      </c>
      <c r="C22" s="24" t="s">
        <v>155</v>
      </c>
      <c r="D22" s="25">
        <v>1</v>
      </c>
      <c r="E22" s="25">
        <v>9</v>
      </c>
      <c r="F22" s="25" t="s">
        <v>57</v>
      </c>
      <c r="G22" s="26" t="s">
        <v>143</v>
      </c>
      <c r="H22" s="27">
        <v>4319</v>
      </c>
      <c r="I22" s="167">
        <v>5543</v>
      </c>
    </row>
    <row r="23" spans="1:9" s="106" customFormat="1" ht="23.1" customHeight="1" x14ac:dyDescent="0.15">
      <c r="A23" s="35">
        <v>19</v>
      </c>
      <c r="B23" s="36" t="s">
        <v>8</v>
      </c>
      <c r="C23" s="47" t="s">
        <v>104</v>
      </c>
      <c r="D23" s="37">
        <v>4</v>
      </c>
      <c r="E23" s="37">
        <v>12</v>
      </c>
      <c r="F23" s="37" t="s">
        <v>57</v>
      </c>
      <c r="G23" s="38" t="s">
        <v>145</v>
      </c>
      <c r="H23" s="39">
        <v>114</v>
      </c>
      <c r="I23" s="164">
        <v>159</v>
      </c>
    </row>
    <row r="24" spans="1:9" customFormat="1" ht="23.1" customHeight="1" x14ac:dyDescent="0.15">
      <c r="A24" s="40">
        <v>20</v>
      </c>
      <c r="B24" s="41" t="s">
        <v>9</v>
      </c>
      <c r="C24" s="32" t="s">
        <v>158</v>
      </c>
      <c r="D24" s="90">
        <v>3</v>
      </c>
      <c r="E24" s="90">
        <v>7</v>
      </c>
      <c r="F24" s="90" t="s">
        <v>57</v>
      </c>
      <c r="G24" s="46" t="s">
        <v>146</v>
      </c>
      <c r="H24" s="44">
        <v>1061</v>
      </c>
      <c r="I24" s="165">
        <v>1106</v>
      </c>
    </row>
    <row r="25" spans="1:9" customFormat="1" ht="23.1" customHeight="1" x14ac:dyDescent="0.15">
      <c r="A25" s="40">
        <v>21</v>
      </c>
      <c r="B25" s="41" t="s">
        <v>10</v>
      </c>
      <c r="C25" s="32" t="s">
        <v>232</v>
      </c>
      <c r="D25" s="90">
        <v>0</v>
      </c>
      <c r="E25" s="90">
        <v>4</v>
      </c>
      <c r="F25" s="90" t="s">
        <v>57</v>
      </c>
      <c r="G25" s="46" t="s">
        <v>160</v>
      </c>
      <c r="H25" s="44">
        <v>835</v>
      </c>
      <c r="I25" s="165">
        <v>835</v>
      </c>
    </row>
    <row r="26" spans="1:9" customFormat="1" ht="23.1" customHeight="1" x14ac:dyDescent="0.15">
      <c r="A26" s="40">
        <v>22</v>
      </c>
      <c r="B26" s="41" t="s">
        <v>11</v>
      </c>
      <c r="C26" s="32" t="s">
        <v>161</v>
      </c>
      <c r="D26" s="90">
        <v>-1</v>
      </c>
      <c r="E26" s="90">
        <v>2</v>
      </c>
      <c r="F26" s="90" t="s">
        <v>57</v>
      </c>
      <c r="G26" s="46" t="s">
        <v>141</v>
      </c>
      <c r="H26" s="44">
        <v>381</v>
      </c>
      <c r="I26" s="165">
        <v>415</v>
      </c>
    </row>
    <row r="27" spans="1:9" customFormat="1" ht="23.1" customHeight="1" x14ac:dyDescent="0.15">
      <c r="A27" s="40">
        <v>23</v>
      </c>
      <c r="B27" s="41" t="s">
        <v>5</v>
      </c>
      <c r="C27" s="32" t="s">
        <v>162</v>
      </c>
      <c r="D27" s="90">
        <v>-1</v>
      </c>
      <c r="E27" s="90">
        <v>6</v>
      </c>
      <c r="F27" s="90" t="s">
        <v>57</v>
      </c>
      <c r="G27" s="46" t="s">
        <v>148</v>
      </c>
      <c r="H27" s="44">
        <v>1929</v>
      </c>
      <c r="I27" s="165">
        <v>2076</v>
      </c>
    </row>
    <row r="28" spans="1:9" s="106" customFormat="1" ht="23.1" customHeight="1" x14ac:dyDescent="0.15">
      <c r="A28" s="59">
        <v>24</v>
      </c>
      <c r="B28" s="60" t="s">
        <v>6</v>
      </c>
      <c r="C28" s="61" t="s">
        <v>165</v>
      </c>
      <c r="D28" s="65">
        <v>-1</v>
      </c>
      <c r="E28" s="65">
        <v>6</v>
      </c>
      <c r="F28" s="65" t="s">
        <v>57</v>
      </c>
      <c r="G28" s="63" t="s">
        <v>149</v>
      </c>
      <c r="H28" s="64">
        <v>8126</v>
      </c>
      <c r="I28" s="166">
        <v>9103</v>
      </c>
    </row>
    <row r="29" spans="1:9" s="106" customFormat="1" ht="23.1" customHeight="1" x14ac:dyDescent="0.15">
      <c r="A29" s="29">
        <v>25</v>
      </c>
      <c r="B29" s="23" t="s">
        <v>7</v>
      </c>
      <c r="C29" s="24" t="s">
        <v>163</v>
      </c>
      <c r="D29" s="25">
        <v>1</v>
      </c>
      <c r="E29" s="25">
        <v>6</v>
      </c>
      <c r="F29" s="25" t="s">
        <v>57</v>
      </c>
      <c r="G29" s="26" t="s">
        <v>143</v>
      </c>
      <c r="H29" s="27">
        <v>4658</v>
      </c>
      <c r="I29" s="167">
        <v>5598</v>
      </c>
    </row>
    <row r="30" spans="1:9" s="106" customFormat="1" ht="23.1" customHeight="1" x14ac:dyDescent="0.15">
      <c r="A30" s="35">
        <v>26</v>
      </c>
      <c r="B30" s="36" t="s">
        <v>8</v>
      </c>
      <c r="C30" s="47" t="s">
        <v>164</v>
      </c>
      <c r="D30" s="37">
        <v>-1</v>
      </c>
      <c r="E30" s="37">
        <v>10</v>
      </c>
      <c r="F30" s="37" t="s">
        <v>57</v>
      </c>
      <c r="G30" s="38" t="s">
        <v>141</v>
      </c>
      <c r="H30" s="39">
        <v>3094</v>
      </c>
      <c r="I30" s="164">
        <v>3404</v>
      </c>
    </row>
    <row r="31" spans="1:9" s="106" customFormat="1" ht="23.1" customHeight="1" x14ac:dyDescent="0.15">
      <c r="A31" s="40">
        <v>27</v>
      </c>
      <c r="B31" s="41" t="s">
        <v>9</v>
      </c>
      <c r="C31" s="32" t="s">
        <v>166</v>
      </c>
      <c r="D31" s="90">
        <v>1</v>
      </c>
      <c r="E31" s="90">
        <v>10</v>
      </c>
      <c r="F31" s="90" t="s">
        <v>57</v>
      </c>
      <c r="G31" s="46" t="s">
        <v>147</v>
      </c>
      <c r="H31" s="44">
        <v>3562</v>
      </c>
      <c r="I31" s="165">
        <v>3904</v>
      </c>
    </row>
    <row r="32" spans="1:9" customFormat="1" ht="23.1" customHeight="1" x14ac:dyDescent="0.15">
      <c r="A32" s="40">
        <v>28</v>
      </c>
      <c r="B32" s="41" t="s">
        <v>10</v>
      </c>
      <c r="C32" s="32" t="s">
        <v>167</v>
      </c>
      <c r="D32" s="90">
        <v>3</v>
      </c>
      <c r="E32" s="90">
        <v>10</v>
      </c>
      <c r="F32" s="90" t="s">
        <v>57</v>
      </c>
      <c r="G32" s="46" t="s">
        <v>141</v>
      </c>
      <c r="H32" s="44">
        <v>4421</v>
      </c>
      <c r="I32" s="165">
        <v>4931</v>
      </c>
    </row>
    <row r="33" spans="1:9" customFormat="1" ht="23.1" customHeight="1" x14ac:dyDescent="0.15">
      <c r="A33" s="40">
        <v>29</v>
      </c>
      <c r="B33" s="41" t="s">
        <v>11</v>
      </c>
      <c r="C33" s="32" t="s">
        <v>175</v>
      </c>
      <c r="D33" s="90">
        <v>0</v>
      </c>
      <c r="E33" s="90">
        <v>10</v>
      </c>
      <c r="F33" s="90" t="s">
        <v>57</v>
      </c>
      <c r="G33" s="46" t="s">
        <v>144</v>
      </c>
      <c r="H33" s="44">
        <v>3842</v>
      </c>
      <c r="I33" s="165">
        <v>4243</v>
      </c>
    </row>
    <row r="34" spans="1:9" customFormat="1" ht="23.25" customHeight="1" x14ac:dyDescent="0.15">
      <c r="A34" s="40"/>
      <c r="B34" s="41"/>
      <c r="C34" s="32"/>
      <c r="D34" s="90"/>
      <c r="E34" s="90"/>
      <c r="F34" s="90"/>
      <c r="G34" s="46"/>
      <c r="H34" s="44">
        <v>0</v>
      </c>
      <c r="I34" s="165">
        <v>0</v>
      </c>
    </row>
    <row r="35" spans="1:9" customFormat="1" ht="23.1" customHeight="1" thickBot="1" x14ac:dyDescent="0.2">
      <c r="A35" s="48"/>
      <c r="B35" s="49"/>
      <c r="C35" s="50"/>
      <c r="D35" s="51"/>
      <c r="E35" s="51"/>
      <c r="F35" s="51"/>
      <c r="G35" s="52"/>
      <c r="H35" s="53">
        <v>0</v>
      </c>
      <c r="I35" s="169">
        <v>0</v>
      </c>
    </row>
    <row r="36" spans="1:9" s="3" customFormat="1" ht="21" customHeight="1" thickBot="1" x14ac:dyDescent="0.2">
      <c r="A36" s="148" t="s">
        <v>0</v>
      </c>
      <c r="B36" s="149"/>
      <c r="C36" s="149"/>
      <c r="D36" s="149"/>
      <c r="E36" s="149"/>
      <c r="F36" s="149"/>
      <c r="G36" s="150"/>
      <c r="H36" s="170">
        <f t="shared" ref="H36:I36" si="0">SUM(H5:H35)</f>
        <v>92015</v>
      </c>
      <c r="I36" s="171">
        <f t="shared" si="0"/>
        <v>106419</v>
      </c>
    </row>
    <row r="37" spans="1:9" s="3" customFormat="1" ht="21" customHeight="1" thickBot="1" x14ac:dyDescent="0.2">
      <c r="A37" s="134" t="s">
        <v>4</v>
      </c>
      <c r="B37" s="135"/>
      <c r="C37" s="135"/>
      <c r="D37" s="135"/>
      <c r="E37" s="135"/>
      <c r="F37" s="135"/>
      <c r="G37" s="136"/>
      <c r="H37" s="172">
        <f>H36+'1월'!H37</f>
        <v>170299</v>
      </c>
      <c r="I37" s="173">
        <f>I36+'1월'!I37</f>
        <v>198522</v>
      </c>
    </row>
  </sheetData>
  <mergeCells count="9">
    <mergeCell ref="A1:I1"/>
    <mergeCell ref="H3:H4"/>
    <mergeCell ref="A36:G36"/>
    <mergeCell ref="A37:G37"/>
    <mergeCell ref="A2:A4"/>
    <mergeCell ref="B2:B4"/>
    <mergeCell ref="C2:C4"/>
    <mergeCell ref="D2:E3"/>
    <mergeCell ref="F2:G3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</sheetPr>
  <dimension ref="A1:I37"/>
  <sheetViews>
    <sheetView workbookViewId="0">
      <pane xSplit="7" ySplit="4" topLeftCell="H16" activePane="bottomRight" state="frozen"/>
      <selection activeCell="J26" sqref="J26"/>
      <selection pane="topRight" activeCell="J26" sqref="J26"/>
      <selection pane="bottomLeft" activeCell="J26" sqref="J26"/>
      <selection pane="bottomRight" activeCell="J26" sqref="J26"/>
    </sheetView>
  </sheetViews>
  <sheetFormatPr defaultColWidth="8.88671875" defaultRowHeight="13.5" x14ac:dyDescent="0.15"/>
  <cols>
    <col min="1" max="2" width="5.77734375" style="1" customWidth="1"/>
    <col min="3" max="3" width="8.77734375" style="8" customWidth="1"/>
    <col min="4" max="5" width="3.77734375" style="8" customWidth="1"/>
    <col min="6" max="6" width="5.77734375" style="8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1" t="s">
        <v>25</v>
      </c>
      <c r="B1" s="152"/>
      <c r="C1" s="152"/>
      <c r="D1" s="152"/>
      <c r="E1" s="152"/>
      <c r="F1" s="152"/>
      <c r="G1" s="152"/>
      <c r="H1" s="152"/>
      <c r="I1" s="153"/>
    </row>
    <row r="2" spans="1:9" s="2" customFormat="1" ht="22.5" customHeight="1" x14ac:dyDescent="0.15">
      <c r="A2" s="143" t="s">
        <v>2</v>
      </c>
      <c r="B2" s="146" t="s">
        <v>1</v>
      </c>
      <c r="C2" s="137" t="s">
        <v>12</v>
      </c>
      <c r="D2" s="137" t="s">
        <v>15</v>
      </c>
      <c r="E2" s="138"/>
      <c r="F2" s="137" t="s">
        <v>16</v>
      </c>
      <c r="G2" s="141"/>
      <c r="H2" s="157" t="s">
        <v>22</v>
      </c>
      <c r="I2" s="158" t="s">
        <v>21</v>
      </c>
    </row>
    <row r="3" spans="1:9" s="2" customFormat="1" ht="18.75" customHeight="1" x14ac:dyDescent="0.15">
      <c r="A3" s="144"/>
      <c r="B3" s="154"/>
      <c r="C3" s="155"/>
      <c r="D3" s="139"/>
      <c r="E3" s="140"/>
      <c r="F3" s="139"/>
      <c r="G3" s="142"/>
      <c r="H3" s="159" t="s">
        <v>23</v>
      </c>
      <c r="I3" s="160" t="s">
        <v>20</v>
      </c>
    </row>
    <row r="4" spans="1:9" s="2" customFormat="1" ht="18.75" customHeight="1" x14ac:dyDescent="0.15">
      <c r="A4" s="145"/>
      <c r="B4" s="147"/>
      <c r="C4" s="156"/>
      <c r="D4" s="13" t="s">
        <v>13</v>
      </c>
      <c r="E4" s="13" t="s">
        <v>14</v>
      </c>
      <c r="F4" s="13" t="s">
        <v>18</v>
      </c>
      <c r="G4" s="15" t="s">
        <v>17</v>
      </c>
      <c r="H4" s="161"/>
      <c r="I4" s="162" t="s">
        <v>19</v>
      </c>
    </row>
    <row r="5" spans="1:9" s="106" customFormat="1" ht="23.1" customHeight="1" x14ac:dyDescent="0.15">
      <c r="A5" s="6">
        <v>1</v>
      </c>
      <c r="B5" s="7" t="s">
        <v>41</v>
      </c>
      <c r="C5" s="89" t="s">
        <v>174</v>
      </c>
      <c r="D5" s="16">
        <v>-7</v>
      </c>
      <c r="E5" s="16">
        <v>0</v>
      </c>
      <c r="F5" s="109" t="s">
        <v>168</v>
      </c>
      <c r="G5" s="17" t="s">
        <v>169</v>
      </c>
      <c r="H5" s="11">
        <v>4134</v>
      </c>
      <c r="I5" s="175">
        <v>4726</v>
      </c>
    </row>
    <row r="6" spans="1:9" customFormat="1" ht="23.1" customHeight="1" x14ac:dyDescent="0.15">
      <c r="A6" s="59">
        <v>2</v>
      </c>
      <c r="B6" s="60" t="s">
        <v>42</v>
      </c>
      <c r="C6" s="61" t="s">
        <v>172</v>
      </c>
      <c r="D6" s="65">
        <v>-8</v>
      </c>
      <c r="E6" s="65">
        <v>4</v>
      </c>
      <c r="F6" s="65" t="s">
        <v>168</v>
      </c>
      <c r="G6" s="63" t="s">
        <v>170</v>
      </c>
      <c r="H6" s="64">
        <v>2743</v>
      </c>
      <c r="I6" s="166">
        <v>3293</v>
      </c>
    </row>
    <row r="7" spans="1:9" customFormat="1" ht="23.1" customHeight="1" x14ac:dyDescent="0.15">
      <c r="A7" s="29">
        <v>3</v>
      </c>
      <c r="B7" s="23" t="s">
        <v>7</v>
      </c>
      <c r="C7" s="24" t="s">
        <v>173</v>
      </c>
      <c r="D7" s="25">
        <v>0</v>
      </c>
      <c r="E7" s="25">
        <v>8</v>
      </c>
      <c r="F7" s="25" t="s">
        <v>168</v>
      </c>
      <c r="G7" s="26" t="s">
        <v>171</v>
      </c>
      <c r="H7" s="27">
        <v>2493</v>
      </c>
      <c r="I7" s="167">
        <v>3461</v>
      </c>
    </row>
    <row r="8" spans="1:9" s="107" customFormat="1" ht="23.1" customHeight="1" x14ac:dyDescent="0.15">
      <c r="A8" s="35">
        <v>4</v>
      </c>
      <c r="B8" s="36" t="s">
        <v>8</v>
      </c>
      <c r="C8" s="47" t="s">
        <v>79</v>
      </c>
      <c r="D8" s="76">
        <v>-2</v>
      </c>
      <c r="E8" s="76">
        <v>12</v>
      </c>
      <c r="F8" s="76" t="s">
        <v>176</v>
      </c>
      <c r="G8" s="77" t="s">
        <v>177</v>
      </c>
      <c r="H8" s="39">
        <v>473</v>
      </c>
      <c r="I8" s="164">
        <v>629</v>
      </c>
    </row>
    <row r="9" spans="1:9" s="106" customFormat="1" ht="23.1" customHeight="1" x14ac:dyDescent="0.15">
      <c r="A9" s="40">
        <v>5</v>
      </c>
      <c r="B9" s="41" t="s">
        <v>9</v>
      </c>
      <c r="C9" s="32" t="s">
        <v>178</v>
      </c>
      <c r="D9" s="90">
        <v>6</v>
      </c>
      <c r="E9" s="90">
        <v>11</v>
      </c>
      <c r="F9" s="90" t="s">
        <v>179</v>
      </c>
      <c r="G9" s="46" t="s">
        <v>180</v>
      </c>
      <c r="H9" s="44">
        <v>75</v>
      </c>
      <c r="I9" s="165">
        <v>103</v>
      </c>
    </row>
    <row r="10" spans="1:9" customFormat="1" ht="23.1" customHeight="1" x14ac:dyDescent="0.15">
      <c r="A10" s="40">
        <v>6</v>
      </c>
      <c r="B10" s="41" t="s">
        <v>10</v>
      </c>
      <c r="C10" s="32" t="s">
        <v>181</v>
      </c>
      <c r="D10" s="90">
        <v>3</v>
      </c>
      <c r="E10" s="90">
        <v>10</v>
      </c>
      <c r="F10" s="90" t="s">
        <v>182</v>
      </c>
      <c r="G10" s="46" t="s">
        <v>183</v>
      </c>
      <c r="H10" s="44">
        <v>210</v>
      </c>
      <c r="I10" s="165">
        <v>278</v>
      </c>
    </row>
    <row r="11" spans="1:9" customFormat="1" ht="23.1" customHeight="1" x14ac:dyDescent="0.15">
      <c r="A11" s="40">
        <v>7</v>
      </c>
      <c r="B11" s="41" t="s">
        <v>11</v>
      </c>
      <c r="C11" s="32" t="s">
        <v>197</v>
      </c>
      <c r="D11" s="90">
        <v>1</v>
      </c>
      <c r="E11" s="90">
        <v>8</v>
      </c>
      <c r="F11" s="90" t="s">
        <v>184</v>
      </c>
      <c r="G11" s="46" t="s">
        <v>185</v>
      </c>
      <c r="H11" s="44">
        <v>143</v>
      </c>
      <c r="I11" s="165">
        <v>178</v>
      </c>
    </row>
    <row r="12" spans="1:9" customFormat="1" ht="23.1" customHeight="1" x14ac:dyDescent="0.15">
      <c r="A12" s="40">
        <v>8</v>
      </c>
      <c r="B12" s="41" t="s">
        <v>5</v>
      </c>
      <c r="C12" s="32" t="s">
        <v>200</v>
      </c>
      <c r="D12" s="91">
        <v>-1</v>
      </c>
      <c r="E12" s="91">
        <v>7</v>
      </c>
      <c r="F12" s="91" t="s">
        <v>191</v>
      </c>
      <c r="G12" s="46" t="s">
        <v>192</v>
      </c>
      <c r="H12" s="44">
        <v>246</v>
      </c>
      <c r="I12" s="165">
        <v>327</v>
      </c>
    </row>
    <row r="13" spans="1:9" customFormat="1" ht="23.1" customHeight="1" x14ac:dyDescent="0.15">
      <c r="A13" s="59">
        <v>9</v>
      </c>
      <c r="B13" s="60" t="s">
        <v>6</v>
      </c>
      <c r="C13" s="61" t="s">
        <v>199</v>
      </c>
      <c r="D13" s="62">
        <v>-2</v>
      </c>
      <c r="E13" s="62">
        <v>7</v>
      </c>
      <c r="F13" s="62" t="s">
        <v>186</v>
      </c>
      <c r="G13" s="63" t="s">
        <v>193</v>
      </c>
      <c r="H13" s="64">
        <v>2632</v>
      </c>
      <c r="I13" s="166">
        <v>3535</v>
      </c>
    </row>
    <row r="14" spans="1:9" customFormat="1" ht="23.1" customHeight="1" x14ac:dyDescent="0.15">
      <c r="A14" s="29">
        <v>10</v>
      </c>
      <c r="B14" s="23" t="s">
        <v>7</v>
      </c>
      <c r="C14" s="24" t="s">
        <v>198</v>
      </c>
      <c r="D14" s="25">
        <v>-2</v>
      </c>
      <c r="E14" s="25">
        <v>11</v>
      </c>
      <c r="F14" s="25" t="s">
        <v>186</v>
      </c>
      <c r="G14" s="26" t="s">
        <v>192</v>
      </c>
      <c r="H14" s="27">
        <v>2883</v>
      </c>
      <c r="I14" s="167">
        <v>4936</v>
      </c>
    </row>
    <row r="15" spans="1:9" s="107" customFormat="1" ht="23.1" customHeight="1" x14ac:dyDescent="0.15">
      <c r="A15" s="35">
        <v>11</v>
      </c>
      <c r="B15" s="36" t="s">
        <v>8</v>
      </c>
      <c r="C15" s="47" t="s">
        <v>201</v>
      </c>
      <c r="D15" s="37">
        <v>2</v>
      </c>
      <c r="E15" s="37">
        <v>11</v>
      </c>
      <c r="F15" s="37" t="s">
        <v>186</v>
      </c>
      <c r="G15" s="38" t="s">
        <v>187</v>
      </c>
      <c r="H15" s="39">
        <v>302</v>
      </c>
      <c r="I15" s="164">
        <v>357</v>
      </c>
    </row>
    <row r="16" spans="1:9" s="106" customFormat="1" ht="23.1" customHeight="1" x14ac:dyDescent="0.15">
      <c r="A16" s="40">
        <v>12</v>
      </c>
      <c r="B16" s="41" t="s">
        <v>9</v>
      </c>
      <c r="C16" s="32" t="s">
        <v>202</v>
      </c>
      <c r="D16" s="90">
        <v>4</v>
      </c>
      <c r="E16" s="90">
        <v>10</v>
      </c>
      <c r="F16" s="90" t="s">
        <v>188</v>
      </c>
      <c r="G16" s="46" t="s">
        <v>187</v>
      </c>
      <c r="H16" s="44">
        <v>71</v>
      </c>
      <c r="I16" s="165">
        <v>115</v>
      </c>
    </row>
    <row r="17" spans="1:9" customFormat="1" ht="23.1" customHeight="1" x14ac:dyDescent="0.15">
      <c r="A17" s="40">
        <v>13</v>
      </c>
      <c r="B17" s="41" t="s">
        <v>10</v>
      </c>
      <c r="C17" s="32" t="s">
        <v>203</v>
      </c>
      <c r="D17" s="90">
        <v>1</v>
      </c>
      <c r="E17" s="90">
        <v>12</v>
      </c>
      <c r="F17" s="90" t="s">
        <v>186</v>
      </c>
      <c r="G17" s="46" t="s">
        <v>189</v>
      </c>
      <c r="H17" s="44">
        <v>311</v>
      </c>
      <c r="I17" s="165">
        <v>399</v>
      </c>
    </row>
    <row r="18" spans="1:9" customFormat="1" ht="23.1" customHeight="1" x14ac:dyDescent="0.15">
      <c r="A18" s="40">
        <v>14</v>
      </c>
      <c r="B18" s="41" t="s">
        <v>11</v>
      </c>
      <c r="C18" s="32" t="s">
        <v>204</v>
      </c>
      <c r="D18" s="90">
        <v>3</v>
      </c>
      <c r="E18" s="90">
        <v>15</v>
      </c>
      <c r="F18" s="90" t="s">
        <v>186</v>
      </c>
      <c r="G18" s="46" t="s">
        <v>190</v>
      </c>
      <c r="H18" s="44">
        <v>433</v>
      </c>
      <c r="I18" s="165">
        <v>513</v>
      </c>
    </row>
    <row r="19" spans="1:9" customFormat="1" ht="23.1" customHeight="1" x14ac:dyDescent="0.15">
      <c r="A19" s="40">
        <v>15</v>
      </c>
      <c r="B19" s="41" t="s">
        <v>5</v>
      </c>
      <c r="C19" s="32" t="s">
        <v>211</v>
      </c>
      <c r="D19" s="90">
        <v>4</v>
      </c>
      <c r="E19" s="90">
        <v>15</v>
      </c>
      <c r="F19" s="90" t="s">
        <v>188</v>
      </c>
      <c r="G19" s="46" t="s">
        <v>205</v>
      </c>
      <c r="H19" s="44">
        <v>923</v>
      </c>
      <c r="I19" s="165">
        <v>1065</v>
      </c>
    </row>
    <row r="20" spans="1:9" customFormat="1" ht="23.1" customHeight="1" x14ac:dyDescent="0.15">
      <c r="A20" s="59">
        <v>16</v>
      </c>
      <c r="B20" s="60" t="s">
        <v>6</v>
      </c>
      <c r="C20" s="61" t="s">
        <v>210</v>
      </c>
      <c r="D20" s="65">
        <v>4</v>
      </c>
      <c r="E20" s="65">
        <v>18</v>
      </c>
      <c r="F20" s="65" t="s">
        <v>194</v>
      </c>
      <c r="G20" s="63" t="s">
        <v>195</v>
      </c>
      <c r="H20" s="64">
        <v>9637</v>
      </c>
      <c r="I20" s="166">
        <v>11980</v>
      </c>
    </row>
    <row r="21" spans="1:9" customFormat="1" ht="23.1" customHeight="1" x14ac:dyDescent="0.15">
      <c r="A21" s="29">
        <v>17</v>
      </c>
      <c r="B21" s="23" t="s">
        <v>7</v>
      </c>
      <c r="C21" s="24" t="s">
        <v>209</v>
      </c>
      <c r="D21" s="25">
        <v>5</v>
      </c>
      <c r="E21" s="25">
        <v>12</v>
      </c>
      <c r="F21" s="25" t="s">
        <v>196</v>
      </c>
      <c r="G21" s="26" t="s">
        <v>192</v>
      </c>
      <c r="H21" s="27">
        <v>4245</v>
      </c>
      <c r="I21" s="167">
        <v>5810</v>
      </c>
    </row>
    <row r="22" spans="1:9" s="107" customFormat="1" ht="23.1" customHeight="1" x14ac:dyDescent="0.15">
      <c r="A22" s="35">
        <v>18</v>
      </c>
      <c r="B22" s="36" t="s">
        <v>8</v>
      </c>
      <c r="C22" s="47" t="s">
        <v>213</v>
      </c>
      <c r="D22" s="37">
        <v>1</v>
      </c>
      <c r="E22" s="37">
        <v>13</v>
      </c>
      <c r="F22" s="37" t="s">
        <v>212</v>
      </c>
      <c r="G22" s="38" t="s">
        <v>206</v>
      </c>
      <c r="H22" s="39">
        <v>470</v>
      </c>
      <c r="I22" s="164">
        <v>510</v>
      </c>
    </row>
    <row r="23" spans="1:9" s="106" customFormat="1" ht="23.1" customHeight="1" x14ac:dyDescent="0.15">
      <c r="A23" s="40">
        <v>19</v>
      </c>
      <c r="B23" s="41" t="s">
        <v>9</v>
      </c>
      <c r="C23" s="32" t="s">
        <v>214</v>
      </c>
      <c r="D23" s="90">
        <v>4</v>
      </c>
      <c r="E23" s="90">
        <v>10</v>
      </c>
      <c r="F23" s="90" t="s">
        <v>57</v>
      </c>
      <c r="G23" s="46" t="s">
        <v>207</v>
      </c>
      <c r="H23" s="44">
        <v>151</v>
      </c>
      <c r="I23" s="165">
        <v>181</v>
      </c>
    </row>
    <row r="24" spans="1:9" customFormat="1" ht="23.1" customHeight="1" x14ac:dyDescent="0.15">
      <c r="A24" s="40">
        <v>20</v>
      </c>
      <c r="B24" s="41" t="s">
        <v>10</v>
      </c>
      <c r="C24" s="32" t="s">
        <v>215</v>
      </c>
      <c r="D24" s="90">
        <v>1</v>
      </c>
      <c r="E24" s="90">
        <v>9</v>
      </c>
      <c r="F24" s="90" t="s">
        <v>57</v>
      </c>
      <c r="G24" s="46" t="s">
        <v>208</v>
      </c>
      <c r="H24" s="44">
        <v>282</v>
      </c>
      <c r="I24" s="165">
        <v>316</v>
      </c>
    </row>
    <row r="25" spans="1:9" customFormat="1" ht="23.1" customHeight="1" x14ac:dyDescent="0.15">
      <c r="A25" s="40">
        <v>21</v>
      </c>
      <c r="B25" s="41" t="s">
        <v>11</v>
      </c>
      <c r="C25" s="32" t="s">
        <v>215</v>
      </c>
      <c r="D25" s="90">
        <v>-1</v>
      </c>
      <c r="E25" s="90">
        <v>12</v>
      </c>
      <c r="F25" s="90" t="s">
        <v>57</v>
      </c>
      <c r="G25" s="46" t="s">
        <v>207</v>
      </c>
      <c r="H25" s="44">
        <v>349</v>
      </c>
      <c r="I25" s="165">
        <v>438</v>
      </c>
    </row>
    <row r="26" spans="1:9" customFormat="1" ht="23.1" customHeight="1" x14ac:dyDescent="0.15">
      <c r="A26" s="40">
        <v>22</v>
      </c>
      <c r="B26" s="41" t="s">
        <v>5</v>
      </c>
      <c r="C26" s="32" t="s">
        <v>219</v>
      </c>
      <c r="D26" s="90">
        <v>4</v>
      </c>
      <c r="E26" s="90">
        <v>15</v>
      </c>
      <c r="F26" s="90" t="s">
        <v>57</v>
      </c>
      <c r="G26" s="46" t="s">
        <v>208</v>
      </c>
      <c r="H26" s="44">
        <v>478</v>
      </c>
      <c r="I26" s="165">
        <v>526</v>
      </c>
    </row>
    <row r="27" spans="1:9" customFormat="1" ht="23.1" customHeight="1" x14ac:dyDescent="0.15">
      <c r="A27" s="59">
        <v>23</v>
      </c>
      <c r="B27" s="60" t="s">
        <v>6</v>
      </c>
      <c r="C27" s="61" t="s">
        <v>218</v>
      </c>
      <c r="D27" s="65">
        <v>9</v>
      </c>
      <c r="E27" s="65">
        <v>18</v>
      </c>
      <c r="F27" s="65" t="s">
        <v>217</v>
      </c>
      <c r="G27" s="63" t="s">
        <v>216</v>
      </c>
      <c r="H27" s="64">
        <v>9928</v>
      </c>
      <c r="I27" s="166">
        <v>11949</v>
      </c>
    </row>
    <row r="28" spans="1:9" s="106" customFormat="1" ht="23.1" customHeight="1" x14ac:dyDescent="0.15">
      <c r="A28" s="29">
        <v>24</v>
      </c>
      <c r="B28" s="23" t="s">
        <v>7</v>
      </c>
      <c r="C28" s="24" t="s">
        <v>221</v>
      </c>
      <c r="D28" s="25">
        <v>11</v>
      </c>
      <c r="E28" s="25">
        <v>23</v>
      </c>
      <c r="F28" s="25" t="s">
        <v>217</v>
      </c>
      <c r="G28" s="26" t="s">
        <v>220</v>
      </c>
      <c r="H28" s="27">
        <v>10171</v>
      </c>
      <c r="I28" s="167">
        <v>12751</v>
      </c>
    </row>
    <row r="29" spans="1:9" s="106" customFormat="1" ht="23.1" customHeight="1" x14ac:dyDescent="0.15">
      <c r="A29" s="35">
        <v>25</v>
      </c>
      <c r="B29" s="36" t="s">
        <v>8</v>
      </c>
      <c r="C29" s="47" t="s">
        <v>228</v>
      </c>
      <c r="D29" s="37">
        <v>7</v>
      </c>
      <c r="E29" s="37">
        <v>15</v>
      </c>
      <c r="F29" s="37" t="s">
        <v>222</v>
      </c>
      <c r="G29" s="38" t="s">
        <v>223</v>
      </c>
      <c r="H29" s="39">
        <v>333</v>
      </c>
      <c r="I29" s="164">
        <v>372</v>
      </c>
    </row>
    <row r="30" spans="1:9" s="106" customFormat="1" ht="23.1" customHeight="1" x14ac:dyDescent="0.15">
      <c r="A30" s="40">
        <v>26</v>
      </c>
      <c r="B30" s="41" t="s">
        <v>9</v>
      </c>
      <c r="C30" s="32" t="s">
        <v>230</v>
      </c>
      <c r="D30" s="90">
        <v>3</v>
      </c>
      <c r="E30" s="90">
        <v>12</v>
      </c>
      <c r="F30" s="90" t="s">
        <v>224</v>
      </c>
      <c r="G30" s="46" t="s">
        <v>231</v>
      </c>
      <c r="H30" s="44">
        <v>335</v>
      </c>
      <c r="I30" s="165">
        <v>411</v>
      </c>
    </row>
    <row r="31" spans="1:9" s="106" customFormat="1" ht="23.1" customHeight="1" x14ac:dyDescent="0.15">
      <c r="A31" s="40">
        <v>27</v>
      </c>
      <c r="B31" s="41" t="s">
        <v>10</v>
      </c>
      <c r="C31" s="32" t="s">
        <v>229</v>
      </c>
      <c r="D31" s="90">
        <v>4</v>
      </c>
      <c r="E31" s="90">
        <v>16</v>
      </c>
      <c r="F31" s="90" t="s">
        <v>225</v>
      </c>
      <c r="G31" s="46" t="s">
        <v>231</v>
      </c>
      <c r="H31" s="44">
        <v>929</v>
      </c>
      <c r="I31" s="165">
        <v>1068</v>
      </c>
    </row>
    <row r="32" spans="1:9" customFormat="1" ht="23.1" customHeight="1" x14ac:dyDescent="0.15">
      <c r="A32" s="40">
        <v>28</v>
      </c>
      <c r="B32" s="41" t="s">
        <v>11</v>
      </c>
      <c r="C32" s="32" t="s">
        <v>234</v>
      </c>
      <c r="D32" s="90">
        <v>8</v>
      </c>
      <c r="E32" s="90">
        <v>12</v>
      </c>
      <c r="F32" s="90" t="s">
        <v>226</v>
      </c>
      <c r="G32" s="46" t="s">
        <v>235</v>
      </c>
      <c r="H32" s="44">
        <v>247</v>
      </c>
      <c r="I32" s="165">
        <v>258</v>
      </c>
    </row>
    <row r="33" spans="1:9" customFormat="1" ht="23.1" customHeight="1" x14ac:dyDescent="0.15">
      <c r="A33" s="40">
        <v>29</v>
      </c>
      <c r="B33" s="41" t="s">
        <v>5</v>
      </c>
      <c r="C33" s="32" t="s">
        <v>236</v>
      </c>
      <c r="D33" s="90">
        <v>5</v>
      </c>
      <c r="E33" s="90">
        <v>12</v>
      </c>
      <c r="F33" s="90" t="s">
        <v>222</v>
      </c>
      <c r="G33" s="46" t="s">
        <v>237</v>
      </c>
      <c r="H33" s="44">
        <v>1404</v>
      </c>
      <c r="I33" s="165">
        <v>1478</v>
      </c>
    </row>
    <row r="34" spans="1:9" customFormat="1" ht="23.25" customHeight="1" x14ac:dyDescent="0.15">
      <c r="A34" s="59">
        <v>30</v>
      </c>
      <c r="B34" s="60" t="s">
        <v>6</v>
      </c>
      <c r="C34" s="61" t="s">
        <v>242</v>
      </c>
      <c r="D34" s="65">
        <v>3</v>
      </c>
      <c r="E34" s="65">
        <v>16</v>
      </c>
      <c r="F34" s="65" t="s">
        <v>239</v>
      </c>
      <c r="G34" s="63" t="s">
        <v>238</v>
      </c>
      <c r="H34" s="64">
        <v>8951</v>
      </c>
      <c r="I34" s="166">
        <v>10455</v>
      </c>
    </row>
    <row r="35" spans="1:9" customFormat="1" ht="23.1" customHeight="1" thickBot="1" x14ac:dyDescent="0.2">
      <c r="A35" s="78">
        <v>31</v>
      </c>
      <c r="B35" s="79" t="s">
        <v>7</v>
      </c>
      <c r="C35" s="80" t="s">
        <v>241</v>
      </c>
      <c r="D35" s="110">
        <v>3</v>
      </c>
      <c r="E35" s="110">
        <v>18</v>
      </c>
      <c r="F35" s="110" t="s">
        <v>240</v>
      </c>
      <c r="G35" s="111" t="s">
        <v>237</v>
      </c>
      <c r="H35" s="81">
        <v>7982</v>
      </c>
      <c r="I35" s="180">
        <v>10340</v>
      </c>
    </row>
    <row r="36" spans="1:9" s="3" customFormat="1" ht="21" customHeight="1" thickBot="1" x14ac:dyDescent="0.2">
      <c r="A36" s="148" t="s">
        <v>0</v>
      </c>
      <c r="B36" s="149"/>
      <c r="C36" s="149"/>
      <c r="D36" s="149"/>
      <c r="E36" s="149"/>
      <c r="F36" s="149"/>
      <c r="G36" s="150"/>
      <c r="H36" s="170">
        <f t="shared" ref="H36:I36" si="0">SUM(H5:H35)</f>
        <v>73964</v>
      </c>
      <c r="I36" s="171">
        <f t="shared" si="0"/>
        <v>92758</v>
      </c>
    </row>
    <row r="37" spans="1:9" s="3" customFormat="1" ht="21" customHeight="1" thickBot="1" x14ac:dyDescent="0.2">
      <c r="A37" s="134" t="s">
        <v>4</v>
      </c>
      <c r="B37" s="135"/>
      <c r="C37" s="135"/>
      <c r="D37" s="135"/>
      <c r="E37" s="135"/>
      <c r="F37" s="135"/>
      <c r="G37" s="136"/>
      <c r="H37" s="172">
        <f>H36+'2월'!H37</f>
        <v>244263</v>
      </c>
      <c r="I37" s="173">
        <f>I36+'2월'!I37</f>
        <v>291280</v>
      </c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I37"/>
  <sheetViews>
    <sheetView workbookViewId="0">
      <pane xSplit="7" ySplit="4" topLeftCell="H16" activePane="bottomRight" state="frozen"/>
      <selection activeCell="J26" sqref="J26"/>
      <selection pane="topRight" activeCell="J26" sqref="J26"/>
      <selection pane="bottomLeft" activeCell="J26" sqref="J26"/>
      <selection pane="bottomRight" activeCell="J26" sqref="J26"/>
    </sheetView>
  </sheetViews>
  <sheetFormatPr defaultColWidth="8.88671875" defaultRowHeight="13.5" x14ac:dyDescent="0.15"/>
  <cols>
    <col min="1" max="2" width="5.77734375" style="1" customWidth="1"/>
    <col min="3" max="3" width="8.77734375" style="8" customWidth="1"/>
    <col min="4" max="5" width="3.77734375" style="8" customWidth="1"/>
    <col min="6" max="6" width="5.77734375" style="8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1" t="s">
        <v>26</v>
      </c>
      <c r="B1" s="152"/>
      <c r="C1" s="152"/>
      <c r="D1" s="152"/>
      <c r="E1" s="152"/>
      <c r="F1" s="152"/>
      <c r="G1" s="152"/>
      <c r="H1" s="152"/>
      <c r="I1" s="153"/>
    </row>
    <row r="2" spans="1:9" s="2" customFormat="1" ht="22.5" customHeight="1" x14ac:dyDescent="0.15">
      <c r="A2" s="143" t="s">
        <v>2</v>
      </c>
      <c r="B2" s="146" t="s">
        <v>1</v>
      </c>
      <c r="C2" s="137" t="s">
        <v>12</v>
      </c>
      <c r="D2" s="137" t="s">
        <v>15</v>
      </c>
      <c r="E2" s="138"/>
      <c r="F2" s="137" t="s">
        <v>16</v>
      </c>
      <c r="G2" s="141"/>
      <c r="H2" s="157" t="s">
        <v>22</v>
      </c>
      <c r="I2" s="158" t="s">
        <v>21</v>
      </c>
    </row>
    <row r="3" spans="1:9" s="2" customFormat="1" ht="18.75" customHeight="1" x14ac:dyDescent="0.15">
      <c r="A3" s="144"/>
      <c r="B3" s="154"/>
      <c r="C3" s="155"/>
      <c r="D3" s="139"/>
      <c r="E3" s="140"/>
      <c r="F3" s="139"/>
      <c r="G3" s="142"/>
      <c r="H3" s="159" t="s">
        <v>23</v>
      </c>
      <c r="I3" s="160" t="s">
        <v>20</v>
      </c>
    </row>
    <row r="4" spans="1:9" s="2" customFormat="1" ht="18.75" customHeight="1" x14ac:dyDescent="0.15">
      <c r="A4" s="145"/>
      <c r="B4" s="147"/>
      <c r="C4" s="156"/>
      <c r="D4" s="13" t="s">
        <v>13</v>
      </c>
      <c r="E4" s="13" t="s">
        <v>14</v>
      </c>
      <c r="F4" s="13" t="s">
        <v>18</v>
      </c>
      <c r="G4" s="15" t="s">
        <v>17</v>
      </c>
      <c r="H4" s="161"/>
      <c r="I4" s="162" t="s">
        <v>19</v>
      </c>
    </row>
    <row r="5" spans="1:9" s="106" customFormat="1" ht="23.1" customHeight="1" x14ac:dyDescent="0.15">
      <c r="A5" s="30">
        <v>1</v>
      </c>
      <c r="B5" s="31" t="s">
        <v>43</v>
      </c>
      <c r="C5" s="45" t="s">
        <v>244</v>
      </c>
      <c r="D5" s="73">
        <v>6</v>
      </c>
      <c r="E5" s="73">
        <v>19</v>
      </c>
      <c r="F5" s="125" t="s">
        <v>243</v>
      </c>
      <c r="G5" s="126" t="s">
        <v>245</v>
      </c>
      <c r="H5" s="34">
        <v>1802</v>
      </c>
      <c r="I5" s="174">
        <v>2028</v>
      </c>
    </row>
    <row r="6" spans="1:9" customFormat="1" ht="23.1" customHeight="1" x14ac:dyDescent="0.15">
      <c r="A6" s="40">
        <v>2</v>
      </c>
      <c r="B6" s="41" t="s">
        <v>44</v>
      </c>
      <c r="C6" s="32" t="s">
        <v>247</v>
      </c>
      <c r="D6" s="90">
        <v>7</v>
      </c>
      <c r="E6" s="90">
        <v>24</v>
      </c>
      <c r="F6" s="42" t="s">
        <v>243</v>
      </c>
      <c r="G6" s="43" t="s">
        <v>248</v>
      </c>
      <c r="H6" s="44">
        <v>1577</v>
      </c>
      <c r="I6" s="165">
        <v>1804</v>
      </c>
    </row>
    <row r="7" spans="1:9" customFormat="1" ht="23.1" customHeight="1" x14ac:dyDescent="0.15">
      <c r="A7" s="40">
        <v>3</v>
      </c>
      <c r="B7" s="41" t="s">
        <v>10</v>
      </c>
      <c r="C7" s="32" t="s">
        <v>249</v>
      </c>
      <c r="D7" s="90">
        <v>14</v>
      </c>
      <c r="E7" s="90">
        <v>20</v>
      </c>
      <c r="F7" s="42" t="s">
        <v>246</v>
      </c>
      <c r="G7" s="43" t="s">
        <v>250</v>
      </c>
      <c r="H7" s="44">
        <v>1053</v>
      </c>
      <c r="I7" s="165">
        <v>1115</v>
      </c>
    </row>
    <row r="8" spans="1:9" s="107" customFormat="1" ht="23.1" customHeight="1" x14ac:dyDescent="0.15">
      <c r="A8" s="40">
        <v>4</v>
      </c>
      <c r="B8" s="41" t="s">
        <v>11</v>
      </c>
      <c r="C8" s="32" t="s">
        <v>252</v>
      </c>
      <c r="D8" s="42">
        <v>12</v>
      </c>
      <c r="E8" s="42">
        <v>20</v>
      </c>
      <c r="F8" s="42" t="s">
        <v>246</v>
      </c>
      <c r="G8" s="43" t="s">
        <v>251</v>
      </c>
      <c r="H8" s="44">
        <v>2182</v>
      </c>
      <c r="I8" s="165">
        <v>2453</v>
      </c>
    </row>
    <row r="9" spans="1:9" s="106" customFormat="1" ht="23.1" customHeight="1" x14ac:dyDescent="0.15">
      <c r="A9" s="40">
        <v>5</v>
      </c>
      <c r="B9" s="41" t="s">
        <v>5</v>
      </c>
      <c r="C9" s="32" t="s">
        <v>255</v>
      </c>
      <c r="D9" s="90">
        <v>10</v>
      </c>
      <c r="E9" s="90">
        <v>19</v>
      </c>
      <c r="F9" s="42" t="s">
        <v>243</v>
      </c>
      <c r="G9" s="43" t="s">
        <v>256</v>
      </c>
      <c r="H9" s="44">
        <v>5749</v>
      </c>
      <c r="I9" s="165">
        <v>6394</v>
      </c>
    </row>
    <row r="10" spans="1:9" customFormat="1" ht="23.1" customHeight="1" x14ac:dyDescent="0.15">
      <c r="A10" s="59">
        <v>6</v>
      </c>
      <c r="B10" s="60" t="s">
        <v>6</v>
      </c>
      <c r="C10" s="61" t="s">
        <v>254</v>
      </c>
      <c r="D10" s="65">
        <v>8</v>
      </c>
      <c r="E10" s="65">
        <v>19</v>
      </c>
      <c r="F10" s="74" t="s">
        <v>257</v>
      </c>
      <c r="G10" s="75" t="s">
        <v>258</v>
      </c>
      <c r="H10" s="64">
        <v>14605</v>
      </c>
      <c r="I10" s="166">
        <v>17241</v>
      </c>
    </row>
    <row r="11" spans="1:9" customFormat="1" ht="23.1" customHeight="1" x14ac:dyDescent="0.15">
      <c r="A11" s="29">
        <v>7</v>
      </c>
      <c r="B11" s="23" t="s">
        <v>7</v>
      </c>
      <c r="C11" s="24" t="s">
        <v>253</v>
      </c>
      <c r="D11" s="25">
        <v>8</v>
      </c>
      <c r="E11" s="25">
        <v>23</v>
      </c>
      <c r="F11" s="87" t="s">
        <v>259</v>
      </c>
      <c r="G11" s="88" t="s">
        <v>260</v>
      </c>
      <c r="H11" s="27">
        <v>10395</v>
      </c>
      <c r="I11" s="167">
        <v>13047</v>
      </c>
    </row>
    <row r="12" spans="1:9" customFormat="1" ht="23.1" customHeight="1" x14ac:dyDescent="0.15">
      <c r="A12" s="35">
        <v>8</v>
      </c>
      <c r="B12" s="36" t="s">
        <v>8</v>
      </c>
      <c r="C12" s="47" t="s">
        <v>263</v>
      </c>
      <c r="D12" s="72">
        <v>11</v>
      </c>
      <c r="E12" s="72">
        <v>23</v>
      </c>
      <c r="F12" s="76" t="s">
        <v>262</v>
      </c>
      <c r="G12" s="77" t="s">
        <v>261</v>
      </c>
      <c r="H12" s="39">
        <v>2269</v>
      </c>
      <c r="I12" s="164">
        <v>2576</v>
      </c>
    </row>
    <row r="13" spans="1:9" customFormat="1" ht="23.1" customHeight="1" x14ac:dyDescent="0.15">
      <c r="A13" s="40">
        <v>9</v>
      </c>
      <c r="B13" s="41" t="s">
        <v>9</v>
      </c>
      <c r="C13" s="32" t="s">
        <v>268</v>
      </c>
      <c r="D13" s="91">
        <v>11</v>
      </c>
      <c r="E13" s="91">
        <v>21</v>
      </c>
      <c r="F13" s="42" t="s">
        <v>265</v>
      </c>
      <c r="G13" s="43" t="s">
        <v>264</v>
      </c>
      <c r="H13" s="44">
        <v>5501</v>
      </c>
      <c r="I13" s="165">
        <v>6073</v>
      </c>
    </row>
    <row r="14" spans="1:9" customFormat="1" ht="23.1" customHeight="1" x14ac:dyDescent="0.15">
      <c r="A14" s="4">
        <v>10</v>
      </c>
      <c r="B14" s="5" t="s">
        <v>10</v>
      </c>
      <c r="C14" s="14" t="s">
        <v>267</v>
      </c>
      <c r="D14" s="18">
        <v>10</v>
      </c>
      <c r="E14" s="18">
        <v>19</v>
      </c>
      <c r="F14" s="94" t="s">
        <v>257</v>
      </c>
      <c r="G14" s="95" t="s">
        <v>266</v>
      </c>
      <c r="H14" s="12">
        <v>13072</v>
      </c>
      <c r="I14" s="168">
        <v>15573</v>
      </c>
    </row>
    <row r="15" spans="1:9" s="107" customFormat="1" ht="23.1" customHeight="1" x14ac:dyDescent="0.15">
      <c r="A15" s="40">
        <v>11</v>
      </c>
      <c r="B15" s="41" t="s">
        <v>11</v>
      </c>
      <c r="C15" s="32" t="s">
        <v>274</v>
      </c>
      <c r="D15" s="90">
        <v>12</v>
      </c>
      <c r="E15" s="90">
        <v>21</v>
      </c>
      <c r="F15" s="42" t="s">
        <v>269</v>
      </c>
      <c r="G15" s="43" t="s">
        <v>270</v>
      </c>
      <c r="H15" s="44">
        <v>2056</v>
      </c>
      <c r="I15" s="165">
        <v>2281</v>
      </c>
    </row>
    <row r="16" spans="1:9" s="106" customFormat="1" ht="23.1" customHeight="1" x14ac:dyDescent="0.15">
      <c r="A16" s="40">
        <v>12</v>
      </c>
      <c r="B16" s="41" t="s">
        <v>5</v>
      </c>
      <c r="C16" s="32" t="s">
        <v>277</v>
      </c>
      <c r="D16" s="90">
        <v>12</v>
      </c>
      <c r="E16" s="90">
        <v>24</v>
      </c>
      <c r="F16" s="42" t="s">
        <v>269</v>
      </c>
      <c r="G16" s="43" t="s">
        <v>271</v>
      </c>
      <c r="H16" s="44">
        <v>5140</v>
      </c>
      <c r="I16" s="165">
        <v>5618</v>
      </c>
    </row>
    <row r="17" spans="1:9" customFormat="1" ht="23.1" customHeight="1" x14ac:dyDescent="0.15">
      <c r="A17" s="59">
        <v>13</v>
      </c>
      <c r="B17" s="60" t="s">
        <v>6</v>
      </c>
      <c r="C17" s="61" t="s">
        <v>276</v>
      </c>
      <c r="D17" s="65">
        <v>11</v>
      </c>
      <c r="E17" s="65">
        <v>27</v>
      </c>
      <c r="F17" s="74" t="s">
        <v>257</v>
      </c>
      <c r="G17" s="75" t="s">
        <v>266</v>
      </c>
      <c r="H17" s="64">
        <v>13565</v>
      </c>
      <c r="I17" s="166">
        <v>16094</v>
      </c>
    </row>
    <row r="18" spans="1:9" customFormat="1" ht="23.1" customHeight="1" x14ac:dyDescent="0.15">
      <c r="A18" s="29">
        <v>14</v>
      </c>
      <c r="B18" s="23" t="s">
        <v>7</v>
      </c>
      <c r="C18" s="24" t="s">
        <v>275</v>
      </c>
      <c r="D18" s="25">
        <v>14</v>
      </c>
      <c r="E18" s="25">
        <v>29</v>
      </c>
      <c r="F18" s="87" t="s">
        <v>272</v>
      </c>
      <c r="G18" s="88" t="s">
        <v>273</v>
      </c>
      <c r="H18" s="27">
        <v>8850</v>
      </c>
      <c r="I18" s="167">
        <v>11415</v>
      </c>
    </row>
    <row r="19" spans="1:9" customFormat="1" ht="23.1" customHeight="1" x14ac:dyDescent="0.15">
      <c r="A19" s="35">
        <v>15</v>
      </c>
      <c r="B19" s="36" t="s">
        <v>8</v>
      </c>
      <c r="C19" s="47" t="s">
        <v>280</v>
      </c>
      <c r="D19" s="37">
        <v>12</v>
      </c>
      <c r="E19" s="37">
        <v>20</v>
      </c>
      <c r="F19" s="76" t="s">
        <v>278</v>
      </c>
      <c r="G19" s="77" t="s">
        <v>279</v>
      </c>
      <c r="H19" s="39">
        <v>216</v>
      </c>
      <c r="I19" s="164">
        <v>220</v>
      </c>
    </row>
    <row r="20" spans="1:9" customFormat="1" ht="23.1" customHeight="1" x14ac:dyDescent="0.15">
      <c r="A20" s="40">
        <v>16</v>
      </c>
      <c r="B20" s="41" t="s">
        <v>9</v>
      </c>
      <c r="C20" s="32" t="s">
        <v>282</v>
      </c>
      <c r="D20" s="90">
        <v>12</v>
      </c>
      <c r="E20" s="90">
        <v>18</v>
      </c>
      <c r="F20" s="42" t="s">
        <v>281</v>
      </c>
      <c r="G20" s="43" t="s">
        <v>283</v>
      </c>
      <c r="H20" s="44">
        <v>3049</v>
      </c>
      <c r="I20" s="165">
        <v>3112</v>
      </c>
    </row>
    <row r="21" spans="1:9" customFormat="1" ht="23.1" customHeight="1" x14ac:dyDescent="0.15">
      <c r="A21" s="40">
        <v>17</v>
      </c>
      <c r="B21" s="41" t="s">
        <v>10</v>
      </c>
      <c r="C21" s="32" t="s">
        <v>284</v>
      </c>
      <c r="D21" s="90">
        <v>10</v>
      </c>
      <c r="E21" s="90">
        <v>22</v>
      </c>
      <c r="F21" s="42" t="s">
        <v>285</v>
      </c>
      <c r="G21" s="43" t="s">
        <v>286</v>
      </c>
      <c r="H21" s="44">
        <v>2883</v>
      </c>
      <c r="I21" s="165">
        <v>3015</v>
      </c>
    </row>
    <row r="22" spans="1:9" s="107" customFormat="1" ht="23.1" customHeight="1" x14ac:dyDescent="0.15">
      <c r="A22" s="40">
        <v>18</v>
      </c>
      <c r="B22" s="41" t="s">
        <v>11</v>
      </c>
      <c r="C22" s="32" t="s">
        <v>287</v>
      </c>
      <c r="D22" s="90">
        <v>11</v>
      </c>
      <c r="E22" s="90">
        <v>25</v>
      </c>
      <c r="F22" s="42" t="s">
        <v>288</v>
      </c>
      <c r="G22" s="43" t="s">
        <v>289</v>
      </c>
      <c r="H22" s="44">
        <v>3649</v>
      </c>
      <c r="I22" s="165">
        <v>3863</v>
      </c>
    </row>
    <row r="23" spans="1:9" s="106" customFormat="1" ht="23.1" customHeight="1" x14ac:dyDescent="0.15">
      <c r="A23" s="40">
        <v>19</v>
      </c>
      <c r="B23" s="41" t="s">
        <v>5</v>
      </c>
      <c r="C23" s="32" t="s">
        <v>290</v>
      </c>
      <c r="D23" s="90">
        <v>12</v>
      </c>
      <c r="E23" s="90">
        <v>24</v>
      </c>
      <c r="F23" s="42" t="s">
        <v>291</v>
      </c>
      <c r="G23" s="43" t="s">
        <v>292</v>
      </c>
      <c r="H23" s="44">
        <v>5121</v>
      </c>
      <c r="I23" s="165">
        <v>5686</v>
      </c>
    </row>
    <row r="24" spans="1:9" customFormat="1" ht="23.1" customHeight="1" x14ac:dyDescent="0.15">
      <c r="A24" s="59">
        <v>20</v>
      </c>
      <c r="B24" s="60" t="s">
        <v>6</v>
      </c>
      <c r="C24" s="61" t="s">
        <v>294</v>
      </c>
      <c r="D24" s="65">
        <v>13</v>
      </c>
      <c r="E24" s="65">
        <v>17</v>
      </c>
      <c r="F24" s="74" t="s">
        <v>297</v>
      </c>
      <c r="G24" s="75" t="s">
        <v>293</v>
      </c>
      <c r="H24" s="64">
        <v>4133</v>
      </c>
      <c r="I24" s="166">
        <v>4563</v>
      </c>
    </row>
    <row r="25" spans="1:9" customFormat="1" ht="23.1" customHeight="1" x14ac:dyDescent="0.15">
      <c r="A25" s="29">
        <v>21</v>
      </c>
      <c r="B25" s="23" t="s">
        <v>7</v>
      </c>
      <c r="C25" s="24" t="s">
        <v>295</v>
      </c>
      <c r="D25" s="25">
        <v>13</v>
      </c>
      <c r="E25" s="25">
        <v>22</v>
      </c>
      <c r="F25" s="87" t="s">
        <v>297</v>
      </c>
      <c r="G25" s="88" t="s">
        <v>296</v>
      </c>
      <c r="H25" s="27">
        <v>7778</v>
      </c>
      <c r="I25" s="167">
        <v>10210</v>
      </c>
    </row>
    <row r="26" spans="1:9" customFormat="1" ht="23.1" customHeight="1" x14ac:dyDescent="0.15">
      <c r="A26" s="35">
        <v>22</v>
      </c>
      <c r="B26" s="36" t="s">
        <v>8</v>
      </c>
      <c r="C26" s="47" t="s">
        <v>303</v>
      </c>
      <c r="D26" s="37">
        <v>15</v>
      </c>
      <c r="E26" s="37">
        <v>24</v>
      </c>
      <c r="F26" s="76" t="s">
        <v>298</v>
      </c>
      <c r="G26" s="77" t="s">
        <v>304</v>
      </c>
      <c r="H26" s="39">
        <v>2825</v>
      </c>
      <c r="I26" s="164">
        <v>3103</v>
      </c>
    </row>
    <row r="27" spans="1:9" customFormat="1" ht="23.1" customHeight="1" x14ac:dyDescent="0.15">
      <c r="A27" s="40">
        <v>23</v>
      </c>
      <c r="B27" s="41" t="s">
        <v>9</v>
      </c>
      <c r="C27" s="32" t="s">
        <v>306</v>
      </c>
      <c r="D27" s="90">
        <v>13</v>
      </c>
      <c r="E27" s="90">
        <v>24</v>
      </c>
      <c r="F27" s="42" t="s">
        <v>298</v>
      </c>
      <c r="G27" s="43" t="s">
        <v>305</v>
      </c>
      <c r="H27" s="44">
        <v>2871</v>
      </c>
      <c r="I27" s="165">
        <v>3068</v>
      </c>
    </row>
    <row r="28" spans="1:9" s="106" customFormat="1" ht="23.1" customHeight="1" x14ac:dyDescent="0.15">
      <c r="A28" s="40">
        <v>24</v>
      </c>
      <c r="B28" s="41" t="s">
        <v>10</v>
      </c>
      <c r="C28" s="32" t="s">
        <v>307</v>
      </c>
      <c r="D28" s="90">
        <v>11</v>
      </c>
      <c r="E28" s="90">
        <v>17</v>
      </c>
      <c r="F28" s="42" t="s">
        <v>299</v>
      </c>
      <c r="G28" s="43" t="s">
        <v>309</v>
      </c>
      <c r="H28" s="44">
        <v>2062</v>
      </c>
      <c r="I28" s="165">
        <v>2242</v>
      </c>
    </row>
    <row r="29" spans="1:9" s="106" customFormat="1" ht="23.1" customHeight="1" x14ac:dyDescent="0.15">
      <c r="A29" s="40">
        <v>25</v>
      </c>
      <c r="B29" s="41" t="s">
        <v>11</v>
      </c>
      <c r="C29" s="32" t="s">
        <v>310</v>
      </c>
      <c r="D29" s="90">
        <v>10</v>
      </c>
      <c r="E29" s="90">
        <v>21</v>
      </c>
      <c r="F29" s="42" t="s">
        <v>300</v>
      </c>
      <c r="G29" s="43" t="s">
        <v>308</v>
      </c>
      <c r="H29" s="44">
        <v>3994</v>
      </c>
      <c r="I29" s="165">
        <v>4222</v>
      </c>
    </row>
    <row r="30" spans="1:9" s="106" customFormat="1" ht="23.1" customHeight="1" x14ac:dyDescent="0.15">
      <c r="A30" s="40">
        <v>26</v>
      </c>
      <c r="B30" s="41" t="s">
        <v>5</v>
      </c>
      <c r="C30" s="32" t="s">
        <v>318</v>
      </c>
      <c r="D30" s="90">
        <v>11</v>
      </c>
      <c r="E30" s="90">
        <v>26</v>
      </c>
      <c r="F30" s="42" t="s">
        <v>301</v>
      </c>
      <c r="G30" s="43" t="s">
        <v>315</v>
      </c>
      <c r="H30" s="44">
        <v>6310</v>
      </c>
      <c r="I30" s="165">
        <v>6904</v>
      </c>
    </row>
    <row r="31" spans="1:9" s="106" customFormat="1" ht="23.1" customHeight="1" x14ac:dyDescent="0.15">
      <c r="A31" s="59">
        <v>27</v>
      </c>
      <c r="B31" s="60" t="s">
        <v>6</v>
      </c>
      <c r="C31" s="61" t="s">
        <v>317</v>
      </c>
      <c r="D31" s="65">
        <v>12</v>
      </c>
      <c r="E31" s="65">
        <v>26</v>
      </c>
      <c r="F31" s="74" t="s">
        <v>313</v>
      </c>
      <c r="G31" s="75" t="s">
        <v>314</v>
      </c>
      <c r="H31" s="64">
        <v>15862</v>
      </c>
      <c r="I31" s="166">
        <v>18576</v>
      </c>
    </row>
    <row r="32" spans="1:9" customFormat="1" ht="23.1" customHeight="1" x14ac:dyDescent="0.15">
      <c r="A32" s="29">
        <v>28</v>
      </c>
      <c r="B32" s="23" t="s">
        <v>7</v>
      </c>
      <c r="C32" s="24" t="s">
        <v>316</v>
      </c>
      <c r="D32" s="25">
        <v>13</v>
      </c>
      <c r="E32" s="25">
        <v>29</v>
      </c>
      <c r="F32" s="87" t="s">
        <v>311</v>
      </c>
      <c r="G32" s="88" t="s">
        <v>312</v>
      </c>
      <c r="H32" s="27">
        <v>10553</v>
      </c>
      <c r="I32" s="167">
        <v>13586</v>
      </c>
    </row>
    <row r="33" spans="1:9" customFormat="1" ht="23.1" customHeight="1" x14ac:dyDescent="0.15">
      <c r="A33" s="35">
        <v>29</v>
      </c>
      <c r="B33" s="36" t="s">
        <v>8</v>
      </c>
      <c r="C33" s="47" t="s">
        <v>319</v>
      </c>
      <c r="D33" s="37">
        <v>17</v>
      </c>
      <c r="E33" s="37">
        <v>26</v>
      </c>
      <c r="F33" s="76" t="s">
        <v>300</v>
      </c>
      <c r="G33" s="77" t="s">
        <v>320</v>
      </c>
      <c r="H33" s="39">
        <v>2934</v>
      </c>
      <c r="I33" s="164">
        <v>3066</v>
      </c>
    </row>
    <row r="34" spans="1:9" customFormat="1" ht="23.25" customHeight="1" x14ac:dyDescent="0.15">
      <c r="A34" s="40">
        <v>30</v>
      </c>
      <c r="B34" s="41" t="s">
        <v>9</v>
      </c>
      <c r="C34" s="32" t="s">
        <v>321</v>
      </c>
      <c r="D34" s="90">
        <v>16</v>
      </c>
      <c r="E34" s="90">
        <v>23</v>
      </c>
      <c r="F34" s="42" t="s">
        <v>302</v>
      </c>
      <c r="G34" s="43" t="s">
        <v>326</v>
      </c>
      <c r="H34" s="44">
        <v>7641</v>
      </c>
      <c r="I34" s="165">
        <v>7846</v>
      </c>
    </row>
    <row r="35" spans="1:9" customFormat="1" ht="23.1" customHeight="1" thickBot="1" x14ac:dyDescent="0.2">
      <c r="A35" s="48"/>
      <c r="B35" s="49"/>
      <c r="C35" s="50"/>
      <c r="D35" s="51"/>
      <c r="E35" s="51"/>
      <c r="F35" s="92"/>
      <c r="G35" s="93"/>
      <c r="H35" s="53">
        <v>0</v>
      </c>
      <c r="I35" s="169">
        <v>0</v>
      </c>
    </row>
    <row r="36" spans="1:9" s="3" customFormat="1" ht="21" customHeight="1" thickBot="1" x14ac:dyDescent="0.2">
      <c r="A36" s="148" t="s">
        <v>0</v>
      </c>
      <c r="B36" s="149"/>
      <c r="C36" s="149"/>
      <c r="D36" s="149"/>
      <c r="E36" s="149"/>
      <c r="F36" s="149"/>
      <c r="G36" s="150"/>
      <c r="H36" s="170">
        <f t="shared" ref="H36:I36" si="0">SUM(H5:H35)</f>
        <v>169697</v>
      </c>
      <c r="I36" s="171">
        <f t="shared" si="0"/>
        <v>196994</v>
      </c>
    </row>
    <row r="37" spans="1:9" s="3" customFormat="1" ht="21" customHeight="1" thickBot="1" x14ac:dyDescent="0.2">
      <c r="A37" s="134" t="s">
        <v>4</v>
      </c>
      <c r="B37" s="135"/>
      <c r="C37" s="135"/>
      <c r="D37" s="135"/>
      <c r="E37" s="135"/>
      <c r="F37" s="135"/>
      <c r="G37" s="136"/>
      <c r="H37" s="172">
        <f>H36+'3월'!H37</f>
        <v>413960</v>
      </c>
      <c r="I37" s="173">
        <f>I36+'3월'!I37</f>
        <v>488274</v>
      </c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FF00"/>
  </sheetPr>
  <dimension ref="A1:I37"/>
  <sheetViews>
    <sheetView workbookViewId="0">
      <pane xSplit="7" ySplit="4" topLeftCell="H16" activePane="bottomRight" state="frozen"/>
      <selection activeCell="J26" sqref="J26"/>
      <selection pane="topRight" activeCell="J26" sqref="J26"/>
      <selection pane="bottomLeft" activeCell="J26" sqref="J26"/>
      <selection pane="bottomRight" activeCell="J26" sqref="J26"/>
    </sheetView>
  </sheetViews>
  <sheetFormatPr defaultColWidth="8.88671875" defaultRowHeight="13.5" x14ac:dyDescent="0.15"/>
  <cols>
    <col min="1" max="2" width="5.77734375" style="1" customWidth="1"/>
    <col min="3" max="3" width="8.77734375" style="8" customWidth="1"/>
    <col min="4" max="5" width="3.77734375" style="8" customWidth="1"/>
    <col min="6" max="6" width="5.77734375" style="8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1" t="s">
        <v>29</v>
      </c>
      <c r="B1" s="152"/>
      <c r="C1" s="152"/>
      <c r="D1" s="152"/>
      <c r="E1" s="152"/>
      <c r="F1" s="152"/>
      <c r="G1" s="152"/>
      <c r="H1" s="152"/>
      <c r="I1" s="153"/>
    </row>
    <row r="2" spans="1:9" s="2" customFormat="1" ht="22.5" customHeight="1" x14ac:dyDescent="0.15">
      <c r="A2" s="143" t="s">
        <v>2</v>
      </c>
      <c r="B2" s="146" t="s">
        <v>1</v>
      </c>
      <c r="C2" s="137" t="s">
        <v>12</v>
      </c>
      <c r="D2" s="137" t="s">
        <v>15</v>
      </c>
      <c r="E2" s="138"/>
      <c r="F2" s="137" t="s">
        <v>16</v>
      </c>
      <c r="G2" s="141"/>
      <c r="H2" s="157" t="s">
        <v>22</v>
      </c>
      <c r="I2" s="158" t="s">
        <v>21</v>
      </c>
    </row>
    <row r="3" spans="1:9" s="2" customFormat="1" ht="18.75" customHeight="1" x14ac:dyDescent="0.15">
      <c r="A3" s="144"/>
      <c r="B3" s="154"/>
      <c r="C3" s="155"/>
      <c r="D3" s="139"/>
      <c r="E3" s="140"/>
      <c r="F3" s="139"/>
      <c r="G3" s="142"/>
      <c r="H3" s="159" t="s">
        <v>23</v>
      </c>
      <c r="I3" s="160" t="s">
        <v>20</v>
      </c>
    </row>
    <row r="4" spans="1:9" s="2" customFormat="1" ht="18.75" customHeight="1" x14ac:dyDescent="0.15">
      <c r="A4" s="145"/>
      <c r="B4" s="147"/>
      <c r="C4" s="156"/>
      <c r="D4" s="13" t="s">
        <v>13</v>
      </c>
      <c r="E4" s="13" t="s">
        <v>14</v>
      </c>
      <c r="F4" s="13" t="s">
        <v>18</v>
      </c>
      <c r="G4" s="15" t="s">
        <v>17</v>
      </c>
      <c r="H4" s="161"/>
      <c r="I4" s="162" t="s">
        <v>19</v>
      </c>
    </row>
    <row r="5" spans="1:9" s="106" customFormat="1" ht="23.1" customHeight="1" x14ac:dyDescent="0.15">
      <c r="A5" s="6">
        <v>1</v>
      </c>
      <c r="B5" s="7" t="s">
        <v>45</v>
      </c>
      <c r="C5" s="89" t="s">
        <v>327</v>
      </c>
      <c r="D5" s="16">
        <v>14</v>
      </c>
      <c r="E5" s="16">
        <v>24</v>
      </c>
      <c r="F5" s="113" t="s">
        <v>324</v>
      </c>
      <c r="G5" s="114" t="s">
        <v>325</v>
      </c>
      <c r="H5" s="11">
        <v>15579</v>
      </c>
      <c r="I5" s="175">
        <v>18208</v>
      </c>
    </row>
    <row r="6" spans="1:9" customFormat="1" ht="23.1" customHeight="1" x14ac:dyDescent="0.15">
      <c r="A6" s="40">
        <v>2</v>
      </c>
      <c r="B6" s="41" t="s">
        <v>40</v>
      </c>
      <c r="C6" s="32" t="s">
        <v>328</v>
      </c>
      <c r="D6" s="90">
        <v>12</v>
      </c>
      <c r="E6" s="90">
        <v>24</v>
      </c>
      <c r="F6" s="42" t="s">
        <v>322</v>
      </c>
      <c r="G6" s="43" t="s">
        <v>323</v>
      </c>
      <c r="H6" s="44">
        <v>5437</v>
      </c>
      <c r="I6" s="165">
        <v>5809</v>
      </c>
    </row>
    <row r="7" spans="1:9" customFormat="1" ht="23.1" customHeight="1" x14ac:dyDescent="0.15">
      <c r="A7" s="40">
        <v>3</v>
      </c>
      <c r="B7" s="41" t="s">
        <v>5</v>
      </c>
      <c r="C7" s="32" t="s">
        <v>336</v>
      </c>
      <c r="D7" s="90">
        <v>12</v>
      </c>
      <c r="E7" s="90">
        <v>28</v>
      </c>
      <c r="F7" s="42" t="s">
        <v>329</v>
      </c>
      <c r="G7" s="43" t="s">
        <v>330</v>
      </c>
      <c r="H7" s="44">
        <v>8799</v>
      </c>
      <c r="I7" s="165">
        <v>9688</v>
      </c>
    </row>
    <row r="8" spans="1:9" s="107" customFormat="1" ht="23.1" customHeight="1" x14ac:dyDescent="0.15">
      <c r="A8" s="59">
        <v>4</v>
      </c>
      <c r="B8" s="60" t="s">
        <v>6</v>
      </c>
      <c r="C8" s="61" t="s">
        <v>335</v>
      </c>
      <c r="D8" s="74">
        <v>15</v>
      </c>
      <c r="E8" s="74">
        <v>29</v>
      </c>
      <c r="F8" s="74" t="s">
        <v>331</v>
      </c>
      <c r="G8" s="75" t="s">
        <v>330</v>
      </c>
      <c r="H8" s="64">
        <v>18021</v>
      </c>
      <c r="I8" s="166">
        <v>20670</v>
      </c>
    </row>
    <row r="9" spans="1:9" s="106" customFormat="1" ht="23.1" customHeight="1" x14ac:dyDescent="0.15">
      <c r="A9" s="29">
        <v>5</v>
      </c>
      <c r="B9" s="23" t="s">
        <v>7</v>
      </c>
      <c r="C9" s="24" t="s">
        <v>334</v>
      </c>
      <c r="D9" s="25">
        <v>16</v>
      </c>
      <c r="E9" s="25">
        <v>21</v>
      </c>
      <c r="F9" s="87" t="s">
        <v>337</v>
      </c>
      <c r="G9" s="88" t="s">
        <v>338</v>
      </c>
      <c r="H9" s="27">
        <v>669</v>
      </c>
      <c r="I9" s="167">
        <v>975</v>
      </c>
    </row>
    <row r="10" spans="1:9" customFormat="1" ht="23.1" customHeight="1" x14ac:dyDescent="0.15">
      <c r="A10" s="9">
        <v>6</v>
      </c>
      <c r="B10" s="10" t="s">
        <v>8</v>
      </c>
      <c r="C10" s="28" t="s">
        <v>341</v>
      </c>
      <c r="D10" s="20">
        <v>13</v>
      </c>
      <c r="E10" s="20">
        <v>16</v>
      </c>
      <c r="F10" s="119" t="s">
        <v>339</v>
      </c>
      <c r="G10" s="120" t="s">
        <v>340</v>
      </c>
      <c r="H10" s="22">
        <v>970</v>
      </c>
      <c r="I10" s="176">
        <v>1620</v>
      </c>
    </row>
    <row r="11" spans="1:9" customFormat="1" ht="23.1" customHeight="1" x14ac:dyDescent="0.15">
      <c r="A11" s="40">
        <v>7</v>
      </c>
      <c r="B11" s="41" t="s">
        <v>9</v>
      </c>
      <c r="C11" s="32" t="s">
        <v>342</v>
      </c>
      <c r="D11" s="90">
        <v>12</v>
      </c>
      <c r="E11" s="90">
        <v>15</v>
      </c>
      <c r="F11" s="42" t="s">
        <v>329</v>
      </c>
      <c r="G11" s="43" t="s">
        <v>343</v>
      </c>
      <c r="H11" s="44">
        <v>1627</v>
      </c>
      <c r="I11" s="165">
        <v>1661</v>
      </c>
    </row>
    <row r="12" spans="1:9" customFormat="1" ht="23.1" customHeight="1" x14ac:dyDescent="0.15">
      <c r="A12" s="40">
        <v>8</v>
      </c>
      <c r="B12" s="41" t="s">
        <v>10</v>
      </c>
      <c r="C12" s="32" t="s">
        <v>344</v>
      </c>
      <c r="D12" s="91">
        <v>9</v>
      </c>
      <c r="E12" s="91">
        <v>21</v>
      </c>
      <c r="F12" s="42" t="s">
        <v>333</v>
      </c>
      <c r="G12" s="43" t="s">
        <v>346</v>
      </c>
      <c r="H12" s="44">
        <v>3615</v>
      </c>
      <c r="I12" s="165">
        <v>3888</v>
      </c>
    </row>
    <row r="13" spans="1:9" customFormat="1" ht="23.1" customHeight="1" x14ac:dyDescent="0.15">
      <c r="A13" s="40">
        <v>9</v>
      </c>
      <c r="B13" s="41" t="s">
        <v>11</v>
      </c>
      <c r="C13" s="32" t="s">
        <v>344</v>
      </c>
      <c r="D13" s="91">
        <v>11</v>
      </c>
      <c r="E13" s="91">
        <v>22</v>
      </c>
      <c r="F13" s="42" t="s">
        <v>333</v>
      </c>
      <c r="G13" s="43" t="s">
        <v>345</v>
      </c>
      <c r="H13" s="44">
        <v>3972</v>
      </c>
      <c r="I13" s="165">
        <v>4193</v>
      </c>
    </row>
    <row r="14" spans="1:9" customFormat="1" ht="23.1" customHeight="1" x14ac:dyDescent="0.15">
      <c r="A14" s="40">
        <v>10</v>
      </c>
      <c r="B14" s="41" t="s">
        <v>5</v>
      </c>
      <c r="C14" s="32" t="s">
        <v>364</v>
      </c>
      <c r="D14" s="90">
        <v>13</v>
      </c>
      <c r="E14" s="90">
        <v>24</v>
      </c>
      <c r="F14" s="42" t="s">
        <v>333</v>
      </c>
      <c r="G14" s="43" t="s">
        <v>347</v>
      </c>
      <c r="H14" s="44">
        <v>10428</v>
      </c>
      <c r="I14" s="165">
        <v>11182</v>
      </c>
    </row>
    <row r="15" spans="1:9" s="107" customFormat="1" ht="23.1" customHeight="1" x14ac:dyDescent="0.15">
      <c r="A15" s="59">
        <v>11</v>
      </c>
      <c r="B15" s="60" t="s">
        <v>6</v>
      </c>
      <c r="C15" s="61" t="s">
        <v>349</v>
      </c>
      <c r="D15" s="65">
        <v>14</v>
      </c>
      <c r="E15" s="65">
        <v>22</v>
      </c>
      <c r="F15" s="74" t="s">
        <v>332</v>
      </c>
      <c r="G15" s="75" t="s">
        <v>348</v>
      </c>
      <c r="H15" s="64">
        <v>4932</v>
      </c>
      <c r="I15" s="166">
        <v>5989</v>
      </c>
    </row>
    <row r="16" spans="1:9" s="106" customFormat="1" ht="23.1" customHeight="1" x14ac:dyDescent="0.15">
      <c r="A16" s="29">
        <v>12</v>
      </c>
      <c r="B16" s="23" t="s">
        <v>7</v>
      </c>
      <c r="C16" s="24" t="s">
        <v>363</v>
      </c>
      <c r="D16" s="25">
        <v>12</v>
      </c>
      <c r="E16" s="25">
        <v>22</v>
      </c>
      <c r="F16" s="87" t="s">
        <v>332</v>
      </c>
      <c r="G16" s="88" t="s">
        <v>347</v>
      </c>
      <c r="H16" s="27">
        <v>8013</v>
      </c>
      <c r="I16" s="167">
        <v>11616</v>
      </c>
    </row>
    <row r="17" spans="1:9" customFormat="1" ht="23.1" customHeight="1" x14ac:dyDescent="0.15">
      <c r="A17" s="35">
        <v>13</v>
      </c>
      <c r="B17" s="36" t="s">
        <v>8</v>
      </c>
      <c r="C17" s="47" t="s">
        <v>350</v>
      </c>
      <c r="D17" s="37">
        <v>12</v>
      </c>
      <c r="E17" s="37">
        <v>25</v>
      </c>
      <c r="F17" s="76" t="s">
        <v>351</v>
      </c>
      <c r="G17" s="77" t="s">
        <v>352</v>
      </c>
      <c r="H17" s="39">
        <v>3976</v>
      </c>
      <c r="I17" s="164">
        <v>4233</v>
      </c>
    </row>
    <row r="18" spans="1:9" customFormat="1" ht="23.1" customHeight="1" x14ac:dyDescent="0.15">
      <c r="A18" s="40">
        <v>14</v>
      </c>
      <c r="B18" s="41" t="s">
        <v>9</v>
      </c>
      <c r="C18" s="32" t="s">
        <v>353</v>
      </c>
      <c r="D18" s="90">
        <v>13</v>
      </c>
      <c r="E18" s="90">
        <v>25</v>
      </c>
      <c r="F18" s="42" t="s">
        <v>354</v>
      </c>
      <c r="G18" s="43" t="s">
        <v>357</v>
      </c>
      <c r="H18" s="44">
        <v>9051</v>
      </c>
      <c r="I18" s="165">
        <v>9775</v>
      </c>
    </row>
    <row r="19" spans="1:9" customFormat="1" ht="23.1" customHeight="1" x14ac:dyDescent="0.15">
      <c r="A19" s="4">
        <v>15</v>
      </c>
      <c r="B19" s="5" t="s">
        <v>10</v>
      </c>
      <c r="C19" s="14" t="s">
        <v>365</v>
      </c>
      <c r="D19" s="18">
        <v>7</v>
      </c>
      <c r="E19" s="18">
        <v>19</v>
      </c>
      <c r="F19" s="94" t="s">
        <v>355</v>
      </c>
      <c r="G19" s="95" t="s">
        <v>356</v>
      </c>
      <c r="H19" s="12">
        <v>2777</v>
      </c>
      <c r="I19" s="168">
        <v>4706</v>
      </c>
    </row>
    <row r="20" spans="1:9" customFormat="1" ht="23.1" customHeight="1" x14ac:dyDescent="0.15">
      <c r="A20" s="40">
        <v>16</v>
      </c>
      <c r="B20" s="41" t="s">
        <v>11</v>
      </c>
      <c r="C20" s="32" t="s">
        <v>362</v>
      </c>
      <c r="D20" s="90">
        <v>7</v>
      </c>
      <c r="E20" s="90">
        <v>20</v>
      </c>
      <c r="F20" s="42" t="s">
        <v>358</v>
      </c>
      <c r="G20" s="43" t="s">
        <v>366</v>
      </c>
      <c r="H20" s="44">
        <v>3511</v>
      </c>
      <c r="I20" s="165">
        <v>3778</v>
      </c>
    </row>
    <row r="21" spans="1:9" customFormat="1" ht="23.1" customHeight="1" x14ac:dyDescent="0.15">
      <c r="A21" s="40">
        <v>17</v>
      </c>
      <c r="B21" s="41" t="s">
        <v>5</v>
      </c>
      <c r="C21" s="32" t="s">
        <v>361</v>
      </c>
      <c r="D21" s="90">
        <v>11</v>
      </c>
      <c r="E21" s="90">
        <v>25</v>
      </c>
      <c r="F21" s="42" t="s">
        <v>359</v>
      </c>
      <c r="G21" s="43" t="s">
        <v>367</v>
      </c>
      <c r="H21" s="44">
        <v>5608</v>
      </c>
      <c r="I21" s="165">
        <v>6202</v>
      </c>
    </row>
    <row r="22" spans="1:9" s="107" customFormat="1" ht="23.1" customHeight="1" x14ac:dyDescent="0.15">
      <c r="A22" s="59">
        <v>18</v>
      </c>
      <c r="B22" s="60" t="s">
        <v>6</v>
      </c>
      <c r="C22" s="61" t="s">
        <v>369</v>
      </c>
      <c r="D22" s="65">
        <v>16</v>
      </c>
      <c r="E22" s="65">
        <v>27</v>
      </c>
      <c r="F22" s="74" t="s">
        <v>360</v>
      </c>
      <c r="G22" s="75" t="s">
        <v>368</v>
      </c>
      <c r="H22" s="64">
        <v>16242</v>
      </c>
      <c r="I22" s="166">
        <v>19326</v>
      </c>
    </row>
    <row r="23" spans="1:9" s="106" customFormat="1" ht="23.1" customHeight="1" x14ac:dyDescent="0.15">
      <c r="A23" s="29">
        <v>19</v>
      </c>
      <c r="B23" s="23" t="s">
        <v>7</v>
      </c>
      <c r="C23" s="24" t="s">
        <v>370</v>
      </c>
      <c r="D23" s="25">
        <v>16</v>
      </c>
      <c r="E23" s="25">
        <v>28</v>
      </c>
      <c r="F23" s="87" t="s">
        <v>360</v>
      </c>
      <c r="G23" s="88" t="s">
        <v>368</v>
      </c>
      <c r="H23" s="27">
        <v>9239</v>
      </c>
      <c r="I23" s="167">
        <v>12288</v>
      </c>
    </row>
    <row r="24" spans="1:9" customFormat="1" ht="23.1" customHeight="1" x14ac:dyDescent="0.15">
      <c r="A24" s="35">
        <v>20</v>
      </c>
      <c r="B24" s="36" t="s">
        <v>8</v>
      </c>
      <c r="C24" s="47" t="s">
        <v>372</v>
      </c>
      <c r="D24" s="37">
        <v>17</v>
      </c>
      <c r="E24" s="37">
        <v>23</v>
      </c>
      <c r="F24" s="76" t="s">
        <v>57</v>
      </c>
      <c r="G24" s="77" t="s">
        <v>371</v>
      </c>
      <c r="H24" s="39">
        <v>2276</v>
      </c>
      <c r="I24" s="164">
        <v>2540</v>
      </c>
    </row>
    <row r="25" spans="1:9" customFormat="1" ht="23.1" customHeight="1" x14ac:dyDescent="0.15">
      <c r="A25" s="40">
        <v>21</v>
      </c>
      <c r="B25" s="41" t="s">
        <v>9</v>
      </c>
      <c r="C25" s="32" t="s">
        <v>374</v>
      </c>
      <c r="D25" s="90">
        <v>16</v>
      </c>
      <c r="E25" s="90">
        <v>28</v>
      </c>
      <c r="F25" s="42" t="s">
        <v>57</v>
      </c>
      <c r="G25" s="43" t="s">
        <v>373</v>
      </c>
      <c r="H25" s="44">
        <v>2691</v>
      </c>
      <c r="I25" s="165">
        <v>2986</v>
      </c>
    </row>
    <row r="26" spans="1:9" customFormat="1" ht="23.1" customHeight="1" x14ac:dyDescent="0.15">
      <c r="A26" s="40">
        <v>22</v>
      </c>
      <c r="B26" s="41" t="s">
        <v>10</v>
      </c>
      <c r="C26" s="32" t="s">
        <v>375</v>
      </c>
      <c r="D26" s="90">
        <v>16</v>
      </c>
      <c r="E26" s="90">
        <v>26</v>
      </c>
      <c r="F26" s="42" t="s">
        <v>57</v>
      </c>
      <c r="G26" s="43" t="s">
        <v>376</v>
      </c>
      <c r="H26" s="44">
        <v>3005</v>
      </c>
      <c r="I26" s="165">
        <v>3294</v>
      </c>
    </row>
    <row r="27" spans="1:9" customFormat="1" ht="23.1" customHeight="1" x14ac:dyDescent="0.15">
      <c r="A27" s="40">
        <v>23</v>
      </c>
      <c r="B27" s="41" t="s">
        <v>11</v>
      </c>
      <c r="C27" s="32" t="s">
        <v>377</v>
      </c>
      <c r="D27" s="90">
        <v>16</v>
      </c>
      <c r="E27" s="90">
        <v>26</v>
      </c>
      <c r="F27" s="42" t="s">
        <v>57</v>
      </c>
      <c r="G27" s="43" t="s">
        <v>378</v>
      </c>
      <c r="H27" s="44">
        <v>3416</v>
      </c>
      <c r="I27" s="165">
        <v>3755</v>
      </c>
    </row>
    <row r="28" spans="1:9" s="106" customFormat="1" ht="23.1" customHeight="1" x14ac:dyDescent="0.15">
      <c r="A28" s="40">
        <v>24</v>
      </c>
      <c r="B28" s="41" t="s">
        <v>5</v>
      </c>
      <c r="C28" s="32" t="s">
        <v>381</v>
      </c>
      <c r="D28" s="90">
        <v>16</v>
      </c>
      <c r="E28" s="90">
        <v>25</v>
      </c>
      <c r="F28" s="42" t="s">
        <v>386</v>
      </c>
      <c r="G28" s="43" t="s">
        <v>387</v>
      </c>
      <c r="H28" s="44">
        <v>5762</v>
      </c>
      <c r="I28" s="165">
        <v>6667</v>
      </c>
    </row>
    <row r="29" spans="1:9" s="106" customFormat="1" ht="23.1" customHeight="1" x14ac:dyDescent="0.15">
      <c r="A29" s="59">
        <v>25</v>
      </c>
      <c r="B29" s="60" t="s">
        <v>6</v>
      </c>
      <c r="C29" s="61" t="s">
        <v>382</v>
      </c>
      <c r="D29" s="65">
        <v>19</v>
      </c>
      <c r="E29" s="65">
        <v>25</v>
      </c>
      <c r="F29" s="74" t="s">
        <v>384</v>
      </c>
      <c r="G29" s="75" t="s">
        <v>385</v>
      </c>
      <c r="H29" s="64">
        <v>11999</v>
      </c>
      <c r="I29" s="166">
        <v>14795</v>
      </c>
    </row>
    <row r="30" spans="1:9" s="106" customFormat="1" ht="23.1" customHeight="1" x14ac:dyDescent="0.15">
      <c r="A30" s="29">
        <v>26</v>
      </c>
      <c r="B30" s="23" t="s">
        <v>7</v>
      </c>
      <c r="C30" s="24" t="s">
        <v>379</v>
      </c>
      <c r="D30" s="25">
        <v>17</v>
      </c>
      <c r="E30" s="25">
        <v>24</v>
      </c>
      <c r="F30" s="87" t="s">
        <v>383</v>
      </c>
      <c r="G30" s="88" t="s">
        <v>380</v>
      </c>
      <c r="H30" s="27">
        <v>2554</v>
      </c>
      <c r="I30" s="167">
        <v>3942</v>
      </c>
    </row>
    <row r="31" spans="1:9" s="106" customFormat="1" ht="23.1" customHeight="1" x14ac:dyDescent="0.15">
      <c r="A31" s="35">
        <v>27</v>
      </c>
      <c r="B31" s="36" t="s">
        <v>8</v>
      </c>
      <c r="C31" s="47" t="s">
        <v>388</v>
      </c>
      <c r="D31" s="37">
        <v>14</v>
      </c>
      <c r="E31" s="37">
        <v>23</v>
      </c>
      <c r="F31" s="76" t="s">
        <v>57</v>
      </c>
      <c r="G31" s="77" t="s">
        <v>389</v>
      </c>
      <c r="H31" s="39">
        <v>1603</v>
      </c>
      <c r="I31" s="164">
        <v>1931</v>
      </c>
    </row>
    <row r="32" spans="1:9" customFormat="1" ht="23.1" customHeight="1" x14ac:dyDescent="0.15">
      <c r="A32" s="40">
        <v>28</v>
      </c>
      <c r="B32" s="41" t="s">
        <v>9</v>
      </c>
      <c r="C32" s="32" t="s">
        <v>390</v>
      </c>
      <c r="D32" s="90">
        <v>14</v>
      </c>
      <c r="E32" s="90">
        <v>26</v>
      </c>
      <c r="F32" s="42" t="s">
        <v>57</v>
      </c>
      <c r="G32" s="43" t="s">
        <v>391</v>
      </c>
      <c r="H32" s="44">
        <v>3012</v>
      </c>
      <c r="I32" s="165">
        <v>3380</v>
      </c>
    </row>
    <row r="33" spans="1:9" customFormat="1" ht="23.1" customHeight="1" x14ac:dyDescent="0.15">
      <c r="A33" s="40">
        <v>29</v>
      </c>
      <c r="B33" s="41" t="s">
        <v>10</v>
      </c>
      <c r="C33" s="32" t="s">
        <v>393</v>
      </c>
      <c r="D33" s="90">
        <v>15</v>
      </c>
      <c r="E33" s="90">
        <v>27</v>
      </c>
      <c r="F33" s="42" t="s">
        <v>57</v>
      </c>
      <c r="G33" s="43" t="s">
        <v>392</v>
      </c>
      <c r="H33" s="44">
        <v>2981</v>
      </c>
      <c r="I33" s="165">
        <v>3338</v>
      </c>
    </row>
    <row r="34" spans="1:9" customFormat="1" ht="23.25" customHeight="1" x14ac:dyDescent="0.15">
      <c r="A34" s="40">
        <v>30</v>
      </c>
      <c r="B34" s="41" t="s">
        <v>11</v>
      </c>
      <c r="C34" s="32" t="s">
        <v>394</v>
      </c>
      <c r="D34" s="90">
        <v>16</v>
      </c>
      <c r="E34" s="90">
        <v>25</v>
      </c>
      <c r="F34" s="42" t="s">
        <v>57</v>
      </c>
      <c r="G34" s="43" t="s">
        <v>395</v>
      </c>
      <c r="H34" s="44">
        <v>3433</v>
      </c>
      <c r="I34" s="165">
        <v>3730</v>
      </c>
    </row>
    <row r="35" spans="1:9" customFormat="1" ht="23.1" customHeight="1" thickBot="1" x14ac:dyDescent="0.2">
      <c r="A35" s="48">
        <v>31</v>
      </c>
      <c r="B35" s="49" t="s">
        <v>5</v>
      </c>
      <c r="C35" s="50" t="s">
        <v>403</v>
      </c>
      <c r="D35" s="51">
        <v>17</v>
      </c>
      <c r="E35" s="51">
        <v>25</v>
      </c>
      <c r="F35" s="92" t="s">
        <v>57</v>
      </c>
      <c r="G35" s="93" t="s">
        <v>402</v>
      </c>
      <c r="H35" s="53">
        <v>6061</v>
      </c>
      <c r="I35" s="169">
        <v>7040</v>
      </c>
    </row>
    <row r="36" spans="1:9" s="3" customFormat="1" ht="21" customHeight="1" thickBot="1" x14ac:dyDescent="0.2">
      <c r="A36" s="148" t="s">
        <v>27</v>
      </c>
      <c r="B36" s="149"/>
      <c r="C36" s="149"/>
      <c r="D36" s="149"/>
      <c r="E36" s="149"/>
      <c r="F36" s="149"/>
      <c r="G36" s="150"/>
      <c r="H36" s="170">
        <f t="shared" ref="H36:I36" si="0">SUM(H5:H35)</f>
        <v>181259</v>
      </c>
      <c r="I36" s="171">
        <f t="shared" si="0"/>
        <v>213205</v>
      </c>
    </row>
    <row r="37" spans="1:9" s="3" customFormat="1" ht="21" customHeight="1" thickBot="1" x14ac:dyDescent="0.2">
      <c r="A37" s="134" t="s">
        <v>28</v>
      </c>
      <c r="B37" s="135"/>
      <c r="C37" s="135"/>
      <c r="D37" s="135"/>
      <c r="E37" s="135"/>
      <c r="F37" s="135"/>
      <c r="G37" s="136"/>
      <c r="H37" s="172">
        <f>H36+'4월'!H37</f>
        <v>595219</v>
      </c>
      <c r="I37" s="173">
        <f>I36+'4월'!I37</f>
        <v>701479</v>
      </c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FF00"/>
  </sheetPr>
  <dimension ref="A1:I37"/>
  <sheetViews>
    <sheetView workbookViewId="0">
      <pane xSplit="7" ySplit="4" topLeftCell="H17" activePane="bottomRight" state="frozen"/>
      <selection activeCell="J26" sqref="J26"/>
      <selection pane="topRight" activeCell="J26" sqref="J26"/>
      <selection pane="bottomLeft" activeCell="J26" sqref="J26"/>
      <selection pane="bottomRight" activeCell="J26" sqref="J26"/>
    </sheetView>
  </sheetViews>
  <sheetFormatPr defaultColWidth="8.88671875" defaultRowHeight="13.5" x14ac:dyDescent="0.15"/>
  <cols>
    <col min="1" max="2" width="5.77734375" style="1" customWidth="1"/>
    <col min="3" max="3" width="8.77734375" style="8" customWidth="1"/>
    <col min="4" max="5" width="3.77734375" style="8" customWidth="1"/>
    <col min="6" max="6" width="5.77734375" style="8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1" t="s">
        <v>30</v>
      </c>
      <c r="B1" s="152"/>
      <c r="C1" s="152"/>
      <c r="D1" s="152"/>
      <c r="E1" s="152"/>
      <c r="F1" s="152"/>
      <c r="G1" s="152"/>
      <c r="H1" s="152"/>
      <c r="I1" s="153"/>
    </row>
    <row r="2" spans="1:9" s="2" customFormat="1" ht="22.5" customHeight="1" x14ac:dyDescent="0.15">
      <c r="A2" s="143" t="s">
        <v>2</v>
      </c>
      <c r="B2" s="146" t="s">
        <v>1</v>
      </c>
      <c r="C2" s="137" t="s">
        <v>12</v>
      </c>
      <c r="D2" s="137" t="s">
        <v>15</v>
      </c>
      <c r="E2" s="138"/>
      <c r="F2" s="137" t="s">
        <v>16</v>
      </c>
      <c r="G2" s="141"/>
      <c r="H2" s="157" t="s">
        <v>22</v>
      </c>
      <c r="I2" s="158" t="s">
        <v>21</v>
      </c>
    </row>
    <row r="3" spans="1:9" s="2" customFormat="1" ht="18.75" customHeight="1" x14ac:dyDescent="0.15">
      <c r="A3" s="144"/>
      <c r="B3" s="154"/>
      <c r="C3" s="155"/>
      <c r="D3" s="139"/>
      <c r="E3" s="140"/>
      <c r="F3" s="139"/>
      <c r="G3" s="142"/>
      <c r="H3" s="159" t="s">
        <v>23</v>
      </c>
      <c r="I3" s="160" t="s">
        <v>20</v>
      </c>
    </row>
    <row r="4" spans="1:9" s="2" customFormat="1" ht="18.75" customHeight="1" x14ac:dyDescent="0.15">
      <c r="A4" s="145"/>
      <c r="B4" s="147"/>
      <c r="C4" s="156"/>
      <c r="D4" s="13" t="s">
        <v>13</v>
      </c>
      <c r="E4" s="13" t="s">
        <v>14</v>
      </c>
      <c r="F4" s="13" t="s">
        <v>18</v>
      </c>
      <c r="G4" s="15" t="s">
        <v>17</v>
      </c>
      <c r="H4" s="161"/>
      <c r="I4" s="162" t="s">
        <v>19</v>
      </c>
    </row>
    <row r="5" spans="1:9" s="106" customFormat="1" ht="23.1" customHeight="1" x14ac:dyDescent="0.15">
      <c r="A5" s="54">
        <v>1</v>
      </c>
      <c r="B5" s="55" t="s">
        <v>46</v>
      </c>
      <c r="C5" s="56" t="s">
        <v>396</v>
      </c>
      <c r="D5" s="57">
        <v>18</v>
      </c>
      <c r="E5" s="57">
        <v>25</v>
      </c>
      <c r="F5" s="127" t="s">
        <v>400</v>
      </c>
      <c r="G5" s="117" t="s">
        <v>401</v>
      </c>
      <c r="H5" s="58">
        <v>9892</v>
      </c>
      <c r="I5" s="178">
        <v>12347</v>
      </c>
    </row>
    <row r="6" spans="1:9" customFormat="1" ht="23.1" customHeight="1" x14ac:dyDescent="0.15">
      <c r="A6" s="29">
        <v>2</v>
      </c>
      <c r="B6" s="23" t="s">
        <v>47</v>
      </c>
      <c r="C6" s="24" t="s">
        <v>397</v>
      </c>
      <c r="D6" s="25">
        <v>16</v>
      </c>
      <c r="E6" s="25">
        <v>26</v>
      </c>
      <c r="F6" s="25" t="s">
        <v>398</v>
      </c>
      <c r="G6" s="99" t="s">
        <v>399</v>
      </c>
      <c r="H6" s="27">
        <v>7735</v>
      </c>
      <c r="I6" s="167">
        <v>10618</v>
      </c>
    </row>
    <row r="7" spans="1:9" customFormat="1" ht="23.1" customHeight="1" x14ac:dyDescent="0.15">
      <c r="A7" s="35">
        <v>3</v>
      </c>
      <c r="B7" s="36" t="s">
        <v>8</v>
      </c>
      <c r="C7" s="47" t="s">
        <v>404</v>
      </c>
      <c r="D7" s="37">
        <v>16</v>
      </c>
      <c r="E7" s="37">
        <v>29</v>
      </c>
      <c r="F7" s="37" t="s">
        <v>405</v>
      </c>
      <c r="G7" s="100" t="s">
        <v>406</v>
      </c>
      <c r="H7" s="39">
        <v>1994</v>
      </c>
      <c r="I7" s="164">
        <v>2208</v>
      </c>
    </row>
    <row r="8" spans="1:9" s="107" customFormat="1" ht="23.1" customHeight="1" x14ac:dyDescent="0.15">
      <c r="A8" s="40">
        <v>4</v>
      </c>
      <c r="B8" s="41" t="s">
        <v>9</v>
      </c>
      <c r="C8" s="32" t="s">
        <v>407</v>
      </c>
      <c r="D8" s="42">
        <v>16</v>
      </c>
      <c r="E8" s="42">
        <v>29</v>
      </c>
      <c r="F8" s="42" t="s">
        <v>408</v>
      </c>
      <c r="G8" s="43" t="s">
        <v>409</v>
      </c>
      <c r="H8" s="44">
        <v>1782</v>
      </c>
      <c r="I8" s="165">
        <v>2021</v>
      </c>
    </row>
    <row r="9" spans="1:9" s="106" customFormat="1" ht="23.1" customHeight="1" x14ac:dyDescent="0.15">
      <c r="A9" s="40">
        <v>5</v>
      </c>
      <c r="B9" s="41" t="s">
        <v>10</v>
      </c>
      <c r="C9" s="32" t="s">
        <v>414</v>
      </c>
      <c r="D9" s="90">
        <v>18</v>
      </c>
      <c r="E9" s="90">
        <v>30</v>
      </c>
      <c r="F9" s="90" t="s">
        <v>412</v>
      </c>
      <c r="G9" s="97" t="s">
        <v>413</v>
      </c>
      <c r="H9" s="44">
        <v>3442</v>
      </c>
      <c r="I9" s="165">
        <v>3826</v>
      </c>
    </row>
    <row r="10" spans="1:9" customFormat="1" ht="23.1" customHeight="1" x14ac:dyDescent="0.15">
      <c r="A10" s="4">
        <v>6</v>
      </c>
      <c r="B10" s="5" t="s">
        <v>11</v>
      </c>
      <c r="C10" s="14" t="s">
        <v>414</v>
      </c>
      <c r="D10" s="18">
        <v>19</v>
      </c>
      <c r="E10" s="18">
        <v>31</v>
      </c>
      <c r="F10" s="18" t="s">
        <v>410</v>
      </c>
      <c r="G10" s="112" t="s">
        <v>411</v>
      </c>
      <c r="H10" s="12">
        <v>13279</v>
      </c>
      <c r="I10" s="168">
        <v>15992</v>
      </c>
    </row>
    <row r="11" spans="1:9" customFormat="1" ht="23.1" customHeight="1" x14ac:dyDescent="0.15">
      <c r="A11" s="40">
        <v>7</v>
      </c>
      <c r="B11" s="41" t="s">
        <v>5</v>
      </c>
      <c r="C11" s="32" t="s">
        <v>420</v>
      </c>
      <c r="D11" s="90">
        <v>18</v>
      </c>
      <c r="E11" s="90">
        <v>28</v>
      </c>
      <c r="F11" s="90" t="s">
        <v>418</v>
      </c>
      <c r="G11" s="97" t="s">
        <v>419</v>
      </c>
      <c r="H11" s="44">
        <v>14783</v>
      </c>
      <c r="I11" s="165">
        <v>16412</v>
      </c>
    </row>
    <row r="12" spans="1:9" customFormat="1" ht="23.1" customHeight="1" x14ac:dyDescent="0.15">
      <c r="A12" s="59">
        <v>8</v>
      </c>
      <c r="B12" s="60" t="s">
        <v>6</v>
      </c>
      <c r="C12" s="61" t="s">
        <v>421</v>
      </c>
      <c r="D12" s="62">
        <v>18</v>
      </c>
      <c r="E12" s="62">
        <v>25</v>
      </c>
      <c r="F12" s="62" t="s">
        <v>415</v>
      </c>
      <c r="G12" s="98" t="s">
        <v>417</v>
      </c>
      <c r="H12" s="64">
        <v>4400</v>
      </c>
      <c r="I12" s="166">
        <v>5888</v>
      </c>
    </row>
    <row r="13" spans="1:9" customFormat="1" ht="23.1" customHeight="1" x14ac:dyDescent="0.15">
      <c r="A13" s="29">
        <v>9</v>
      </c>
      <c r="B13" s="23" t="s">
        <v>7</v>
      </c>
      <c r="C13" s="24" t="s">
        <v>422</v>
      </c>
      <c r="D13" s="66">
        <v>17</v>
      </c>
      <c r="E13" s="66">
        <v>29</v>
      </c>
      <c r="F13" s="66" t="s">
        <v>415</v>
      </c>
      <c r="G13" s="99" t="s">
        <v>416</v>
      </c>
      <c r="H13" s="27">
        <v>5979</v>
      </c>
      <c r="I13" s="167">
        <v>8292</v>
      </c>
    </row>
    <row r="14" spans="1:9" customFormat="1" ht="23.1" customHeight="1" x14ac:dyDescent="0.15">
      <c r="A14" s="35">
        <v>10</v>
      </c>
      <c r="B14" s="36" t="s">
        <v>8</v>
      </c>
      <c r="C14" s="47" t="s">
        <v>423</v>
      </c>
      <c r="D14" s="37">
        <v>19</v>
      </c>
      <c r="E14" s="37">
        <v>31</v>
      </c>
      <c r="F14" s="37" t="s">
        <v>424</v>
      </c>
      <c r="G14" s="100" t="s">
        <v>425</v>
      </c>
      <c r="H14" s="39">
        <v>1460</v>
      </c>
      <c r="I14" s="164">
        <v>1688</v>
      </c>
    </row>
    <row r="15" spans="1:9" s="107" customFormat="1" ht="23.1" customHeight="1" x14ac:dyDescent="0.15">
      <c r="A15" s="40">
        <v>11</v>
      </c>
      <c r="B15" s="41" t="s">
        <v>9</v>
      </c>
      <c r="C15" s="32" t="s">
        <v>428</v>
      </c>
      <c r="D15" s="90">
        <v>22</v>
      </c>
      <c r="E15" s="90">
        <v>32</v>
      </c>
      <c r="F15" s="90" t="s">
        <v>426</v>
      </c>
      <c r="G15" s="97" t="s">
        <v>427</v>
      </c>
      <c r="H15" s="44">
        <v>1108</v>
      </c>
      <c r="I15" s="165">
        <v>1241</v>
      </c>
    </row>
    <row r="16" spans="1:9" s="106" customFormat="1" ht="23.1" customHeight="1" x14ac:dyDescent="0.15">
      <c r="A16" s="40">
        <v>12</v>
      </c>
      <c r="B16" s="41" t="s">
        <v>10</v>
      </c>
      <c r="C16" s="32" t="s">
        <v>429</v>
      </c>
      <c r="D16" s="90">
        <v>19</v>
      </c>
      <c r="E16" s="90">
        <v>32</v>
      </c>
      <c r="F16" s="90" t="s">
        <v>430</v>
      </c>
      <c r="G16" s="97" t="s">
        <v>431</v>
      </c>
      <c r="H16" s="44">
        <v>1283</v>
      </c>
      <c r="I16" s="165">
        <v>1491</v>
      </c>
    </row>
    <row r="17" spans="1:9" customFormat="1" ht="23.1" customHeight="1" x14ac:dyDescent="0.15">
      <c r="A17" s="40">
        <v>13</v>
      </c>
      <c r="B17" s="41" t="s">
        <v>11</v>
      </c>
      <c r="C17" s="32" t="s">
        <v>435</v>
      </c>
      <c r="D17" s="90">
        <v>20</v>
      </c>
      <c r="E17" s="90">
        <v>33</v>
      </c>
      <c r="F17" s="90" t="s">
        <v>432</v>
      </c>
      <c r="G17" s="97" t="s">
        <v>433</v>
      </c>
      <c r="H17" s="44">
        <v>1116</v>
      </c>
      <c r="I17" s="165">
        <v>1341</v>
      </c>
    </row>
    <row r="18" spans="1:9" customFormat="1" ht="23.1" customHeight="1" x14ac:dyDescent="0.15">
      <c r="A18" s="40">
        <v>14</v>
      </c>
      <c r="B18" s="41" t="s">
        <v>5</v>
      </c>
      <c r="C18" s="32" t="s">
        <v>443</v>
      </c>
      <c r="D18" s="90">
        <v>21</v>
      </c>
      <c r="E18" s="90">
        <v>33</v>
      </c>
      <c r="F18" s="90" t="s">
        <v>434</v>
      </c>
      <c r="G18" s="97" t="s">
        <v>436</v>
      </c>
      <c r="H18" s="44">
        <v>2546</v>
      </c>
      <c r="I18" s="165">
        <v>3166</v>
      </c>
    </row>
    <row r="19" spans="1:9" customFormat="1" ht="23.1" customHeight="1" x14ac:dyDescent="0.15">
      <c r="A19" s="59">
        <v>15</v>
      </c>
      <c r="B19" s="60" t="s">
        <v>6</v>
      </c>
      <c r="C19" s="61" t="s">
        <v>442</v>
      </c>
      <c r="D19" s="65">
        <v>22</v>
      </c>
      <c r="E19" s="65">
        <v>28</v>
      </c>
      <c r="F19" s="65" t="s">
        <v>437</v>
      </c>
      <c r="G19" s="98" t="s">
        <v>439</v>
      </c>
      <c r="H19" s="64">
        <v>15201</v>
      </c>
      <c r="I19" s="166">
        <v>16520</v>
      </c>
    </row>
    <row r="20" spans="1:9" customFormat="1" ht="23.1" customHeight="1" x14ac:dyDescent="0.15">
      <c r="A20" s="29">
        <v>16</v>
      </c>
      <c r="B20" s="23" t="s">
        <v>7</v>
      </c>
      <c r="C20" s="24" t="s">
        <v>441</v>
      </c>
      <c r="D20" s="25">
        <v>20</v>
      </c>
      <c r="E20" s="25">
        <v>30</v>
      </c>
      <c r="F20" s="25" t="s">
        <v>438</v>
      </c>
      <c r="G20" s="99" t="s">
        <v>440</v>
      </c>
      <c r="H20" s="27">
        <v>14604</v>
      </c>
      <c r="I20" s="167">
        <v>16675</v>
      </c>
    </row>
    <row r="21" spans="1:9" customFormat="1" ht="23.1" customHeight="1" x14ac:dyDescent="0.15">
      <c r="A21" s="35">
        <v>17</v>
      </c>
      <c r="B21" s="36" t="s">
        <v>8</v>
      </c>
      <c r="C21" s="47" t="s">
        <v>446</v>
      </c>
      <c r="D21" s="37">
        <v>19</v>
      </c>
      <c r="E21" s="37">
        <v>30</v>
      </c>
      <c r="F21" s="37" t="s">
        <v>444</v>
      </c>
      <c r="G21" s="100" t="s">
        <v>445</v>
      </c>
      <c r="H21" s="39">
        <v>1441</v>
      </c>
      <c r="I21" s="164">
        <v>1645</v>
      </c>
    </row>
    <row r="22" spans="1:9" s="107" customFormat="1" ht="23.1" customHeight="1" x14ac:dyDescent="0.15">
      <c r="A22" s="40">
        <v>18</v>
      </c>
      <c r="B22" s="41" t="s">
        <v>9</v>
      </c>
      <c r="C22" s="32" t="s">
        <v>447</v>
      </c>
      <c r="D22" s="90">
        <v>20</v>
      </c>
      <c r="E22" s="90">
        <v>33</v>
      </c>
      <c r="F22" s="90" t="s">
        <v>449</v>
      </c>
      <c r="G22" s="97" t="s">
        <v>451</v>
      </c>
      <c r="H22" s="44">
        <v>1439</v>
      </c>
      <c r="I22" s="165">
        <v>1632</v>
      </c>
    </row>
    <row r="23" spans="1:9" s="106" customFormat="1" ht="23.1" customHeight="1" x14ac:dyDescent="0.15">
      <c r="A23" s="40">
        <v>19</v>
      </c>
      <c r="B23" s="41" t="s">
        <v>10</v>
      </c>
      <c r="C23" s="32" t="s">
        <v>448</v>
      </c>
      <c r="D23" s="90">
        <v>21</v>
      </c>
      <c r="E23" s="90">
        <v>36</v>
      </c>
      <c r="F23" s="90" t="s">
        <v>450</v>
      </c>
      <c r="G23" s="97" t="s">
        <v>452</v>
      </c>
      <c r="H23" s="44">
        <v>1321</v>
      </c>
      <c r="I23" s="165">
        <v>1512</v>
      </c>
    </row>
    <row r="24" spans="1:9" customFormat="1" ht="23.1" customHeight="1" x14ac:dyDescent="0.15">
      <c r="A24" s="40">
        <v>20</v>
      </c>
      <c r="B24" s="41" t="s">
        <v>11</v>
      </c>
      <c r="C24" s="32" t="s">
        <v>453</v>
      </c>
      <c r="D24" s="90">
        <v>23</v>
      </c>
      <c r="E24" s="90">
        <v>35</v>
      </c>
      <c r="F24" s="90" t="s">
        <v>454</v>
      </c>
      <c r="G24" s="97" t="s">
        <v>455</v>
      </c>
      <c r="H24" s="44">
        <v>1095</v>
      </c>
      <c r="I24" s="165">
        <v>1304</v>
      </c>
    </row>
    <row r="25" spans="1:9" customFormat="1" ht="23.1" customHeight="1" x14ac:dyDescent="0.15">
      <c r="A25" s="40">
        <v>21</v>
      </c>
      <c r="B25" s="41" t="s">
        <v>5</v>
      </c>
      <c r="C25" s="32" t="s">
        <v>464</v>
      </c>
      <c r="D25" s="90">
        <v>23</v>
      </c>
      <c r="E25" s="90">
        <v>34</v>
      </c>
      <c r="F25" s="90" t="s">
        <v>461</v>
      </c>
      <c r="G25" s="97" t="s">
        <v>462</v>
      </c>
      <c r="H25" s="44">
        <v>2295</v>
      </c>
      <c r="I25" s="165">
        <v>2900</v>
      </c>
    </row>
    <row r="26" spans="1:9" customFormat="1" ht="23.1" customHeight="1" x14ac:dyDescent="0.15">
      <c r="A26" s="59">
        <v>22</v>
      </c>
      <c r="B26" s="60" t="s">
        <v>6</v>
      </c>
      <c r="C26" s="61" t="s">
        <v>456</v>
      </c>
      <c r="D26" s="65">
        <v>23</v>
      </c>
      <c r="E26" s="65">
        <v>26</v>
      </c>
      <c r="F26" s="65" t="s">
        <v>459</v>
      </c>
      <c r="G26" s="98" t="s">
        <v>460</v>
      </c>
      <c r="H26" s="64">
        <v>3402</v>
      </c>
      <c r="I26" s="166">
        <v>4124</v>
      </c>
    </row>
    <row r="27" spans="1:9" customFormat="1" ht="23.1" customHeight="1" x14ac:dyDescent="0.15">
      <c r="A27" s="29">
        <v>23</v>
      </c>
      <c r="B27" s="23" t="s">
        <v>7</v>
      </c>
      <c r="C27" s="24" t="s">
        <v>463</v>
      </c>
      <c r="D27" s="25">
        <v>23</v>
      </c>
      <c r="E27" s="25">
        <v>30</v>
      </c>
      <c r="F27" s="25" t="s">
        <v>458</v>
      </c>
      <c r="G27" s="99" t="s">
        <v>457</v>
      </c>
      <c r="H27" s="27">
        <v>5181</v>
      </c>
      <c r="I27" s="167">
        <v>7602</v>
      </c>
    </row>
    <row r="28" spans="1:9" s="106" customFormat="1" ht="23.1" customHeight="1" x14ac:dyDescent="0.15">
      <c r="A28" s="35">
        <v>24</v>
      </c>
      <c r="B28" s="36" t="s">
        <v>8</v>
      </c>
      <c r="C28" s="47" t="s">
        <v>465</v>
      </c>
      <c r="D28" s="37">
        <v>21</v>
      </c>
      <c r="E28" s="37">
        <v>28</v>
      </c>
      <c r="F28" s="37" t="s">
        <v>466</v>
      </c>
      <c r="G28" s="100" t="s">
        <v>467</v>
      </c>
      <c r="H28" s="39">
        <v>1064</v>
      </c>
      <c r="I28" s="164">
        <v>1323</v>
      </c>
    </row>
    <row r="29" spans="1:9" s="106" customFormat="1" ht="23.1" customHeight="1" x14ac:dyDescent="0.15">
      <c r="A29" s="40">
        <v>25</v>
      </c>
      <c r="B29" s="41" t="s">
        <v>9</v>
      </c>
      <c r="C29" s="32" t="s">
        <v>472</v>
      </c>
      <c r="D29" s="90">
        <v>19</v>
      </c>
      <c r="E29" s="90">
        <v>27</v>
      </c>
      <c r="F29" s="90" t="s">
        <v>468</v>
      </c>
      <c r="G29" s="97" t="s">
        <v>469</v>
      </c>
      <c r="H29" s="44">
        <v>1292</v>
      </c>
      <c r="I29" s="165">
        <v>1594</v>
      </c>
    </row>
    <row r="30" spans="1:9" s="106" customFormat="1" ht="23.1" customHeight="1" x14ac:dyDescent="0.15">
      <c r="A30" s="40">
        <v>26</v>
      </c>
      <c r="B30" s="41" t="s">
        <v>10</v>
      </c>
      <c r="C30" s="32" t="s">
        <v>473</v>
      </c>
      <c r="D30" s="90">
        <v>19</v>
      </c>
      <c r="E30" s="90">
        <v>32</v>
      </c>
      <c r="F30" s="90" t="s">
        <v>470</v>
      </c>
      <c r="G30" s="97" t="s">
        <v>471</v>
      </c>
      <c r="H30" s="44">
        <v>1228</v>
      </c>
      <c r="I30" s="165">
        <v>1581</v>
      </c>
    </row>
    <row r="31" spans="1:9" s="106" customFormat="1" ht="23.1" customHeight="1" x14ac:dyDescent="0.15">
      <c r="A31" s="40">
        <v>27</v>
      </c>
      <c r="B31" s="41" t="s">
        <v>11</v>
      </c>
      <c r="C31" s="32" t="s">
        <v>476</v>
      </c>
      <c r="D31" s="90">
        <v>21</v>
      </c>
      <c r="E31" s="90">
        <v>32</v>
      </c>
      <c r="F31" s="90" t="s">
        <v>474</v>
      </c>
      <c r="G31" s="97" t="s">
        <v>475</v>
      </c>
      <c r="H31" s="44">
        <v>1371</v>
      </c>
      <c r="I31" s="165">
        <v>1669</v>
      </c>
    </row>
    <row r="32" spans="1:9" customFormat="1" ht="23.1" customHeight="1" x14ac:dyDescent="0.15">
      <c r="A32" s="40">
        <v>28</v>
      </c>
      <c r="B32" s="41" t="s">
        <v>5</v>
      </c>
      <c r="C32" s="32" t="s">
        <v>477</v>
      </c>
      <c r="D32" s="90">
        <v>21</v>
      </c>
      <c r="E32" s="90">
        <v>33</v>
      </c>
      <c r="F32" s="90" t="s">
        <v>478</v>
      </c>
      <c r="G32" s="97" t="s">
        <v>479</v>
      </c>
      <c r="H32" s="44">
        <v>3156</v>
      </c>
      <c r="I32" s="165">
        <v>4089</v>
      </c>
    </row>
    <row r="33" spans="1:9" customFormat="1" ht="23.1" customHeight="1" x14ac:dyDescent="0.15">
      <c r="A33" s="59">
        <v>29</v>
      </c>
      <c r="B33" s="60" t="s">
        <v>6</v>
      </c>
      <c r="C33" s="61" t="s">
        <v>483</v>
      </c>
      <c r="D33" s="65">
        <v>22</v>
      </c>
      <c r="E33" s="65">
        <v>32</v>
      </c>
      <c r="F33" s="65" t="s">
        <v>481</v>
      </c>
      <c r="G33" s="98" t="s">
        <v>480</v>
      </c>
      <c r="H33" s="64">
        <v>6205</v>
      </c>
      <c r="I33" s="166">
        <v>8429</v>
      </c>
    </row>
    <row r="34" spans="1:9" customFormat="1" ht="23.25" customHeight="1" x14ac:dyDescent="0.15">
      <c r="A34" s="29">
        <v>30</v>
      </c>
      <c r="B34" s="23" t="s">
        <v>7</v>
      </c>
      <c r="C34" s="24" t="s">
        <v>484</v>
      </c>
      <c r="D34" s="25">
        <v>22</v>
      </c>
      <c r="E34" s="25">
        <v>25</v>
      </c>
      <c r="F34" s="25" t="s">
        <v>257</v>
      </c>
      <c r="G34" s="99" t="s">
        <v>482</v>
      </c>
      <c r="H34" s="27">
        <v>2774</v>
      </c>
      <c r="I34" s="167">
        <v>4241</v>
      </c>
    </row>
    <row r="35" spans="1:9" customFormat="1" ht="23.1" customHeight="1" thickBot="1" x14ac:dyDescent="0.2">
      <c r="A35" s="82"/>
      <c r="B35" s="83"/>
      <c r="C35" s="84"/>
      <c r="D35" s="85"/>
      <c r="E35" s="85"/>
      <c r="F35" s="85"/>
      <c r="G35" s="118"/>
      <c r="H35" s="86">
        <v>0</v>
      </c>
      <c r="I35" s="179">
        <v>0</v>
      </c>
    </row>
    <row r="36" spans="1:9" s="3" customFormat="1" ht="21" customHeight="1" thickBot="1" x14ac:dyDescent="0.2">
      <c r="A36" s="148" t="s">
        <v>27</v>
      </c>
      <c r="B36" s="149"/>
      <c r="C36" s="149"/>
      <c r="D36" s="149"/>
      <c r="E36" s="149"/>
      <c r="F36" s="149"/>
      <c r="G36" s="150"/>
      <c r="H36" s="170">
        <f t="shared" ref="H36:I36" si="0">SUM(H5:H35)</f>
        <v>133868</v>
      </c>
      <c r="I36" s="171">
        <f t="shared" si="0"/>
        <v>163371</v>
      </c>
    </row>
    <row r="37" spans="1:9" s="3" customFormat="1" ht="21" customHeight="1" thickBot="1" x14ac:dyDescent="0.2">
      <c r="A37" s="134" t="s">
        <v>28</v>
      </c>
      <c r="B37" s="135"/>
      <c r="C37" s="135"/>
      <c r="D37" s="135"/>
      <c r="E37" s="135"/>
      <c r="F37" s="135"/>
      <c r="G37" s="136"/>
      <c r="H37" s="172">
        <f>H36+'5월'!H37</f>
        <v>729087</v>
      </c>
      <c r="I37" s="173">
        <f>I36+'5월'!I37</f>
        <v>864850</v>
      </c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FF00"/>
  </sheetPr>
  <dimension ref="A1:I37"/>
  <sheetViews>
    <sheetView workbookViewId="0">
      <pane xSplit="7" ySplit="4" topLeftCell="H16" activePane="bottomRight" state="frozen"/>
      <selection activeCell="J26" sqref="J26"/>
      <selection pane="topRight" activeCell="J26" sqref="J26"/>
      <selection pane="bottomLeft" activeCell="J26" sqref="J26"/>
      <selection pane="bottomRight" activeCell="J26" sqref="J26"/>
    </sheetView>
  </sheetViews>
  <sheetFormatPr defaultColWidth="8.88671875" defaultRowHeight="13.5" x14ac:dyDescent="0.15"/>
  <cols>
    <col min="1" max="2" width="5.77734375" style="1" customWidth="1"/>
    <col min="3" max="3" width="8.77734375" style="8" customWidth="1"/>
    <col min="4" max="5" width="3.77734375" style="8" customWidth="1"/>
    <col min="6" max="6" width="5.77734375" style="8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1" t="s">
        <v>31</v>
      </c>
      <c r="B1" s="152"/>
      <c r="C1" s="152"/>
      <c r="D1" s="152"/>
      <c r="E1" s="152"/>
      <c r="F1" s="152"/>
      <c r="G1" s="152"/>
      <c r="H1" s="152"/>
      <c r="I1" s="153"/>
    </row>
    <row r="2" spans="1:9" s="2" customFormat="1" ht="22.5" customHeight="1" x14ac:dyDescent="0.15">
      <c r="A2" s="143" t="s">
        <v>2</v>
      </c>
      <c r="B2" s="146" t="s">
        <v>1</v>
      </c>
      <c r="C2" s="137" t="s">
        <v>12</v>
      </c>
      <c r="D2" s="137" t="s">
        <v>15</v>
      </c>
      <c r="E2" s="138"/>
      <c r="F2" s="137" t="s">
        <v>16</v>
      </c>
      <c r="G2" s="141"/>
      <c r="H2" s="157" t="s">
        <v>22</v>
      </c>
      <c r="I2" s="158" t="s">
        <v>21</v>
      </c>
    </row>
    <row r="3" spans="1:9" s="2" customFormat="1" ht="18.75" customHeight="1" x14ac:dyDescent="0.15">
      <c r="A3" s="144"/>
      <c r="B3" s="154"/>
      <c r="C3" s="155"/>
      <c r="D3" s="139"/>
      <c r="E3" s="140"/>
      <c r="F3" s="139"/>
      <c r="G3" s="142"/>
      <c r="H3" s="159" t="s">
        <v>23</v>
      </c>
      <c r="I3" s="160" t="s">
        <v>20</v>
      </c>
    </row>
    <row r="4" spans="1:9" s="2" customFormat="1" ht="18.75" customHeight="1" x14ac:dyDescent="0.15">
      <c r="A4" s="145"/>
      <c r="B4" s="147"/>
      <c r="C4" s="156"/>
      <c r="D4" s="13" t="s">
        <v>13</v>
      </c>
      <c r="E4" s="13" t="s">
        <v>14</v>
      </c>
      <c r="F4" s="13" t="s">
        <v>18</v>
      </c>
      <c r="G4" s="15" t="s">
        <v>17</v>
      </c>
      <c r="H4" s="161"/>
      <c r="I4" s="162" t="s">
        <v>19</v>
      </c>
    </row>
    <row r="5" spans="1:9" s="106" customFormat="1" ht="23.1" customHeight="1" x14ac:dyDescent="0.15">
      <c r="A5" s="30">
        <v>1</v>
      </c>
      <c r="B5" s="31" t="s">
        <v>38</v>
      </c>
      <c r="C5" s="45" t="s">
        <v>487</v>
      </c>
      <c r="D5" s="123">
        <v>22</v>
      </c>
      <c r="E5" s="123">
        <v>31</v>
      </c>
      <c r="F5" s="124" t="s">
        <v>486</v>
      </c>
      <c r="G5" s="96" t="s">
        <v>488</v>
      </c>
      <c r="H5" s="34">
        <v>994</v>
      </c>
      <c r="I5" s="174">
        <v>1238</v>
      </c>
    </row>
    <row r="6" spans="1:9" customFormat="1" ht="23.1" customHeight="1" x14ac:dyDescent="0.15">
      <c r="A6" s="40">
        <v>2</v>
      </c>
      <c r="B6" s="41" t="s">
        <v>48</v>
      </c>
      <c r="C6" s="32" t="s">
        <v>490</v>
      </c>
      <c r="D6" s="103">
        <v>22</v>
      </c>
      <c r="E6" s="103">
        <v>25</v>
      </c>
      <c r="F6" s="103" t="s">
        <v>57</v>
      </c>
      <c r="G6" s="97" t="s">
        <v>489</v>
      </c>
      <c r="H6" s="44">
        <v>32</v>
      </c>
      <c r="I6" s="165">
        <v>35</v>
      </c>
    </row>
    <row r="7" spans="1:9" customFormat="1" ht="23.1" customHeight="1" x14ac:dyDescent="0.15">
      <c r="A7" s="40">
        <v>3</v>
      </c>
      <c r="B7" s="41" t="s">
        <v>10</v>
      </c>
      <c r="C7" s="32" t="s">
        <v>491</v>
      </c>
      <c r="D7" s="103">
        <v>24</v>
      </c>
      <c r="E7" s="103">
        <v>26</v>
      </c>
      <c r="F7" s="103" t="s">
        <v>57</v>
      </c>
      <c r="G7" s="97" t="s">
        <v>492</v>
      </c>
      <c r="H7" s="44">
        <v>706</v>
      </c>
      <c r="I7" s="165">
        <v>921</v>
      </c>
    </row>
    <row r="8" spans="1:9" s="107" customFormat="1" ht="23.1" customHeight="1" x14ac:dyDescent="0.15">
      <c r="A8" s="40">
        <v>4</v>
      </c>
      <c r="B8" s="41" t="s">
        <v>11</v>
      </c>
      <c r="C8" s="32" t="s">
        <v>493</v>
      </c>
      <c r="D8" s="42">
        <v>23</v>
      </c>
      <c r="E8" s="42">
        <v>31</v>
      </c>
      <c r="F8" s="42" t="s">
        <v>57</v>
      </c>
      <c r="G8" s="43" t="s">
        <v>494</v>
      </c>
      <c r="H8" s="44">
        <v>690</v>
      </c>
      <c r="I8" s="165">
        <v>850</v>
      </c>
    </row>
    <row r="9" spans="1:9" s="106" customFormat="1" ht="23.1" customHeight="1" x14ac:dyDescent="0.15">
      <c r="A9" s="40">
        <v>5</v>
      </c>
      <c r="B9" s="41" t="s">
        <v>5</v>
      </c>
      <c r="C9" s="32" t="s">
        <v>499</v>
      </c>
      <c r="D9" s="103">
        <v>21</v>
      </c>
      <c r="E9" s="103">
        <v>26</v>
      </c>
      <c r="F9" s="42" t="s">
        <v>57</v>
      </c>
      <c r="G9" s="97" t="s">
        <v>495</v>
      </c>
      <c r="H9" s="44">
        <v>1744</v>
      </c>
      <c r="I9" s="165">
        <v>2441</v>
      </c>
    </row>
    <row r="10" spans="1:9" customFormat="1" ht="23.1" customHeight="1" x14ac:dyDescent="0.15">
      <c r="A10" s="59">
        <v>6</v>
      </c>
      <c r="B10" s="60" t="s">
        <v>6</v>
      </c>
      <c r="C10" s="61" t="s">
        <v>500</v>
      </c>
      <c r="D10" s="104">
        <v>22</v>
      </c>
      <c r="E10" s="104">
        <v>30</v>
      </c>
      <c r="F10" s="104" t="s">
        <v>496</v>
      </c>
      <c r="G10" s="98" t="s">
        <v>495</v>
      </c>
      <c r="H10" s="64">
        <v>2322</v>
      </c>
      <c r="I10" s="166">
        <v>3703</v>
      </c>
    </row>
    <row r="11" spans="1:9" customFormat="1" ht="23.1" customHeight="1" x14ac:dyDescent="0.15">
      <c r="A11" s="29">
        <v>7</v>
      </c>
      <c r="B11" s="23" t="s">
        <v>7</v>
      </c>
      <c r="C11" s="24" t="s">
        <v>522</v>
      </c>
      <c r="D11" s="105">
        <v>22</v>
      </c>
      <c r="E11" s="105">
        <v>28</v>
      </c>
      <c r="F11" s="105" t="s">
        <v>497</v>
      </c>
      <c r="G11" s="99" t="s">
        <v>498</v>
      </c>
      <c r="H11" s="27">
        <v>3549</v>
      </c>
      <c r="I11" s="167">
        <v>5462</v>
      </c>
    </row>
    <row r="12" spans="1:9" customFormat="1" ht="23.1" customHeight="1" x14ac:dyDescent="0.15">
      <c r="A12" s="35">
        <v>8</v>
      </c>
      <c r="B12" s="36" t="s">
        <v>8</v>
      </c>
      <c r="C12" s="47" t="s">
        <v>501</v>
      </c>
      <c r="D12" s="76">
        <v>23</v>
      </c>
      <c r="E12" s="76">
        <v>25</v>
      </c>
      <c r="F12" s="76" t="s">
        <v>57</v>
      </c>
      <c r="G12" s="100" t="s">
        <v>502</v>
      </c>
      <c r="H12" s="39">
        <v>163</v>
      </c>
      <c r="I12" s="164">
        <v>176</v>
      </c>
    </row>
    <row r="13" spans="1:9" customFormat="1" ht="23.1" customHeight="1" x14ac:dyDescent="0.15">
      <c r="A13" s="40">
        <v>9</v>
      </c>
      <c r="B13" s="41" t="s">
        <v>9</v>
      </c>
      <c r="C13" s="32" t="s">
        <v>504</v>
      </c>
      <c r="D13" s="42">
        <v>23</v>
      </c>
      <c r="E13" s="42">
        <v>27</v>
      </c>
      <c r="F13" s="42" t="s">
        <v>57</v>
      </c>
      <c r="G13" s="97" t="s">
        <v>503</v>
      </c>
      <c r="H13" s="44">
        <v>233</v>
      </c>
      <c r="I13" s="165">
        <v>270</v>
      </c>
    </row>
    <row r="14" spans="1:9" customFormat="1" ht="23.1" customHeight="1" x14ac:dyDescent="0.15">
      <c r="A14" s="40">
        <v>10</v>
      </c>
      <c r="B14" s="41" t="s">
        <v>10</v>
      </c>
      <c r="C14" s="32" t="s">
        <v>523</v>
      </c>
      <c r="D14" s="103">
        <v>23</v>
      </c>
      <c r="E14" s="103">
        <v>31</v>
      </c>
      <c r="F14" s="103" t="s">
        <v>57</v>
      </c>
      <c r="G14" s="97" t="s">
        <v>505</v>
      </c>
      <c r="H14" s="44">
        <v>460</v>
      </c>
      <c r="I14" s="165">
        <v>572</v>
      </c>
    </row>
    <row r="15" spans="1:9" s="107" customFormat="1" ht="23.1" customHeight="1" x14ac:dyDescent="0.15">
      <c r="A15" s="40">
        <v>11</v>
      </c>
      <c r="B15" s="41" t="s">
        <v>11</v>
      </c>
      <c r="C15" s="32" t="s">
        <v>506</v>
      </c>
      <c r="D15" s="103">
        <v>23</v>
      </c>
      <c r="E15" s="103">
        <v>29</v>
      </c>
      <c r="F15" s="42" t="s">
        <v>57</v>
      </c>
      <c r="G15" s="97" t="s">
        <v>507</v>
      </c>
      <c r="H15" s="44">
        <v>927</v>
      </c>
      <c r="I15" s="165">
        <v>1157</v>
      </c>
    </row>
    <row r="16" spans="1:9" s="106" customFormat="1" ht="23.1" customHeight="1" x14ac:dyDescent="0.15">
      <c r="A16" s="40">
        <v>12</v>
      </c>
      <c r="B16" s="41" t="s">
        <v>5</v>
      </c>
      <c r="C16" s="32" t="s">
        <v>509</v>
      </c>
      <c r="D16" s="103">
        <v>22</v>
      </c>
      <c r="E16" s="103">
        <v>30</v>
      </c>
      <c r="F16" s="42" t="s">
        <v>57</v>
      </c>
      <c r="G16" s="97" t="s">
        <v>508</v>
      </c>
      <c r="H16" s="44">
        <v>1521</v>
      </c>
      <c r="I16" s="165">
        <v>2141</v>
      </c>
    </row>
    <row r="17" spans="1:9" customFormat="1" ht="23.1" customHeight="1" x14ac:dyDescent="0.15">
      <c r="A17" s="59">
        <v>13</v>
      </c>
      <c r="B17" s="60" t="s">
        <v>6</v>
      </c>
      <c r="C17" s="61" t="s">
        <v>515</v>
      </c>
      <c r="D17" s="104">
        <v>24</v>
      </c>
      <c r="E17" s="104">
        <v>33</v>
      </c>
      <c r="F17" s="104" t="s">
        <v>510</v>
      </c>
      <c r="G17" s="98" t="s">
        <v>511</v>
      </c>
      <c r="H17" s="64">
        <v>13155</v>
      </c>
      <c r="I17" s="166">
        <v>14875</v>
      </c>
    </row>
    <row r="18" spans="1:9" customFormat="1" ht="23.1" customHeight="1" x14ac:dyDescent="0.15">
      <c r="A18" s="29">
        <v>14</v>
      </c>
      <c r="B18" s="23" t="s">
        <v>7</v>
      </c>
      <c r="C18" s="24" t="s">
        <v>514</v>
      </c>
      <c r="D18" s="105">
        <v>25</v>
      </c>
      <c r="E18" s="105">
        <v>32</v>
      </c>
      <c r="F18" s="105" t="s">
        <v>512</v>
      </c>
      <c r="G18" s="99" t="s">
        <v>513</v>
      </c>
      <c r="H18" s="27">
        <v>8160</v>
      </c>
      <c r="I18" s="167">
        <v>9809</v>
      </c>
    </row>
    <row r="19" spans="1:9" customFormat="1" ht="23.1" customHeight="1" x14ac:dyDescent="0.15">
      <c r="A19" s="35">
        <v>15</v>
      </c>
      <c r="B19" s="36" t="s">
        <v>8</v>
      </c>
      <c r="C19" s="47" t="s">
        <v>448</v>
      </c>
      <c r="D19" s="102">
        <v>25</v>
      </c>
      <c r="E19" s="102">
        <v>31</v>
      </c>
      <c r="F19" s="102" t="s">
        <v>516</v>
      </c>
      <c r="G19" s="100" t="s">
        <v>520</v>
      </c>
      <c r="H19" s="39">
        <v>840</v>
      </c>
      <c r="I19" s="164">
        <v>1032</v>
      </c>
    </row>
    <row r="20" spans="1:9" customFormat="1" ht="23.1" customHeight="1" x14ac:dyDescent="0.15">
      <c r="A20" s="40">
        <v>16</v>
      </c>
      <c r="B20" s="41" t="s">
        <v>9</v>
      </c>
      <c r="C20" s="32" t="s">
        <v>524</v>
      </c>
      <c r="D20" s="103">
        <v>25</v>
      </c>
      <c r="E20" s="103">
        <v>31</v>
      </c>
      <c r="F20" s="103" t="s">
        <v>516</v>
      </c>
      <c r="G20" s="97" t="s">
        <v>521</v>
      </c>
      <c r="H20" s="44">
        <v>368</v>
      </c>
      <c r="I20" s="165">
        <v>424</v>
      </c>
    </row>
    <row r="21" spans="1:9" customFormat="1" ht="23.1" customHeight="1" x14ac:dyDescent="0.15">
      <c r="A21" s="40">
        <v>17</v>
      </c>
      <c r="B21" s="41" t="s">
        <v>10</v>
      </c>
      <c r="C21" s="32" t="s">
        <v>525</v>
      </c>
      <c r="D21" s="103">
        <v>24</v>
      </c>
      <c r="E21" s="103">
        <v>28</v>
      </c>
      <c r="F21" s="103" t="s">
        <v>517</v>
      </c>
      <c r="G21" s="97" t="s">
        <v>527</v>
      </c>
      <c r="H21" s="44">
        <v>119</v>
      </c>
      <c r="I21" s="165">
        <v>145</v>
      </c>
    </row>
    <row r="22" spans="1:9" s="107" customFormat="1" ht="23.1" customHeight="1" x14ac:dyDescent="0.15">
      <c r="A22" s="40">
        <v>18</v>
      </c>
      <c r="B22" s="41" t="s">
        <v>11</v>
      </c>
      <c r="C22" s="32" t="s">
        <v>528</v>
      </c>
      <c r="D22" s="103">
        <v>23</v>
      </c>
      <c r="E22" s="103">
        <v>26</v>
      </c>
      <c r="F22" s="42" t="s">
        <v>518</v>
      </c>
      <c r="G22" s="97" t="s">
        <v>526</v>
      </c>
      <c r="H22" s="44">
        <v>18</v>
      </c>
      <c r="I22" s="165">
        <v>23</v>
      </c>
    </row>
    <row r="23" spans="1:9" s="106" customFormat="1" ht="23.1" customHeight="1" x14ac:dyDescent="0.15">
      <c r="A23" s="40">
        <v>19</v>
      </c>
      <c r="B23" s="41" t="s">
        <v>5</v>
      </c>
      <c r="C23" s="32" t="s">
        <v>536</v>
      </c>
      <c r="D23" s="103">
        <v>24</v>
      </c>
      <c r="E23" s="103">
        <v>31</v>
      </c>
      <c r="F23" s="103" t="s">
        <v>519</v>
      </c>
      <c r="G23" s="97" t="s">
        <v>535</v>
      </c>
      <c r="H23" s="44">
        <v>1344</v>
      </c>
      <c r="I23" s="165">
        <v>1798</v>
      </c>
    </row>
    <row r="24" spans="1:9" customFormat="1" ht="23.1" customHeight="1" x14ac:dyDescent="0.15">
      <c r="A24" s="59">
        <v>20</v>
      </c>
      <c r="B24" s="60" t="s">
        <v>6</v>
      </c>
      <c r="C24" s="61" t="s">
        <v>529</v>
      </c>
      <c r="D24" s="104">
        <v>25</v>
      </c>
      <c r="E24" s="104">
        <v>31</v>
      </c>
      <c r="F24" s="104" t="s">
        <v>533</v>
      </c>
      <c r="G24" s="98" t="s">
        <v>534</v>
      </c>
      <c r="H24" s="64">
        <v>1746</v>
      </c>
      <c r="I24" s="166">
        <v>2757</v>
      </c>
    </row>
    <row r="25" spans="1:9" customFormat="1" ht="23.1" customHeight="1" x14ac:dyDescent="0.15">
      <c r="A25" s="29">
        <v>21</v>
      </c>
      <c r="B25" s="23" t="s">
        <v>7</v>
      </c>
      <c r="C25" s="24" t="s">
        <v>530</v>
      </c>
      <c r="D25" s="105">
        <v>23</v>
      </c>
      <c r="E25" s="105">
        <v>30</v>
      </c>
      <c r="F25" s="105" t="s">
        <v>531</v>
      </c>
      <c r="G25" s="99" t="s">
        <v>532</v>
      </c>
      <c r="H25" s="27">
        <v>1868</v>
      </c>
      <c r="I25" s="167">
        <v>3333</v>
      </c>
    </row>
    <row r="26" spans="1:9" customFormat="1" ht="23.1" customHeight="1" x14ac:dyDescent="0.15">
      <c r="A26" s="35">
        <v>22</v>
      </c>
      <c r="B26" s="36" t="s">
        <v>8</v>
      </c>
      <c r="C26" s="47" t="s">
        <v>539</v>
      </c>
      <c r="D26" s="102">
        <v>24</v>
      </c>
      <c r="E26" s="102">
        <v>28</v>
      </c>
      <c r="F26" s="102" t="s">
        <v>537</v>
      </c>
      <c r="G26" s="100" t="s">
        <v>538</v>
      </c>
      <c r="H26" s="39">
        <v>357</v>
      </c>
      <c r="I26" s="164">
        <v>418</v>
      </c>
    </row>
    <row r="27" spans="1:9" customFormat="1" ht="23.1" customHeight="1" x14ac:dyDescent="0.15">
      <c r="A27" s="40">
        <v>23</v>
      </c>
      <c r="B27" s="41" t="s">
        <v>9</v>
      </c>
      <c r="C27" s="32" t="s">
        <v>542</v>
      </c>
      <c r="D27" s="103">
        <v>26</v>
      </c>
      <c r="E27" s="103">
        <v>27</v>
      </c>
      <c r="F27" s="103" t="s">
        <v>540</v>
      </c>
      <c r="G27" s="97" t="s">
        <v>541</v>
      </c>
      <c r="H27" s="44">
        <v>170</v>
      </c>
      <c r="I27" s="165">
        <v>207</v>
      </c>
    </row>
    <row r="28" spans="1:9" s="106" customFormat="1" ht="23.1" customHeight="1" x14ac:dyDescent="0.15">
      <c r="A28" s="40">
        <v>24</v>
      </c>
      <c r="B28" s="41" t="s">
        <v>10</v>
      </c>
      <c r="C28" s="32" t="s">
        <v>543</v>
      </c>
      <c r="D28" s="103">
        <v>26</v>
      </c>
      <c r="E28" s="103">
        <v>31</v>
      </c>
      <c r="F28" s="103" t="s">
        <v>544</v>
      </c>
      <c r="G28" s="97" t="s">
        <v>545</v>
      </c>
      <c r="H28" s="44">
        <v>910</v>
      </c>
      <c r="I28" s="165">
        <v>910</v>
      </c>
    </row>
    <row r="29" spans="1:9" s="106" customFormat="1" ht="23.1" customHeight="1" x14ac:dyDescent="0.15">
      <c r="A29" s="40">
        <v>25</v>
      </c>
      <c r="B29" s="41" t="s">
        <v>11</v>
      </c>
      <c r="C29" s="32" t="s">
        <v>549</v>
      </c>
      <c r="D29" s="103">
        <v>25</v>
      </c>
      <c r="E29" s="103">
        <v>32</v>
      </c>
      <c r="F29" s="42" t="s">
        <v>546</v>
      </c>
      <c r="G29" s="97" t="s">
        <v>547</v>
      </c>
      <c r="H29" s="44">
        <v>1219</v>
      </c>
      <c r="I29" s="165">
        <v>1504</v>
      </c>
    </row>
    <row r="30" spans="1:9" s="106" customFormat="1" ht="23.1" customHeight="1" x14ac:dyDescent="0.15">
      <c r="A30" s="40">
        <v>26</v>
      </c>
      <c r="B30" s="41" t="s">
        <v>5</v>
      </c>
      <c r="C30" s="32" t="s">
        <v>550</v>
      </c>
      <c r="D30" s="103">
        <v>25</v>
      </c>
      <c r="E30" s="103">
        <v>33</v>
      </c>
      <c r="F30" s="103" t="s">
        <v>548</v>
      </c>
      <c r="G30" s="97" t="s">
        <v>554</v>
      </c>
      <c r="H30" s="44">
        <v>1359</v>
      </c>
      <c r="I30" s="165">
        <v>1674</v>
      </c>
    </row>
    <row r="31" spans="1:9" s="106" customFormat="1" ht="23.1" customHeight="1" x14ac:dyDescent="0.15">
      <c r="A31" s="59">
        <v>27</v>
      </c>
      <c r="B31" s="60" t="s">
        <v>6</v>
      </c>
      <c r="C31" s="61" t="s">
        <v>551</v>
      </c>
      <c r="D31" s="104">
        <v>28</v>
      </c>
      <c r="E31" s="104">
        <v>32</v>
      </c>
      <c r="F31" s="104" t="s">
        <v>458</v>
      </c>
      <c r="G31" s="98" t="s">
        <v>555</v>
      </c>
      <c r="H31" s="64">
        <v>2608</v>
      </c>
      <c r="I31" s="166">
        <v>3641</v>
      </c>
    </row>
    <row r="32" spans="1:9" customFormat="1" ht="23.1" customHeight="1" x14ac:dyDescent="0.15">
      <c r="A32" s="29">
        <v>28</v>
      </c>
      <c r="B32" s="23" t="s">
        <v>7</v>
      </c>
      <c r="C32" s="24" t="s">
        <v>552</v>
      </c>
      <c r="D32" s="105">
        <v>27</v>
      </c>
      <c r="E32" s="105">
        <v>32</v>
      </c>
      <c r="F32" s="105" t="s">
        <v>553</v>
      </c>
      <c r="G32" s="99" t="s">
        <v>554</v>
      </c>
      <c r="H32" s="27">
        <v>4020</v>
      </c>
      <c r="I32" s="167">
        <v>5775</v>
      </c>
    </row>
    <row r="33" spans="1:9" customFormat="1" ht="23.1" customHeight="1" x14ac:dyDescent="0.15">
      <c r="A33" s="35">
        <v>29</v>
      </c>
      <c r="B33" s="36" t="s">
        <v>8</v>
      </c>
      <c r="C33" s="47" t="s">
        <v>556</v>
      </c>
      <c r="D33" s="102">
        <v>27</v>
      </c>
      <c r="E33" s="102">
        <v>32</v>
      </c>
      <c r="F33" s="102" t="s">
        <v>557</v>
      </c>
      <c r="G33" s="100" t="s">
        <v>558</v>
      </c>
      <c r="H33" s="39">
        <v>3948</v>
      </c>
      <c r="I33" s="164">
        <v>4724</v>
      </c>
    </row>
    <row r="34" spans="1:9" customFormat="1" ht="23.25" customHeight="1" x14ac:dyDescent="0.15">
      <c r="A34" s="40">
        <v>30</v>
      </c>
      <c r="B34" s="41" t="s">
        <v>9</v>
      </c>
      <c r="C34" s="32" t="s">
        <v>559</v>
      </c>
      <c r="D34" s="103">
        <v>26</v>
      </c>
      <c r="E34" s="103">
        <v>32</v>
      </c>
      <c r="F34" s="103" t="s">
        <v>560</v>
      </c>
      <c r="G34" s="97" t="s">
        <v>561</v>
      </c>
      <c r="H34" s="44">
        <v>4193</v>
      </c>
      <c r="I34" s="165">
        <v>4947</v>
      </c>
    </row>
    <row r="35" spans="1:9" customFormat="1" ht="23.1" customHeight="1" thickBot="1" x14ac:dyDescent="0.2">
      <c r="A35" s="48">
        <v>31</v>
      </c>
      <c r="B35" s="49" t="s">
        <v>10</v>
      </c>
      <c r="C35" s="50" t="s">
        <v>564</v>
      </c>
      <c r="D35" s="122">
        <v>27</v>
      </c>
      <c r="E35" s="122">
        <v>33</v>
      </c>
      <c r="F35" s="122" t="s">
        <v>562</v>
      </c>
      <c r="G35" s="101" t="s">
        <v>563</v>
      </c>
      <c r="H35" s="53">
        <v>4334</v>
      </c>
      <c r="I35" s="169">
        <v>5092</v>
      </c>
    </row>
    <row r="36" spans="1:9" s="3" customFormat="1" ht="21" customHeight="1" thickBot="1" x14ac:dyDescent="0.2">
      <c r="A36" s="148" t="s">
        <v>27</v>
      </c>
      <c r="B36" s="149"/>
      <c r="C36" s="149"/>
      <c r="D36" s="149"/>
      <c r="E36" s="149"/>
      <c r="F36" s="149"/>
      <c r="G36" s="150"/>
      <c r="H36" s="170">
        <f t="shared" ref="H36:I36" si="0">SUM(H5:H35)</f>
        <v>64077</v>
      </c>
      <c r="I36" s="171">
        <f t="shared" si="0"/>
        <v>82054</v>
      </c>
    </row>
    <row r="37" spans="1:9" s="3" customFormat="1" ht="21" customHeight="1" thickBot="1" x14ac:dyDescent="0.2">
      <c r="A37" s="134" t="s">
        <v>28</v>
      </c>
      <c r="B37" s="135"/>
      <c r="C37" s="135"/>
      <c r="D37" s="135"/>
      <c r="E37" s="135"/>
      <c r="F37" s="135"/>
      <c r="G37" s="136"/>
      <c r="H37" s="172">
        <f>H36+'6월'!H37</f>
        <v>793164</v>
      </c>
      <c r="I37" s="173">
        <f>I36+'6월'!I37</f>
        <v>946904</v>
      </c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FF00"/>
  </sheetPr>
  <dimension ref="A1:I37"/>
  <sheetViews>
    <sheetView workbookViewId="0">
      <pane xSplit="7" ySplit="4" topLeftCell="H5" activePane="bottomRight" state="frozen"/>
      <selection activeCell="J26" sqref="J26"/>
      <selection pane="topRight" activeCell="J26" sqref="J26"/>
      <selection pane="bottomLeft" activeCell="J26" sqref="J26"/>
      <selection pane="bottomRight" activeCell="J26" sqref="J26"/>
    </sheetView>
  </sheetViews>
  <sheetFormatPr defaultColWidth="8.88671875" defaultRowHeight="13.5" x14ac:dyDescent="0.15"/>
  <cols>
    <col min="1" max="2" width="5.77734375" style="1" customWidth="1"/>
    <col min="3" max="3" width="8.77734375" style="8" customWidth="1"/>
    <col min="4" max="5" width="3.77734375" style="8" customWidth="1"/>
    <col min="6" max="6" width="5.77734375" style="8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1" t="s">
        <v>32</v>
      </c>
      <c r="B1" s="152"/>
      <c r="C1" s="152"/>
      <c r="D1" s="152"/>
      <c r="E1" s="152"/>
      <c r="F1" s="152"/>
      <c r="G1" s="152"/>
      <c r="H1" s="152"/>
      <c r="I1" s="153"/>
    </row>
    <row r="2" spans="1:9" s="2" customFormat="1" ht="22.5" customHeight="1" x14ac:dyDescent="0.15">
      <c r="A2" s="143" t="s">
        <v>2</v>
      </c>
      <c r="B2" s="146" t="s">
        <v>1</v>
      </c>
      <c r="C2" s="137" t="s">
        <v>12</v>
      </c>
      <c r="D2" s="137" t="s">
        <v>15</v>
      </c>
      <c r="E2" s="138"/>
      <c r="F2" s="137" t="s">
        <v>16</v>
      </c>
      <c r="G2" s="141"/>
      <c r="H2" s="157" t="s">
        <v>37</v>
      </c>
      <c r="I2" s="158" t="s">
        <v>21</v>
      </c>
    </row>
    <row r="3" spans="1:9" s="2" customFormat="1" ht="18.75" customHeight="1" x14ac:dyDescent="0.15">
      <c r="A3" s="144"/>
      <c r="B3" s="154"/>
      <c r="C3" s="155"/>
      <c r="D3" s="139"/>
      <c r="E3" s="140"/>
      <c r="F3" s="139"/>
      <c r="G3" s="142"/>
      <c r="H3" s="159" t="s">
        <v>23</v>
      </c>
      <c r="I3" s="160" t="s">
        <v>20</v>
      </c>
    </row>
    <row r="4" spans="1:9" s="2" customFormat="1" ht="18.75" customHeight="1" x14ac:dyDescent="0.15">
      <c r="A4" s="145"/>
      <c r="B4" s="147"/>
      <c r="C4" s="156"/>
      <c r="D4" s="13" t="s">
        <v>13</v>
      </c>
      <c r="E4" s="13" t="s">
        <v>14</v>
      </c>
      <c r="F4" s="13" t="s">
        <v>18</v>
      </c>
      <c r="G4" s="15" t="s">
        <v>17</v>
      </c>
      <c r="H4" s="161"/>
      <c r="I4" s="162" t="s">
        <v>19</v>
      </c>
    </row>
    <row r="5" spans="1:9" s="106" customFormat="1" ht="23.1" customHeight="1" x14ac:dyDescent="0.15">
      <c r="A5" s="30">
        <v>1</v>
      </c>
      <c r="B5" s="31" t="s">
        <v>49</v>
      </c>
      <c r="C5" s="45" t="s">
        <v>568</v>
      </c>
      <c r="D5" s="73">
        <v>27</v>
      </c>
      <c r="E5" s="73">
        <v>33</v>
      </c>
      <c r="F5" s="108" t="s">
        <v>566</v>
      </c>
      <c r="G5" s="33" t="s">
        <v>567</v>
      </c>
      <c r="H5" s="34">
        <v>4049</v>
      </c>
      <c r="I5" s="174">
        <v>4756</v>
      </c>
    </row>
    <row r="6" spans="1:9" customFormat="1" ht="23.1" customHeight="1" x14ac:dyDescent="0.15">
      <c r="A6" s="40">
        <v>2</v>
      </c>
      <c r="B6" s="41" t="s">
        <v>50</v>
      </c>
      <c r="C6" s="32" t="s">
        <v>565</v>
      </c>
      <c r="D6" s="90">
        <v>27</v>
      </c>
      <c r="E6" s="90">
        <v>33</v>
      </c>
      <c r="F6" s="90" t="s">
        <v>569</v>
      </c>
      <c r="G6" s="46" t="s">
        <v>573</v>
      </c>
      <c r="H6" s="44">
        <v>3596</v>
      </c>
      <c r="I6" s="165">
        <v>4345</v>
      </c>
    </row>
    <row r="7" spans="1:9" customFormat="1" ht="23.1" customHeight="1" x14ac:dyDescent="0.15">
      <c r="A7" s="59">
        <v>3</v>
      </c>
      <c r="B7" s="60" t="s">
        <v>6</v>
      </c>
      <c r="C7" s="61" t="s">
        <v>564</v>
      </c>
      <c r="D7" s="65">
        <v>28</v>
      </c>
      <c r="E7" s="65">
        <v>33</v>
      </c>
      <c r="F7" s="65" t="s">
        <v>570</v>
      </c>
      <c r="G7" s="63" t="s">
        <v>574</v>
      </c>
      <c r="H7" s="64">
        <v>3503</v>
      </c>
      <c r="I7" s="166">
        <v>4671</v>
      </c>
    </row>
    <row r="8" spans="1:9" s="107" customFormat="1" ht="23.1" customHeight="1" x14ac:dyDescent="0.15">
      <c r="A8" s="29">
        <v>4</v>
      </c>
      <c r="B8" s="23" t="s">
        <v>7</v>
      </c>
      <c r="C8" s="24" t="s">
        <v>572</v>
      </c>
      <c r="D8" s="87">
        <v>27</v>
      </c>
      <c r="E8" s="87">
        <v>34</v>
      </c>
      <c r="F8" s="87" t="s">
        <v>571</v>
      </c>
      <c r="G8" s="88" t="s">
        <v>574</v>
      </c>
      <c r="H8" s="27">
        <v>2134</v>
      </c>
      <c r="I8" s="167">
        <v>3111</v>
      </c>
    </row>
    <row r="9" spans="1:9" s="106" customFormat="1" ht="23.1" customHeight="1" x14ac:dyDescent="0.15">
      <c r="A9" s="35">
        <v>5</v>
      </c>
      <c r="B9" s="36" t="s">
        <v>8</v>
      </c>
      <c r="C9" s="47" t="s">
        <v>575</v>
      </c>
      <c r="D9" s="37">
        <v>27</v>
      </c>
      <c r="E9" s="37">
        <v>34</v>
      </c>
      <c r="F9" s="37" t="s">
        <v>576</v>
      </c>
      <c r="G9" s="38" t="s">
        <v>577</v>
      </c>
      <c r="H9" s="39">
        <v>1252</v>
      </c>
      <c r="I9" s="164">
        <v>1519</v>
      </c>
    </row>
    <row r="10" spans="1:9" customFormat="1" ht="23.1" customHeight="1" x14ac:dyDescent="0.15">
      <c r="A10" s="40">
        <v>6</v>
      </c>
      <c r="B10" s="41" t="s">
        <v>9</v>
      </c>
      <c r="C10" s="32" t="s">
        <v>549</v>
      </c>
      <c r="D10" s="90">
        <v>26</v>
      </c>
      <c r="E10" s="90">
        <v>34</v>
      </c>
      <c r="F10" s="90" t="s">
        <v>578</v>
      </c>
      <c r="G10" s="46" t="s">
        <v>579</v>
      </c>
      <c r="H10" s="44">
        <v>1261</v>
      </c>
      <c r="I10" s="165">
        <v>1470</v>
      </c>
    </row>
    <row r="11" spans="1:9" customFormat="1" ht="23.1" customHeight="1" x14ac:dyDescent="0.15">
      <c r="A11" s="40">
        <v>7</v>
      </c>
      <c r="B11" s="41" t="s">
        <v>10</v>
      </c>
      <c r="C11" s="32" t="s">
        <v>580</v>
      </c>
      <c r="D11" s="90">
        <v>27</v>
      </c>
      <c r="E11" s="90">
        <v>33</v>
      </c>
      <c r="F11" s="90" t="s">
        <v>581</v>
      </c>
      <c r="G11" s="46" t="s">
        <v>582</v>
      </c>
      <c r="H11" s="44">
        <v>1202</v>
      </c>
      <c r="I11" s="165">
        <v>1459</v>
      </c>
    </row>
    <row r="12" spans="1:9" customFormat="1" ht="23.1" customHeight="1" x14ac:dyDescent="0.15">
      <c r="A12" s="40">
        <v>8</v>
      </c>
      <c r="B12" s="41" t="s">
        <v>11</v>
      </c>
      <c r="C12" s="32" t="s">
        <v>583</v>
      </c>
      <c r="D12" s="91">
        <v>27</v>
      </c>
      <c r="E12" s="91">
        <v>32</v>
      </c>
      <c r="F12" s="91" t="s">
        <v>584</v>
      </c>
      <c r="G12" s="46" t="s">
        <v>586</v>
      </c>
      <c r="H12" s="44">
        <v>1298</v>
      </c>
      <c r="I12" s="165">
        <v>1538</v>
      </c>
    </row>
    <row r="13" spans="1:9" customFormat="1" ht="23.1" customHeight="1" x14ac:dyDescent="0.15">
      <c r="A13" s="40">
        <v>9</v>
      </c>
      <c r="B13" s="41" t="s">
        <v>5</v>
      </c>
      <c r="C13" s="32" t="s">
        <v>587</v>
      </c>
      <c r="D13" s="91">
        <v>26</v>
      </c>
      <c r="E13" s="91">
        <v>34</v>
      </c>
      <c r="F13" s="91" t="s">
        <v>585</v>
      </c>
      <c r="G13" s="46" t="s">
        <v>586</v>
      </c>
      <c r="H13" s="44">
        <v>2014</v>
      </c>
      <c r="I13" s="165">
        <v>2508</v>
      </c>
    </row>
    <row r="14" spans="1:9" customFormat="1" ht="23.1" customHeight="1" x14ac:dyDescent="0.15">
      <c r="A14" s="59">
        <v>10</v>
      </c>
      <c r="B14" s="60" t="s">
        <v>6</v>
      </c>
      <c r="C14" s="61" t="s">
        <v>589</v>
      </c>
      <c r="D14" s="65">
        <v>26</v>
      </c>
      <c r="E14" s="65">
        <v>34</v>
      </c>
      <c r="F14" s="65" t="s">
        <v>590</v>
      </c>
      <c r="G14" s="63" t="s">
        <v>591</v>
      </c>
      <c r="H14" s="64">
        <v>3583</v>
      </c>
      <c r="I14" s="166">
        <v>4968</v>
      </c>
    </row>
    <row r="15" spans="1:9" s="107" customFormat="1" ht="23.1" customHeight="1" x14ac:dyDescent="0.15">
      <c r="A15" s="29">
        <v>11</v>
      </c>
      <c r="B15" s="23" t="s">
        <v>7</v>
      </c>
      <c r="C15" s="24" t="s">
        <v>588</v>
      </c>
      <c r="D15" s="25">
        <v>28</v>
      </c>
      <c r="E15" s="25">
        <v>34</v>
      </c>
      <c r="F15" s="25" t="s">
        <v>590</v>
      </c>
      <c r="G15" s="26" t="s">
        <v>592</v>
      </c>
      <c r="H15" s="27">
        <v>2668</v>
      </c>
      <c r="I15" s="167">
        <v>3954</v>
      </c>
    </row>
    <row r="16" spans="1:9" s="106" customFormat="1" ht="23.1" customHeight="1" x14ac:dyDescent="0.15">
      <c r="A16" s="35">
        <v>12</v>
      </c>
      <c r="B16" s="36" t="s">
        <v>8</v>
      </c>
      <c r="C16" s="47" t="s">
        <v>593</v>
      </c>
      <c r="D16" s="37">
        <v>28</v>
      </c>
      <c r="E16" s="37">
        <v>34</v>
      </c>
      <c r="F16" s="37" t="s">
        <v>594</v>
      </c>
      <c r="G16" s="38" t="s">
        <v>595</v>
      </c>
      <c r="H16" s="39">
        <v>1277</v>
      </c>
      <c r="I16" s="164">
        <v>1507</v>
      </c>
    </row>
    <row r="17" spans="1:9" customFormat="1" ht="23.1" customHeight="1" x14ac:dyDescent="0.15">
      <c r="A17" s="40">
        <v>13</v>
      </c>
      <c r="B17" s="41" t="s">
        <v>9</v>
      </c>
      <c r="C17" s="32" t="s">
        <v>598</v>
      </c>
      <c r="D17" s="90">
        <v>28</v>
      </c>
      <c r="E17" s="90">
        <v>36</v>
      </c>
      <c r="F17" s="90" t="s">
        <v>596</v>
      </c>
      <c r="G17" s="46" t="s">
        <v>597</v>
      </c>
      <c r="H17" s="44">
        <v>1297</v>
      </c>
      <c r="I17" s="165">
        <v>1485</v>
      </c>
    </row>
    <row r="18" spans="1:9" customFormat="1" ht="23.1" customHeight="1" x14ac:dyDescent="0.15">
      <c r="A18" s="40">
        <v>14</v>
      </c>
      <c r="B18" s="41" t="s">
        <v>10</v>
      </c>
      <c r="C18" s="32" t="s">
        <v>603</v>
      </c>
      <c r="D18" s="90">
        <v>27</v>
      </c>
      <c r="E18" s="90">
        <v>35</v>
      </c>
      <c r="F18" s="90" t="s">
        <v>599</v>
      </c>
      <c r="G18" s="46" t="s">
        <v>600</v>
      </c>
      <c r="H18" s="44">
        <v>1689</v>
      </c>
      <c r="I18" s="165">
        <v>1994</v>
      </c>
    </row>
    <row r="19" spans="1:9" customFormat="1" ht="23.1" customHeight="1" x14ac:dyDescent="0.15">
      <c r="A19" s="4">
        <v>15</v>
      </c>
      <c r="B19" s="5" t="s">
        <v>11</v>
      </c>
      <c r="C19" s="14" t="s">
        <v>604</v>
      </c>
      <c r="D19" s="18">
        <v>27</v>
      </c>
      <c r="E19" s="18">
        <v>35</v>
      </c>
      <c r="F19" s="18" t="s">
        <v>601</v>
      </c>
      <c r="G19" s="19" t="s">
        <v>602</v>
      </c>
      <c r="H19" s="12">
        <v>3718</v>
      </c>
      <c r="I19" s="168">
        <v>5174</v>
      </c>
    </row>
    <row r="20" spans="1:9" customFormat="1" ht="23.1" customHeight="1" x14ac:dyDescent="0.15">
      <c r="A20" s="40">
        <v>16</v>
      </c>
      <c r="B20" s="41" t="s">
        <v>5</v>
      </c>
      <c r="C20" s="32" t="s">
        <v>608</v>
      </c>
      <c r="D20" s="90">
        <v>27</v>
      </c>
      <c r="E20" s="90">
        <v>34</v>
      </c>
      <c r="F20" s="90" t="s">
        <v>605</v>
      </c>
      <c r="G20" s="46" t="s">
        <v>610</v>
      </c>
      <c r="H20" s="44">
        <v>2557</v>
      </c>
      <c r="I20" s="165">
        <v>3193</v>
      </c>
    </row>
    <row r="21" spans="1:9" customFormat="1" ht="23.1" customHeight="1" x14ac:dyDescent="0.15">
      <c r="A21" s="59">
        <v>17</v>
      </c>
      <c r="B21" s="60" t="s">
        <v>6</v>
      </c>
      <c r="C21" s="61" t="s">
        <v>608</v>
      </c>
      <c r="D21" s="65">
        <v>27</v>
      </c>
      <c r="E21" s="65">
        <v>34</v>
      </c>
      <c r="F21" s="65" t="s">
        <v>606</v>
      </c>
      <c r="G21" s="63" t="s">
        <v>611</v>
      </c>
      <c r="H21" s="64">
        <v>3926</v>
      </c>
      <c r="I21" s="166">
        <v>5472</v>
      </c>
    </row>
    <row r="22" spans="1:9" s="107" customFormat="1" ht="23.1" customHeight="1" x14ac:dyDescent="0.15">
      <c r="A22" s="29">
        <v>18</v>
      </c>
      <c r="B22" s="23" t="s">
        <v>7</v>
      </c>
      <c r="C22" s="24" t="s">
        <v>609</v>
      </c>
      <c r="D22" s="25">
        <v>27</v>
      </c>
      <c r="E22" s="25">
        <v>34</v>
      </c>
      <c r="F22" s="25" t="s">
        <v>607</v>
      </c>
      <c r="G22" s="26" t="s">
        <v>612</v>
      </c>
      <c r="H22" s="27">
        <v>2312</v>
      </c>
      <c r="I22" s="167">
        <v>3515</v>
      </c>
    </row>
    <row r="23" spans="1:9" s="106" customFormat="1" ht="23.1" customHeight="1" x14ac:dyDescent="0.15">
      <c r="A23" s="35">
        <v>19</v>
      </c>
      <c r="B23" s="36" t="s">
        <v>8</v>
      </c>
      <c r="C23" s="47" t="s">
        <v>615</v>
      </c>
      <c r="D23" s="37">
        <v>26</v>
      </c>
      <c r="E23" s="37">
        <v>35</v>
      </c>
      <c r="F23" s="37" t="s">
        <v>613</v>
      </c>
      <c r="G23" s="38" t="s">
        <v>614</v>
      </c>
      <c r="H23" s="39">
        <v>1619</v>
      </c>
      <c r="I23" s="164">
        <v>1826</v>
      </c>
    </row>
    <row r="24" spans="1:9" customFormat="1" ht="23.1" customHeight="1" x14ac:dyDescent="0.15">
      <c r="A24" s="40">
        <v>20</v>
      </c>
      <c r="B24" s="41" t="s">
        <v>9</v>
      </c>
      <c r="C24" s="32" t="s">
        <v>617</v>
      </c>
      <c r="D24" s="90">
        <v>27</v>
      </c>
      <c r="E24" s="90">
        <v>35</v>
      </c>
      <c r="F24" s="90" t="s">
        <v>618</v>
      </c>
      <c r="G24" s="46" t="s">
        <v>620</v>
      </c>
      <c r="H24" s="44">
        <v>536</v>
      </c>
      <c r="I24" s="165">
        <v>682</v>
      </c>
    </row>
    <row r="25" spans="1:9" customFormat="1" ht="23.1" customHeight="1" x14ac:dyDescent="0.15">
      <c r="A25" s="40">
        <v>21</v>
      </c>
      <c r="B25" s="41" t="s">
        <v>10</v>
      </c>
      <c r="C25" s="32" t="s">
        <v>616</v>
      </c>
      <c r="D25" s="90">
        <v>27</v>
      </c>
      <c r="E25" s="90">
        <v>31</v>
      </c>
      <c r="F25" s="90" t="s">
        <v>618</v>
      </c>
      <c r="G25" s="46" t="s">
        <v>619</v>
      </c>
      <c r="H25" s="44">
        <v>47</v>
      </c>
      <c r="I25" s="165">
        <v>92</v>
      </c>
    </row>
    <row r="26" spans="1:9" customFormat="1" ht="23.1" customHeight="1" x14ac:dyDescent="0.15">
      <c r="A26" s="40">
        <v>22</v>
      </c>
      <c r="B26" s="41" t="s">
        <v>11</v>
      </c>
      <c r="C26" s="32" t="s">
        <v>621</v>
      </c>
      <c r="D26" s="90">
        <v>27</v>
      </c>
      <c r="E26" s="90">
        <v>30</v>
      </c>
      <c r="F26" s="90" t="s">
        <v>622</v>
      </c>
      <c r="G26" s="46" t="s">
        <v>623</v>
      </c>
      <c r="H26" s="44">
        <v>186</v>
      </c>
      <c r="I26" s="165">
        <v>248</v>
      </c>
    </row>
    <row r="27" spans="1:9" customFormat="1" ht="23.1" customHeight="1" x14ac:dyDescent="0.15">
      <c r="A27" s="40">
        <v>23</v>
      </c>
      <c r="B27" s="41" t="s">
        <v>5</v>
      </c>
      <c r="C27" s="32" t="s">
        <v>448</v>
      </c>
      <c r="D27" s="90">
        <v>26</v>
      </c>
      <c r="E27" s="90">
        <v>32</v>
      </c>
      <c r="F27" s="90" t="s">
        <v>58</v>
      </c>
      <c r="G27" s="46" t="s">
        <v>67</v>
      </c>
      <c r="H27" s="44">
        <v>1257</v>
      </c>
      <c r="I27" s="165">
        <v>1728</v>
      </c>
    </row>
    <row r="28" spans="1:9" s="106" customFormat="1" ht="23.1" customHeight="1" x14ac:dyDescent="0.15">
      <c r="A28" s="59">
        <v>24</v>
      </c>
      <c r="B28" s="60" t="s">
        <v>6</v>
      </c>
      <c r="C28" s="61" t="s">
        <v>624</v>
      </c>
      <c r="D28" s="65">
        <v>25</v>
      </c>
      <c r="E28" s="65">
        <v>31</v>
      </c>
      <c r="F28" s="65" t="s">
        <v>257</v>
      </c>
      <c r="G28" s="63" t="s">
        <v>67</v>
      </c>
      <c r="H28" s="64">
        <v>7664</v>
      </c>
      <c r="I28" s="166">
        <v>9477</v>
      </c>
    </row>
    <row r="29" spans="1:9" s="106" customFormat="1" ht="23.1" customHeight="1" x14ac:dyDescent="0.15">
      <c r="A29" s="29">
        <v>25</v>
      </c>
      <c r="B29" s="23" t="s">
        <v>7</v>
      </c>
      <c r="C29" s="24" t="s">
        <v>448</v>
      </c>
      <c r="D29" s="25">
        <v>25</v>
      </c>
      <c r="E29" s="25">
        <v>33</v>
      </c>
      <c r="F29" s="25" t="s">
        <v>257</v>
      </c>
      <c r="G29" s="26" t="s">
        <v>67</v>
      </c>
      <c r="H29" s="27">
        <v>3490</v>
      </c>
      <c r="I29" s="167">
        <v>5131</v>
      </c>
    </row>
    <row r="30" spans="1:9" s="106" customFormat="1" ht="23.1" customHeight="1" x14ac:dyDescent="0.15">
      <c r="A30" s="35">
        <v>26</v>
      </c>
      <c r="B30" s="36" t="s">
        <v>8</v>
      </c>
      <c r="C30" s="47" t="s">
        <v>624</v>
      </c>
      <c r="D30" s="37">
        <v>26</v>
      </c>
      <c r="E30" s="37">
        <v>31</v>
      </c>
      <c r="F30" s="37" t="s">
        <v>58</v>
      </c>
      <c r="G30" s="38" t="s">
        <v>66</v>
      </c>
      <c r="H30" s="39">
        <v>634</v>
      </c>
      <c r="I30" s="164">
        <v>771</v>
      </c>
    </row>
    <row r="31" spans="1:9" s="106" customFormat="1" ht="23.1" customHeight="1" x14ac:dyDescent="0.15">
      <c r="A31" s="40">
        <v>27</v>
      </c>
      <c r="B31" s="41" t="s">
        <v>9</v>
      </c>
      <c r="C31" s="32" t="s">
        <v>625</v>
      </c>
      <c r="D31" s="90">
        <v>25</v>
      </c>
      <c r="E31" s="90">
        <v>30</v>
      </c>
      <c r="F31" s="90" t="s">
        <v>58</v>
      </c>
      <c r="G31" s="46" t="s">
        <v>61</v>
      </c>
      <c r="H31" s="44">
        <v>498</v>
      </c>
      <c r="I31" s="165">
        <v>619</v>
      </c>
    </row>
    <row r="32" spans="1:9" customFormat="1" ht="23.1" customHeight="1" x14ac:dyDescent="0.15">
      <c r="A32" s="40">
        <v>28</v>
      </c>
      <c r="B32" s="41" t="s">
        <v>10</v>
      </c>
      <c r="C32" s="32" t="s">
        <v>626</v>
      </c>
      <c r="D32" s="90">
        <v>23</v>
      </c>
      <c r="E32" s="90">
        <v>33</v>
      </c>
      <c r="F32" s="90" t="s">
        <v>58</v>
      </c>
      <c r="G32" s="46" t="s">
        <v>61</v>
      </c>
      <c r="H32" s="44">
        <v>547</v>
      </c>
      <c r="I32" s="165">
        <v>685</v>
      </c>
    </row>
    <row r="33" spans="1:9" customFormat="1" ht="23.1" customHeight="1" x14ac:dyDescent="0.15">
      <c r="A33" s="40">
        <v>29</v>
      </c>
      <c r="B33" s="41" t="s">
        <v>11</v>
      </c>
      <c r="C33" s="32" t="s">
        <v>626</v>
      </c>
      <c r="D33" s="90">
        <v>23</v>
      </c>
      <c r="E33" s="90">
        <v>34</v>
      </c>
      <c r="F33" s="90" t="s">
        <v>58</v>
      </c>
      <c r="G33" s="46" t="s">
        <v>61</v>
      </c>
      <c r="H33" s="44">
        <v>591</v>
      </c>
      <c r="I33" s="165">
        <v>741</v>
      </c>
    </row>
    <row r="34" spans="1:9" customFormat="1" ht="23.25" customHeight="1" x14ac:dyDescent="0.15">
      <c r="A34" s="40">
        <v>30</v>
      </c>
      <c r="B34" s="41" t="s">
        <v>5</v>
      </c>
      <c r="C34" s="32" t="s">
        <v>626</v>
      </c>
      <c r="D34" s="90">
        <v>24</v>
      </c>
      <c r="E34" s="90">
        <v>33</v>
      </c>
      <c r="F34" s="90" t="s">
        <v>58</v>
      </c>
      <c r="G34" s="46" t="s">
        <v>67</v>
      </c>
      <c r="H34" s="44">
        <v>1918</v>
      </c>
      <c r="I34" s="165">
        <v>2528</v>
      </c>
    </row>
    <row r="35" spans="1:9" customFormat="1" ht="23.1" customHeight="1" thickBot="1" x14ac:dyDescent="0.2">
      <c r="A35" s="128">
        <v>31</v>
      </c>
      <c r="B35" s="129" t="s">
        <v>6</v>
      </c>
      <c r="C35" s="130" t="s">
        <v>626</v>
      </c>
      <c r="D35" s="131">
        <v>23</v>
      </c>
      <c r="E35" s="131">
        <v>33</v>
      </c>
      <c r="F35" s="131" t="s">
        <v>257</v>
      </c>
      <c r="G35" s="132" t="s">
        <v>67</v>
      </c>
      <c r="H35" s="133">
        <v>6168</v>
      </c>
      <c r="I35" s="177">
        <v>8023</v>
      </c>
    </row>
    <row r="36" spans="1:9" s="3" customFormat="1" ht="21" customHeight="1" thickBot="1" x14ac:dyDescent="0.2">
      <c r="A36" s="148" t="s">
        <v>27</v>
      </c>
      <c r="B36" s="149"/>
      <c r="C36" s="149"/>
      <c r="D36" s="149"/>
      <c r="E36" s="149"/>
      <c r="F36" s="149"/>
      <c r="G36" s="150"/>
      <c r="H36" s="170">
        <f t="shared" ref="H36:I36" si="0">SUM(H5:H35)</f>
        <v>68491</v>
      </c>
      <c r="I36" s="171">
        <f t="shared" si="0"/>
        <v>89190</v>
      </c>
    </row>
    <row r="37" spans="1:9" s="3" customFormat="1" ht="21" customHeight="1" thickBot="1" x14ac:dyDescent="0.2">
      <c r="A37" s="134" t="s">
        <v>28</v>
      </c>
      <c r="B37" s="135"/>
      <c r="C37" s="135"/>
      <c r="D37" s="135"/>
      <c r="E37" s="135"/>
      <c r="F37" s="135"/>
      <c r="G37" s="136"/>
      <c r="H37" s="172">
        <f>H36+'7월'!H37</f>
        <v>861655</v>
      </c>
      <c r="I37" s="173">
        <f>I36+'7월'!I37</f>
        <v>1036094</v>
      </c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FF00"/>
  </sheetPr>
  <dimension ref="A1:I37"/>
  <sheetViews>
    <sheetView workbookViewId="0">
      <pane xSplit="7" ySplit="4" topLeftCell="H16" activePane="bottomRight" state="frozen"/>
      <selection activeCell="J26" sqref="J26"/>
      <selection pane="topRight" activeCell="J26" sqref="J26"/>
      <selection pane="bottomLeft" activeCell="J26" sqref="J26"/>
      <selection pane="bottomRight" activeCell="M31" sqref="M31"/>
    </sheetView>
  </sheetViews>
  <sheetFormatPr defaultColWidth="8.88671875" defaultRowHeight="13.5" x14ac:dyDescent="0.15"/>
  <cols>
    <col min="1" max="2" width="5.77734375" style="1" customWidth="1"/>
    <col min="3" max="3" width="8.77734375" style="8" customWidth="1"/>
    <col min="4" max="5" width="3.77734375" style="8" customWidth="1"/>
    <col min="6" max="6" width="5.77734375" style="8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1" t="s">
        <v>33</v>
      </c>
      <c r="B1" s="152"/>
      <c r="C1" s="152"/>
      <c r="D1" s="152"/>
      <c r="E1" s="152"/>
      <c r="F1" s="152"/>
      <c r="G1" s="152"/>
      <c r="H1" s="152"/>
      <c r="I1" s="153"/>
    </row>
    <row r="2" spans="1:9" s="2" customFormat="1" ht="22.5" customHeight="1" x14ac:dyDescent="0.15">
      <c r="A2" s="143" t="s">
        <v>2</v>
      </c>
      <c r="B2" s="146" t="s">
        <v>1</v>
      </c>
      <c r="C2" s="137" t="s">
        <v>12</v>
      </c>
      <c r="D2" s="137" t="s">
        <v>15</v>
      </c>
      <c r="E2" s="138"/>
      <c r="F2" s="137" t="s">
        <v>16</v>
      </c>
      <c r="G2" s="141"/>
      <c r="H2" s="157" t="s">
        <v>22</v>
      </c>
      <c r="I2" s="158" t="s">
        <v>21</v>
      </c>
    </row>
    <row r="3" spans="1:9" s="2" customFormat="1" ht="18.75" customHeight="1" x14ac:dyDescent="0.15">
      <c r="A3" s="144"/>
      <c r="B3" s="154"/>
      <c r="C3" s="155"/>
      <c r="D3" s="139"/>
      <c r="E3" s="140"/>
      <c r="F3" s="139"/>
      <c r="G3" s="142"/>
      <c r="H3" s="159" t="s">
        <v>23</v>
      </c>
      <c r="I3" s="160" t="s">
        <v>20</v>
      </c>
    </row>
    <row r="4" spans="1:9" s="2" customFormat="1" ht="18.75" customHeight="1" x14ac:dyDescent="0.15">
      <c r="A4" s="145"/>
      <c r="B4" s="147"/>
      <c r="C4" s="156"/>
      <c r="D4" s="13" t="s">
        <v>13</v>
      </c>
      <c r="E4" s="13" t="s">
        <v>14</v>
      </c>
      <c r="F4" s="13" t="s">
        <v>18</v>
      </c>
      <c r="G4" s="15" t="s">
        <v>17</v>
      </c>
      <c r="H4" s="161"/>
      <c r="I4" s="162" t="s">
        <v>19</v>
      </c>
    </row>
    <row r="5" spans="1:9" s="106" customFormat="1" ht="23.1" customHeight="1" x14ac:dyDescent="0.15">
      <c r="A5" s="67">
        <v>1</v>
      </c>
      <c r="B5" s="68" t="s">
        <v>51</v>
      </c>
      <c r="C5" s="69" t="s">
        <v>448</v>
      </c>
      <c r="D5" s="70">
        <v>25</v>
      </c>
      <c r="E5" s="70">
        <v>32</v>
      </c>
      <c r="F5" s="115" t="s">
        <v>58</v>
      </c>
      <c r="G5" s="116" t="s">
        <v>67</v>
      </c>
      <c r="H5" s="71">
        <v>4191</v>
      </c>
      <c r="I5" s="163">
        <v>5891</v>
      </c>
    </row>
    <row r="6" spans="1:9" customFormat="1" ht="23.1" customHeight="1" x14ac:dyDescent="0.15">
      <c r="A6" s="35">
        <v>2</v>
      </c>
      <c r="B6" s="36" t="s">
        <v>52</v>
      </c>
      <c r="C6" s="47" t="s">
        <v>230</v>
      </c>
      <c r="D6" s="37">
        <v>22</v>
      </c>
      <c r="E6" s="37">
        <v>27</v>
      </c>
      <c r="F6" s="37" t="s">
        <v>58</v>
      </c>
      <c r="G6" s="38" t="s">
        <v>66</v>
      </c>
      <c r="H6" s="39">
        <v>615</v>
      </c>
      <c r="I6" s="164">
        <v>761</v>
      </c>
    </row>
    <row r="7" spans="1:9" customFormat="1" ht="23.1" customHeight="1" x14ac:dyDescent="0.15">
      <c r="A7" s="40">
        <v>3</v>
      </c>
      <c r="B7" s="41" t="s">
        <v>9</v>
      </c>
      <c r="C7" s="32" t="s">
        <v>80</v>
      </c>
      <c r="D7" s="90">
        <v>23</v>
      </c>
      <c r="E7" s="90">
        <v>32</v>
      </c>
      <c r="F7" s="90" t="s">
        <v>58</v>
      </c>
      <c r="G7" s="46" t="s">
        <v>61</v>
      </c>
      <c r="H7" s="44">
        <v>754</v>
      </c>
      <c r="I7" s="165">
        <v>845</v>
      </c>
    </row>
    <row r="8" spans="1:9" s="107" customFormat="1" ht="23.1" customHeight="1" x14ac:dyDescent="0.15">
      <c r="A8" s="40">
        <v>4</v>
      </c>
      <c r="B8" s="41" t="s">
        <v>10</v>
      </c>
      <c r="C8" s="32" t="s">
        <v>80</v>
      </c>
      <c r="D8" s="42">
        <v>23</v>
      </c>
      <c r="E8" s="42">
        <v>33</v>
      </c>
      <c r="F8" s="42" t="s">
        <v>58</v>
      </c>
      <c r="G8" s="43" t="s">
        <v>61</v>
      </c>
      <c r="H8" s="44">
        <v>1473</v>
      </c>
      <c r="I8" s="165">
        <v>1604</v>
      </c>
    </row>
    <row r="9" spans="1:9" s="106" customFormat="1" ht="23.1" customHeight="1" x14ac:dyDescent="0.15">
      <c r="A9" s="40">
        <v>5</v>
      </c>
      <c r="B9" s="41" t="s">
        <v>11</v>
      </c>
      <c r="C9" s="32" t="s">
        <v>158</v>
      </c>
      <c r="D9" s="90">
        <v>26</v>
      </c>
      <c r="E9" s="90">
        <v>29</v>
      </c>
      <c r="F9" s="90" t="s">
        <v>58</v>
      </c>
      <c r="G9" s="46" t="s">
        <v>61</v>
      </c>
      <c r="H9" s="44">
        <v>2265</v>
      </c>
      <c r="I9" s="165">
        <v>2325</v>
      </c>
    </row>
    <row r="10" spans="1:9" customFormat="1" ht="23.1" customHeight="1" x14ac:dyDescent="0.15">
      <c r="A10" s="40">
        <v>6</v>
      </c>
      <c r="B10" s="41" t="s">
        <v>5</v>
      </c>
      <c r="C10" s="32" t="s">
        <v>627</v>
      </c>
      <c r="D10" s="90">
        <v>23</v>
      </c>
      <c r="E10" s="90">
        <v>26</v>
      </c>
      <c r="F10" s="90" t="s">
        <v>58</v>
      </c>
      <c r="G10" s="46" t="s">
        <v>67</v>
      </c>
      <c r="H10" s="44">
        <v>2374</v>
      </c>
      <c r="I10" s="165">
        <v>2659</v>
      </c>
    </row>
    <row r="11" spans="1:9" customFormat="1" ht="23.1" customHeight="1" x14ac:dyDescent="0.15">
      <c r="A11" s="59">
        <v>7</v>
      </c>
      <c r="B11" s="60" t="s">
        <v>6</v>
      </c>
      <c r="C11" s="61" t="s">
        <v>80</v>
      </c>
      <c r="D11" s="65">
        <v>23</v>
      </c>
      <c r="E11" s="65">
        <v>31</v>
      </c>
      <c r="F11" s="65" t="s">
        <v>257</v>
      </c>
      <c r="G11" s="63" t="s">
        <v>67</v>
      </c>
      <c r="H11" s="64">
        <v>12461</v>
      </c>
      <c r="I11" s="166">
        <v>14585</v>
      </c>
    </row>
    <row r="12" spans="1:9" customFormat="1" ht="23.1" customHeight="1" x14ac:dyDescent="0.15">
      <c r="A12" s="29">
        <v>8</v>
      </c>
      <c r="B12" s="23" t="s">
        <v>7</v>
      </c>
      <c r="C12" s="24" t="s">
        <v>75</v>
      </c>
      <c r="D12" s="66">
        <v>23</v>
      </c>
      <c r="E12" s="66">
        <v>33</v>
      </c>
      <c r="F12" s="66" t="s">
        <v>257</v>
      </c>
      <c r="G12" s="26" t="s">
        <v>67</v>
      </c>
      <c r="H12" s="27">
        <v>4870</v>
      </c>
      <c r="I12" s="167">
        <v>7138</v>
      </c>
    </row>
    <row r="13" spans="1:9" customFormat="1" ht="23.1" customHeight="1" x14ac:dyDescent="0.15">
      <c r="A13" s="35">
        <v>9</v>
      </c>
      <c r="B13" s="36" t="s">
        <v>8</v>
      </c>
      <c r="C13" s="47" t="s">
        <v>448</v>
      </c>
      <c r="D13" s="72">
        <v>24</v>
      </c>
      <c r="E13" s="72">
        <v>34</v>
      </c>
      <c r="F13" s="72" t="s">
        <v>58</v>
      </c>
      <c r="G13" s="38" t="s">
        <v>66</v>
      </c>
      <c r="H13" s="39">
        <v>1286</v>
      </c>
      <c r="I13" s="164">
        <v>1460</v>
      </c>
    </row>
    <row r="14" spans="1:9" customFormat="1" ht="23.1" customHeight="1" x14ac:dyDescent="0.15">
      <c r="A14" s="40">
        <v>10</v>
      </c>
      <c r="B14" s="41" t="s">
        <v>9</v>
      </c>
      <c r="C14" s="32" t="s">
        <v>515</v>
      </c>
      <c r="D14" s="90">
        <v>26</v>
      </c>
      <c r="E14" s="90">
        <v>34</v>
      </c>
      <c r="F14" s="90" t="s">
        <v>58</v>
      </c>
      <c r="G14" s="46" t="s">
        <v>66</v>
      </c>
      <c r="H14" s="44">
        <v>2192</v>
      </c>
      <c r="I14" s="165">
        <v>2297</v>
      </c>
    </row>
    <row r="15" spans="1:9" s="107" customFormat="1" ht="23.1" customHeight="1" x14ac:dyDescent="0.15">
      <c r="A15" s="40">
        <v>11</v>
      </c>
      <c r="B15" s="41" t="s">
        <v>10</v>
      </c>
      <c r="C15" s="32" t="s">
        <v>624</v>
      </c>
      <c r="D15" s="90">
        <v>25</v>
      </c>
      <c r="E15" s="90">
        <v>35</v>
      </c>
      <c r="F15" s="90" t="s">
        <v>58</v>
      </c>
      <c r="G15" s="46" t="s">
        <v>66</v>
      </c>
      <c r="H15" s="44">
        <v>1133</v>
      </c>
      <c r="I15" s="165">
        <v>1215</v>
      </c>
    </row>
    <row r="16" spans="1:9" s="106" customFormat="1" ht="23.1" customHeight="1" x14ac:dyDescent="0.15">
      <c r="A16" s="40">
        <v>12</v>
      </c>
      <c r="B16" s="41" t="s">
        <v>11</v>
      </c>
      <c r="C16" s="32" t="s">
        <v>104</v>
      </c>
      <c r="D16" s="90">
        <v>25</v>
      </c>
      <c r="E16" s="90">
        <v>27</v>
      </c>
      <c r="F16" s="90" t="s">
        <v>58</v>
      </c>
      <c r="G16" s="46" t="s">
        <v>61</v>
      </c>
      <c r="H16" s="44">
        <v>818</v>
      </c>
      <c r="I16" s="165">
        <v>836</v>
      </c>
    </row>
    <row r="17" spans="1:9" customFormat="1" ht="23.1" customHeight="1" x14ac:dyDescent="0.15">
      <c r="A17" s="40">
        <v>13</v>
      </c>
      <c r="B17" s="41" t="s">
        <v>5</v>
      </c>
      <c r="C17" s="32" t="s">
        <v>158</v>
      </c>
      <c r="D17" s="90">
        <v>24</v>
      </c>
      <c r="E17" s="90">
        <v>28</v>
      </c>
      <c r="F17" s="90" t="s">
        <v>58</v>
      </c>
      <c r="G17" s="46" t="s">
        <v>62</v>
      </c>
      <c r="H17" s="44">
        <v>644</v>
      </c>
      <c r="I17" s="165">
        <v>703</v>
      </c>
    </row>
    <row r="18" spans="1:9" customFormat="1" ht="23.1" customHeight="1" x14ac:dyDescent="0.15">
      <c r="A18" s="59">
        <v>14</v>
      </c>
      <c r="B18" s="60" t="s">
        <v>6</v>
      </c>
      <c r="C18" s="61" t="s">
        <v>274</v>
      </c>
      <c r="D18" s="65">
        <v>25</v>
      </c>
      <c r="E18" s="65">
        <v>32</v>
      </c>
      <c r="F18" s="65" t="s">
        <v>628</v>
      </c>
      <c r="G18" s="63" t="s">
        <v>227</v>
      </c>
      <c r="H18" s="64">
        <v>4721</v>
      </c>
      <c r="I18" s="166">
        <v>6166</v>
      </c>
    </row>
    <row r="19" spans="1:9" customFormat="1" ht="23.1" customHeight="1" x14ac:dyDescent="0.15">
      <c r="A19" s="29">
        <v>15</v>
      </c>
      <c r="B19" s="23" t="s">
        <v>7</v>
      </c>
      <c r="C19" s="24" t="s">
        <v>448</v>
      </c>
      <c r="D19" s="25">
        <v>24</v>
      </c>
      <c r="E19" s="25">
        <v>32</v>
      </c>
      <c r="F19" s="25" t="s">
        <v>628</v>
      </c>
      <c r="G19" s="26" t="s">
        <v>227</v>
      </c>
      <c r="H19" s="27">
        <v>9820</v>
      </c>
      <c r="I19" s="167">
        <v>11532</v>
      </c>
    </row>
    <row r="20" spans="1:9" customFormat="1" ht="23.1" customHeight="1" x14ac:dyDescent="0.15">
      <c r="A20" s="9">
        <v>16</v>
      </c>
      <c r="B20" s="10" t="s">
        <v>8</v>
      </c>
      <c r="C20" s="28" t="s">
        <v>464</v>
      </c>
      <c r="D20" s="20">
        <v>21</v>
      </c>
      <c r="E20" s="20">
        <v>32</v>
      </c>
      <c r="F20" s="20" t="s">
        <v>628</v>
      </c>
      <c r="G20" s="21" t="s">
        <v>227</v>
      </c>
      <c r="H20" s="22">
        <v>11699</v>
      </c>
      <c r="I20" s="176">
        <v>13017</v>
      </c>
    </row>
    <row r="21" spans="1:9" customFormat="1" ht="23.1" customHeight="1" x14ac:dyDescent="0.15">
      <c r="A21" s="4">
        <v>17</v>
      </c>
      <c r="B21" s="5" t="s">
        <v>9</v>
      </c>
      <c r="C21" s="14" t="s">
        <v>624</v>
      </c>
      <c r="D21" s="18">
        <v>26</v>
      </c>
      <c r="E21" s="18">
        <v>33</v>
      </c>
      <c r="F21" s="18" t="s">
        <v>628</v>
      </c>
      <c r="G21" s="19" t="s">
        <v>227</v>
      </c>
      <c r="H21" s="12">
        <v>8063</v>
      </c>
      <c r="I21" s="168">
        <v>9221</v>
      </c>
    </row>
    <row r="22" spans="1:9" s="107" customFormat="1" ht="23.1" customHeight="1" x14ac:dyDescent="0.15">
      <c r="A22" s="4">
        <v>18</v>
      </c>
      <c r="B22" s="5" t="s">
        <v>10</v>
      </c>
      <c r="C22" s="14" t="s">
        <v>464</v>
      </c>
      <c r="D22" s="18">
        <v>27</v>
      </c>
      <c r="E22" s="18">
        <v>34</v>
      </c>
      <c r="F22" s="18" t="s">
        <v>257</v>
      </c>
      <c r="G22" s="19" t="s">
        <v>67</v>
      </c>
      <c r="H22" s="12">
        <v>4765</v>
      </c>
      <c r="I22" s="168">
        <v>5393</v>
      </c>
    </row>
    <row r="23" spans="1:9" s="106" customFormat="1" ht="23.1" customHeight="1" x14ac:dyDescent="0.15">
      <c r="A23" s="40">
        <v>19</v>
      </c>
      <c r="B23" s="41" t="s">
        <v>11</v>
      </c>
      <c r="C23" s="32" t="s">
        <v>629</v>
      </c>
      <c r="D23" s="90">
        <v>27</v>
      </c>
      <c r="E23" s="90">
        <v>34</v>
      </c>
      <c r="F23" s="90" t="s">
        <v>58</v>
      </c>
      <c r="G23" s="46" t="s">
        <v>66</v>
      </c>
      <c r="H23" s="44">
        <v>1492</v>
      </c>
      <c r="I23" s="165">
        <v>1711</v>
      </c>
    </row>
    <row r="24" spans="1:9" customFormat="1" ht="23.1" customHeight="1" x14ac:dyDescent="0.15">
      <c r="A24" s="40">
        <v>20</v>
      </c>
      <c r="B24" s="41" t="s">
        <v>5</v>
      </c>
      <c r="C24" s="32" t="s">
        <v>490</v>
      </c>
      <c r="D24" s="90">
        <v>18</v>
      </c>
      <c r="E24" s="90">
        <v>29</v>
      </c>
      <c r="F24" s="90" t="s">
        <v>58</v>
      </c>
      <c r="G24" s="46" t="s">
        <v>61</v>
      </c>
      <c r="H24" s="44">
        <v>598</v>
      </c>
      <c r="I24" s="165">
        <v>607</v>
      </c>
    </row>
    <row r="25" spans="1:9" customFormat="1" ht="23.1" customHeight="1" x14ac:dyDescent="0.15">
      <c r="A25" s="59">
        <v>21</v>
      </c>
      <c r="B25" s="60" t="s">
        <v>6</v>
      </c>
      <c r="C25" s="61" t="s">
        <v>630</v>
      </c>
      <c r="D25" s="65">
        <v>17</v>
      </c>
      <c r="E25" s="65">
        <v>22</v>
      </c>
      <c r="F25" s="65" t="s">
        <v>257</v>
      </c>
      <c r="G25" s="63" t="s">
        <v>67</v>
      </c>
      <c r="H25" s="64">
        <v>4418</v>
      </c>
      <c r="I25" s="166">
        <v>5857</v>
      </c>
    </row>
    <row r="26" spans="1:9" customFormat="1" ht="23.1" customHeight="1" x14ac:dyDescent="0.15">
      <c r="A26" s="29">
        <v>22</v>
      </c>
      <c r="B26" s="23" t="s">
        <v>7</v>
      </c>
      <c r="C26" s="24" t="s">
        <v>80</v>
      </c>
      <c r="D26" s="25">
        <v>17</v>
      </c>
      <c r="E26" s="25">
        <v>27</v>
      </c>
      <c r="F26" s="25" t="s">
        <v>257</v>
      </c>
      <c r="G26" s="26" t="s">
        <v>67</v>
      </c>
      <c r="H26" s="27">
        <v>8191</v>
      </c>
      <c r="I26" s="167">
        <v>11375</v>
      </c>
    </row>
    <row r="27" spans="1:9" customFormat="1" ht="23.1" customHeight="1" x14ac:dyDescent="0.15">
      <c r="A27" s="35">
        <v>23</v>
      </c>
      <c r="B27" s="36" t="s">
        <v>8</v>
      </c>
      <c r="C27" s="47" t="s">
        <v>75</v>
      </c>
      <c r="D27" s="37">
        <v>17</v>
      </c>
      <c r="E27" s="37">
        <v>26</v>
      </c>
      <c r="F27" s="37" t="s">
        <v>58</v>
      </c>
      <c r="G27" s="38" t="s">
        <v>66</v>
      </c>
      <c r="H27" s="39">
        <v>2302</v>
      </c>
      <c r="I27" s="164">
        <v>2622</v>
      </c>
    </row>
    <row r="28" spans="1:9" s="106" customFormat="1" ht="23.1" customHeight="1" x14ac:dyDescent="0.15">
      <c r="A28" s="40">
        <v>24</v>
      </c>
      <c r="B28" s="41" t="s">
        <v>9</v>
      </c>
      <c r="C28" s="32" t="s">
        <v>75</v>
      </c>
      <c r="D28" s="90">
        <v>16</v>
      </c>
      <c r="E28" s="90">
        <v>27</v>
      </c>
      <c r="F28" s="90" t="s">
        <v>58</v>
      </c>
      <c r="G28" s="46" t="s">
        <v>66</v>
      </c>
      <c r="H28" s="44">
        <v>4039</v>
      </c>
      <c r="I28" s="165">
        <v>4295</v>
      </c>
    </row>
    <row r="29" spans="1:9" s="106" customFormat="1" ht="23.1" customHeight="1" x14ac:dyDescent="0.15">
      <c r="A29" s="40">
        <v>25</v>
      </c>
      <c r="B29" s="41" t="s">
        <v>10</v>
      </c>
      <c r="C29" s="32" t="s">
        <v>631</v>
      </c>
      <c r="D29" s="90">
        <v>19</v>
      </c>
      <c r="E29" s="90">
        <v>27</v>
      </c>
      <c r="F29" s="90" t="s">
        <v>58</v>
      </c>
      <c r="G29" s="46" t="s">
        <v>66</v>
      </c>
      <c r="H29" s="44">
        <v>3013</v>
      </c>
      <c r="I29" s="165">
        <v>3270</v>
      </c>
    </row>
    <row r="30" spans="1:9" s="106" customFormat="1" ht="23.1" customHeight="1" x14ac:dyDescent="0.15">
      <c r="A30" s="40">
        <v>26</v>
      </c>
      <c r="B30" s="41" t="s">
        <v>11</v>
      </c>
      <c r="C30" s="32" t="s">
        <v>632</v>
      </c>
      <c r="D30" s="90">
        <v>21</v>
      </c>
      <c r="E30" s="90">
        <v>28</v>
      </c>
      <c r="F30" s="90" t="s">
        <v>58</v>
      </c>
      <c r="G30" s="46" t="s">
        <v>66</v>
      </c>
      <c r="H30" s="44">
        <v>4064</v>
      </c>
      <c r="I30" s="165">
        <v>4305</v>
      </c>
    </row>
    <row r="31" spans="1:9" s="106" customFormat="1" ht="23.1" customHeight="1" x14ac:dyDescent="0.15">
      <c r="A31" s="40">
        <v>27</v>
      </c>
      <c r="B31" s="41" t="s">
        <v>5</v>
      </c>
      <c r="C31" s="32" t="s">
        <v>80</v>
      </c>
      <c r="D31" s="90">
        <v>19</v>
      </c>
      <c r="E31" s="90">
        <v>28</v>
      </c>
      <c r="F31" s="90" t="s">
        <v>58</v>
      </c>
      <c r="G31" s="46" t="s">
        <v>67</v>
      </c>
      <c r="H31" s="44">
        <v>6531</v>
      </c>
      <c r="I31" s="165">
        <v>7128</v>
      </c>
    </row>
    <row r="32" spans="1:9" customFormat="1" ht="23.1" customHeight="1" x14ac:dyDescent="0.15">
      <c r="A32" s="59">
        <v>28</v>
      </c>
      <c r="B32" s="60" t="s">
        <v>6</v>
      </c>
      <c r="C32" s="61" t="s">
        <v>80</v>
      </c>
      <c r="D32" s="65">
        <v>19</v>
      </c>
      <c r="E32" s="65">
        <v>28</v>
      </c>
      <c r="F32" s="65" t="s">
        <v>257</v>
      </c>
      <c r="G32" s="63" t="s">
        <v>67</v>
      </c>
      <c r="H32" s="64">
        <v>16079</v>
      </c>
      <c r="I32" s="166">
        <v>18027</v>
      </c>
    </row>
    <row r="33" spans="1:9" customFormat="1" ht="23.1" customHeight="1" x14ac:dyDescent="0.15">
      <c r="A33" s="29">
        <v>29</v>
      </c>
      <c r="B33" s="23" t="s">
        <v>7</v>
      </c>
      <c r="C33" s="24" t="s">
        <v>75</v>
      </c>
      <c r="D33" s="25">
        <v>19</v>
      </c>
      <c r="E33" s="25">
        <v>29</v>
      </c>
      <c r="F33" s="25" t="s">
        <v>257</v>
      </c>
      <c r="G33" s="26" t="s">
        <v>67</v>
      </c>
      <c r="H33" s="27">
        <v>9956</v>
      </c>
      <c r="I33" s="167">
        <v>12018</v>
      </c>
    </row>
    <row r="34" spans="1:9" customFormat="1" ht="23.25" customHeight="1" x14ac:dyDescent="0.15">
      <c r="A34" s="35">
        <v>30</v>
      </c>
      <c r="B34" s="36" t="s">
        <v>8</v>
      </c>
      <c r="C34" s="47" t="s">
        <v>80</v>
      </c>
      <c r="D34" s="37">
        <v>18</v>
      </c>
      <c r="E34" s="37">
        <v>29</v>
      </c>
      <c r="F34" s="37" t="s">
        <v>257</v>
      </c>
      <c r="G34" s="38" t="s">
        <v>67</v>
      </c>
      <c r="H34" s="39">
        <v>3893</v>
      </c>
      <c r="I34" s="164">
        <v>4134</v>
      </c>
    </row>
    <row r="35" spans="1:9" customFormat="1" ht="23.1" customHeight="1" thickBot="1" x14ac:dyDescent="0.2">
      <c r="A35" s="48"/>
      <c r="B35" s="49"/>
      <c r="C35" s="50"/>
      <c r="D35" s="51"/>
      <c r="E35" s="51"/>
      <c r="F35" s="51"/>
      <c r="G35" s="52"/>
      <c r="H35" s="53">
        <v>0</v>
      </c>
      <c r="I35" s="169">
        <v>0</v>
      </c>
    </row>
    <row r="36" spans="1:9" s="3" customFormat="1" ht="21" customHeight="1" thickBot="1" x14ac:dyDescent="0.2">
      <c r="A36" s="148" t="s">
        <v>27</v>
      </c>
      <c r="B36" s="149"/>
      <c r="C36" s="149"/>
      <c r="D36" s="149"/>
      <c r="E36" s="149"/>
      <c r="F36" s="149"/>
      <c r="G36" s="150"/>
      <c r="H36" s="170">
        <f t="shared" ref="H36:I36" si="0">SUM(H5:H35)</f>
        <v>138720</v>
      </c>
      <c r="I36" s="171">
        <f t="shared" si="0"/>
        <v>162997</v>
      </c>
    </row>
    <row r="37" spans="1:9" s="3" customFormat="1" ht="21" customHeight="1" thickBot="1" x14ac:dyDescent="0.2">
      <c r="A37" s="134" t="s">
        <v>28</v>
      </c>
      <c r="B37" s="135"/>
      <c r="C37" s="135"/>
      <c r="D37" s="135"/>
      <c r="E37" s="135"/>
      <c r="F37" s="135"/>
      <c r="G37" s="136"/>
      <c r="H37" s="172">
        <f>H36+'8월'!H37</f>
        <v>1000375</v>
      </c>
      <c r="I37" s="173">
        <f>I36+'8월'!I37</f>
        <v>1199091</v>
      </c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FF00"/>
  </sheetPr>
  <dimension ref="A1:I37"/>
  <sheetViews>
    <sheetView workbookViewId="0">
      <pane xSplit="7" ySplit="4" topLeftCell="H17" activePane="bottomRight" state="frozen"/>
      <selection activeCell="J26" sqref="J26"/>
      <selection pane="topRight" activeCell="J26" sqref="J26"/>
      <selection pane="bottomLeft" activeCell="J26" sqref="J26"/>
      <selection pane="bottomRight" activeCell="J26" sqref="J26"/>
    </sheetView>
  </sheetViews>
  <sheetFormatPr defaultColWidth="8.88671875" defaultRowHeight="13.5" x14ac:dyDescent="0.15"/>
  <cols>
    <col min="1" max="2" width="5.77734375" style="1" customWidth="1"/>
    <col min="3" max="3" width="8.77734375" style="8" customWidth="1"/>
    <col min="4" max="5" width="3.77734375" style="8" customWidth="1"/>
    <col min="6" max="6" width="5.77734375" style="8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1" t="s">
        <v>34</v>
      </c>
      <c r="B1" s="152"/>
      <c r="C1" s="152"/>
      <c r="D1" s="152"/>
      <c r="E1" s="152"/>
      <c r="F1" s="152"/>
      <c r="G1" s="152"/>
      <c r="H1" s="152"/>
      <c r="I1" s="153"/>
    </row>
    <row r="2" spans="1:9" s="2" customFormat="1" ht="22.5" customHeight="1" x14ac:dyDescent="0.15">
      <c r="A2" s="143" t="s">
        <v>2</v>
      </c>
      <c r="B2" s="146" t="s">
        <v>1</v>
      </c>
      <c r="C2" s="137" t="s">
        <v>12</v>
      </c>
      <c r="D2" s="137" t="s">
        <v>15</v>
      </c>
      <c r="E2" s="138"/>
      <c r="F2" s="137" t="s">
        <v>16</v>
      </c>
      <c r="G2" s="141"/>
      <c r="H2" s="157" t="s">
        <v>22</v>
      </c>
      <c r="I2" s="158" t="s">
        <v>21</v>
      </c>
    </row>
    <row r="3" spans="1:9" s="2" customFormat="1" ht="18.75" customHeight="1" x14ac:dyDescent="0.15">
      <c r="A3" s="144"/>
      <c r="B3" s="154"/>
      <c r="C3" s="155"/>
      <c r="D3" s="139"/>
      <c r="E3" s="140"/>
      <c r="F3" s="139"/>
      <c r="G3" s="142"/>
      <c r="H3" s="159" t="s">
        <v>23</v>
      </c>
      <c r="I3" s="160" t="s">
        <v>20</v>
      </c>
    </row>
    <row r="4" spans="1:9" s="2" customFormat="1" ht="18.75" customHeight="1" x14ac:dyDescent="0.15">
      <c r="A4" s="145"/>
      <c r="B4" s="147"/>
      <c r="C4" s="156"/>
      <c r="D4" s="13" t="s">
        <v>13</v>
      </c>
      <c r="E4" s="13" t="s">
        <v>14</v>
      </c>
      <c r="F4" s="13" t="s">
        <v>18</v>
      </c>
      <c r="G4" s="15" t="s">
        <v>17</v>
      </c>
      <c r="H4" s="161"/>
      <c r="I4" s="162" t="s">
        <v>19</v>
      </c>
    </row>
    <row r="5" spans="1:9" s="106" customFormat="1" ht="23.1" customHeight="1" x14ac:dyDescent="0.15">
      <c r="A5" s="6">
        <v>1</v>
      </c>
      <c r="B5" s="7" t="s">
        <v>48</v>
      </c>
      <c r="C5" s="89" t="s">
        <v>230</v>
      </c>
      <c r="D5" s="16">
        <v>13</v>
      </c>
      <c r="E5" s="16">
        <v>22</v>
      </c>
      <c r="F5" s="109" t="s">
        <v>257</v>
      </c>
      <c r="G5" s="17" t="s">
        <v>67</v>
      </c>
      <c r="H5" s="11">
        <v>9073</v>
      </c>
      <c r="I5" s="175">
        <v>10708</v>
      </c>
    </row>
    <row r="6" spans="1:9" customFormat="1" ht="23.1" customHeight="1" x14ac:dyDescent="0.15">
      <c r="A6" s="40">
        <v>2</v>
      </c>
      <c r="B6" s="41" t="s">
        <v>53</v>
      </c>
      <c r="C6" s="32" t="s">
        <v>75</v>
      </c>
      <c r="D6" s="90">
        <v>12</v>
      </c>
      <c r="E6" s="90">
        <v>20</v>
      </c>
      <c r="F6" s="90" t="s">
        <v>628</v>
      </c>
      <c r="G6" s="46" t="s">
        <v>227</v>
      </c>
      <c r="H6" s="44">
        <v>5263</v>
      </c>
      <c r="I6" s="165">
        <v>5625</v>
      </c>
    </row>
    <row r="7" spans="1:9" customFormat="1" ht="23.1" customHeight="1" x14ac:dyDescent="0.15">
      <c r="A7" s="4">
        <v>3</v>
      </c>
      <c r="B7" s="5" t="s">
        <v>11</v>
      </c>
      <c r="C7" s="14" t="s">
        <v>75</v>
      </c>
      <c r="D7" s="18">
        <v>11</v>
      </c>
      <c r="E7" s="18">
        <v>23</v>
      </c>
      <c r="F7" s="18" t="s">
        <v>628</v>
      </c>
      <c r="G7" s="19" t="s">
        <v>227</v>
      </c>
      <c r="H7" s="12">
        <v>17207</v>
      </c>
      <c r="I7" s="168">
        <v>18916</v>
      </c>
    </row>
    <row r="8" spans="1:9" s="107" customFormat="1" ht="23.1" customHeight="1" x14ac:dyDescent="0.15">
      <c r="A8" s="40">
        <v>4</v>
      </c>
      <c r="B8" s="41" t="s">
        <v>5</v>
      </c>
      <c r="C8" s="32" t="s">
        <v>75</v>
      </c>
      <c r="D8" s="42">
        <v>12</v>
      </c>
      <c r="E8" s="42">
        <v>24</v>
      </c>
      <c r="F8" s="42" t="s">
        <v>628</v>
      </c>
      <c r="G8" s="43" t="s">
        <v>227</v>
      </c>
      <c r="H8" s="44">
        <v>14333</v>
      </c>
      <c r="I8" s="165">
        <v>15466</v>
      </c>
    </row>
    <row r="9" spans="1:9" s="106" customFormat="1" ht="23.1" customHeight="1" x14ac:dyDescent="0.15">
      <c r="A9" s="59">
        <v>5</v>
      </c>
      <c r="B9" s="60" t="s">
        <v>6</v>
      </c>
      <c r="C9" s="61" t="s">
        <v>80</v>
      </c>
      <c r="D9" s="65">
        <v>12</v>
      </c>
      <c r="E9" s="65">
        <v>24</v>
      </c>
      <c r="F9" s="74" t="s">
        <v>628</v>
      </c>
      <c r="G9" s="75" t="s">
        <v>227</v>
      </c>
      <c r="H9" s="64">
        <v>13140</v>
      </c>
      <c r="I9" s="166">
        <v>14871</v>
      </c>
    </row>
    <row r="10" spans="1:9" customFormat="1" ht="23.1" customHeight="1" x14ac:dyDescent="0.15">
      <c r="A10" s="29">
        <v>6</v>
      </c>
      <c r="B10" s="23" t="s">
        <v>7</v>
      </c>
      <c r="C10" s="24" t="s">
        <v>138</v>
      </c>
      <c r="D10" s="25">
        <v>12</v>
      </c>
      <c r="E10" s="25">
        <v>18</v>
      </c>
      <c r="F10" s="87" t="s">
        <v>628</v>
      </c>
      <c r="G10" s="88" t="s">
        <v>227</v>
      </c>
      <c r="H10" s="27">
        <v>5893</v>
      </c>
      <c r="I10" s="167">
        <v>7149</v>
      </c>
    </row>
    <row r="11" spans="1:9" customFormat="1" ht="23.1" customHeight="1" x14ac:dyDescent="0.15">
      <c r="A11" s="35">
        <v>7</v>
      </c>
      <c r="B11" s="36" t="s">
        <v>8</v>
      </c>
      <c r="C11" s="47" t="s">
        <v>63</v>
      </c>
      <c r="D11" s="37">
        <v>14</v>
      </c>
      <c r="E11" s="37">
        <v>21</v>
      </c>
      <c r="F11" s="37" t="s">
        <v>58</v>
      </c>
      <c r="G11" s="38" t="s">
        <v>66</v>
      </c>
      <c r="H11" s="39">
        <v>2180</v>
      </c>
      <c r="I11" s="164">
        <v>2390</v>
      </c>
    </row>
    <row r="12" spans="1:9" customFormat="1" ht="23.1" customHeight="1" x14ac:dyDescent="0.15">
      <c r="A12" s="40">
        <v>8</v>
      </c>
      <c r="B12" s="41" t="s">
        <v>9</v>
      </c>
      <c r="C12" s="32" t="s">
        <v>75</v>
      </c>
      <c r="D12" s="91">
        <v>13</v>
      </c>
      <c r="E12" s="91">
        <v>24</v>
      </c>
      <c r="F12" s="91" t="s">
        <v>57</v>
      </c>
      <c r="G12" s="46" t="s">
        <v>485</v>
      </c>
      <c r="H12" s="44">
        <v>10965</v>
      </c>
      <c r="I12" s="165">
        <v>11337</v>
      </c>
    </row>
    <row r="13" spans="1:9" customFormat="1" ht="23.1" customHeight="1" x14ac:dyDescent="0.15">
      <c r="A13" s="4">
        <v>9</v>
      </c>
      <c r="B13" s="5" t="s">
        <v>10</v>
      </c>
      <c r="C13" s="14" t="s">
        <v>80</v>
      </c>
      <c r="D13" s="121">
        <v>14</v>
      </c>
      <c r="E13" s="121">
        <v>24</v>
      </c>
      <c r="F13" s="121" t="s">
        <v>257</v>
      </c>
      <c r="G13" s="19" t="s">
        <v>67</v>
      </c>
      <c r="H13" s="12">
        <v>12749</v>
      </c>
      <c r="I13" s="168">
        <v>14807</v>
      </c>
    </row>
    <row r="14" spans="1:9" customFormat="1" ht="23.1" customHeight="1" x14ac:dyDescent="0.15">
      <c r="A14" s="40">
        <v>10</v>
      </c>
      <c r="B14" s="41" t="s">
        <v>11</v>
      </c>
      <c r="C14" s="32" t="s">
        <v>197</v>
      </c>
      <c r="D14" s="90">
        <v>15</v>
      </c>
      <c r="E14" s="90">
        <v>24</v>
      </c>
      <c r="F14" s="90" t="s">
        <v>58</v>
      </c>
      <c r="G14" s="46" t="s">
        <v>66</v>
      </c>
      <c r="H14" s="44">
        <v>3538</v>
      </c>
      <c r="I14" s="165">
        <v>3780</v>
      </c>
    </row>
    <row r="15" spans="1:9" s="107" customFormat="1" ht="23.1" customHeight="1" x14ac:dyDescent="0.15">
      <c r="A15" s="40">
        <v>11</v>
      </c>
      <c r="B15" s="41" t="s">
        <v>5</v>
      </c>
      <c r="C15" s="32" t="s">
        <v>75</v>
      </c>
      <c r="D15" s="90">
        <v>14</v>
      </c>
      <c r="E15" s="90">
        <v>24</v>
      </c>
      <c r="F15" s="42" t="s">
        <v>58</v>
      </c>
      <c r="G15" s="43" t="s">
        <v>67</v>
      </c>
      <c r="H15" s="44">
        <v>11985</v>
      </c>
      <c r="I15" s="165">
        <v>12572</v>
      </c>
    </row>
    <row r="16" spans="1:9" s="106" customFormat="1" ht="23.1" customHeight="1" x14ac:dyDescent="0.15">
      <c r="A16" s="59">
        <v>12</v>
      </c>
      <c r="B16" s="60" t="s">
        <v>6</v>
      </c>
      <c r="C16" s="61" t="s">
        <v>91</v>
      </c>
      <c r="D16" s="65">
        <v>13</v>
      </c>
      <c r="E16" s="65">
        <v>25</v>
      </c>
      <c r="F16" s="74" t="s">
        <v>628</v>
      </c>
      <c r="G16" s="75" t="s">
        <v>227</v>
      </c>
      <c r="H16" s="64">
        <v>17365</v>
      </c>
      <c r="I16" s="166">
        <v>19163</v>
      </c>
    </row>
    <row r="17" spans="1:9" customFormat="1" ht="23.1" customHeight="1" x14ac:dyDescent="0.15">
      <c r="A17" s="29">
        <v>13</v>
      </c>
      <c r="B17" s="23" t="s">
        <v>7</v>
      </c>
      <c r="C17" s="24" t="s">
        <v>63</v>
      </c>
      <c r="D17" s="25">
        <v>13</v>
      </c>
      <c r="E17" s="25">
        <v>23</v>
      </c>
      <c r="F17" s="87" t="s">
        <v>628</v>
      </c>
      <c r="G17" s="88" t="s">
        <v>227</v>
      </c>
      <c r="H17" s="27">
        <v>9116</v>
      </c>
      <c r="I17" s="167">
        <v>10839</v>
      </c>
    </row>
    <row r="18" spans="1:9" customFormat="1" ht="23.1" customHeight="1" x14ac:dyDescent="0.15">
      <c r="A18" s="35">
        <v>14</v>
      </c>
      <c r="B18" s="36" t="s">
        <v>8</v>
      </c>
      <c r="C18" s="47" t="s">
        <v>274</v>
      </c>
      <c r="D18" s="37">
        <v>18</v>
      </c>
      <c r="E18" s="37">
        <v>22</v>
      </c>
      <c r="F18" s="37" t="s">
        <v>57</v>
      </c>
      <c r="G18" s="38" t="s">
        <v>485</v>
      </c>
      <c r="H18" s="39">
        <v>2375</v>
      </c>
      <c r="I18" s="164">
        <v>2572</v>
      </c>
    </row>
    <row r="19" spans="1:9" customFormat="1" ht="23.1" customHeight="1" x14ac:dyDescent="0.15">
      <c r="A19" s="40">
        <v>15</v>
      </c>
      <c r="B19" s="41" t="s">
        <v>9</v>
      </c>
      <c r="C19" s="32" t="s">
        <v>230</v>
      </c>
      <c r="D19" s="90">
        <v>18</v>
      </c>
      <c r="E19" s="90">
        <v>22</v>
      </c>
      <c r="F19" s="91" t="s">
        <v>57</v>
      </c>
      <c r="G19" s="46" t="s">
        <v>485</v>
      </c>
      <c r="H19" s="44">
        <v>2487</v>
      </c>
      <c r="I19" s="165">
        <v>2660</v>
      </c>
    </row>
    <row r="20" spans="1:9" customFormat="1" ht="23.1" customHeight="1" x14ac:dyDescent="0.15">
      <c r="A20" s="40">
        <v>16</v>
      </c>
      <c r="B20" s="41" t="s">
        <v>10</v>
      </c>
      <c r="C20" s="32" t="s">
        <v>80</v>
      </c>
      <c r="D20" s="90">
        <v>14</v>
      </c>
      <c r="E20" s="90">
        <v>24</v>
      </c>
      <c r="F20" s="91" t="s">
        <v>57</v>
      </c>
      <c r="G20" s="46" t="s">
        <v>485</v>
      </c>
      <c r="H20" s="44">
        <v>5058</v>
      </c>
      <c r="I20" s="165">
        <v>5179</v>
      </c>
    </row>
    <row r="21" spans="1:9" customFormat="1" ht="23.1" customHeight="1" x14ac:dyDescent="0.15">
      <c r="A21" s="40">
        <v>17</v>
      </c>
      <c r="B21" s="41" t="s">
        <v>11</v>
      </c>
      <c r="C21" s="32" t="s">
        <v>80</v>
      </c>
      <c r="D21" s="90">
        <v>14</v>
      </c>
      <c r="E21" s="90">
        <v>26</v>
      </c>
      <c r="F21" s="90" t="s">
        <v>57</v>
      </c>
      <c r="G21" s="46" t="s">
        <v>485</v>
      </c>
      <c r="H21" s="44">
        <v>8524</v>
      </c>
      <c r="I21" s="165">
        <v>8859</v>
      </c>
    </row>
    <row r="22" spans="1:9" s="107" customFormat="1" ht="23.1" customHeight="1" x14ac:dyDescent="0.15">
      <c r="A22" s="40">
        <v>18</v>
      </c>
      <c r="B22" s="41" t="s">
        <v>5</v>
      </c>
      <c r="C22" s="32" t="s">
        <v>104</v>
      </c>
      <c r="D22" s="90">
        <v>16</v>
      </c>
      <c r="E22" s="90">
        <v>19</v>
      </c>
      <c r="F22" s="90" t="s">
        <v>57</v>
      </c>
      <c r="G22" s="46" t="s">
        <v>61</v>
      </c>
      <c r="H22" s="44">
        <v>6699</v>
      </c>
      <c r="I22" s="165">
        <v>6706</v>
      </c>
    </row>
    <row r="23" spans="1:9" s="106" customFormat="1" ht="23.1" customHeight="1" x14ac:dyDescent="0.15">
      <c r="A23" s="59">
        <v>19</v>
      </c>
      <c r="B23" s="60" t="s">
        <v>6</v>
      </c>
      <c r="C23" s="61" t="s">
        <v>63</v>
      </c>
      <c r="D23" s="65">
        <v>12</v>
      </c>
      <c r="E23" s="65">
        <v>21</v>
      </c>
      <c r="F23" s="65" t="s">
        <v>628</v>
      </c>
      <c r="G23" s="63" t="s">
        <v>227</v>
      </c>
      <c r="H23" s="64">
        <v>15343</v>
      </c>
      <c r="I23" s="166">
        <v>16810</v>
      </c>
    </row>
    <row r="24" spans="1:9" customFormat="1" ht="23.1" customHeight="1" x14ac:dyDescent="0.15">
      <c r="A24" s="29">
        <v>20</v>
      </c>
      <c r="B24" s="23" t="s">
        <v>7</v>
      </c>
      <c r="C24" s="24" t="s">
        <v>75</v>
      </c>
      <c r="D24" s="25">
        <v>11</v>
      </c>
      <c r="E24" s="25">
        <v>18</v>
      </c>
      <c r="F24" s="25" t="s">
        <v>628</v>
      </c>
      <c r="G24" s="26" t="s">
        <v>227</v>
      </c>
      <c r="H24" s="27">
        <v>10954</v>
      </c>
      <c r="I24" s="167">
        <v>12647</v>
      </c>
    </row>
    <row r="25" spans="1:9" customFormat="1" ht="23.1" customHeight="1" x14ac:dyDescent="0.15">
      <c r="A25" s="35">
        <v>21</v>
      </c>
      <c r="B25" s="36" t="s">
        <v>8</v>
      </c>
      <c r="C25" s="47" t="s">
        <v>633</v>
      </c>
      <c r="D25" s="37">
        <v>10</v>
      </c>
      <c r="E25" s="37">
        <v>19</v>
      </c>
      <c r="F25" s="37" t="s">
        <v>57</v>
      </c>
      <c r="G25" s="38" t="s">
        <v>485</v>
      </c>
      <c r="H25" s="39">
        <v>3028</v>
      </c>
      <c r="I25" s="164">
        <v>3072</v>
      </c>
    </row>
    <row r="26" spans="1:9" customFormat="1" ht="23.1" customHeight="1" x14ac:dyDescent="0.15">
      <c r="A26" s="40">
        <v>22</v>
      </c>
      <c r="B26" s="41" t="s">
        <v>9</v>
      </c>
      <c r="C26" s="32" t="s">
        <v>104</v>
      </c>
      <c r="D26" s="90">
        <v>15</v>
      </c>
      <c r="E26" s="90">
        <v>17</v>
      </c>
      <c r="F26" s="90" t="s">
        <v>57</v>
      </c>
      <c r="G26" s="46" t="s">
        <v>61</v>
      </c>
      <c r="H26" s="44">
        <v>2221</v>
      </c>
      <c r="I26" s="165">
        <v>2228</v>
      </c>
    </row>
    <row r="27" spans="1:9" customFormat="1" ht="23.1" customHeight="1" x14ac:dyDescent="0.15">
      <c r="A27" s="40">
        <v>23</v>
      </c>
      <c r="B27" s="41" t="s">
        <v>10</v>
      </c>
      <c r="C27" s="32" t="s">
        <v>63</v>
      </c>
      <c r="D27" s="90">
        <v>9</v>
      </c>
      <c r="E27" s="90">
        <v>16</v>
      </c>
      <c r="F27" s="90" t="s">
        <v>57</v>
      </c>
      <c r="G27" s="46" t="s">
        <v>485</v>
      </c>
      <c r="H27" s="44">
        <v>3394</v>
      </c>
      <c r="I27" s="165">
        <v>3503</v>
      </c>
    </row>
    <row r="28" spans="1:9" s="106" customFormat="1" ht="23.1" customHeight="1" x14ac:dyDescent="0.15">
      <c r="A28" s="40">
        <v>24</v>
      </c>
      <c r="B28" s="41" t="s">
        <v>11</v>
      </c>
      <c r="C28" s="32" t="s">
        <v>75</v>
      </c>
      <c r="D28" s="90">
        <v>7</v>
      </c>
      <c r="E28" s="90">
        <v>18</v>
      </c>
      <c r="F28" s="90" t="s">
        <v>57</v>
      </c>
      <c r="G28" s="46" t="s">
        <v>485</v>
      </c>
      <c r="H28" s="44">
        <v>7972</v>
      </c>
      <c r="I28" s="165">
        <v>8244</v>
      </c>
    </row>
    <row r="29" spans="1:9" s="106" customFormat="1" ht="23.1" customHeight="1" x14ac:dyDescent="0.15">
      <c r="A29" s="40">
        <v>25</v>
      </c>
      <c r="B29" s="41" t="s">
        <v>5</v>
      </c>
      <c r="C29" s="32" t="s">
        <v>80</v>
      </c>
      <c r="D29" s="90">
        <v>9</v>
      </c>
      <c r="E29" s="90">
        <v>22</v>
      </c>
      <c r="F29" s="90" t="s">
        <v>57</v>
      </c>
      <c r="G29" s="46" t="s">
        <v>227</v>
      </c>
      <c r="H29" s="44">
        <v>10348</v>
      </c>
      <c r="I29" s="165">
        <v>10888</v>
      </c>
    </row>
    <row r="30" spans="1:9" s="106" customFormat="1" ht="23.1" customHeight="1" x14ac:dyDescent="0.15">
      <c r="A30" s="59">
        <v>26</v>
      </c>
      <c r="B30" s="60" t="s">
        <v>6</v>
      </c>
      <c r="C30" s="61" t="s">
        <v>80</v>
      </c>
      <c r="D30" s="65">
        <v>11</v>
      </c>
      <c r="E30" s="65">
        <v>24</v>
      </c>
      <c r="F30" s="65" t="s">
        <v>628</v>
      </c>
      <c r="G30" s="63" t="s">
        <v>227</v>
      </c>
      <c r="H30" s="64">
        <v>22987</v>
      </c>
      <c r="I30" s="166">
        <v>24497</v>
      </c>
    </row>
    <row r="31" spans="1:9" s="106" customFormat="1" ht="23.1" customHeight="1" x14ac:dyDescent="0.15">
      <c r="A31" s="29">
        <v>27</v>
      </c>
      <c r="B31" s="23" t="s">
        <v>7</v>
      </c>
      <c r="C31" s="24" t="s">
        <v>634</v>
      </c>
      <c r="D31" s="25">
        <v>14</v>
      </c>
      <c r="E31" s="25">
        <v>19</v>
      </c>
      <c r="F31" s="25" t="s">
        <v>628</v>
      </c>
      <c r="G31" s="26" t="s">
        <v>227</v>
      </c>
      <c r="H31" s="27">
        <v>12784</v>
      </c>
      <c r="I31" s="167">
        <v>14371</v>
      </c>
    </row>
    <row r="32" spans="1:9" customFormat="1" ht="23.1" customHeight="1" x14ac:dyDescent="0.15">
      <c r="A32" s="35">
        <v>28</v>
      </c>
      <c r="B32" s="36" t="s">
        <v>8</v>
      </c>
      <c r="C32" s="47" t="s">
        <v>63</v>
      </c>
      <c r="D32" s="37">
        <v>12</v>
      </c>
      <c r="E32" s="37">
        <v>20</v>
      </c>
      <c r="F32" s="37" t="s">
        <v>57</v>
      </c>
      <c r="G32" s="38" t="s">
        <v>485</v>
      </c>
      <c r="H32" s="39">
        <v>2989</v>
      </c>
      <c r="I32" s="164">
        <v>3207</v>
      </c>
    </row>
    <row r="33" spans="1:9" customFormat="1" ht="23.1" customHeight="1" x14ac:dyDescent="0.15">
      <c r="A33" s="40">
        <v>29</v>
      </c>
      <c r="B33" s="41" t="s">
        <v>9</v>
      </c>
      <c r="C33" s="32" t="s">
        <v>634</v>
      </c>
      <c r="D33" s="90">
        <v>13</v>
      </c>
      <c r="E33" s="90">
        <v>18</v>
      </c>
      <c r="F33" s="90" t="s">
        <v>57</v>
      </c>
      <c r="G33" s="46" t="s">
        <v>485</v>
      </c>
      <c r="H33" s="44">
        <v>3225</v>
      </c>
      <c r="I33" s="165">
        <v>3391</v>
      </c>
    </row>
    <row r="34" spans="1:9" customFormat="1" ht="23.25" customHeight="1" x14ac:dyDescent="0.15">
      <c r="A34" s="40">
        <v>30</v>
      </c>
      <c r="B34" s="41" t="s">
        <v>10</v>
      </c>
      <c r="C34" s="32" t="s">
        <v>75</v>
      </c>
      <c r="D34" s="90">
        <v>11</v>
      </c>
      <c r="E34" s="90">
        <v>21</v>
      </c>
      <c r="F34" s="90" t="s">
        <v>57</v>
      </c>
      <c r="G34" s="46" t="s">
        <v>485</v>
      </c>
      <c r="H34" s="44">
        <v>3766</v>
      </c>
      <c r="I34" s="165">
        <v>4045</v>
      </c>
    </row>
    <row r="35" spans="1:9" customFormat="1" ht="23.1" customHeight="1" thickBot="1" x14ac:dyDescent="0.2">
      <c r="A35" s="48">
        <v>31</v>
      </c>
      <c r="B35" s="49" t="s">
        <v>11</v>
      </c>
      <c r="C35" s="50" t="s">
        <v>91</v>
      </c>
      <c r="D35" s="51">
        <v>11</v>
      </c>
      <c r="E35" s="51">
        <v>23</v>
      </c>
      <c r="F35" s="51" t="s">
        <v>57</v>
      </c>
      <c r="G35" s="52" t="s">
        <v>485</v>
      </c>
      <c r="H35" s="53">
        <v>5775</v>
      </c>
      <c r="I35" s="169">
        <v>6100</v>
      </c>
    </row>
    <row r="36" spans="1:9" s="3" customFormat="1" ht="21" customHeight="1" thickBot="1" x14ac:dyDescent="0.2">
      <c r="A36" s="148" t="s">
        <v>27</v>
      </c>
      <c r="B36" s="149"/>
      <c r="C36" s="149"/>
      <c r="D36" s="149"/>
      <c r="E36" s="149"/>
      <c r="F36" s="149"/>
      <c r="G36" s="150"/>
      <c r="H36" s="170">
        <f t="shared" ref="H36:I36" si="0">SUM(H5:H35)</f>
        <v>262736</v>
      </c>
      <c r="I36" s="171">
        <f t="shared" si="0"/>
        <v>286602</v>
      </c>
    </row>
    <row r="37" spans="1:9" s="3" customFormat="1" ht="21" customHeight="1" thickBot="1" x14ac:dyDescent="0.2">
      <c r="A37" s="134" t="s">
        <v>28</v>
      </c>
      <c r="B37" s="135"/>
      <c r="C37" s="135"/>
      <c r="D37" s="135"/>
      <c r="E37" s="135"/>
      <c r="F37" s="135"/>
      <c r="G37" s="136"/>
      <c r="H37" s="172">
        <f>H36+'9월'!H37</f>
        <v>1263111</v>
      </c>
      <c r="I37" s="173">
        <f>I36+'9월'!I37</f>
        <v>1485693</v>
      </c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FFFF00"/>
  </sheetPr>
  <dimension ref="A1:I37"/>
  <sheetViews>
    <sheetView workbookViewId="0">
      <pane xSplit="7" ySplit="4" topLeftCell="H16" activePane="bottomRight" state="frozen"/>
      <selection activeCell="J26" sqref="J26"/>
      <selection pane="topRight" activeCell="J26" sqref="J26"/>
      <selection pane="bottomLeft" activeCell="J26" sqref="J26"/>
      <selection pane="bottomRight" activeCell="J26" sqref="J26"/>
    </sheetView>
  </sheetViews>
  <sheetFormatPr defaultColWidth="8.88671875" defaultRowHeight="13.5" x14ac:dyDescent="0.15"/>
  <cols>
    <col min="1" max="2" width="5.77734375" style="1" customWidth="1"/>
    <col min="3" max="3" width="8.77734375" style="8" customWidth="1"/>
    <col min="4" max="5" width="3.77734375" style="8" customWidth="1"/>
    <col min="6" max="6" width="5.77734375" style="8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1" t="s">
        <v>35</v>
      </c>
      <c r="B1" s="152"/>
      <c r="C1" s="152"/>
      <c r="D1" s="152"/>
      <c r="E1" s="152"/>
      <c r="F1" s="152"/>
      <c r="G1" s="152"/>
      <c r="H1" s="152"/>
      <c r="I1" s="153"/>
    </row>
    <row r="2" spans="1:9" s="2" customFormat="1" ht="22.5" customHeight="1" x14ac:dyDescent="0.15">
      <c r="A2" s="143" t="s">
        <v>2</v>
      </c>
      <c r="B2" s="146" t="s">
        <v>1</v>
      </c>
      <c r="C2" s="137" t="s">
        <v>12</v>
      </c>
      <c r="D2" s="137" t="s">
        <v>15</v>
      </c>
      <c r="E2" s="138"/>
      <c r="F2" s="137" t="s">
        <v>16</v>
      </c>
      <c r="G2" s="141"/>
      <c r="H2" s="157" t="s">
        <v>22</v>
      </c>
      <c r="I2" s="158" t="s">
        <v>21</v>
      </c>
    </row>
    <row r="3" spans="1:9" s="2" customFormat="1" ht="18.75" customHeight="1" x14ac:dyDescent="0.15">
      <c r="A3" s="144"/>
      <c r="B3" s="154"/>
      <c r="C3" s="155"/>
      <c r="D3" s="139"/>
      <c r="E3" s="140"/>
      <c r="F3" s="139"/>
      <c r="G3" s="142"/>
      <c r="H3" s="159" t="s">
        <v>23</v>
      </c>
      <c r="I3" s="160" t="s">
        <v>20</v>
      </c>
    </row>
    <row r="4" spans="1:9" s="2" customFormat="1" ht="18.75" customHeight="1" x14ac:dyDescent="0.15">
      <c r="A4" s="145"/>
      <c r="B4" s="147"/>
      <c r="C4" s="156"/>
      <c r="D4" s="13" t="s">
        <v>13</v>
      </c>
      <c r="E4" s="13" t="s">
        <v>14</v>
      </c>
      <c r="F4" s="13" t="s">
        <v>18</v>
      </c>
      <c r="G4" s="15" t="s">
        <v>17</v>
      </c>
      <c r="H4" s="161"/>
      <c r="I4" s="162" t="s">
        <v>19</v>
      </c>
    </row>
    <row r="5" spans="1:9" ht="23.1" customHeight="1" x14ac:dyDescent="0.15">
      <c r="A5" s="30">
        <v>1</v>
      </c>
      <c r="B5" s="31" t="s">
        <v>41</v>
      </c>
      <c r="C5" s="45" t="s">
        <v>69</v>
      </c>
      <c r="D5" s="73">
        <v>13</v>
      </c>
      <c r="E5" s="73">
        <v>19</v>
      </c>
      <c r="F5" s="73" t="s">
        <v>58</v>
      </c>
      <c r="G5" s="33" t="s">
        <v>67</v>
      </c>
      <c r="H5" s="34">
        <v>7194</v>
      </c>
      <c r="I5" s="174">
        <v>7736</v>
      </c>
    </row>
    <row r="6" spans="1:9" ht="23.1" customHeight="1" x14ac:dyDescent="0.15">
      <c r="A6" s="59">
        <v>2</v>
      </c>
      <c r="B6" s="60" t="s">
        <v>54</v>
      </c>
      <c r="C6" s="61" t="s">
        <v>75</v>
      </c>
      <c r="D6" s="65">
        <v>13</v>
      </c>
      <c r="E6" s="65">
        <v>25</v>
      </c>
      <c r="F6" s="65" t="s">
        <v>257</v>
      </c>
      <c r="G6" s="63" t="s">
        <v>67</v>
      </c>
      <c r="H6" s="64">
        <v>17052</v>
      </c>
      <c r="I6" s="166">
        <v>18560</v>
      </c>
    </row>
    <row r="7" spans="1:9" ht="23.1" customHeight="1" x14ac:dyDescent="0.15">
      <c r="A7" s="29">
        <v>3</v>
      </c>
      <c r="B7" s="23" t="s">
        <v>7</v>
      </c>
      <c r="C7" s="24" t="s">
        <v>80</v>
      </c>
      <c r="D7" s="25">
        <v>13</v>
      </c>
      <c r="E7" s="25">
        <v>24</v>
      </c>
      <c r="F7" s="25" t="s">
        <v>257</v>
      </c>
      <c r="G7" s="26" t="s">
        <v>67</v>
      </c>
      <c r="H7" s="27">
        <v>12094</v>
      </c>
      <c r="I7" s="167">
        <v>13750</v>
      </c>
    </row>
    <row r="8" spans="1:9" ht="23.1" customHeight="1" x14ac:dyDescent="0.15">
      <c r="A8" s="35">
        <v>4</v>
      </c>
      <c r="B8" s="36" t="s">
        <v>8</v>
      </c>
      <c r="C8" s="47" t="s">
        <v>80</v>
      </c>
      <c r="D8" s="76">
        <v>9</v>
      </c>
      <c r="E8" s="76">
        <v>18</v>
      </c>
      <c r="F8" s="76" t="s">
        <v>58</v>
      </c>
      <c r="G8" s="77" t="s">
        <v>62</v>
      </c>
      <c r="H8" s="39">
        <v>3012</v>
      </c>
      <c r="I8" s="164">
        <v>3197</v>
      </c>
    </row>
    <row r="9" spans="1:9" ht="23.1" customHeight="1" x14ac:dyDescent="0.15">
      <c r="A9" s="40">
        <v>5</v>
      </c>
      <c r="B9" s="41" t="s">
        <v>9</v>
      </c>
      <c r="C9" s="32" t="s">
        <v>80</v>
      </c>
      <c r="D9" s="90">
        <v>6</v>
      </c>
      <c r="E9" s="90">
        <v>15</v>
      </c>
      <c r="F9" s="90" t="s">
        <v>57</v>
      </c>
      <c r="G9" s="46" t="s">
        <v>59</v>
      </c>
      <c r="H9" s="44">
        <v>2287</v>
      </c>
      <c r="I9" s="165">
        <v>2435</v>
      </c>
    </row>
    <row r="10" spans="1:9" ht="23.1" customHeight="1" x14ac:dyDescent="0.15">
      <c r="A10" s="40">
        <v>6</v>
      </c>
      <c r="B10" s="41" t="s">
        <v>10</v>
      </c>
      <c r="C10" s="32" t="s">
        <v>75</v>
      </c>
      <c r="D10" s="90">
        <v>4</v>
      </c>
      <c r="E10" s="90">
        <v>13</v>
      </c>
      <c r="F10" s="90" t="s">
        <v>57</v>
      </c>
      <c r="G10" s="46" t="s">
        <v>59</v>
      </c>
      <c r="H10" s="44">
        <v>1803</v>
      </c>
      <c r="I10" s="165">
        <v>1924</v>
      </c>
    </row>
    <row r="11" spans="1:9" ht="23.1" customHeight="1" x14ac:dyDescent="0.15">
      <c r="A11" s="40">
        <v>7</v>
      </c>
      <c r="B11" s="41" t="s">
        <v>11</v>
      </c>
      <c r="C11" s="32" t="s">
        <v>75</v>
      </c>
      <c r="D11" s="90">
        <v>2</v>
      </c>
      <c r="E11" s="90">
        <v>16</v>
      </c>
      <c r="F11" s="90" t="s">
        <v>57</v>
      </c>
      <c r="G11" s="46" t="s">
        <v>59</v>
      </c>
      <c r="H11" s="44">
        <v>1781</v>
      </c>
      <c r="I11" s="165">
        <v>1884</v>
      </c>
    </row>
    <row r="12" spans="1:9" ht="23.1" customHeight="1" x14ac:dyDescent="0.15">
      <c r="A12" s="40">
        <v>8</v>
      </c>
      <c r="B12" s="41" t="s">
        <v>5</v>
      </c>
      <c r="C12" s="32" t="s">
        <v>75</v>
      </c>
      <c r="D12" s="91">
        <v>3</v>
      </c>
      <c r="E12" s="91">
        <v>18</v>
      </c>
      <c r="F12" s="91" t="s">
        <v>57</v>
      </c>
      <c r="G12" s="46" t="s">
        <v>59</v>
      </c>
      <c r="H12" s="44">
        <v>5022</v>
      </c>
      <c r="I12" s="165">
        <v>5359</v>
      </c>
    </row>
    <row r="13" spans="1:9" ht="23.1" customHeight="1" x14ac:dyDescent="0.15">
      <c r="A13" s="59">
        <v>9</v>
      </c>
      <c r="B13" s="60" t="s">
        <v>6</v>
      </c>
      <c r="C13" s="61" t="s">
        <v>75</v>
      </c>
      <c r="D13" s="62">
        <v>7</v>
      </c>
      <c r="E13" s="62">
        <v>20</v>
      </c>
      <c r="F13" s="62" t="s">
        <v>58</v>
      </c>
      <c r="G13" s="63" t="s">
        <v>67</v>
      </c>
      <c r="H13" s="64">
        <v>14920</v>
      </c>
      <c r="I13" s="166">
        <v>16389</v>
      </c>
    </row>
    <row r="14" spans="1:9" ht="23.1" customHeight="1" x14ac:dyDescent="0.15">
      <c r="A14" s="29">
        <v>10</v>
      </c>
      <c r="B14" s="23" t="s">
        <v>7</v>
      </c>
      <c r="C14" s="24" t="s">
        <v>80</v>
      </c>
      <c r="D14" s="25">
        <v>10</v>
      </c>
      <c r="E14" s="25">
        <v>21</v>
      </c>
      <c r="F14" s="25" t="s">
        <v>58</v>
      </c>
      <c r="G14" s="26" t="s">
        <v>67</v>
      </c>
      <c r="H14" s="27">
        <v>9581</v>
      </c>
      <c r="I14" s="167">
        <v>11306</v>
      </c>
    </row>
    <row r="15" spans="1:9" ht="23.1" customHeight="1" x14ac:dyDescent="0.15">
      <c r="A15" s="35">
        <v>11</v>
      </c>
      <c r="B15" s="36" t="s">
        <v>8</v>
      </c>
      <c r="C15" s="47" t="s">
        <v>75</v>
      </c>
      <c r="D15" s="37">
        <v>10</v>
      </c>
      <c r="E15" s="37">
        <v>22</v>
      </c>
      <c r="F15" s="37" t="s">
        <v>58</v>
      </c>
      <c r="G15" s="38" t="s">
        <v>62</v>
      </c>
      <c r="H15" s="39">
        <v>4355</v>
      </c>
      <c r="I15" s="164">
        <v>4556</v>
      </c>
    </row>
    <row r="16" spans="1:9" ht="23.1" customHeight="1" x14ac:dyDescent="0.15">
      <c r="A16" s="40">
        <v>12</v>
      </c>
      <c r="B16" s="41" t="s">
        <v>9</v>
      </c>
      <c r="C16" s="32" t="s">
        <v>91</v>
      </c>
      <c r="D16" s="90">
        <v>11</v>
      </c>
      <c r="E16" s="90">
        <v>19</v>
      </c>
      <c r="F16" s="90" t="s">
        <v>57</v>
      </c>
      <c r="G16" s="46" t="s">
        <v>62</v>
      </c>
      <c r="H16" s="44">
        <v>2357</v>
      </c>
      <c r="I16" s="165">
        <v>2513</v>
      </c>
    </row>
    <row r="17" spans="1:9" ht="23.1" customHeight="1" x14ac:dyDescent="0.15">
      <c r="A17" s="40">
        <v>13</v>
      </c>
      <c r="B17" s="41" t="s">
        <v>10</v>
      </c>
      <c r="C17" s="32" t="s">
        <v>75</v>
      </c>
      <c r="D17" s="90">
        <v>8</v>
      </c>
      <c r="E17" s="90">
        <v>21</v>
      </c>
      <c r="F17" s="90" t="s">
        <v>57</v>
      </c>
      <c r="G17" s="46" t="s">
        <v>62</v>
      </c>
      <c r="H17" s="44">
        <v>2735</v>
      </c>
      <c r="I17" s="165">
        <v>2995</v>
      </c>
    </row>
    <row r="18" spans="1:9" ht="23.1" customHeight="1" x14ac:dyDescent="0.15">
      <c r="A18" s="40">
        <v>14</v>
      </c>
      <c r="B18" s="41" t="s">
        <v>11</v>
      </c>
      <c r="C18" s="32" t="s">
        <v>138</v>
      </c>
      <c r="D18" s="90">
        <v>13</v>
      </c>
      <c r="E18" s="90">
        <v>17</v>
      </c>
      <c r="F18" s="90" t="s">
        <v>57</v>
      </c>
      <c r="G18" s="46" t="s">
        <v>62</v>
      </c>
      <c r="H18" s="44">
        <v>2416</v>
      </c>
      <c r="I18" s="165">
        <v>2573</v>
      </c>
    </row>
    <row r="19" spans="1:9" ht="23.1" customHeight="1" x14ac:dyDescent="0.15">
      <c r="A19" s="40">
        <v>15</v>
      </c>
      <c r="B19" s="41" t="s">
        <v>5</v>
      </c>
      <c r="C19" s="32" t="s">
        <v>230</v>
      </c>
      <c r="D19" s="90">
        <v>14</v>
      </c>
      <c r="E19" s="90">
        <v>22</v>
      </c>
      <c r="F19" s="90" t="s">
        <v>57</v>
      </c>
      <c r="G19" s="46" t="s">
        <v>66</v>
      </c>
      <c r="H19" s="44">
        <v>4030</v>
      </c>
      <c r="I19" s="165">
        <v>4600</v>
      </c>
    </row>
    <row r="20" spans="1:9" ht="23.1" customHeight="1" x14ac:dyDescent="0.15">
      <c r="A20" s="59">
        <v>16</v>
      </c>
      <c r="B20" s="60" t="s">
        <v>6</v>
      </c>
      <c r="C20" s="61" t="s">
        <v>92</v>
      </c>
      <c r="D20" s="65">
        <v>14</v>
      </c>
      <c r="E20" s="65">
        <v>23</v>
      </c>
      <c r="F20" s="65" t="s">
        <v>58</v>
      </c>
      <c r="G20" s="63" t="s">
        <v>67</v>
      </c>
      <c r="H20" s="64">
        <v>9273</v>
      </c>
      <c r="I20" s="166">
        <v>10492</v>
      </c>
    </row>
    <row r="21" spans="1:9" ht="23.1" customHeight="1" x14ac:dyDescent="0.15">
      <c r="A21" s="29">
        <v>17</v>
      </c>
      <c r="B21" s="23" t="s">
        <v>7</v>
      </c>
      <c r="C21" s="24" t="s">
        <v>80</v>
      </c>
      <c r="D21" s="25">
        <v>2</v>
      </c>
      <c r="E21" s="25">
        <v>14</v>
      </c>
      <c r="F21" s="25" t="s">
        <v>58</v>
      </c>
      <c r="G21" s="26" t="s">
        <v>66</v>
      </c>
      <c r="H21" s="27">
        <v>5849</v>
      </c>
      <c r="I21" s="167">
        <v>6918</v>
      </c>
    </row>
    <row r="22" spans="1:9" ht="23.1" customHeight="1" x14ac:dyDescent="0.15">
      <c r="A22" s="35">
        <v>18</v>
      </c>
      <c r="B22" s="36" t="s">
        <v>8</v>
      </c>
      <c r="C22" s="47" t="s">
        <v>75</v>
      </c>
      <c r="D22" s="37">
        <v>-1</v>
      </c>
      <c r="E22" s="37">
        <v>8</v>
      </c>
      <c r="F22" s="37" t="s">
        <v>58</v>
      </c>
      <c r="G22" s="38" t="s">
        <v>61</v>
      </c>
      <c r="H22" s="39">
        <v>907</v>
      </c>
      <c r="I22" s="164">
        <v>966</v>
      </c>
    </row>
    <row r="23" spans="1:9" ht="23.1" customHeight="1" x14ac:dyDescent="0.15">
      <c r="A23" s="40">
        <v>19</v>
      </c>
      <c r="B23" s="41" t="s">
        <v>9</v>
      </c>
      <c r="C23" s="32" t="s">
        <v>80</v>
      </c>
      <c r="D23" s="90">
        <v>0</v>
      </c>
      <c r="E23" s="90">
        <v>11</v>
      </c>
      <c r="F23" s="90" t="s">
        <v>58</v>
      </c>
      <c r="G23" s="46" t="s">
        <v>61</v>
      </c>
      <c r="H23" s="44">
        <v>770</v>
      </c>
      <c r="I23" s="165">
        <v>851</v>
      </c>
    </row>
    <row r="24" spans="1:9" ht="23.1" customHeight="1" x14ac:dyDescent="0.15">
      <c r="A24" s="40">
        <v>20</v>
      </c>
      <c r="B24" s="41" t="s">
        <v>10</v>
      </c>
      <c r="C24" s="32" t="s">
        <v>634</v>
      </c>
      <c r="D24" s="90">
        <v>2</v>
      </c>
      <c r="E24" s="90">
        <v>10</v>
      </c>
      <c r="F24" s="90" t="s">
        <v>58</v>
      </c>
      <c r="G24" s="46" t="s">
        <v>61</v>
      </c>
      <c r="H24" s="44">
        <v>1160</v>
      </c>
      <c r="I24" s="165">
        <v>1251</v>
      </c>
    </row>
    <row r="25" spans="1:9" ht="23.1" customHeight="1" x14ac:dyDescent="0.15">
      <c r="A25" s="40">
        <v>21</v>
      </c>
      <c r="B25" s="41" t="s">
        <v>11</v>
      </c>
      <c r="C25" s="32" t="s">
        <v>635</v>
      </c>
      <c r="D25" s="90">
        <v>6</v>
      </c>
      <c r="E25" s="90">
        <v>14</v>
      </c>
      <c r="F25" s="90" t="s">
        <v>58</v>
      </c>
      <c r="G25" s="46" t="s">
        <v>61</v>
      </c>
      <c r="H25" s="44">
        <v>1139</v>
      </c>
      <c r="I25" s="165">
        <v>1205</v>
      </c>
    </row>
    <row r="26" spans="1:9" ht="23.1" customHeight="1" x14ac:dyDescent="0.15">
      <c r="A26" s="40">
        <v>22</v>
      </c>
      <c r="B26" s="41" t="s">
        <v>5</v>
      </c>
      <c r="C26" s="32" t="s">
        <v>75</v>
      </c>
      <c r="D26" s="90">
        <v>3</v>
      </c>
      <c r="E26" s="90">
        <v>11</v>
      </c>
      <c r="F26" s="90" t="s">
        <v>58</v>
      </c>
      <c r="G26" s="46" t="s">
        <v>62</v>
      </c>
      <c r="H26" s="44">
        <v>2075</v>
      </c>
      <c r="I26" s="165">
        <v>2309</v>
      </c>
    </row>
    <row r="27" spans="1:9" ht="23.1" customHeight="1" x14ac:dyDescent="0.15">
      <c r="A27" s="59">
        <v>23</v>
      </c>
      <c r="B27" s="60" t="s">
        <v>6</v>
      </c>
      <c r="C27" s="61" t="s">
        <v>75</v>
      </c>
      <c r="D27" s="65">
        <v>2</v>
      </c>
      <c r="E27" s="65">
        <v>13</v>
      </c>
      <c r="F27" s="90" t="s">
        <v>58</v>
      </c>
      <c r="G27" s="63" t="s">
        <v>66</v>
      </c>
      <c r="H27" s="64">
        <v>10481</v>
      </c>
      <c r="I27" s="166">
        <v>11590</v>
      </c>
    </row>
    <row r="28" spans="1:9" ht="23.1" customHeight="1" x14ac:dyDescent="0.15">
      <c r="A28" s="29">
        <v>24</v>
      </c>
      <c r="B28" s="23" t="s">
        <v>7</v>
      </c>
      <c r="C28" s="24" t="s">
        <v>75</v>
      </c>
      <c r="D28" s="25">
        <v>3</v>
      </c>
      <c r="E28" s="25">
        <v>14</v>
      </c>
      <c r="F28" s="25" t="s">
        <v>57</v>
      </c>
      <c r="G28" s="26" t="s">
        <v>66</v>
      </c>
      <c r="H28" s="27">
        <v>6191</v>
      </c>
      <c r="I28" s="167">
        <v>7721</v>
      </c>
    </row>
    <row r="29" spans="1:9" ht="23.1" customHeight="1" x14ac:dyDescent="0.15">
      <c r="A29" s="35">
        <v>25</v>
      </c>
      <c r="B29" s="36" t="s">
        <v>8</v>
      </c>
      <c r="C29" s="47" t="s">
        <v>63</v>
      </c>
      <c r="D29" s="37">
        <v>4</v>
      </c>
      <c r="E29" s="37">
        <v>15</v>
      </c>
      <c r="F29" s="37" t="s">
        <v>58</v>
      </c>
      <c r="G29" s="38" t="s">
        <v>61</v>
      </c>
      <c r="H29" s="39">
        <v>1370</v>
      </c>
      <c r="I29" s="164">
        <v>1540</v>
      </c>
    </row>
    <row r="30" spans="1:9" ht="23.1" customHeight="1" x14ac:dyDescent="0.15">
      <c r="A30" s="40">
        <v>26</v>
      </c>
      <c r="B30" s="41" t="s">
        <v>9</v>
      </c>
      <c r="C30" s="32" t="s">
        <v>636</v>
      </c>
      <c r="D30" s="90">
        <v>1</v>
      </c>
      <c r="E30" s="90">
        <v>13</v>
      </c>
      <c r="F30" s="90" t="s">
        <v>58</v>
      </c>
      <c r="G30" s="46" t="s">
        <v>154</v>
      </c>
      <c r="H30" s="44">
        <v>242</v>
      </c>
      <c r="I30" s="165">
        <v>243</v>
      </c>
    </row>
    <row r="31" spans="1:9" ht="23.1" customHeight="1" x14ac:dyDescent="0.15">
      <c r="A31" s="40">
        <v>27</v>
      </c>
      <c r="B31" s="41" t="s">
        <v>10</v>
      </c>
      <c r="C31" s="32" t="s">
        <v>637</v>
      </c>
      <c r="D31" s="90">
        <v>-1</v>
      </c>
      <c r="E31" s="90">
        <v>1</v>
      </c>
      <c r="F31" s="90" t="s">
        <v>57</v>
      </c>
      <c r="G31" s="46" t="s">
        <v>160</v>
      </c>
      <c r="H31" s="44">
        <v>42</v>
      </c>
      <c r="I31" s="165">
        <v>42</v>
      </c>
    </row>
    <row r="32" spans="1:9" ht="23.1" customHeight="1" x14ac:dyDescent="0.15">
      <c r="A32" s="40">
        <v>28</v>
      </c>
      <c r="B32" s="41" t="s">
        <v>11</v>
      </c>
      <c r="C32" s="32" t="s">
        <v>638</v>
      </c>
      <c r="D32" s="90">
        <v>-2</v>
      </c>
      <c r="E32" s="90">
        <v>3</v>
      </c>
      <c r="F32" s="90" t="s">
        <v>57</v>
      </c>
      <c r="G32" s="46" t="s">
        <v>160</v>
      </c>
      <c r="H32" s="44">
        <v>0</v>
      </c>
      <c r="I32" s="165">
        <v>0</v>
      </c>
    </row>
    <row r="33" spans="1:9" ht="23.1" customHeight="1" x14ac:dyDescent="0.15">
      <c r="A33" s="40">
        <v>29</v>
      </c>
      <c r="B33" s="41" t="s">
        <v>5</v>
      </c>
      <c r="C33" s="32" t="s">
        <v>639</v>
      </c>
      <c r="D33" s="90">
        <v>-3</v>
      </c>
      <c r="E33" s="90">
        <v>3</v>
      </c>
      <c r="F33" s="90" t="s">
        <v>57</v>
      </c>
      <c r="G33" s="46" t="s">
        <v>60</v>
      </c>
      <c r="H33" s="44">
        <v>234</v>
      </c>
      <c r="I33" s="165">
        <v>262</v>
      </c>
    </row>
    <row r="34" spans="1:9" ht="23.25" customHeight="1" x14ac:dyDescent="0.15">
      <c r="A34" s="59">
        <v>30</v>
      </c>
      <c r="B34" s="60" t="s">
        <v>6</v>
      </c>
      <c r="C34" s="61" t="s">
        <v>274</v>
      </c>
      <c r="D34" s="65">
        <v>-1</v>
      </c>
      <c r="E34" s="65">
        <v>6</v>
      </c>
      <c r="F34" s="65" t="s">
        <v>58</v>
      </c>
      <c r="G34" s="63" t="s">
        <v>66</v>
      </c>
      <c r="H34" s="64">
        <v>3590</v>
      </c>
      <c r="I34" s="166">
        <v>4024</v>
      </c>
    </row>
    <row r="35" spans="1:9" ht="23.1" customHeight="1" thickBot="1" x14ac:dyDescent="0.2">
      <c r="A35" s="48"/>
      <c r="B35" s="49"/>
      <c r="C35" s="50"/>
      <c r="D35" s="51"/>
      <c r="E35" s="51"/>
      <c r="F35" s="51"/>
      <c r="G35" s="52"/>
      <c r="H35" s="53">
        <v>0</v>
      </c>
      <c r="I35" s="169">
        <v>0</v>
      </c>
    </row>
    <row r="36" spans="1:9" s="3" customFormat="1" ht="21" customHeight="1" thickBot="1" x14ac:dyDescent="0.2">
      <c r="A36" s="148" t="s">
        <v>27</v>
      </c>
      <c r="B36" s="149"/>
      <c r="C36" s="149"/>
      <c r="D36" s="149"/>
      <c r="E36" s="149"/>
      <c r="F36" s="149"/>
      <c r="G36" s="150"/>
      <c r="H36" s="170">
        <f t="shared" ref="H36:I36" si="0">SUM(H5:H35)</f>
        <v>133962</v>
      </c>
      <c r="I36" s="171">
        <f t="shared" si="0"/>
        <v>149191</v>
      </c>
    </row>
    <row r="37" spans="1:9" s="3" customFormat="1" ht="21" customHeight="1" thickBot="1" x14ac:dyDescent="0.2">
      <c r="A37" s="134" t="s">
        <v>28</v>
      </c>
      <c r="B37" s="135"/>
      <c r="C37" s="135"/>
      <c r="D37" s="135"/>
      <c r="E37" s="135"/>
      <c r="F37" s="135"/>
      <c r="G37" s="136"/>
      <c r="H37" s="172">
        <f>H36+'10월'!H37</f>
        <v>1397073</v>
      </c>
      <c r="I37" s="173">
        <f>I36+'10월'!I37</f>
        <v>1634884</v>
      </c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FFFF00"/>
  </sheetPr>
  <dimension ref="A1:I37"/>
  <sheetViews>
    <sheetView zoomScaleNormal="100" workbookViewId="0">
      <selection activeCell="J26" sqref="J26"/>
    </sheetView>
  </sheetViews>
  <sheetFormatPr defaultColWidth="8.88671875" defaultRowHeight="13.5" x14ac:dyDescent="0.15"/>
  <cols>
    <col min="1" max="2" width="5.77734375" style="1" customWidth="1"/>
    <col min="3" max="3" width="8.77734375" style="8" customWidth="1"/>
    <col min="4" max="5" width="3.77734375" style="8" customWidth="1"/>
    <col min="6" max="6" width="5.77734375" style="8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51" t="s">
        <v>36</v>
      </c>
      <c r="B1" s="152"/>
      <c r="C1" s="152"/>
      <c r="D1" s="152"/>
      <c r="E1" s="152"/>
      <c r="F1" s="152"/>
      <c r="G1" s="152"/>
      <c r="H1" s="152"/>
      <c r="I1" s="153"/>
    </row>
    <row r="2" spans="1:9" s="2" customFormat="1" ht="22.5" customHeight="1" x14ac:dyDescent="0.15">
      <c r="A2" s="143" t="s">
        <v>2</v>
      </c>
      <c r="B2" s="146" t="s">
        <v>1</v>
      </c>
      <c r="C2" s="137" t="s">
        <v>12</v>
      </c>
      <c r="D2" s="137" t="s">
        <v>15</v>
      </c>
      <c r="E2" s="138"/>
      <c r="F2" s="137" t="s">
        <v>16</v>
      </c>
      <c r="G2" s="141"/>
      <c r="H2" s="157" t="s">
        <v>22</v>
      </c>
      <c r="I2" s="158" t="s">
        <v>21</v>
      </c>
    </row>
    <row r="3" spans="1:9" s="2" customFormat="1" ht="18.75" customHeight="1" x14ac:dyDescent="0.15">
      <c r="A3" s="144"/>
      <c r="B3" s="154"/>
      <c r="C3" s="155"/>
      <c r="D3" s="139"/>
      <c r="E3" s="140"/>
      <c r="F3" s="139"/>
      <c r="G3" s="142"/>
      <c r="H3" s="159" t="s">
        <v>23</v>
      </c>
      <c r="I3" s="160" t="s">
        <v>20</v>
      </c>
    </row>
    <row r="4" spans="1:9" s="2" customFormat="1" ht="18.75" customHeight="1" x14ac:dyDescent="0.15">
      <c r="A4" s="145"/>
      <c r="B4" s="147"/>
      <c r="C4" s="156"/>
      <c r="D4" s="13" t="s">
        <v>13</v>
      </c>
      <c r="E4" s="13" t="s">
        <v>14</v>
      </c>
      <c r="F4" s="13" t="s">
        <v>18</v>
      </c>
      <c r="G4" s="15" t="s">
        <v>17</v>
      </c>
      <c r="H4" s="161"/>
      <c r="I4" s="162" t="s">
        <v>19</v>
      </c>
    </row>
    <row r="5" spans="1:9" ht="23.1" customHeight="1" x14ac:dyDescent="0.15">
      <c r="A5" s="67">
        <v>1</v>
      </c>
      <c r="B5" s="68" t="s">
        <v>55</v>
      </c>
      <c r="C5" s="69" t="s">
        <v>63</v>
      </c>
      <c r="D5" s="70">
        <v>2</v>
      </c>
      <c r="E5" s="70">
        <v>8</v>
      </c>
      <c r="F5" s="115" t="s">
        <v>58</v>
      </c>
      <c r="G5" s="116" t="s">
        <v>62</v>
      </c>
      <c r="H5" s="71">
        <v>2643</v>
      </c>
      <c r="I5" s="163">
        <v>3525</v>
      </c>
    </row>
    <row r="6" spans="1:9" ht="23.1" customHeight="1" x14ac:dyDescent="0.15">
      <c r="A6" s="35">
        <v>2</v>
      </c>
      <c r="B6" s="36" t="s">
        <v>56</v>
      </c>
      <c r="C6" s="47" t="s">
        <v>274</v>
      </c>
      <c r="D6" s="37">
        <v>1</v>
      </c>
      <c r="E6" s="37">
        <v>13</v>
      </c>
      <c r="F6" s="37" t="s">
        <v>58</v>
      </c>
      <c r="G6" s="38" t="s">
        <v>61</v>
      </c>
      <c r="H6" s="39">
        <v>424</v>
      </c>
      <c r="I6" s="164">
        <v>516</v>
      </c>
    </row>
    <row r="7" spans="1:9" ht="23.1" customHeight="1" x14ac:dyDescent="0.15">
      <c r="A7" s="40">
        <v>3</v>
      </c>
      <c r="B7" s="41" t="s">
        <v>9</v>
      </c>
      <c r="C7" s="32" t="s">
        <v>80</v>
      </c>
      <c r="D7" s="90">
        <v>-2</v>
      </c>
      <c r="E7" s="90">
        <v>5</v>
      </c>
      <c r="F7" s="90" t="s">
        <v>57</v>
      </c>
      <c r="G7" s="46" t="s">
        <v>60</v>
      </c>
      <c r="H7" s="44">
        <v>308</v>
      </c>
      <c r="I7" s="165">
        <v>342</v>
      </c>
    </row>
    <row r="8" spans="1:9" ht="23.1" customHeight="1" x14ac:dyDescent="0.15">
      <c r="A8" s="40">
        <v>4</v>
      </c>
      <c r="B8" s="41" t="s">
        <v>10</v>
      </c>
      <c r="C8" s="32" t="s">
        <v>75</v>
      </c>
      <c r="D8" s="42">
        <v>-1</v>
      </c>
      <c r="E8" s="42">
        <v>7</v>
      </c>
      <c r="F8" s="42" t="s">
        <v>57</v>
      </c>
      <c r="G8" s="43" t="s">
        <v>60</v>
      </c>
      <c r="H8" s="44">
        <v>337</v>
      </c>
      <c r="I8" s="165">
        <v>402</v>
      </c>
    </row>
    <row r="9" spans="1:9" ht="23.1" customHeight="1" x14ac:dyDescent="0.15">
      <c r="A9" s="40">
        <v>5</v>
      </c>
      <c r="B9" s="41" t="s">
        <v>11</v>
      </c>
      <c r="C9" s="32" t="s">
        <v>274</v>
      </c>
      <c r="D9" s="90">
        <v>0</v>
      </c>
      <c r="E9" s="90">
        <v>9</v>
      </c>
      <c r="F9" s="90" t="s">
        <v>57</v>
      </c>
      <c r="G9" s="46" t="s">
        <v>60</v>
      </c>
      <c r="H9" s="44">
        <v>353</v>
      </c>
      <c r="I9" s="165">
        <v>394</v>
      </c>
    </row>
    <row r="10" spans="1:9" ht="23.1" customHeight="1" x14ac:dyDescent="0.15">
      <c r="A10" s="40">
        <v>6</v>
      </c>
      <c r="B10" s="41" t="s">
        <v>5</v>
      </c>
      <c r="C10" s="32" t="s">
        <v>75</v>
      </c>
      <c r="D10" s="90">
        <v>0</v>
      </c>
      <c r="E10" s="90">
        <v>5</v>
      </c>
      <c r="F10" s="90" t="s">
        <v>57</v>
      </c>
      <c r="G10" s="46" t="s">
        <v>60</v>
      </c>
      <c r="H10" s="44">
        <v>918</v>
      </c>
      <c r="I10" s="165">
        <v>1000</v>
      </c>
    </row>
    <row r="11" spans="1:9" ht="23.1" customHeight="1" x14ac:dyDescent="0.15">
      <c r="A11" s="59">
        <v>7</v>
      </c>
      <c r="B11" s="60" t="s">
        <v>6</v>
      </c>
      <c r="C11" s="61" t="s">
        <v>75</v>
      </c>
      <c r="D11" s="65">
        <v>-3</v>
      </c>
      <c r="E11" s="65">
        <v>5</v>
      </c>
      <c r="F11" s="65" t="s">
        <v>58</v>
      </c>
      <c r="G11" s="63" t="s">
        <v>66</v>
      </c>
      <c r="H11" s="64">
        <v>3398</v>
      </c>
      <c r="I11" s="166">
        <v>3983</v>
      </c>
    </row>
    <row r="12" spans="1:9" ht="23.1" customHeight="1" x14ac:dyDescent="0.15">
      <c r="A12" s="29">
        <v>8</v>
      </c>
      <c r="B12" s="23" t="s">
        <v>7</v>
      </c>
      <c r="C12" s="24" t="s">
        <v>75</v>
      </c>
      <c r="D12" s="66">
        <v>-4</v>
      </c>
      <c r="E12" s="66">
        <v>4</v>
      </c>
      <c r="F12" s="66" t="s">
        <v>58</v>
      </c>
      <c r="G12" s="26" t="s">
        <v>62</v>
      </c>
      <c r="H12" s="27">
        <v>1423</v>
      </c>
      <c r="I12" s="167">
        <v>2074</v>
      </c>
    </row>
    <row r="13" spans="1:9" ht="23.1" customHeight="1" x14ac:dyDescent="0.15">
      <c r="A13" s="35">
        <v>9</v>
      </c>
      <c r="B13" s="36" t="s">
        <v>8</v>
      </c>
      <c r="C13" s="47" t="s">
        <v>75</v>
      </c>
      <c r="D13" s="72">
        <v>-4</v>
      </c>
      <c r="E13" s="72">
        <v>7</v>
      </c>
      <c r="F13" s="72" t="s">
        <v>57</v>
      </c>
      <c r="G13" s="38" t="s">
        <v>60</v>
      </c>
      <c r="H13" s="39">
        <v>413</v>
      </c>
      <c r="I13" s="164">
        <v>461</v>
      </c>
    </row>
    <row r="14" spans="1:9" ht="23.1" customHeight="1" x14ac:dyDescent="0.15">
      <c r="A14" s="40">
        <v>10</v>
      </c>
      <c r="B14" s="41" t="s">
        <v>9</v>
      </c>
      <c r="C14" s="32" t="s">
        <v>80</v>
      </c>
      <c r="D14" s="90">
        <v>-2</v>
      </c>
      <c r="E14" s="90">
        <v>7</v>
      </c>
      <c r="F14" s="90" t="s">
        <v>57</v>
      </c>
      <c r="G14" s="46" t="s">
        <v>60</v>
      </c>
      <c r="H14" s="44">
        <v>489</v>
      </c>
      <c r="I14" s="165">
        <v>529</v>
      </c>
    </row>
    <row r="15" spans="1:9" ht="23.1" customHeight="1" x14ac:dyDescent="0.15">
      <c r="A15" s="40">
        <v>11</v>
      </c>
      <c r="B15" s="41" t="s">
        <v>10</v>
      </c>
      <c r="C15" s="32" t="s">
        <v>80</v>
      </c>
      <c r="D15" s="90">
        <v>0</v>
      </c>
      <c r="E15" s="90">
        <v>8</v>
      </c>
      <c r="F15" s="90" t="s">
        <v>57</v>
      </c>
      <c r="G15" s="46" t="s">
        <v>60</v>
      </c>
      <c r="H15" s="44">
        <v>391</v>
      </c>
      <c r="I15" s="165">
        <v>452</v>
      </c>
    </row>
    <row r="16" spans="1:9" ht="23.1" customHeight="1" x14ac:dyDescent="0.15">
      <c r="A16" s="40">
        <v>12</v>
      </c>
      <c r="B16" s="41" t="s">
        <v>11</v>
      </c>
      <c r="C16" s="32" t="s">
        <v>80</v>
      </c>
      <c r="D16" s="90">
        <v>-3</v>
      </c>
      <c r="E16" s="90">
        <v>5</v>
      </c>
      <c r="F16" s="90" t="s">
        <v>57</v>
      </c>
      <c r="G16" s="46" t="s">
        <v>60</v>
      </c>
      <c r="H16" s="44">
        <v>398</v>
      </c>
      <c r="I16" s="165">
        <v>439</v>
      </c>
    </row>
    <row r="17" spans="1:9" ht="23.1" customHeight="1" x14ac:dyDescent="0.15">
      <c r="A17" s="40">
        <v>13</v>
      </c>
      <c r="B17" s="41" t="s">
        <v>5</v>
      </c>
      <c r="C17" s="32" t="s">
        <v>641</v>
      </c>
      <c r="D17" s="90">
        <v>-2</v>
      </c>
      <c r="E17" s="90">
        <v>5</v>
      </c>
      <c r="F17" s="90" t="s">
        <v>57</v>
      </c>
      <c r="G17" s="46" t="s">
        <v>60</v>
      </c>
      <c r="H17" s="44">
        <v>546</v>
      </c>
      <c r="I17" s="165">
        <v>672</v>
      </c>
    </row>
    <row r="18" spans="1:9" ht="23.1" customHeight="1" x14ac:dyDescent="0.15">
      <c r="A18" s="59">
        <v>14</v>
      </c>
      <c r="B18" s="60" t="s">
        <v>6</v>
      </c>
      <c r="C18" s="61" t="s">
        <v>75</v>
      </c>
      <c r="D18" s="65">
        <v>-4</v>
      </c>
      <c r="E18" s="65">
        <v>3</v>
      </c>
      <c r="F18" s="65" t="s">
        <v>57</v>
      </c>
      <c r="G18" s="63" t="s">
        <v>485</v>
      </c>
      <c r="H18" s="64">
        <v>2771</v>
      </c>
      <c r="I18" s="166">
        <v>3427</v>
      </c>
    </row>
    <row r="19" spans="1:9" ht="23.1" customHeight="1" x14ac:dyDescent="0.15">
      <c r="A19" s="29">
        <v>15</v>
      </c>
      <c r="B19" s="23" t="s">
        <v>7</v>
      </c>
      <c r="C19" s="24" t="s">
        <v>640</v>
      </c>
      <c r="D19" s="25">
        <v>-2</v>
      </c>
      <c r="E19" s="25">
        <v>5</v>
      </c>
      <c r="F19" s="25" t="s">
        <v>57</v>
      </c>
      <c r="G19" s="26" t="s">
        <v>59</v>
      </c>
      <c r="H19" s="27">
        <v>1494</v>
      </c>
      <c r="I19" s="167">
        <v>2145</v>
      </c>
    </row>
    <row r="20" spans="1:9" ht="23.1" customHeight="1" x14ac:dyDescent="0.15">
      <c r="A20" s="35">
        <v>16</v>
      </c>
      <c r="B20" s="36" t="s">
        <v>8</v>
      </c>
      <c r="C20" s="47" t="s">
        <v>642</v>
      </c>
      <c r="D20" s="37">
        <v>-3</v>
      </c>
      <c r="E20" s="37">
        <v>4</v>
      </c>
      <c r="F20" s="37" t="s">
        <v>57</v>
      </c>
      <c r="G20" s="38" t="s">
        <v>60</v>
      </c>
      <c r="H20" s="39">
        <v>381</v>
      </c>
      <c r="I20" s="164">
        <v>431</v>
      </c>
    </row>
    <row r="21" spans="1:9" ht="23.1" customHeight="1" x14ac:dyDescent="0.15">
      <c r="A21" s="40">
        <v>17</v>
      </c>
      <c r="B21" s="41" t="s">
        <v>9</v>
      </c>
      <c r="C21" s="32" t="s">
        <v>75</v>
      </c>
      <c r="D21" s="90">
        <v>-4</v>
      </c>
      <c r="E21" s="90">
        <v>4</v>
      </c>
      <c r="F21" s="90" t="s">
        <v>57</v>
      </c>
      <c r="G21" s="46" t="s">
        <v>60</v>
      </c>
      <c r="H21" s="44">
        <v>355</v>
      </c>
      <c r="I21" s="165">
        <v>395</v>
      </c>
    </row>
    <row r="22" spans="1:9" ht="23.1" customHeight="1" x14ac:dyDescent="0.15">
      <c r="A22" s="40">
        <v>18</v>
      </c>
      <c r="B22" s="41" t="s">
        <v>10</v>
      </c>
      <c r="C22" s="32" t="s">
        <v>75</v>
      </c>
      <c r="D22" s="90">
        <v>-6</v>
      </c>
      <c r="E22" s="90">
        <v>1</v>
      </c>
      <c r="F22" s="90" t="s">
        <v>57</v>
      </c>
      <c r="G22" s="46" t="s">
        <v>60</v>
      </c>
      <c r="H22" s="44">
        <v>313</v>
      </c>
      <c r="I22" s="165">
        <v>365</v>
      </c>
    </row>
    <row r="23" spans="1:9" ht="23.1" customHeight="1" x14ac:dyDescent="0.15">
      <c r="A23" s="40">
        <v>19</v>
      </c>
      <c r="B23" s="41" t="s">
        <v>11</v>
      </c>
      <c r="C23" s="32" t="s">
        <v>80</v>
      </c>
      <c r="D23" s="90">
        <v>-7</v>
      </c>
      <c r="E23" s="90">
        <v>5</v>
      </c>
      <c r="F23" s="90" t="s">
        <v>57</v>
      </c>
      <c r="G23" s="46" t="s">
        <v>60</v>
      </c>
      <c r="H23" s="44">
        <v>286</v>
      </c>
      <c r="I23" s="165">
        <v>330</v>
      </c>
    </row>
    <row r="24" spans="1:9" ht="23.1" customHeight="1" x14ac:dyDescent="0.15">
      <c r="A24" s="40">
        <v>20</v>
      </c>
      <c r="B24" s="41" t="s">
        <v>5</v>
      </c>
      <c r="C24" s="32" t="s">
        <v>643</v>
      </c>
      <c r="D24" s="90">
        <v>-2</v>
      </c>
      <c r="E24" s="90">
        <v>5</v>
      </c>
      <c r="F24" s="90" t="s">
        <v>57</v>
      </c>
      <c r="G24" s="46" t="s">
        <v>60</v>
      </c>
      <c r="H24" s="44">
        <v>909</v>
      </c>
      <c r="I24" s="165">
        <v>988</v>
      </c>
    </row>
    <row r="25" spans="1:9" ht="23.1" customHeight="1" x14ac:dyDescent="0.15">
      <c r="A25" s="59">
        <v>21</v>
      </c>
      <c r="B25" s="60" t="s">
        <v>6</v>
      </c>
      <c r="C25" s="61" t="s">
        <v>644</v>
      </c>
      <c r="D25" s="65">
        <v>-5</v>
      </c>
      <c r="E25" s="65">
        <v>2</v>
      </c>
      <c r="F25" s="65" t="s">
        <v>57</v>
      </c>
      <c r="G25" s="63" t="s">
        <v>485</v>
      </c>
      <c r="H25" s="64">
        <v>3884</v>
      </c>
      <c r="I25" s="166">
        <v>4632</v>
      </c>
    </row>
    <row r="26" spans="1:9" ht="23.1" customHeight="1" x14ac:dyDescent="0.15">
      <c r="A26" s="29">
        <v>22</v>
      </c>
      <c r="B26" s="23" t="s">
        <v>7</v>
      </c>
      <c r="C26" s="24" t="s">
        <v>75</v>
      </c>
      <c r="D26" s="25">
        <v>-8</v>
      </c>
      <c r="E26" s="25">
        <v>1</v>
      </c>
      <c r="F26" s="25" t="s">
        <v>57</v>
      </c>
      <c r="G26" s="26" t="s">
        <v>59</v>
      </c>
      <c r="H26" s="27">
        <v>1870</v>
      </c>
      <c r="I26" s="167">
        <v>2704</v>
      </c>
    </row>
    <row r="27" spans="1:9" ht="23.1" customHeight="1" x14ac:dyDescent="0.15">
      <c r="A27" s="35">
        <v>23</v>
      </c>
      <c r="B27" s="36" t="s">
        <v>8</v>
      </c>
      <c r="C27" s="47" t="s">
        <v>75</v>
      </c>
      <c r="D27" s="37">
        <v>-5</v>
      </c>
      <c r="E27" s="37">
        <v>7</v>
      </c>
      <c r="F27" s="37" t="s">
        <v>57</v>
      </c>
      <c r="G27" s="38" t="s">
        <v>60</v>
      </c>
      <c r="H27" s="39">
        <v>872</v>
      </c>
      <c r="I27" s="164">
        <v>982</v>
      </c>
    </row>
    <row r="28" spans="1:9" ht="23.1" customHeight="1" x14ac:dyDescent="0.15">
      <c r="A28" s="40">
        <v>24</v>
      </c>
      <c r="B28" s="41" t="s">
        <v>9</v>
      </c>
      <c r="C28" s="32" t="s">
        <v>75</v>
      </c>
      <c r="D28" s="90">
        <v>-4</v>
      </c>
      <c r="E28" s="90">
        <v>5</v>
      </c>
      <c r="F28" s="90" t="s">
        <v>57</v>
      </c>
      <c r="G28" s="46" t="s">
        <v>62</v>
      </c>
      <c r="H28" s="44">
        <v>1866</v>
      </c>
      <c r="I28" s="165">
        <v>2257</v>
      </c>
    </row>
    <row r="29" spans="1:9" ht="23.1" customHeight="1" x14ac:dyDescent="0.15">
      <c r="A29" s="4">
        <v>25</v>
      </c>
      <c r="B29" s="5" t="s">
        <v>10</v>
      </c>
      <c r="C29" s="14" t="s">
        <v>72</v>
      </c>
      <c r="D29" s="18">
        <v>-1</v>
      </c>
      <c r="E29" s="18">
        <v>7</v>
      </c>
      <c r="F29" s="18" t="s">
        <v>58</v>
      </c>
      <c r="G29" s="19" t="s">
        <v>66</v>
      </c>
      <c r="H29" s="12">
        <v>9632</v>
      </c>
      <c r="I29" s="168">
        <v>11871</v>
      </c>
    </row>
    <row r="30" spans="1:9" ht="23.1" customHeight="1" x14ac:dyDescent="0.15">
      <c r="A30" s="40">
        <v>26</v>
      </c>
      <c r="B30" s="41" t="s">
        <v>11</v>
      </c>
      <c r="C30" s="32" t="s">
        <v>91</v>
      </c>
      <c r="D30" s="90">
        <v>-5</v>
      </c>
      <c r="E30" s="90">
        <v>4</v>
      </c>
      <c r="F30" s="90" t="s">
        <v>57</v>
      </c>
      <c r="G30" s="46" t="s">
        <v>60</v>
      </c>
      <c r="H30" s="44">
        <v>1648</v>
      </c>
      <c r="I30" s="165">
        <v>1863</v>
      </c>
    </row>
    <row r="31" spans="1:9" ht="23.1" customHeight="1" x14ac:dyDescent="0.15">
      <c r="A31" s="40">
        <v>27</v>
      </c>
      <c r="B31" s="41" t="s">
        <v>5</v>
      </c>
      <c r="C31" s="32" t="s">
        <v>75</v>
      </c>
      <c r="D31" s="90">
        <v>-6</v>
      </c>
      <c r="E31" s="90">
        <v>2</v>
      </c>
      <c r="F31" s="90" t="s">
        <v>57</v>
      </c>
      <c r="G31" s="46" t="s">
        <v>60</v>
      </c>
      <c r="H31" s="44">
        <v>1430</v>
      </c>
      <c r="I31" s="165">
        <v>1650</v>
      </c>
    </row>
    <row r="32" spans="1:9" ht="23.1" customHeight="1" x14ac:dyDescent="0.15">
      <c r="A32" s="59">
        <v>28</v>
      </c>
      <c r="B32" s="60" t="s">
        <v>6</v>
      </c>
      <c r="C32" s="61" t="s">
        <v>75</v>
      </c>
      <c r="D32" s="65">
        <v>-7</v>
      </c>
      <c r="E32" s="65">
        <v>1</v>
      </c>
      <c r="F32" s="65" t="s">
        <v>57</v>
      </c>
      <c r="G32" s="63" t="s">
        <v>485</v>
      </c>
      <c r="H32" s="64">
        <v>4594</v>
      </c>
      <c r="I32" s="166">
        <v>5380</v>
      </c>
    </row>
    <row r="33" spans="1:9" ht="23.1" customHeight="1" x14ac:dyDescent="0.15">
      <c r="A33" s="29">
        <v>29</v>
      </c>
      <c r="B33" s="23" t="s">
        <v>7</v>
      </c>
      <c r="C33" s="24" t="s">
        <v>80</v>
      </c>
      <c r="D33" s="25">
        <v>-4</v>
      </c>
      <c r="E33" s="25">
        <v>6</v>
      </c>
      <c r="F33" s="25" t="s">
        <v>57</v>
      </c>
      <c r="G33" s="26" t="s">
        <v>59</v>
      </c>
      <c r="H33" s="27">
        <v>3526</v>
      </c>
      <c r="I33" s="167">
        <v>4711</v>
      </c>
    </row>
    <row r="34" spans="1:9" ht="23.25" customHeight="1" x14ac:dyDescent="0.15">
      <c r="A34" s="35">
        <v>30</v>
      </c>
      <c r="B34" s="36" t="s">
        <v>8</v>
      </c>
      <c r="C34" s="47" t="s">
        <v>72</v>
      </c>
      <c r="D34" s="37">
        <v>2</v>
      </c>
      <c r="E34" s="37">
        <v>10</v>
      </c>
      <c r="F34" s="37" t="s">
        <v>57</v>
      </c>
      <c r="G34" s="38" t="s">
        <v>60</v>
      </c>
      <c r="H34" s="39">
        <v>2792</v>
      </c>
      <c r="I34" s="164">
        <v>3339</v>
      </c>
    </row>
    <row r="35" spans="1:9" ht="23.1" customHeight="1" thickBot="1" x14ac:dyDescent="0.2">
      <c r="A35" s="48">
        <v>31</v>
      </c>
      <c r="B35" s="49" t="s">
        <v>9</v>
      </c>
      <c r="C35" s="50" t="s">
        <v>75</v>
      </c>
      <c r="D35" s="51">
        <v>-2</v>
      </c>
      <c r="E35" s="51">
        <v>5</v>
      </c>
      <c r="F35" s="51" t="s">
        <v>57</v>
      </c>
      <c r="G35" s="52" t="s">
        <v>62</v>
      </c>
      <c r="H35" s="53">
        <v>2044</v>
      </c>
      <c r="I35" s="169">
        <v>2543</v>
      </c>
    </row>
    <row r="36" spans="1:9" s="3" customFormat="1" ht="21" customHeight="1" thickBot="1" x14ac:dyDescent="0.2">
      <c r="A36" s="148" t="s">
        <v>27</v>
      </c>
      <c r="B36" s="149"/>
      <c r="C36" s="149"/>
      <c r="D36" s="149"/>
      <c r="E36" s="149"/>
      <c r="F36" s="149"/>
      <c r="G36" s="150"/>
      <c r="H36" s="170">
        <f t="shared" ref="H36:I36" si="0">SUM(H5:H35)</f>
        <v>52708</v>
      </c>
      <c r="I36" s="171">
        <f t="shared" si="0"/>
        <v>64802</v>
      </c>
    </row>
    <row r="37" spans="1:9" s="3" customFormat="1" ht="21" customHeight="1" thickBot="1" x14ac:dyDescent="0.2">
      <c r="A37" s="134" t="s">
        <v>28</v>
      </c>
      <c r="B37" s="135"/>
      <c r="C37" s="135"/>
      <c r="D37" s="135"/>
      <c r="E37" s="135"/>
      <c r="F37" s="135"/>
      <c r="G37" s="136"/>
      <c r="H37" s="172">
        <f>H36+'11월'!H37</f>
        <v>1449781</v>
      </c>
      <c r="I37" s="173">
        <f>I36+'11월'!I37</f>
        <v>1699686</v>
      </c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</vt:vector>
  </TitlesOfParts>
  <Company>한덕개발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김나영</dc:creator>
  <cp:lastModifiedBy>김묵주</cp:lastModifiedBy>
  <cp:lastPrinted>2024-10-07T00:42:04Z</cp:lastPrinted>
  <dcterms:created xsi:type="dcterms:W3CDTF">2011-01-18T02:58:02Z</dcterms:created>
  <dcterms:modified xsi:type="dcterms:W3CDTF">2026-01-16T08:50:24Z</dcterms:modified>
</cp:coreProperties>
</file>