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기획팀(기획)\4.기획업무\기타\2026_한국외대\2.전달\4.티켓유형별판매량\"/>
    </mc:Choice>
  </mc:AlternateContent>
  <xr:revisionPtr revIDLastSave="0" documentId="13_ncr:1_{23628CBB-C9EC-4862-AE0C-39B4C979016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3년" sheetId="4" r:id="rId1"/>
    <sheet name="24년" sheetId="5" r:id="rId2"/>
    <sheet name="25년" sheetId="6" r:id="rId3"/>
  </sheets>
  <calcPr calcId="191029"/>
</workbook>
</file>

<file path=xl/calcChain.xml><?xml version="1.0" encoding="utf-8"?>
<calcChain xmlns="http://schemas.openxmlformats.org/spreadsheetml/2006/main">
  <c r="BS516" i="6" l="1"/>
  <c r="BS515" i="6"/>
  <c r="BS514" i="6"/>
  <c r="BS513" i="6"/>
  <c r="BS517" i="6" s="1"/>
  <c r="BN516" i="6"/>
  <c r="BN515" i="6"/>
  <c r="BN514" i="6"/>
  <c r="BN513" i="6"/>
  <c r="BN517" i="6" s="1"/>
  <c r="BI516" i="6"/>
  <c r="BI515" i="6"/>
  <c r="BI514" i="6"/>
  <c r="BI513" i="6"/>
  <c r="BI517" i="6" s="1"/>
  <c r="BD516" i="6"/>
  <c r="BD515" i="6"/>
  <c r="BD514" i="6"/>
  <c r="BD513" i="6"/>
  <c r="BD517" i="6" s="1"/>
  <c r="AY516" i="6"/>
  <c r="AY515" i="6"/>
  <c r="AY514" i="6"/>
  <c r="AY513" i="6"/>
  <c r="AY517" i="6" s="1"/>
  <c r="AT516" i="6"/>
  <c r="AT515" i="6"/>
  <c r="AT514" i="6"/>
  <c r="AT513" i="6"/>
  <c r="AT517" i="6" s="1"/>
  <c r="AO516" i="6"/>
  <c r="AO515" i="6"/>
  <c r="AO514" i="6"/>
  <c r="AO513" i="6"/>
  <c r="AO517" i="6" s="1"/>
  <c r="AJ516" i="6"/>
  <c r="AJ515" i="6"/>
  <c r="AJ514" i="6"/>
  <c r="AJ513" i="6"/>
  <c r="AJ517" i="6" s="1"/>
  <c r="AE516" i="6"/>
  <c r="AE515" i="6"/>
  <c r="AE514" i="6"/>
  <c r="AE513" i="6"/>
  <c r="AE517" i="6" s="1"/>
  <c r="Z516" i="6"/>
  <c r="Z515" i="6"/>
  <c r="Z514" i="6"/>
  <c r="Z513" i="6"/>
  <c r="Z517" i="6" s="1"/>
  <c r="U516" i="6"/>
  <c r="U515" i="6"/>
  <c r="U514" i="6"/>
  <c r="U513" i="6"/>
  <c r="U517" i="6" s="1"/>
  <c r="P516" i="6"/>
  <c r="P515" i="6"/>
  <c r="P514" i="6"/>
  <c r="P513" i="6"/>
  <c r="P517" i="6" s="1"/>
  <c r="K516" i="6"/>
  <c r="K515" i="6"/>
  <c r="K514" i="6"/>
  <c r="K513" i="6"/>
  <c r="BM507" i="6"/>
  <c r="BL507" i="6"/>
  <c r="BK507" i="6"/>
  <c r="BJ507" i="6"/>
  <c r="BH507" i="6"/>
  <c r="BG507" i="6"/>
  <c r="BF507" i="6"/>
  <c r="BE507" i="6"/>
  <c r="BC507" i="6"/>
  <c r="BB507" i="6"/>
  <c r="BA507" i="6"/>
  <c r="AZ507" i="6"/>
  <c r="AX507" i="6"/>
  <c r="AW507" i="6"/>
  <c r="AV507" i="6"/>
  <c r="AU507" i="6"/>
  <c r="AS507" i="6"/>
  <c r="AR507" i="6"/>
  <c r="AQ507" i="6"/>
  <c r="AP507" i="6"/>
  <c r="AN507" i="6"/>
  <c r="AM507" i="6"/>
  <c r="AL507" i="6"/>
  <c r="AK507" i="6"/>
  <c r="AI507" i="6"/>
  <c r="AH507" i="6"/>
  <c r="AG507" i="6"/>
  <c r="AF507" i="6"/>
  <c r="AD507" i="6"/>
  <c r="AC507" i="6"/>
  <c r="AB507" i="6"/>
  <c r="AA507" i="6"/>
  <c r="Y507" i="6"/>
  <c r="X507" i="6"/>
  <c r="W507" i="6"/>
  <c r="V507" i="6"/>
  <c r="T507" i="6"/>
  <c r="S507" i="6"/>
  <c r="R507" i="6"/>
  <c r="Q507" i="6"/>
  <c r="O507" i="6"/>
  <c r="N507" i="6"/>
  <c r="M507" i="6"/>
  <c r="L507" i="6"/>
  <c r="J507" i="6"/>
  <c r="I507" i="6"/>
  <c r="H507" i="6"/>
  <c r="G507" i="6"/>
  <c r="BR506" i="6"/>
  <c r="BR507" i="6" s="1"/>
  <c r="BQ506" i="6"/>
  <c r="BQ507" i="6" s="1"/>
  <c r="BP506" i="6"/>
  <c r="BP507" i="6" s="1"/>
  <c r="BO506" i="6"/>
  <c r="BO507" i="6" s="1"/>
  <c r="BN506" i="6"/>
  <c r="BI506" i="6"/>
  <c r="BD506" i="6"/>
  <c r="AY506" i="6"/>
  <c r="AT506" i="6"/>
  <c r="AO506" i="6"/>
  <c r="AJ506" i="6"/>
  <c r="AE506" i="6"/>
  <c r="Z506" i="6"/>
  <c r="U506" i="6"/>
  <c r="P506" i="6"/>
  <c r="K506" i="6"/>
  <c r="BM505" i="6"/>
  <c r="BL505" i="6"/>
  <c r="BK505" i="6"/>
  <c r="BJ505" i="6"/>
  <c r="BH505" i="6"/>
  <c r="BG505" i="6"/>
  <c r="BF505" i="6"/>
  <c r="BE505" i="6"/>
  <c r="BC505" i="6"/>
  <c r="BB505" i="6"/>
  <c r="BA505" i="6"/>
  <c r="AZ505" i="6"/>
  <c r="AX505" i="6"/>
  <c r="AW505" i="6"/>
  <c r="AV505" i="6"/>
  <c r="AU505" i="6"/>
  <c r="AS505" i="6"/>
  <c r="AR505" i="6"/>
  <c r="AQ505" i="6"/>
  <c r="AP505" i="6"/>
  <c r="AN505" i="6"/>
  <c r="AM505" i="6"/>
  <c r="AL505" i="6"/>
  <c r="AK505" i="6"/>
  <c r="AI505" i="6"/>
  <c r="AH505" i="6"/>
  <c r="AG505" i="6"/>
  <c r="AF505" i="6"/>
  <c r="AD505" i="6"/>
  <c r="AC505" i="6"/>
  <c r="AB505" i="6"/>
  <c r="AA505" i="6"/>
  <c r="Y505" i="6"/>
  <c r="X505" i="6"/>
  <c r="W505" i="6"/>
  <c r="V505" i="6"/>
  <c r="T505" i="6"/>
  <c r="S505" i="6"/>
  <c r="R505" i="6"/>
  <c r="Q505" i="6"/>
  <c r="O505" i="6"/>
  <c r="N505" i="6"/>
  <c r="M505" i="6"/>
  <c r="L505" i="6"/>
  <c r="J505" i="6"/>
  <c r="I505" i="6"/>
  <c r="H505" i="6"/>
  <c r="G505" i="6"/>
  <c r="BR504" i="6"/>
  <c r="BR505" i="6" s="1"/>
  <c r="BQ504" i="6"/>
  <c r="BQ505" i="6" s="1"/>
  <c r="BP504" i="6"/>
  <c r="BP505" i="6" s="1"/>
  <c r="BO504" i="6"/>
  <c r="BN504" i="6"/>
  <c r="BI504" i="6"/>
  <c r="BD504" i="6"/>
  <c r="AY504" i="6"/>
  <c r="AT504" i="6"/>
  <c r="AO504" i="6"/>
  <c r="AJ504" i="6"/>
  <c r="AE504" i="6"/>
  <c r="Z504" i="6"/>
  <c r="U504" i="6"/>
  <c r="P504" i="6"/>
  <c r="K504" i="6"/>
  <c r="BM502" i="6"/>
  <c r="BL502" i="6"/>
  <c r="BK502" i="6"/>
  <c r="BH502" i="6"/>
  <c r="BG502" i="6"/>
  <c r="BF502" i="6"/>
  <c r="BC502" i="6"/>
  <c r="BB502" i="6"/>
  <c r="BA502" i="6"/>
  <c r="AZ502" i="6"/>
  <c r="AX502" i="6"/>
  <c r="AW502" i="6"/>
  <c r="AV502" i="6"/>
  <c r="AU502" i="6"/>
  <c r="AS502" i="6"/>
  <c r="AR502" i="6"/>
  <c r="AQ502" i="6"/>
  <c r="AP502" i="6"/>
  <c r="AN502" i="6"/>
  <c r="AM502" i="6"/>
  <c r="AL502" i="6"/>
  <c r="AK502" i="6"/>
  <c r="AI502" i="6"/>
  <c r="AH502" i="6"/>
  <c r="AG502" i="6"/>
  <c r="AF502" i="6"/>
  <c r="AD502" i="6"/>
  <c r="AC502" i="6"/>
  <c r="AB502" i="6"/>
  <c r="AA502" i="6"/>
  <c r="Y502" i="6"/>
  <c r="X502" i="6"/>
  <c r="W502" i="6"/>
  <c r="V502" i="6"/>
  <c r="T502" i="6"/>
  <c r="S502" i="6"/>
  <c r="R502" i="6"/>
  <c r="Q502" i="6"/>
  <c r="O502" i="6"/>
  <c r="N502" i="6"/>
  <c r="M502" i="6"/>
  <c r="J502" i="6"/>
  <c r="I502" i="6"/>
  <c r="H502" i="6"/>
  <c r="G502" i="6"/>
  <c r="BR501" i="6"/>
  <c r="BQ501" i="6"/>
  <c r="BP501" i="6"/>
  <c r="BO501" i="6"/>
  <c r="BN501" i="6"/>
  <c r="BI501" i="6"/>
  <c r="BD501" i="6"/>
  <c r="AY501" i="6"/>
  <c r="AT501" i="6"/>
  <c r="AO501" i="6"/>
  <c r="AJ501" i="6"/>
  <c r="AE501" i="6"/>
  <c r="Z501" i="6"/>
  <c r="U501" i="6"/>
  <c r="P501" i="6"/>
  <c r="K501" i="6"/>
  <c r="BR500" i="6"/>
  <c r="BQ500" i="6"/>
  <c r="BP500" i="6"/>
  <c r="BO500" i="6"/>
  <c r="BN500" i="6"/>
  <c r="BI500" i="6"/>
  <c r="BD500" i="6"/>
  <c r="AY500" i="6"/>
  <c r="AT500" i="6"/>
  <c r="AO500" i="6"/>
  <c r="AJ500" i="6"/>
  <c r="AE500" i="6"/>
  <c r="Z500" i="6"/>
  <c r="U500" i="6"/>
  <c r="P500" i="6"/>
  <c r="K500" i="6"/>
  <c r="BR499" i="6"/>
  <c r="BQ499" i="6"/>
  <c r="BP499" i="6"/>
  <c r="BN499" i="6"/>
  <c r="BE499" i="6"/>
  <c r="BI499" i="6" s="1"/>
  <c r="BD499" i="6"/>
  <c r="AY499" i="6"/>
  <c r="AT499" i="6"/>
  <c r="AO499" i="6"/>
  <c r="AJ499" i="6"/>
  <c r="AE499" i="6"/>
  <c r="Z499" i="6"/>
  <c r="U499" i="6"/>
  <c r="P499" i="6"/>
  <c r="K499" i="6"/>
  <c r="BR498" i="6"/>
  <c r="BQ498" i="6"/>
  <c r="BP498" i="6"/>
  <c r="BJ498" i="6"/>
  <c r="BE498" i="6"/>
  <c r="BD498" i="6"/>
  <c r="AY498" i="6"/>
  <c r="AT498" i="6"/>
  <c r="AO498" i="6"/>
  <c r="AJ498" i="6"/>
  <c r="AE498" i="6"/>
  <c r="Z498" i="6"/>
  <c r="U498" i="6"/>
  <c r="P498" i="6"/>
  <c r="K498" i="6"/>
  <c r="BR497" i="6"/>
  <c r="BQ497" i="6"/>
  <c r="BP497" i="6"/>
  <c r="BO497" i="6"/>
  <c r="BN497" i="6"/>
  <c r="BI497" i="6"/>
  <c r="BD497" i="6"/>
  <c r="AY497" i="6"/>
  <c r="AT497" i="6"/>
  <c r="AO497" i="6"/>
  <c r="AJ497" i="6"/>
  <c r="AE497" i="6"/>
  <c r="Z497" i="6"/>
  <c r="U497" i="6"/>
  <c r="P497" i="6"/>
  <c r="K497" i="6"/>
  <c r="BR496" i="6"/>
  <c r="BQ496" i="6"/>
  <c r="BP496" i="6"/>
  <c r="BO496" i="6"/>
  <c r="BN496" i="6"/>
  <c r="BI496" i="6"/>
  <c r="BD496" i="6"/>
  <c r="AY496" i="6"/>
  <c r="AT496" i="6"/>
  <c r="AO496" i="6"/>
  <c r="AJ496" i="6"/>
  <c r="AE496" i="6"/>
  <c r="Z496" i="6"/>
  <c r="U496" i="6"/>
  <c r="P496" i="6"/>
  <c r="K496" i="6"/>
  <c r="BR495" i="6"/>
  <c r="BQ495" i="6"/>
  <c r="BP495" i="6"/>
  <c r="BO495" i="6"/>
  <c r="BN495" i="6"/>
  <c r="BI495" i="6"/>
  <c r="BD495" i="6"/>
  <c r="AY495" i="6"/>
  <c r="AT495" i="6"/>
  <c r="AO495" i="6"/>
  <c r="AJ495" i="6"/>
  <c r="AE495" i="6"/>
  <c r="Z495" i="6"/>
  <c r="U495" i="6"/>
  <c r="P495" i="6"/>
  <c r="K495" i="6"/>
  <c r="BR494" i="6"/>
  <c r="BQ494" i="6"/>
  <c r="BP494" i="6"/>
  <c r="BO494" i="6"/>
  <c r="BN494" i="6"/>
  <c r="BI494" i="6"/>
  <c r="BD494" i="6"/>
  <c r="AY494" i="6"/>
  <c r="AT494" i="6"/>
  <c r="AO494" i="6"/>
  <c r="AJ494" i="6"/>
  <c r="AE494" i="6"/>
  <c r="Z494" i="6"/>
  <c r="U494" i="6"/>
  <c r="P494" i="6"/>
  <c r="K494" i="6"/>
  <c r="BR493" i="6"/>
  <c r="BQ493" i="6"/>
  <c r="BP493" i="6"/>
  <c r="BO493" i="6"/>
  <c r="BN493" i="6"/>
  <c r="BI493" i="6"/>
  <c r="BD493" i="6"/>
  <c r="AY493" i="6"/>
  <c r="AT493" i="6"/>
  <c r="AO493" i="6"/>
  <c r="AJ493" i="6"/>
  <c r="AE493" i="6"/>
  <c r="Z493" i="6"/>
  <c r="U493" i="6"/>
  <c r="P493" i="6"/>
  <c r="K493" i="6"/>
  <c r="BR492" i="6"/>
  <c r="BQ492" i="6"/>
  <c r="BP492" i="6"/>
  <c r="BO492" i="6"/>
  <c r="BN492" i="6"/>
  <c r="BI492" i="6"/>
  <c r="BD492" i="6"/>
  <c r="AY492" i="6"/>
  <c r="AT492" i="6"/>
  <c r="AO492" i="6"/>
  <c r="AJ492" i="6"/>
  <c r="AE492" i="6"/>
  <c r="Z492" i="6"/>
  <c r="U492" i="6"/>
  <c r="P492" i="6"/>
  <c r="K492" i="6"/>
  <c r="BR491" i="6"/>
  <c r="BQ491" i="6"/>
  <c r="BP491" i="6"/>
  <c r="BO491" i="6"/>
  <c r="BN491" i="6"/>
  <c r="BI491" i="6"/>
  <c r="BD491" i="6"/>
  <c r="AY491" i="6"/>
  <c r="AT491" i="6"/>
  <c r="AO491" i="6"/>
  <c r="AJ491" i="6"/>
  <c r="AE491" i="6"/>
  <c r="Z491" i="6"/>
  <c r="U491" i="6"/>
  <c r="P491" i="6"/>
  <c r="K491" i="6"/>
  <c r="BR490" i="6"/>
  <c r="BQ490" i="6"/>
  <c r="BP490" i="6"/>
  <c r="BO490" i="6"/>
  <c r="BN490" i="6"/>
  <c r="BI490" i="6"/>
  <c r="BD490" i="6"/>
  <c r="AY490" i="6"/>
  <c r="AT490" i="6"/>
  <c r="AO490" i="6"/>
  <c r="AJ490" i="6"/>
  <c r="AE490" i="6"/>
  <c r="Z490" i="6"/>
  <c r="U490" i="6"/>
  <c r="P490" i="6"/>
  <c r="K490" i="6"/>
  <c r="BR489" i="6"/>
  <c r="BQ489" i="6"/>
  <c r="BP489" i="6"/>
  <c r="BO489" i="6"/>
  <c r="BN489" i="6"/>
  <c r="BI489" i="6"/>
  <c r="BD489" i="6"/>
  <c r="AY489" i="6"/>
  <c r="AT489" i="6"/>
  <c r="AO489" i="6"/>
  <c r="AJ489" i="6"/>
  <c r="AE489" i="6"/>
  <c r="Z489" i="6"/>
  <c r="U489" i="6"/>
  <c r="P489" i="6"/>
  <c r="K489" i="6"/>
  <c r="BR488" i="6"/>
  <c r="BQ488" i="6"/>
  <c r="BP488" i="6"/>
  <c r="BO488" i="6"/>
  <c r="BN488" i="6"/>
  <c r="BI488" i="6"/>
  <c r="BD488" i="6"/>
  <c r="AY488" i="6"/>
  <c r="AT488" i="6"/>
  <c r="AO488" i="6"/>
  <c r="AJ488" i="6"/>
  <c r="AE488" i="6"/>
  <c r="Z488" i="6"/>
  <c r="U488" i="6"/>
  <c r="P488" i="6"/>
  <c r="K488" i="6"/>
  <c r="BR487" i="6"/>
  <c r="BQ487" i="6"/>
  <c r="BP487" i="6"/>
  <c r="BO487" i="6"/>
  <c r="BN487" i="6"/>
  <c r="BI487" i="6"/>
  <c r="BD487" i="6"/>
  <c r="AY487" i="6"/>
  <c r="AT487" i="6"/>
  <c r="AO487" i="6"/>
  <c r="AJ487" i="6"/>
  <c r="AE487" i="6"/>
  <c r="Z487" i="6"/>
  <c r="U487" i="6"/>
  <c r="P487" i="6"/>
  <c r="K487" i="6"/>
  <c r="BR486" i="6"/>
  <c r="BQ486" i="6"/>
  <c r="BP486" i="6"/>
  <c r="BO486" i="6"/>
  <c r="BN486" i="6"/>
  <c r="BI486" i="6"/>
  <c r="BD486" i="6"/>
  <c r="AY486" i="6"/>
  <c r="AT486" i="6"/>
  <c r="AO486" i="6"/>
  <c r="AJ486" i="6"/>
  <c r="AE486" i="6"/>
  <c r="Z486" i="6"/>
  <c r="U486" i="6"/>
  <c r="P486" i="6"/>
  <c r="K486" i="6"/>
  <c r="BR485" i="6"/>
  <c r="BQ485" i="6"/>
  <c r="BP485" i="6"/>
  <c r="BO485" i="6"/>
  <c r="BN485" i="6"/>
  <c r="BI485" i="6"/>
  <c r="BD485" i="6"/>
  <c r="AY485" i="6"/>
  <c r="AT485" i="6"/>
  <c r="AO485" i="6"/>
  <c r="AJ485" i="6"/>
  <c r="AE485" i="6"/>
  <c r="Z485" i="6"/>
  <c r="U485" i="6"/>
  <c r="P485" i="6"/>
  <c r="K485" i="6"/>
  <c r="BR484" i="6"/>
  <c r="BQ484" i="6"/>
  <c r="BP484" i="6"/>
  <c r="BO484" i="6"/>
  <c r="BN484" i="6"/>
  <c r="BI484" i="6"/>
  <c r="BD484" i="6"/>
  <c r="AY484" i="6"/>
  <c r="AT484" i="6"/>
  <c r="AO484" i="6"/>
  <c r="AJ484" i="6"/>
  <c r="AE484" i="6"/>
  <c r="Z484" i="6"/>
  <c r="U484" i="6"/>
  <c r="P484" i="6"/>
  <c r="K484" i="6"/>
  <c r="BR483" i="6"/>
  <c r="BQ483" i="6"/>
  <c r="BP483" i="6"/>
  <c r="BO483" i="6"/>
  <c r="BN483" i="6"/>
  <c r="BI483" i="6"/>
  <c r="BD483" i="6"/>
  <c r="AY483" i="6"/>
  <c r="AT483" i="6"/>
  <c r="AO483" i="6"/>
  <c r="AJ483" i="6"/>
  <c r="AE483" i="6"/>
  <c r="Z483" i="6"/>
  <c r="U483" i="6"/>
  <c r="P483" i="6"/>
  <c r="K483" i="6"/>
  <c r="BR482" i="6"/>
  <c r="BQ482" i="6"/>
  <c r="BP482" i="6"/>
  <c r="BO482" i="6"/>
  <c r="BN482" i="6"/>
  <c r="BI482" i="6"/>
  <c r="BD482" i="6"/>
  <c r="AY482" i="6"/>
  <c r="AT482" i="6"/>
  <c r="AO482" i="6"/>
  <c r="AJ482" i="6"/>
  <c r="AE482" i="6"/>
  <c r="Z482" i="6"/>
  <c r="U482" i="6"/>
  <c r="P482" i="6"/>
  <c r="K482" i="6"/>
  <c r="BR481" i="6"/>
  <c r="BQ481" i="6"/>
  <c r="BP481" i="6"/>
  <c r="BO481" i="6"/>
  <c r="BN481" i="6"/>
  <c r="BI481" i="6"/>
  <c r="BD481" i="6"/>
  <c r="AY481" i="6"/>
  <c r="AT481" i="6"/>
  <c r="AO481" i="6"/>
  <c r="AJ481" i="6"/>
  <c r="AE481" i="6"/>
  <c r="Z481" i="6"/>
  <c r="U481" i="6"/>
  <c r="P481" i="6"/>
  <c r="K481" i="6"/>
  <c r="BR480" i="6"/>
  <c r="BQ480" i="6"/>
  <c r="BP480" i="6"/>
  <c r="BO480" i="6"/>
  <c r="BN480" i="6"/>
  <c r="BI480" i="6"/>
  <c r="BD480" i="6"/>
  <c r="AY480" i="6"/>
  <c r="AT480" i="6"/>
  <c r="AO480" i="6"/>
  <c r="AJ480" i="6"/>
  <c r="AE480" i="6"/>
  <c r="Z480" i="6"/>
  <c r="U480" i="6"/>
  <c r="P480" i="6"/>
  <c r="K480" i="6"/>
  <c r="BR479" i="6"/>
  <c r="BQ479" i="6"/>
  <c r="BP479" i="6"/>
  <c r="BO479" i="6"/>
  <c r="BN479" i="6"/>
  <c r="BI479" i="6"/>
  <c r="BD479" i="6"/>
  <c r="AY479" i="6"/>
  <c r="AT479" i="6"/>
  <c r="AO479" i="6"/>
  <c r="AJ479" i="6"/>
  <c r="AE479" i="6"/>
  <c r="Z479" i="6"/>
  <c r="U479" i="6"/>
  <c r="P479" i="6"/>
  <c r="K479" i="6"/>
  <c r="BR478" i="6"/>
  <c r="BQ478" i="6"/>
  <c r="BP478" i="6"/>
  <c r="BO478" i="6"/>
  <c r="BN478" i="6"/>
  <c r="BI478" i="6"/>
  <c r="BD478" i="6"/>
  <c r="AY478" i="6"/>
  <c r="AT478" i="6"/>
  <c r="AO478" i="6"/>
  <c r="AJ478" i="6"/>
  <c r="AE478" i="6"/>
  <c r="Z478" i="6"/>
  <c r="U478" i="6"/>
  <c r="P478" i="6"/>
  <c r="K478" i="6"/>
  <c r="BR477" i="6"/>
  <c r="BQ477" i="6"/>
  <c r="BP477" i="6"/>
  <c r="BO477" i="6"/>
  <c r="BN477" i="6"/>
  <c r="BI477" i="6"/>
  <c r="BD477" i="6"/>
  <c r="AY477" i="6"/>
  <c r="AT477" i="6"/>
  <c r="AO477" i="6"/>
  <c r="AJ477" i="6"/>
  <c r="AE477" i="6"/>
  <c r="Z477" i="6"/>
  <c r="U477" i="6"/>
  <c r="P477" i="6"/>
  <c r="K477" i="6"/>
  <c r="BR476" i="6"/>
  <c r="BQ476" i="6"/>
  <c r="BP476" i="6"/>
  <c r="BO476" i="6"/>
  <c r="BN476" i="6"/>
  <c r="BI476" i="6"/>
  <c r="BD476" i="6"/>
  <c r="AY476" i="6"/>
  <c r="AT476" i="6"/>
  <c r="AO476" i="6"/>
  <c r="AJ476" i="6"/>
  <c r="AE476" i="6"/>
  <c r="Z476" i="6"/>
  <c r="U476" i="6"/>
  <c r="P476" i="6"/>
  <c r="K476" i="6"/>
  <c r="BR475" i="6"/>
  <c r="BQ475" i="6"/>
  <c r="BP475" i="6"/>
  <c r="BO475" i="6"/>
  <c r="BN475" i="6"/>
  <c r="BI475" i="6"/>
  <c r="BD475" i="6"/>
  <c r="AY475" i="6"/>
  <c r="AT475" i="6"/>
  <c r="AO475" i="6"/>
  <c r="AJ475" i="6"/>
  <c r="AE475" i="6"/>
  <c r="Z475" i="6"/>
  <c r="U475" i="6"/>
  <c r="P475" i="6"/>
  <c r="K475" i="6"/>
  <c r="BR474" i="6"/>
  <c r="BQ474" i="6"/>
  <c r="BP474" i="6"/>
  <c r="BO474" i="6"/>
  <c r="BN474" i="6"/>
  <c r="BI474" i="6"/>
  <c r="BD474" i="6"/>
  <c r="AY474" i="6"/>
  <c r="AT474" i="6"/>
  <c r="AO474" i="6"/>
  <c r="AJ474" i="6"/>
  <c r="AE474" i="6"/>
  <c r="Z474" i="6"/>
  <c r="U474" i="6"/>
  <c r="P474" i="6"/>
  <c r="K474" i="6"/>
  <c r="BR473" i="6"/>
  <c r="BQ473" i="6"/>
  <c r="BP473" i="6"/>
  <c r="BO473" i="6"/>
  <c r="BN473" i="6"/>
  <c r="BI473" i="6"/>
  <c r="BD473" i="6"/>
  <c r="AY473" i="6"/>
  <c r="AT473" i="6"/>
  <c r="AO473" i="6"/>
  <c r="AJ473" i="6"/>
  <c r="AE473" i="6"/>
  <c r="Z473" i="6"/>
  <c r="U473" i="6"/>
  <c r="P473" i="6"/>
  <c r="K473" i="6"/>
  <c r="BR472" i="6"/>
  <c r="BQ472" i="6"/>
  <c r="BP472" i="6"/>
  <c r="BN472" i="6"/>
  <c r="BI472" i="6"/>
  <c r="BD472" i="6"/>
  <c r="AY472" i="6"/>
  <c r="AT472" i="6"/>
  <c r="AO472" i="6"/>
  <c r="AJ472" i="6"/>
  <c r="AE472" i="6"/>
  <c r="Z472" i="6"/>
  <c r="U472" i="6"/>
  <c r="L472" i="6"/>
  <c r="L502" i="6" s="1"/>
  <c r="K472" i="6"/>
  <c r="BR471" i="6"/>
  <c r="BQ471" i="6"/>
  <c r="BP471" i="6"/>
  <c r="BO471" i="6"/>
  <c r="BN471" i="6"/>
  <c r="BI471" i="6"/>
  <c r="BD471" i="6"/>
  <c r="AY471" i="6"/>
  <c r="AT471" i="6"/>
  <c r="AO471" i="6"/>
  <c r="AJ471" i="6"/>
  <c r="AE471" i="6"/>
  <c r="Z471" i="6"/>
  <c r="U471" i="6"/>
  <c r="P471" i="6"/>
  <c r="K471" i="6"/>
  <c r="BR470" i="6"/>
  <c r="BQ470" i="6"/>
  <c r="BP470" i="6"/>
  <c r="BO470" i="6"/>
  <c r="BN470" i="6"/>
  <c r="BI470" i="6"/>
  <c r="BD470" i="6"/>
  <c r="AY470" i="6"/>
  <c r="AT470" i="6"/>
  <c r="AO470" i="6"/>
  <c r="AJ470" i="6"/>
  <c r="AE470" i="6"/>
  <c r="Z470" i="6"/>
  <c r="U470" i="6"/>
  <c r="P470" i="6"/>
  <c r="K470" i="6"/>
  <c r="BR469" i="6"/>
  <c r="BQ469" i="6"/>
  <c r="BP469" i="6"/>
  <c r="BO469" i="6"/>
  <c r="BN469" i="6"/>
  <c r="BI469" i="6"/>
  <c r="BD469" i="6"/>
  <c r="AY469" i="6"/>
  <c r="AT469" i="6"/>
  <c r="AO469" i="6"/>
  <c r="AJ469" i="6"/>
  <c r="AE469" i="6"/>
  <c r="Z469" i="6"/>
  <c r="U469" i="6"/>
  <c r="P469" i="6"/>
  <c r="K469" i="6"/>
  <c r="BR468" i="6"/>
  <c r="BQ468" i="6"/>
  <c r="BP468" i="6"/>
  <c r="BO468" i="6"/>
  <c r="BN468" i="6"/>
  <c r="BI468" i="6"/>
  <c r="BD468" i="6"/>
  <c r="AY468" i="6"/>
  <c r="AT468" i="6"/>
  <c r="AO468" i="6"/>
  <c r="AJ468" i="6"/>
  <c r="AE468" i="6"/>
  <c r="Z468" i="6"/>
  <c r="U468" i="6"/>
  <c r="P468" i="6"/>
  <c r="K468" i="6"/>
  <c r="BR467" i="6"/>
  <c r="BQ467" i="6"/>
  <c r="BP467" i="6"/>
  <c r="BO467" i="6"/>
  <c r="BN467" i="6"/>
  <c r="BI467" i="6"/>
  <c r="BD467" i="6"/>
  <c r="AY467" i="6"/>
  <c r="AT467" i="6"/>
  <c r="AO467" i="6"/>
  <c r="AJ467" i="6"/>
  <c r="AE467" i="6"/>
  <c r="Z467" i="6"/>
  <c r="U467" i="6"/>
  <c r="P467" i="6"/>
  <c r="K467" i="6"/>
  <c r="BR466" i="6"/>
  <c r="BQ466" i="6"/>
  <c r="BP466" i="6"/>
  <c r="BO466" i="6"/>
  <c r="BN466" i="6"/>
  <c r="BI466" i="6"/>
  <c r="BD466" i="6"/>
  <c r="AY466" i="6"/>
  <c r="AT466" i="6"/>
  <c r="AO466" i="6"/>
  <c r="AJ466" i="6"/>
  <c r="AE466" i="6"/>
  <c r="Z466" i="6"/>
  <c r="U466" i="6"/>
  <c r="P466" i="6"/>
  <c r="K466" i="6"/>
  <c r="BM465" i="6"/>
  <c r="BL465" i="6"/>
  <c r="BK465" i="6"/>
  <c r="BJ465" i="6"/>
  <c r="BH465" i="6"/>
  <c r="BG465" i="6"/>
  <c r="BF465" i="6"/>
  <c r="BE465" i="6"/>
  <c r="BC465" i="6"/>
  <c r="BB465" i="6"/>
  <c r="BA465" i="6"/>
  <c r="AZ465" i="6"/>
  <c r="AX465" i="6"/>
  <c r="AW465" i="6"/>
  <c r="AV465" i="6"/>
  <c r="AU465" i="6"/>
  <c r="AS465" i="6"/>
  <c r="AR465" i="6"/>
  <c r="AQ465" i="6"/>
  <c r="AP465" i="6"/>
  <c r="AN465" i="6"/>
  <c r="AM465" i="6"/>
  <c r="AL465" i="6"/>
  <c r="AK465" i="6"/>
  <c r="AI465" i="6"/>
  <c r="AH465" i="6"/>
  <c r="AG465" i="6"/>
  <c r="AF465" i="6"/>
  <c r="AD465" i="6"/>
  <c r="AC465" i="6"/>
  <c r="AB465" i="6"/>
  <c r="AA465" i="6"/>
  <c r="Y465" i="6"/>
  <c r="X465" i="6"/>
  <c r="W465" i="6"/>
  <c r="V465" i="6"/>
  <c r="T465" i="6"/>
  <c r="S465" i="6"/>
  <c r="R465" i="6"/>
  <c r="Q465" i="6"/>
  <c r="O465" i="6"/>
  <c r="N465" i="6"/>
  <c r="M465" i="6"/>
  <c r="L465" i="6"/>
  <c r="J465" i="6"/>
  <c r="I465" i="6"/>
  <c r="H465" i="6"/>
  <c r="G465" i="6"/>
  <c r="BR464" i="6"/>
  <c r="BQ464" i="6"/>
  <c r="BP464" i="6"/>
  <c r="BO464" i="6"/>
  <c r="BN464" i="6"/>
  <c r="BI464" i="6"/>
  <c r="BD464" i="6"/>
  <c r="AY464" i="6"/>
  <c r="AT464" i="6"/>
  <c r="AO464" i="6"/>
  <c r="AJ464" i="6"/>
  <c r="AE464" i="6"/>
  <c r="Z464" i="6"/>
  <c r="U464" i="6"/>
  <c r="P464" i="6"/>
  <c r="K464" i="6"/>
  <c r="BR463" i="6"/>
  <c r="BQ463" i="6"/>
  <c r="BP463" i="6"/>
  <c r="BO463" i="6"/>
  <c r="BN463" i="6"/>
  <c r="BI463" i="6"/>
  <c r="BD463" i="6"/>
  <c r="AY463" i="6"/>
  <c r="AT463" i="6"/>
  <c r="AO463" i="6"/>
  <c r="AJ463" i="6"/>
  <c r="AE463" i="6"/>
  <c r="Z463" i="6"/>
  <c r="U463" i="6"/>
  <c r="P463" i="6"/>
  <c r="K463" i="6"/>
  <c r="BR462" i="6"/>
  <c r="BQ462" i="6"/>
  <c r="BP462" i="6"/>
  <c r="BO462" i="6"/>
  <c r="BN462" i="6"/>
  <c r="BI462" i="6"/>
  <c r="BD462" i="6"/>
  <c r="AY462" i="6"/>
  <c r="AT462" i="6"/>
  <c r="AO462" i="6"/>
  <c r="AJ462" i="6"/>
  <c r="AE462" i="6"/>
  <c r="Z462" i="6"/>
  <c r="U462" i="6"/>
  <c r="P462" i="6"/>
  <c r="K462" i="6"/>
  <c r="BR461" i="6"/>
  <c r="BQ461" i="6"/>
  <c r="BP461" i="6"/>
  <c r="BO461" i="6"/>
  <c r="BN461" i="6"/>
  <c r="BI461" i="6"/>
  <c r="BD461" i="6"/>
  <c r="AY461" i="6"/>
  <c r="AT461" i="6"/>
  <c r="AO461" i="6"/>
  <c r="AJ461" i="6"/>
  <c r="AE461" i="6"/>
  <c r="Z461" i="6"/>
  <c r="U461" i="6"/>
  <c r="P461" i="6"/>
  <c r="K461" i="6"/>
  <c r="BR460" i="6"/>
  <c r="BQ460" i="6"/>
  <c r="BP460" i="6"/>
  <c r="BO460" i="6"/>
  <c r="BN460" i="6"/>
  <c r="BI460" i="6"/>
  <c r="BD460" i="6"/>
  <c r="AY460" i="6"/>
  <c r="AT460" i="6"/>
  <c r="AO460" i="6"/>
  <c r="AJ460" i="6"/>
  <c r="AE460" i="6"/>
  <c r="Z460" i="6"/>
  <c r="U460" i="6"/>
  <c r="P460" i="6"/>
  <c r="K460" i="6"/>
  <c r="BR459" i="6"/>
  <c r="BQ459" i="6"/>
  <c r="BP459" i="6"/>
  <c r="BO459" i="6"/>
  <c r="BN459" i="6"/>
  <c r="BI459" i="6"/>
  <c r="BD459" i="6"/>
  <c r="AY459" i="6"/>
  <c r="AT459" i="6"/>
  <c r="AO459" i="6"/>
  <c r="AJ459" i="6"/>
  <c r="AE459" i="6"/>
  <c r="Z459" i="6"/>
  <c r="U459" i="6"/>
  <c r="P459" i="6"/>
  <c r="K459" i="6"/>
  <c r="BR458" i="6"/>
  <c r="BQ458" i="6"/>
  <c r="BP458" i="6"/>
  <c r="BO458" i="6"/>
  <c r="BN458" i="6"/>
  <c r="BI458" i="6"/>
  <c r="BD458" i="6"/>
  <c r="AY458" i="6"/>
  <c r="AT458" i="6"/>
  <c r="AO458" i="6"/>
  <c r="AJ458" i="6"/>
  <c r="AE458" i="6"/>
  <c r="Z458" i="6"/>
  <c r="U458" i="6"/>
  <c r="P458" i="6"/>
  <c r="K458" i="6"/>
  <c r="BR457" i="6"/>
  <c r="BQ457" i="6"/>
  <c r="BP457" i="6"/>
  <c r="BO457" i="6"/>
  <c r="BN457" i="6"/>
  <c r="BI457" i="6"/>
  <c r="BD457" i="6"/>
  <c r="AY457" i="6"/>
  <c r="AT457" i="6"/>
  <c r="AO457" i="6"/>
  <c r="AJ457" i="6"/>
  <c r="AE457" i="6"/>
  <c r="Z457" i="6"/>
  <c r="U457" i="6"/>
  <c r="P457" i="6"/>
  <c r="K457" i="6"/>
  <c r="BR456" i="6"/>
  <c r="BQ456" i="6"/>
  <c r="BP456" i="6"/>
  <c r="BO456" i="6"/>
  <c r="BN456" i="6"/>
  <c r="BI456" i="6"/>
  <c r="BD456" i="6"/>
  <c r="AY456" i="6"/>
  <c r="AT456" i="6"/>
  <c r="AO456" i="6"/>
  <c r="AJ456" i="6"/>
  <c r="AE456" i="6"/>
  <c r="Z456" i="6"/>
  <c r="U456" i="6"/>
  <c r="P456" i="6"/>
  <c r="K456" i="6"/>
  <c r="BR455" i="6"/>
  <c r="BQ455" i="6"/>
  <c r="BP455" i="6"/>
  <c r="BO455" i="6"/>
  <c r="BN455" i="6"/>
  <c r="BI455" i="6"/>
  <c r="BD455" i="6"/>
  <c r="AY455" i="6"/>
  <c r="AT455" i="6"/>
  <c r="AO455" i="6"/>
  <c r="AJ455" i="6"/>
  <c r="AE455" i="6"/>
  <c r="Z455" i="6"/>
  <c r="U455" i="6"/>
  <c r="P455" i="6"/>
  <c r="K455" i="6"/>
  <c r="BR454" i="6"/>
  <c r="BQ454" i="6"/>
  <c r="BP454" i="6"/>
  <c r="BO454" i="6"/>
  <c r="BN454" i="6"/>
  <c r="BI454" i="6"/>
  <c r="BD454" i="6"/>
  <c r="AY454" i="6"/>
  <c r="AT454" i="6"/>
  <c r="AO454" i="6"/>
  <c r="AJ454" i="6"/>
  <c r="AE454" i="6"/>
  <c r="Z454" i="6"/>
  <c r="U454" i="6"/>
  <c r="P454" i="6"/>
  <c r="K454" i="6"/>
  <c r="BR453" i="6"/>
  <c r="BQ453" i="6"/>
  <c r="BP453" i="6"/>
  <c r="BO453" i="6"/>
  <c r="BN453" i="6"/>
  <c r="BI453" i="6"/>
  <c r="BD453" i="6"/>
  <c r="AY453" i="6"/>
  <c r="AT453" i="6"/>
  <c r="AO453" i="6"/>
  <c r="AJ453" i="6"/>
  <c r="AE453" i="6"/>
  <c r="Z453" i="6"/>
  <c r="U453" i="6"/>
  <c r="P453" i="6"/>
  <c r="K453" i="6"/>
  <c r="BR452" i="6"/>
  <c r="BQ452" i="6"/>
  <c r="BP452" i="6"/>
  <c r="BO452" i="6"/>
  <c r="BN452" i="6"/>
  <c r="BI452" i="6"/>
  <c r="BD452" i="6"/>
  <c r="AY452" i="6"/>
  <c r="AT452" i="6"/>
  <c r="AO452" i="6"/>
  <c r="AJ452" i="6"/>
  <c r="AE452" i="6"/>
  <c r="Z452" i="6"/>
  <c r="U452" i="6"/>
  <c r="P452" i="6"/>
  <c r="K452" i="6"/>
  <c r="BR451" i="6"/>
  <c r="BQ451" i="6"/>
  <c r="BP451" i="6"/>
  <c r="BO451" i="6"/>
  <c r="BN451" i="6"/>
  <c r="BI451" i="6"/>
  <c r="BD451" i="6"/>
  <c r="AY451" i="6"/>
  <c r="AT451" i="6"/>
  <c r="AO451" i="6"/>
  <c r="AJ451" i="6"/>
  <c r="AE451" i="6"/>
  <c r="Z451" i="6"/>
  <c r="U451" i="6"/>
  <c r="P451" i="6"/>
  <c r="K451" i="6"/>
  <c r="BR450" i="6"/>
  <c r="BQ450" i="6"/>
  <c r="BP450" i="6"/>
  <c r="BO450" i="6"/>
  <c r="BN450" i="6"/>
  <c r="BI450" i="6"/>
  <c r="BD450" i="6"/>
  <c r="AY450" i="6"/>
  <c r="AT450" i="6"/>
  <c r="AO450" i="6"/>
  <c r="AJ450" i="6"/>
  <c r="AE450" i="6"/>
  <c r="Z450" i="6"/>
  <c r="U450" i="6"/>
  <c r="P450" i="6"/>
  <c r="K450" i="6"/>
  <c r="BR449" i="6"/>
  <c r="BQ449" i="6"/>
  <c r="BP449" i="6"/>
  <c r="BO449" i="6"/>
  <c r="BN449" i="6"/>
  <c r="BI449" i="6"/>
  <c r="BD449" i="6"/>
  <c r="AY449" i="6"/>
  <c r="AT449" i="6"/>
  <c r="AO449" i="6"/>
  <c r="AJ449" i="6"/>
  <c r="AE449" i="6"/>
  <c r="Z449" i="6"/>
  <c r="U449" i="6"/>
  <c r="P449" i="6"/>
  <c r="K449" i="6"/>
  <c r="BR448" i="6"/>
  <c r="BQ448" i="6"/>
  <c r="BP448" i="6"/>
  <c r="BO448" i="6"/>
  <c r="BN448" i="6"/>
  <c r="BI448" i="6"/>
  <c r="BD448" i="6"/>
  <c r="AY448" i="6"/>
  <c r="AT448" i="6"/>
  <c r="AO448" i="6"/>
  <c r="AJ448" i="6"/>
  <c r="AE448" i="6"/>
  <c r="Z448" i="6"/>
  <c r="U448" i="6"/>
  <c r="P448" i="6"/>
  <c r="K448" i="6"/>
  <c r="BR447" i="6"/>
  <c r="BQ447" i="6"/>
  <c r="BP447" i="6"/>
  <c r="BO447" i="6"/>
  <c r="BN447" i="6"/>
  <c r="BI447" i="6"/>
  <c r="BD447" i="6"/>
  <c r="AY447" i="6"/>
  <c r="AT447" i="6"/>
  <c r="AO447" i="6"/>
  <c r="AJ447" i="6"/>
  <c r="AE447" i="6"/>
  <c r="Z447" i="6"/>
  <c r="U447" i="6"/>
  <c r="P447" i="6"/>
  <c r="K447" i="6"/>
  <c r="BR446" i="6"/>
  <c r="BQ446" i="6"/>
  <c r="BP446" i="6"/>
  <c r="BO446" i="6"/>
  <c r="BN446" i="6"/>
  <c r="BI446" i="6"/>
  <c r="BD446" i="6"/>
  <c r="AY446" i="6"/>
  <c r="AT446" i="6"/>
  <c r="AO446" i="6"/>
  <c r="AJ446" i="6"/>
  <c r="AE446" i="6"/>
  <c r="Z446" i="6"/>
  <c r="U446" i="6"/>
  <c r="P446" i="6"/>
  <c r="K446" i="6"/>
  <c r="BR445" i="6"/>
  <c r="BQ445" i="6"/>
  <c r="BP445" i="6"/>
  <c r="BO445" i="6"/>
  <c r="BN445" i="6"/>
  <c r="BI445" i="6"/>
  <c r="BD445" i="6"/>
  <c r="AY445" i="6"/>
  <c r="AT445" i="6"/>
  <c r="AO445" i="6"/>
  <c r="AJ445" i="6"/>
  <c r="AE445" i="6"/>
  <c r="Z445" i="6"/>
  <c r="U445" i="6"/>
  <c r="P445" i="6"/>
  <c r="K445" i="6"/>
  <c r="BR444" i="6"/>
  <c r="BQ444" i="6"/>
  <c r="BP444" i="6"/>
  <c r="BO444" i="6"/>
  <c r="BN444" i="6"/>
  <c r="BI444" i="6"/>
  <c r="BD444" i="6"/>
  <c r="AY444" i="6"/>
  <c r="AT444" i="6"/>
  <c r="AO444" i="6"/>
  <c r="AJ444" i="6"/>
  <c r="AE444" i="6"/>
  <c r="Z444" i="6"/>
  <c r="U444" i="6"/>
  <c r="P444" i="6"/>
  <c r="K444" i="6"/>
  <c r="BR443" i="6"/>
  <c r="BQ443" i="6"/>
  <c r="BP443" i="6"/>
  <c r="BO443" i="6"/>
  <c r="BN443" i="6"/>
  <c r="BI443" i="6"/>
  <c r="BD443" i="6"/>
  <c r="AY443" i="6"/>
  <c r="AT443" i="6"/>
  <c r="AO443" i="6"/>
  <c r="AJ443" i="6"/>
  <c r="AE443" i="6"/>
  <c r="Z443" i="6"/>
  <c r="U443" i="6"/>
  <c r="P443" i="6"/>
  <c r="K443" i="6"/>
  <c r="BR442" i="6"/>
  <c r="BQ442" i="6"/>
  <c r="BP442" i="6"/>
  <c r="BO442" i="6"/>
  <c r="BN442" i="6"/>
  <c r="BI442" i="6"/>
  <c r="BD442" i="6"/>
  <c r="AY442" i="6"/>
  <c r="AT442" i="6"/>
  <c r="AO442" i="6"/>
  <c r="AJ442" i="6"/>
  <c r="AE442" i="6"/>
  <c r="Z442" i="6"/>
  <c r="U442" i="6"/>
  <c r="P442" i="6"/>
  <c r="K442" i="6"/>
  <c r="BR441" i="6"/>
  <c r="BQ441" i="6"/>
  <c r="BP441" i="6"/>
  <c r="BO441" i="6"/>
  <c r="BN441" i="6"/>
  <c r="BI441" i="6"/>
  <c r="BD441" i="6"/>
  <c r="AY441" i="6"/>
  <c r="AT441" i="6"/>
  <c r="AO441" i="6"/>
  <c r="AJ441" i="6"/>
  <c r="AE441" i="6"/>
  <c r="Z441" i="6"/>
  <c r="U441" i="6"/>
  <c r="P441" i="6"/>
  <c r="K441" i="6"/>
  <c r="BR440" i="6"/>
  <c r="BQ440" i="6"/>
  <c r="BP440" i="6"/>
  <c r="BO440" i="6"/>
  <c r="BN440" i="6"/>
  <c r="BI440" i="6"/>
  <c r="BD440" i="6"/>
  <c r="AY440" i="6"/>
  <c r="AT440" i="6"/>
  <c r="AO440" i="6"/>
  <c r="AJ440" i="6"/>
  <c r="AE440" i="6"/>
  <c r="Z440" i="6"/>
  <c r="U440" i="6"/>
  <c r="P440" i="6"/>
  <c r="K440" i="6"/>
  <c r="BR439" i="6"/>
  <c r="BQ439" i="6"/>
  <c r="BP439" i="6"/>
  <c r="BO439" i="6"/>
  <c r="BN439" i="6"/>
  <c r="BI439" i="6"/>
  <c r="BD439" i="6"/>
  <c r="AY439" i="6"/>
  <c r="AT439" i="6"/>
  <c r="AO439" i="6"/>
  <c r="AJ439" i="6"/>
  <c r="AE439" i="6"/>
  <c r="Z439" i="6"/>
  <c r="U439" i="6"/>
  <c r="P439" i="6"/>
  <c r="K439" i="6"/>
  <c r="BM438" i="6"/>
  <c r="BL438" i="6"/>
  <c r="BK438" i="6"/>
  <c r="BJ438" i="6"/>
  <c r="BH438" i="6"/>
  <c r="BG438" i="6"/>
  <c r="BF438" i="6"/>
  <c r="BC438" i="6"/>
  <c r="BB438" i="6"/>
  <c r="BA438" i="6"/>
  <c r="AZ438" i="6"/>
  <c r="AX438" i="6"/>
  <c r="AW438" i="6"/>
  <c r="AV438" i="6"/>
  <c r="AU438" i="6"/>
  <c r="AS438" i="6"/>
  <c r="AR438" i="6"/>
  <c r="AQ438" i="6"/>
  <c r="AN438" i="6"/>
  <c r="AM438" i="6"/>
  <c r="AL438" i="6"/>
  <c r="AK438" i="6"/>
  <c r="AI438" i="6"/>
  <c r="AH438" i="6"/>
  <c r="AG438" i="6"/>
  <c r="AD438" i="6"/>
  <c r="AC438" i="6"/>
  <c r="AB438" i="6"/>
  <c r="Y438" i="6"/>
  <c r="X438" i="6"/>
  <c r="W438" i="6"/>
  <c r="V438" i="6"/>
  <c r="T438" i="6"/>
  <c r="S438" i="6"/>
  <c r="R438" i="6"/>
  <c r="Q438" i="6"/>
  <c r="O438" i="6"/>
  <c r="N438" i="6"/>
  <c r="M438" i="6"/>
  <c r="L438" i="6"/>
  <c r="J438" i="6"/>
  <c r="I438" i="6"/>
  <c r="H438" i="6"/>
  <c r="G438" i="6"/>
  <c r="BR437" i="6"/>
  <c r="BQ437" i="6"/>
  <c r="BP437" i="6"/>
  <c r="BN437" i="6"/>
  <c r="BI437" i="6"/>
  <c r="BD437" i="6"/>
  <c r="AY437" i="6"/>
  <c r="AP437" i="6"/>
  <c r="AO437" i="6"/>
  <c r="AF437" i="6"/>
  <c r="AE437" i="6"/>
  <c r="Z437" i="6"/>
  <c r="U437" i="6"/>
  <c r="P437" i="6"/>
  <c r="K437" i="6"/>
  <c r="BR436" i="6"/>
  <c r="BQ436" i="6"/>
  <c r="BP436" i="6"/>
  <c r="BN436" i="6"/>
  <c r="BE436" i="6"/>
  <c r="BI436" i="6" s="1"/>
  <c r="BD436" i="6"/>
  <c r="AY436" i="6"/>
  <c r="AT436" i="6"/>
  <c r="AO436" i="6"/>
  <c r="AF436" i="6"/>
  <c r="AA436" i="6"/>
  <c r="Z436" i="6"/>
  <c r="U436" i="6"/>
  <c r="P436" i="6"/>
  <c r="K436" i="6"/>
  <c r="BR435" i="6"/>
  <c r="BQ435" i="6"/>
  <c r="BP435" i="6"/>
  <c r="BO435" i="6"/>
  <c r="BN435" i="6"/>
  <c r="BI435" i="6"/>
  <c r="BD435" i="6"/>
  <c r="AY435" i="6"/>
  <c r="AT435" i="6"/>
  <c r="AO435" i="6"/>
  <c r="AJ435" i="6"/>
  <c r="AE435" i="6"/>
  <c r="Z435" i="6"/>
  <c r="U435" i="6"/>
  <c r="P435" i="6"/>
  <c r="K435" i="6"/>
  <c r="BM433" i="6"/>
  <c r="BL433" i="6"/>
  <c r="BK433" i="6"/>
  <c r="BJ433" i="6"/>
  <c r="BH433" i="6"/>
  <c r="BG433" i="6"/>
  <c r="BF433" i="6"/>
  <c r="BE433" i="6"/>
  <c r="BC433" i="6"/>
  <c r="BB433" i="6"/>
  <c r="BA433" i="6"/>
  <c r="AZ433" i="6"/>
  <c r="AX433" i="6"/>
  <c r="AW433" i="6"/>
  <c r="AV433" i="6"/>
  <c r="AU433" i="6"/>
  <c r="AS433" i="6"/>
  <c r="AR433" i="6"/>
  <c r="AQ433" i="6"/>
  <c r="AP433" i="6"/>
  <c r="AN433" i="6"/>
  <c r="AM433" i="6"/>
  <c r="AL433" i="6"/>
  <c r="AK433" i="6"/>
  <c r="AI433" i="6"/>
  <c r="AH433" i="6"/>
  <c r="AG433" i="6"/>
  <c r="AF433" i="6"/>
  <c r="AD433" i="6"/>
  <c r="AC433" i="6"/>
  <c r="AB433" i="6"/>
  <c r="AA433" i="6"/>
  <c r="Y433" i="6"/>
  <c r="X433" i="6"/>
  <c r="W433" i="6"/>
  <c r="V433" i="6"/>
  <c r="T433" i="6"/>
  <c r="S433" i="6"/>
  <c r="R433" i="6"/>
  <c r="Q433" i="6"/>
  <c r="O433" i="6"/>
  <c r="N433" i="6"/>
  <c r="M433" i="6"/>
  <c r="L433" i="6"/>
  <c r="J433" i="6"/>
  <c r="I433" i="6"/>
  <c r="H433" i="6"/>
  <c r="G433" i="6"/>
  <c r="BR432" i="6"/>
  <c r="BQ432" i="6"/>
  <c r="BP432" i="6"/>
  <c r="BO432" i="6"/>
  <c r="BN432" i="6"/>
  <c r="BI432" i="6"/>
  <c r="BD432" i="6"/>
  <c r="AY432" i="6"/>
  <c r="AT432" i="6"/>
  <c r="AO432" i="6"/>
  <c r="AJ432" i="6"/>
  <c r="AE432" i="6"/>
  <c r="Z432" i="6"/>
  <c r="U432" i="6"/>
  <c r="P432" i="6"/>
  <c r="K432" i="6"/>
  <c r="BR431" i="6"/>
  <c r="BQ431" i="6"/>
  <c r="BP431" i="6"/>
  <c r="BO431" i="6"/>
  <c r="BN431" i="6"/>
  <c r="BI431" i="6"/>
  <c r="BD431" i="6"/>
  <c r="AY431" i="6"/>
  <c r="AT431" i="6"/>
  <c r="AO431" i="6"/>
  <c r="AJ431" i="6"/>
  <c r="AE431" i="6"/>
  <c r="Z431" i="6"/>
  <c r="U431" i="6"/>
  <c r="P431" i="6"/>
  <c r="K431" i="6"/>
  <c r="BR430" i="6"/>
  <c r="BQ430" i="6"/>
  <c r="BP430" i="6"/>
  <c r="BO430" i="6"/>
  <c r="BN430" i="6"/>
  <c r="BI430" i="6"/>
  <c r="BD430" i="6"/>
  <c r="AY430" i="6"/>
  <c r="AT430" i="6"/>
  <c r="AO430" i="6"/>
  <c r="AJ430" i="6"/>
  <c r="AE430" i="6"/>
  <c r="Z430" i="6"/>
  <c r="U430" i="6"/>
  <c r="P430" i="6"/>
  <c r="K430" i="6"/>
  <c r="BR429" i="6"/>
  <c r="BQ429" i="6"/>
  <c r="BP429" i="6"/>
  <c r="BO429" i="6"/>
  <c r="BN429" i="6"/>
  <c r="BI429" i="6"/>
  <c r="BD429" i="6"/>
  <c r="AY429" i="6"/>
  <c r="AT429" i="6"/>
  <c r="AO429" i="6"/>
  <c r="AJ429" i="6"/>
  <c r="AE429" i="6"/>
  <c r="Z429" i="6"/>
  <c r="U429" i="6"/>
  <c r="P429" i="6"/>
  <c r="K429" i="6"/>
  <c r="BR428" i="6"/>
  <c r="BQ428" i="6"/>
  <c r="BP428" i="6"/>
  <c r="BO428" i="6"/>
  <c r="BN428" i="6"/>
  <c r="BI428" i="6"/>
  <c r="BD428" i="6"/>
  <c r="AY428" i="6"/>
  <c r="AT428" i="6"/>
  <c r="AO428" i="6"/>
  <c r="AJ428" i="6"/>
  <c r="AE428" i="6"/>
  <c r="Z428" i="6"/>
  <c r="U428" i="6"/>
  <c r="P428" i="6"/>
  <c r="K428" i="6"/>
  <c r="BR427" i="6"/>
  <c r="BQ427" i="6"/>
  <c r="BP427" i="6"/>
  <c r="BO427" i="6"/>
  <c r="BN427" i="6"/>
  <c r="BI427" i="6"/>
  <c r="BD427" i="6"/>
  <c r="AY427" i="6"/>
  <c r="AT427" i="6"/>
  <c r="AO427" i="6"/>
  <c r="AJ427" i="6"/>
  <c r="AE427" i="6"/>
  <c r="Z427" i="6"/>
  <c r="U427" i="6"/>
  <c r="P427" i="6"/>
  <c r="K427" i="6"/>
  <c r="BR426" i="6"/>
  <c r="BQ426" i="6"/>
  <c r="BP426" i="6"/>
  <c r="BO426" i="6"/>
  <c r="BN426" i="6"/>
  <c r="BI426" i="6"/>
  <c r="BD426" i="6"/>
  <c r="AY426" i="6"/>
  <c r="AT426" i="6"/>
  <c r="AO426" i="6"/>
  <c r="AJ426" i="6"/>
  <c r="AE426" i="6"/>
  <c r="Z426" i="6"/>
  <c r="U426" i="6"/>
  <c r="P426" i="6"/>
  <c r="K426" i="6"/>
  <c r="BR425" i="6"/>
  <c r="BQ425" i="6"/>
  <c r="BP425" i="6"/>
  <c r="BO425" i="6"/>
  <c r="BN425" i="6"/>
  <c r="BI425" i="6"/>
  <c r="BD425" i="6"/>
  <c r="AY425" i="6"/>
  <c r="AT425" i="6"/>
  <c r="AO425" i="6"/>
  <c r="AJ425" i="6"/>
  <c r="AE425" i="6"/>
  <c r="Z425" i="6"/>
  <c r="U425" i="6"/>
  <c r="P425" i="6"/>
  <c r="K425" i="6"/>
  <c r="BR424" i="6"/>
  <c r="BQ424" i="6"/>
  <c r="BP424" i="6"/>
  <c r="BO424" i="6"/>
  <c r="BN424" i="6"/>
  <c r="BI424" i="6"/>
  <c r="BD424" i="6"/>
  <c r="AY424" i="6"/>
  <c r="AT424" i="6"/>
  <c r="AO424" i="6"/>
  <c r="AJ424" i="6"/>
  <c r="AE424" i="6"/>
  <c r="Z424" i="6"/>
  <c r="U424" i="6"/>
  <c r="P424" i="6"/>
  <c r="K424" i="6"/>
  <c r="BM423" i="6"/>
  <c r="BL423" i="6"/>
  <c r="BK423" i="6"/>
  <c r="BJ423" i="6"/>
  <c r="BH423" i="6"/>
  <c r="BG423" i="6"/>
  <c r="BF423" i="6"/>
  <c r="BE423" i="6"/>
  <c r="BC423" i="6"/>
  <c r="BB423" i="6"/>
  <c r="BA423" i="6"/>
  <c r="AZ423" i="6"/>
  <c r="AX423" i="6"/>
  <c r="AW423" i="6"/>
  <c r="AV423" i="6"/>
  <c r="AU423" i="6"/>
  <c r="AS423" i="6"/>
  <c r="AR423" i="6"/>
  <c r="AQ423" i="6"/>
  <c r="AP423" i="6"/>
  <c r="AN423" i="6"/>
  <c r="AM423" i="6"/>
  <c r="AL423" i="6"/>
  <c r="AK423" i="6"/>
  <c r="AI423" i="6"/>
  <c r="AH423" i="6"/>
  <c r="AG423" i="6"/>
  <c r="AF423" i="6"/>
  <c r="AD423" i="6"/>
  <c r="AC423" i="6"/>
  <c r="AB423" i="6"/>
  <c r="AA423" i="6"/>
  <c r="Y423" i="6"/>
  <c r="X423" i="6"/>
  <c r="W423" i="6"/>
  <c r="V423" i="6"/>
  <c r="T423" i="6"/>
  <c r="S423" i="6"/>
  <c r="R423" i="6"/>
  <c r="Q423" i="6"/>
  <c r="O423" i="6"/>
  <c r="N423" i="6"/>
  <c r="M423" i="6"/>
  <c r="J423" i="6"/>
  <c r="I423" i="6"/>
  <c r="H423" i="6"/>
  <c r="G423" i="6"/>
  <c r="BR422" i="6"/>
  <c r="BQ422" i="6"/>
  <c r="BP422" i="6"/>
  <c r="BO422" i="6"/>
  <c r="BN422" i="6"/>
  <c r="BI422" i="6"/>
  <c r="BD422" i="6"/>
  <c r="AY422" i="6"/>
  <c r="AT422" i="6"/>
  <c r="AO422" i="6"/>
  <c r="AJ422" i="6"/>
  <c r="AE422" i="6"/>
  <c r="Z422" i="6"/>
  <c r="U422" i="6"/>
  <c r="P422" i="6"/>
  <c r="K422" i="6"/>
  <c r="BR421" i="6"/>
  <c r="BQ421" i="6"/>
  <c r="BP421" i="6"/>
  <c r="BN421" i="6"/>
  <c r="BI421" i="6"/>
  <c r="BD421" i="6"/>
  <c r="AY421" i="6"/>
  <c r="AT421" i="6"/>
  <c r="AO421" i="6"/>
  <c r="AJ421" i="6"/>
  <c r="AE421" i="6"/>
  <c r="Z421" i="6"/>
  <c r="U421" i="6"/>
  <c r="L421" i="6"/>
  <c r="BO421" i="6" s="1"/>
  <c r="K421" i="6"/>
  <c r="BR420" i="6"/>
  <c r="BQ420" i="6"/>
  <c r="BP420" i="6"/>
  <c r="BO420" i="6"/>
  <c r="BN420" i="6"/>
  <c r="BI420" i="6"/>
  <c r="BD420" i="6"/>
  <c r="AY420" i="6"/>
  <c r="AT420" i="6"/>
  <c r="AO420" i="6"/>
  <c r="AJ420" i="6"/>
  <c r="AE420" i="6"/>
  <c r="Z420" i="6"/>
  <c r="U420" i="6"/>
  <c r="P420" i="6"/>
  <c r="K420" i="6"/>
  <c r="BR419" i="6"/>
  <c r="BQ419" i="6"/>
  <c r="BP419" i="6"/>
  <c r="BO419" i="6"/>
  <c r="BN419" i="6"/>
  <c r="BI419" i="6"/>
  <c r="BD419" i="6"/>
  <c r="AY419" i="6"/>
  <c r="AT419" i="6"/>
  <c r="AO419" i="6"/>
  <c r="AJ419" i="6"/>
  <c r="AE419" i="6"/>
  <c r="Z419" i="6"/>
  <c r="U419" i="6"/>
  <c r="P419" i="6"/>
  <c r="K419" i="6"/>
  <c r="BR418" i="6"/>
  <c r="BQ418" i="6"/>
  <c r="BP418" i="6"/>
  <c r="BO418" i="6"/>
  <c r="BN418" i="6"/>
  <c r="BI418" i="6"/>
  <c r="BD418" i="6"/>
  <c r="AY418" i="6"/>
  <c r="AT418" i="6"/>
  <c r="AO418" i="6"/>
  <c r="AJ418" i="6"/>
  <c r="AE418" i="6"/>
  <c r="Z418" i="6"/>
  <c r="U418" i="6"/>
  <c r="P418" i="6"/>
  <c r="K418" i="6"/>
  <c r="BR417" i="6"/>
  <c r="BQ417" i="6"/>
  <c r="BP417" i="6"/>
  <c r="BO417" i="6"/>
  <c r="BN417" i="6"/>
  <c r="BI417" i="6"/>
  <c r="BD417" i="6"/>
  <c r="AY417" i="6"/>
  <c r="AT417" i="6"/>
  <c r="AO417" i="6"/>
  <c r="AJ417" i="6"/>
  <c r="AE417" i="6"/>
  <c r="Z417" i="6"/>
  <c r="U417" i="6"/>
  <c r="P417" i="6"/>
  <c r="K417" i="6"/>
  <c r="BR416" i="6"/>
  <c r="BQ416" i="6"/>
  <c r="BP416" i="6"/>
  <c r="BO416" i="6"/>
  <c r="BN416" i="6"/>
  <c r="BI416" i="6"/>
  <c r="BD416" i="6"/>
  <c r="AY416" i="6"/>
  <c r="AT416" i="6"/>
  <c r="AO416" i="6"/>
  <c r="AJ416" i="6"/>
  <c r="AE416" i="6"/>
  <c r="Z416" i="6"/>
  <c r="U416" i="6"/>
  <c r="P416" i="6"/>
  <c r="K416" i="6"/>
  <c r="BR415" i="6"/>
  <c r="BQ415" i="6"/>
  <c r="BP415" i="6"/>
  <c r="BO415" i="6"/>
  <c r="BN415" i="6"/>
  <c r="BI415" i="6"/>
  <c r="BD415" i="6"/>
  <c r="AY415" i="6"/>
  <c r="AT415" i="6"/>
  <c r="AO415" i="6"/>
  <c r="AJ415" i="6"/>
  <c r="AE415" i="6"/>
  <c r="Z415" i="6"/>
  <c r="U415" i="6"/>
  <c r="P415" i="6"/>
  <c r="K415" i="6"/>
  <c r="BR414" i="6"/>
  <c r="BQ414" i="6"/>
  <c r="BP414" i="6"/>
  <c r="BO414" i="6"/>
  <c r="BN414" i="6"/>
  <c r="BI414" i="6"/>
  <c r="BD414" i="6"/>
  <c r="AY414" i="6"/>
  <c r="AT414" i="6"/>
  <c r="AO414" i="6"/>
  <c r="AJ414" i="6"/>
  <c r="AE414" i="6"/>
  <c r="Z414" i="6"/>
  <c r="U414" i="6"/>
  <c r="P414" i="6"/>
  <c r="K414" i="6"/>
  <c r="BR413" i="6"/>
  <c r="BQ413" i="6"/>
  <c r="BP413" i="6"/>
  <c r="BO413" i="6"/>
  <c r="BN413" i="6"/>
  <c r="BI413" i="6"/>
  <c r="BD413" i="6"/>
  <c r="AY413" i="6"/>
  <c r="AT413" i="6"/>
  <c r="AO413" i="6"/>
  <c r="AJ413" i="6"/>
  <c r="AE413" i="6"/>
  <c r="Z413" i="6"/>
  <c r="U413" i="6"/>
  <c r="P413" i="6"/>
  <c r="K413" i="6"/>
  <c r="BR412" i="6"/>
  <c r="BQ412" i="6"/>
  <c r="BP412" i="6"/>
  <c r="BO412" i="6"/>
  <c r="BN412" i="6"/>
  <c r="BI412" i="6"/>
  <c r="BD412" i="6"/>
  <c r="AY412" i="6"/>
  <c r="AT412" i="6"/>
  <c r="AO412" i="6"/>
  <c r="AJ412" i="6"/>
  <c r="AE412" i="6"/>
  <c r="Z412" i="6"/>
  <c r="U412" i="6"/>
  <c r="P412" i="6"/>
  <c r="K412" i="6"/>
  <c r="BR411" i="6"/>
  <c r="BQ411" i="6"/>
  <c r="BP411" i="6"/>
  <c r="BO411" i="6"/>
  <c r="BN411" i="6"/>
  <c r="BI411" i="6"/>
  <c r="BD411" i="6"/>
  <c r="AY411" i="6"/>
  <c r="AT411" i="6"/>
  <c r="AO411" i="6"/>
  <c r="AJ411" i="6"/>
  <c r="AE411" i="6"/>
  <c r="Z411" i="6"/>
  <c r="U411" i="6"/>
  <c r="P411" i="6"/>
  <c r="K411" i="6"/>
  <c r="BR410" i="6"/>
  <c r="BQ410" i="6"/>
  <c r="BP410" i="6"/>
  <c r="BO410" i="6"/>
  <c r="BN410" i="6"/>
  <c r="BI410" i="6"/>
  <c r="BD410" i="6"/>
  <c r="AY410" i="6"/>
  <c r="AT410" i="6"/>
  <c r="AO410" i="6"/>
  <c r="AJ410" i="6"/>
  <c r="AE410" i="6"/>
  <c r="Z410" i="6"/>
  <c r="U410" i="6"/>
  <c r="P410" i="6"/>
  <c r="K410" i="6"/>
  <c r="BR409" i="6"/>
  <c r="BQ409" i="6"/>
  <c r="BP409" i="6"/>
  <c r="BO409" i="6"/>
  <c r="BN409" i="6"/>
  <c r="BI409" i="6"/>
  <c r="BD409" i="6"/>
  <c r="AY409" i="6"/>
  <c r="AT409" i="6"/>
  <c r="AO409" i="6"/>
  <c r="AJ409" i="6"/>
  <c r="AE409" i="6"/>
  <c r="Z409" i="6"/>
  <c r="U409" i="6"/>
  <c r="P409" i="6"/>
  <c r="K409" i="6"/>
  <c r="BM408" i="6"/>
  <c r="BL408" i="6"/>
  <c r="BK408" i="6"/>
  <c r="BJ408" i="6"/>
  <c r="BH408" i="6"/>
  <c r="BG408" i="6"/>
  <c r="BF408" i="6"/>
  <c r="BE408" i="6"/>
  <c r="BB408" i="6"/>
  <c r="BA408" i="6"/>
  <c r="AZ408" i="6"/>
  <c r="AX408" i="6"/>
  <c r="AW408" i="6"/>
  <c r="AV408" i="6"/>
  <c r="AU408" i="6"/>
  <c r="AS408" i="6"/>
  <c r="AR408" i="6"/>
  <c r="AQ408" i="6"/>
  <c r="AP408" i="6"/>
  <c r="AN408" i="6"/>
  <c r="AM408" i="6"/>
  <c r="AL408" i="6"/>
  <c r="AK408" i="6"/>
  <c r="AI408" i="6"/>
  <c r="AH408" i="6"/>
  <c r="AG408" i="6"/>
  <c r="AF408" i="6"/>
  <c r="AD408" i="6"/>
  <c r="AC408" i="6"/>
  <c r="AB408" i="6"/>
  <c r="AA408" i="6"/>
  <c r="X408" i="6"/>
  <c r="W408" i="6"/>
  <c r="V408" i="6"/>
  <c r="T408" i="6"/>
  <c r="S408" i="6"/>
  <c r="R408" i="6"/>
  <c r="Q408" i="6"/>
  <c r="N408" i="6"/>
  <c r="M408" i="6"/>
  <c r="L408" i="6"/>
  <c r="I408" i="6"/>
  <c r="H408" i="6"/>
  <c r="G408" i="6"/>
  <c r="BR407" i="6"/>
  <c r="BQ407" i="6"/>
  <c r="BP407" i="6"/>
  <c r="BO407" i="6"/>
  <c r="BN407" i="6"/>
  <c r="BI407" i="6"/>
  <c r="BD407" i="6"/>
  <c r="AY407" i="6"/>
  <c r="AT407" i="6"/>
  <c r="AO407" i="6"/>
  <c r="AJ407" i="6"/>
  <c r="AE407" i="6"/>
  <c r="Z407" i="6"/>
  <c r="U407" i="6"/>
  <c r="P407" i="6"/>
  <c r="K407" i="6"/>
  <c r="BQ406" i="6"/>
  <c r="BP406" i="6"/>
  <c r="BO406" i="6"/>
  <c r="BN406" i="6"/>
  <c r="BI406" i="6"/>
  <c r="BC406" i="6"/>
  <c r="AY406" i="6"/>
  <c r="AT406" i="6"/>
  <c r="AO406" i="6"/>
  <c r="AJ406" i="6"/>
  <c r="AE406" i="6"/>
  <c r="Z406" i="6"/>
  <c r="U406" i="6"/>
  <c r="P406" i="6"/>
  <c r="K406" i="6"/>
  <c r="BR405" i="6"/>
  <c r="BQ405" i="6"/>
  <c r="BP405" i="6"/>
  <c r="BO405" i="6"/>
  <c r="BN405" i="6"/>
  <c r="BI405" i="6"/>
  <c r="BD405" i="6"/>
  <c r="AY405" i="6"/>
  <c r="AT405" i="6"/>
  <c r="AO405" i="6"/>
  <c r="AJ405" i="6"/>
  <c r="AE405" i="6"/>
  <c r="Z405" i="6"/>
  <c r="U405" i="6"/>
  <c r="P405" i="6"/>
  <c r="K405" i="6"/>
  <c r="BR404" i="6"/>
  <c r="BQ404" i="6"/>
  <c r="BP404" i="6"/>
  <c r="BO404" i="6"/>
  <c r="BN404" i="6"/>
  <c r="BI404" i="6"/>
  <c r="BD404" i="6"/>
  <c r="AY404" i="6"/>
  <c r="AT404" i="6"/>
  <c r="AO404" i="6"/>
  <c r="AJ404" i="6"/>
  <c r="AE404" i="6"/>
  <c r="Z404" i="6"/>
  <c r="U404" i="6"/>
  <c r="P404" i="6"/>
  <c r="K404" i="6"/>
  <c r="BQ403" i="6"/>
  <c r="BP403" i="6"/>
  <c r="BO403" i="6"/>
  <c r="BN403" i="6"/>
  <c r="BI403" i="6"/>
  <c r="BD403" i="6"/>
  <c r="AY403" i="6"/>
  <c r="AT403" i="6"/>
  <c r="AO403" i="6"/>
  <c r="AJ403" i="6"/>
  <c r="AE403" i="6"/>
  <c r="Z403" i="6"/>
  <c r="U403" i="6"/>
  <c r="P403" i="6"/>
  <c r="J403" i="6"/>
  <c r="BR403" i="6" s="1"/>
  <c r="BR402" i="6"/>
  <c r="BQ402" i="6"/>
  <c r="BP402" i="6"/>
  <c r="BO402" i="6"/>
  <c r="BN402" i="6"/>
  <c r="BI402" i="6"/>
  <c r="BD402" i="6"/>
  <c r="AY402" i="6"/>
  <c r="AT402" i="6"/>
  <c r="AO402" i="6"/>
  <c r="AJ402" i="6"/>
  <c r="AE402" i="6"/>
  <c r="Z402" i="6"/>
  <c r="U402" i="6"/>
  <c r="P402" i="6"/>
  <c r="K402" i="6"/>
  <c r="BR401" i="6"/>
  <c r="BQ401" i="6"/>
  <c r="BP401" i="6"/>
  <c r="BO401" i="6"/>
  <c r="BN401" i="6"/>
  <c r="BI401" i="6"/>
  <c r="BD401" i="6"/>
  <c r="AY401" i="6"/>
  <c r="AT401" i="6"/>
  <c r="AO401" i="6"/>
  <c r="AJ401" i="6"/>
  <c r="AE401" i="6"/>
  <c r="Z401" i="6"/>
  <c r="U401" i="6"/>
  <c r="P401" i="6"/>
  <c r="K401" i="6"/>
  <c r="BR400" i="6"/>
  <c r="BQ400" i="6"/>
  <c r="BP400" i="6"/>
  <c r="BO400" i="6"/>
  <c r="BN400" i="6"/>
  <c r="BI400" i="6"/>
  <c r="BD400" i="6"/>
  <c r="AY400" i="6"/>
  <c r="AT400" i="6"/>
  <c r="AO400" i="6"/>
  <c r="AJ400" i="6"/>
  <c r="AE400" i="6"/>
  <c r="Z400" i="6"/>
  <c r="U400" i="6"/>
  <c r="P400" i="6"/>
  <c r="K400" i="6"/>
  <c r="BQ399" i="6"/>
  <c r="BP399" i="6"/>
  <c r="BO399" i="6"/>
  <c r="BN399" i="6"/>
  <c r="BI399" i="6"/>
  <c r="BD399" i="6"/>
  <c r="AY399" i="6"/>
  <c r="AT399" i="6"/>
  <c r="AO399" i="6"/>
  <c r="AJ399" i="6"/>
  <c r="AE399" i="6"/>
  <c r="Y399" i="6"/>
  <c r="BR399" i="6" s="1"/>
  <c r="U399" i="6"/>
  <c r="P399" i="6"/>
  <c r="K399" i="6"/>
  <c r="BR398" i="6"/>
  <c r="BQ398" i="6"/>
  <c r="BP398" i="6"/>
  <c r="BO398" i="6"/>
  <c r="BN398" i="6"/>
  <c r="BI398" i="6"/>
  <c r="BD398" i="6"/>
  <c r="AY398" i="6"/>
  <c r="AT398" i="6"/>
  <c r="AO398" i="6"/>
  <c r="AJ398" i="6"/>
  <c r="AE398" i="6"/>
  <c r="Z398" i="6"/>
  <c r="U398" i="6"/>
  <c r="P398" i="6"/>
  <c r="K398" i="6"/>
  <c r="BQ397" i="6"/>
  <c r="BP397" i="6"/>
  <c r="BO397" i="6"/>
  <c r="BN397" i="6"/>
  <c r="BI397" i="6"/>
  <c r="BD397" i="6"/>
  <c r="AY397" i="6"/>
  <c r="AT397" i="6"/>
  <c r="AO397" i="6"/>
  <c r="AJ397" i="6"/>
  <c r="AE397" i="6"/>
  <c r="Z397" i="6"/>
  <c r="U397" i="6"/>
  <c r="O397" i="6"/>
  <c r="J397" i="6"/>
  <c r="BM396" i="6"/>
  <c r="BL396" i="6"/>
  <c r="BJ396" i="6"/>
  <c r="BH396" i="6"/>
  <c r="BE396" i="6"/>
  <c r="BC396" i="6"/>
  <c r="AZ396" i="6"/>
  <c r="AX396" i="6"/>
  <c r="AW396" i="6"/>
  <c r="AV396" i="6"/>
  <c r="AU396" i="6"/>
  <c r="AS396" i="6"/>
  <c r="AR396" i="6"/>
  <c r="AQ396" i="6"/>
  <c r="AP396" i="6"/>
  <c r="AN396" i="6"/>
  <c r="AM396" i="6"/>
  <c r="AL396" i="6"/>
  <c r="AK396" i="6"/>
  <c r="AI396" i="6"/>
  <c r="AH396" i="6"/>
  <c r="AG396" i="6"/>
  <c r="AF396" i="6"/>
  <c r="AD396" i="6"/>
  <c r="AA396" i="6"/>
  <c r="Y396" i="6"/>
  <c r="V396" i="6"/>
  <c r="T396" i="6"/>
  <c r="S396" i="6"/>
  <c r="R396" i="6"/>
  <c r="Q396" i="6"/>
  <c r="O396" i="6"/>
  <c r="N396" i="6"/>
  <c r="M396" i="6"/>
  <c r="L396" i="6"/>
  <c r="J396" i="6"/>
  <c r="I396" i="6"/>
  <c r="H396" i="6"/>
  <c r="G396" i="6"/>
  <c r="BR395" i="6"/>
  <c r="BQ395" i="6"/>
  <c r="BP395" i="6"/>
  <c r="BO395" i="6"/>
  <c r="BN395" i="6"/>
  <c r="BI395" i="6"/>
  <c r="BD395" i="6"/>
  <c r="AY395" i="6"/>
  <c r="AT395" i="6"/>
  <c r="AO395" i="6"/>
  <c r="AJ395" i="6"/>
  <c r="AE395" i="6"/>
  <c r="Z395" i="6"/>
  <c r="U395" i="6"/>
  <c r="P395" i="6"/>
  <c r="K395" i="6"/>
  <c r="BR394" i="6"/>
  <c r="BQ394" i="6"/>
  <c r="BO394" i="6"/>
  <c r="BN394" i="6"/>
  <c r="BF394" i="6"/>
  <c r="BI394" i="6" s="1"/>
  <c r="BA394" i="6"/>
  <c r="AY394" i="6"/>
  <c r="AT394" i="6"/>
  <c r="AO394" i="6"/>
  <c r="AJ394" i="6"/>
  <c r="AE394" i="6"/>
  <c r="Z394" i="6"/>
  <c r="U394" i="6"/>
  <c r="P394" i="6"/>
  <c r="K394" i="6"/>
  <c r="BR393" i="6"/>
  <c r="BQ393" i="6"/>
  <c r="BP393" i="6"/>
  <c r="BO393" i="6"/>
  <c r="BN393" i="6"/>
  <c r="BI393" i="6"/>
  <c r="BD393" i="6"/>
  <c r="AY393" i="6"/>
  <c r="AT393" i="6"/>
  <c r="AO393" i="6"/>
  <c r="AJ393" i="6"/>
  <c r="AE393" i="6"/>
  <c r="Z393" i="6"/>
  <c r="U393" i="6"/>
  <c r="P393" i="6"/>
  <c r="K393" i="6"/>
  <c r="BR392" i="6"/>
  <c r="BQ392" i="6"/>
  <c r="BO392" i="6"/>
  <c r="BN392" i="6"/>
  <c r="BI392" i="6"/>
  <c r="BA392" i="6"/>
  <c r="BD392" i="6" s="1"/>
  <c r="AY392" i="6"/>
  <c r="AT392" i="6"/>
  <c r="AO392" i="6"/>
  <c r="AJ392" i="6"/>
  <c r="AE392" i="6"/>
  <c r="Z392" i="6"/>
  <c r="U392" i="6"/>
  <c r="P392" i="6"/>
  <c r="K392" i="6"/>
  <c r="BR391" i="6"/>
  <c r="BQ391" i="6"/>
  <c r="BP391" i="6"/>
  <c r="BO391" i="6"/>
  <c r="BN391" i="6"/>
  <c r="BI391" i="6"/>
  <c r="BD391" i="6"/>
  <c r="AY391" i="6"/>
  <c r="AT391" i="6"/>
  <c r="AO391" i="6"/>
  <c r="AJ391" i="6"/>
  <c r="AE391" i="6"/>
  <c r="Z391" i="6"/>
  <c r="U391" i="6"/>
  <c r="P391" i="6"/>
  <c r="K391" i="6"/>
  <c r="BR390" i="6"/>
  <c r="BQ390" i="6"/>
  <c r="BP390" i="6"/>
  <c r="BO390" i="6"/>
  <c r="BN390" i="6"/>
  <c r="BI390" i="6"/>
  <c r="BD390" i="6"/>
  <c r="AY390" i="6"/>
  <c r="AT390" i="6"/>
  <c r="AO390" i="6"/>
  <c r="AJ390" i="6"/>
  <c r="AE390" i="6"/>
  <c r="Z390" i="6"/>
  <c r="U390" i="6"/>
  <c r="P390" i="6"/>
  <c r="K390" i="6"/>
  <c r="BR389" i="6"/>
  <c r="BQ389" i="6"/>
  <c r="BP389" i="6"/>
  <c r="BO389" i="6"/>
  <c r="BN389" i="6"/>
  <c r="BI389" i="6"/>
  <c r="BD389" i="6"/>
  <c r="AY389" i="6"/>
  <c r="AT389" i="6"/>
  <c r="AO389" i="6"/>
  <c r="AJ389" i="6"/>
  <c r="AE389" i="6"/>
  <c r="Z389" i="6"/>
  <c r="U389" i="6"/>
  <c r="P389" i="6"/>
  <c r="K389" i="6"/>
  <c r="BR388" i="6"/>
  <c r="BQ388" i="6"/>
  <c r="BP388" i="6"/>
  <c r="BO388" i="6"/>
  <c r="BN388" i="6"/>
  <c r="BI388" i="6"/>
  <c r="BD388" i="6"/>
  <c r="AY388" i="6"/>
  <c r="AT388" i="6"/>
  <c r="AO388" i="6"/>
  <c r="AJ388" i="6"/>
  <c r="AE388" i="6"/>
  <c r="Z388" i="6"/>
  <c r="U388" i="6"/>
  <c r="P388" i="6"/>
  <c r="K388" i="6"/>
  <c r="BR387" i="6"/>
  <c r="BQ387" i="6"/>
  <c r="BO387" i="6"/>
  <c r="BN387" i="6"/>
  <c r="BI387" i="6"/>
  <c r="BD387" i="6"/>
  <c r="AY387" i="6"/>
  <c r="AT387" i="6"/>
  <c r="AO387" i="6"/>
  <c r="AJ387" i="6"/>
  <c r="AB387" i="6"/>
  <c r="AB396" i="6" s="1"/>
  <c r="W387" i="6"/>
  <c r="U387" i="6"/>
  <c r="P387" i="6"/>
  <c r="K387" i="6"/>
  <c r="BR386" i="6"/>
  <c r="BQ386" i="6"/>
  <c r="BO386" i="6"/>
  <c r="BK386" i="6"/>
  <c r="BF386" i="6"/>
  <c r="BD386" i="6"/>
  <c r="AY386" i="6"/>
  <c r="AT386" i="6"/>
  <c r="AO386" i="6"/>
  <c r="AJ386" i="6"/>
  <c r="AE386" i="6"/>
  <c r="Z386" i="6"/>
  <c r="U386" i="6"/>
  <c r="P386" i="6"/>
  <c r="K386" i="6"/>
  <c r="BR385" i="6"/>
  <c r="BQ385" i="6"/>
  <c r="BP385" i="6"/>
  <c r="BO385" i="6"/>
  <c r="BN385" i="6"/>
  <c r="BI385" i="6"/>
  <c r="BD385" i="6"/>
  <c r="AY385" i="6"/>
  <c r="AT385" i="6"/>
  <c r="AO385" i="6"/>
  <c r="AJ385" i="6"/>
  <c r="AE385" i="6"/>
  <c r="Z385" i="6"/>
  <c r="U385" i="6"/>
  <c r="P385" i="6"/>
  <c r="K385" i="6"/>
  <c r="BR384" i="6"/>
  <c r="BQ384" i="6"/>
  <c r="BP384" i="6"/>
  <c r="BO384" i="6"/>
  <c r="BN384" i="6"/>
  <c r="BI384" i="6"/>
  <c r="BD384" i="6"/>
  <c r="AY384" i="6"/>
  <c r="AT384" i="6"/>
  <c r="AO384" i="6"/>
  <c r="AJ384" i="6"/>
  <c r="AE384" i="6"/>
  <c r="Z384" i="6"/>
  <c r="U384" i="6"/>
  <c r="P384" i="6"/>
  <c r="K384" i="6"/>
  <c r="BR383" i="6"/>
  <c r="BP383" i="6"/>
  <c r="BO383" i="6"/>
  <c r="BN383" i="6"/>
  <c r="BI383" i="6"/>
  <c r="BB383" i="6"/>
  <c r="BQ383" i="6" s="1"/>
  <c r="AY383" i="6"/>
  <c r="AT383" i="6"/>
  <c r="AO383" i="6"/>
  <c r="AJ383" i="6"/>
  <c r="AE383" i="6"/>
  <c r="Z383" i="6"/>
  <c r="U383" i="6"/>
  <c r="P383" i="6"/>
  <c r="K383" i="6"/>
  <c r="BR382" i="6"/>
  <c r="BP382" i="6"/>
  <c r="BO382" i="6"/>
  <c r="BN382" i="6"/>
  <c r="BI382" i="6"/>
  <c r="BD382" i="6"/>
  <c r="AY382" i="6"/>
  <c r="AT382" i="6"/>
  <c r="AO382" i="6"/>
  <c r="AJ382" i="6"/>
  <c r="AC382" i="6"/>
  <c r="AE382" i="6" s="1"/>
  <c r="X382" i="6"/>
  <c r="U382" i="6"/>
  <c r="P382" i="6"/>
  <c r="K382" i="6"/>
  <c r="BR381" i="6"/>
  <c r="BQ381" i="6"/>
  <c r="BP381" i="6"/>
  <c r="BO381" i="6"/>
  <c r="BN381" i="6"/>
  <c r="BI381" i="6"/>
  <c r="BD381" i="6"/>
  <c r="AY381" i="6"/>
  <c r="AT381" i="6"/>
  <c r="AO381" i="6"/>
  <c r="AJ381" i="6"/>
  <c r="AE381" i="6"/>
  <c r="Z381" i="6"/>
  <c r="U381" i="6"/>
  <c r="P381" i="6"/>
  <c r="K381" i="6"/>
  <c r="BR380" i="6"/>
  <c r="BQ380" i="6"/>
  <c r="BP380" i="6"/>
  <c r="BO380" i="6"/>
  <c r="BN380" i="6"/>
  <c r="BI380" i="6"/>
  <c r="BD380" i="6"/>
  <c r="AY380" i="6"/>
  <c r="AT380" i="6"/>
  <c r="AO380" i="6"/>
  <c r="AJ380" i="6"/>
  <c r="AE380" i="6"/>
  <c r="Z380" i="6"/>
  <c r="U380" i="6"/>
  <c r="P380" i="6"/>
  <c r="K380" i="6"/>
  <c r="BR379" i="6"/>
  <c r="BP379" i="6"/>
  <c r="BO379" i="6"/>
  <c r="BN379" i="6"/>
  <c r="BG379" i="6"/>
  <c r="BD379" i="6"/>
  <c r="AY379" i="6"/>
  <c r="AT379" i="6"/>
  <c r="AO379" i="6"/>
  <c r="AJ379" i="6"/>
  <c r="AE379" i="6"/>
  <c r="Z379" i="6"/>
  <c r="U379" i="6"/>
  <c r="P379" i="6"/>
  <c r="K379" i="6"/>
  <c r="BR378" i="6"/>
  <c r="BQ378" i="6"/>
  <c r="BP378" i="6"/>
  <c r="BO378" i="6"/>
  <c r="BN378" i="6"/>
  <c r="BI378" i="6"/>
  <c r="BD378" i="6"/>
  <c r="AY378" i="6"/>
  <c r="AT378" i="6"/>
  <c r="AO378" i="6"/>
  <c r="AJ378" i="6"/>
  <c r="AE378" i="6"/>
  <c r="Z378" i="6"/>
  <c r="U378" i="6"/>
  <c r="P378" i="6"/>
  <c r="K378" i="6"/>
  <c r="BM377" i="6"/>
  <c r="BL377" i="6"/>
  <c r="BK377" i="6"/>
  <c r="BJ377" i="6"/>
  <c r="BH377" i="6"/>
  <c r="BG377" i="6"/>
  <c r="BF377" i="6"/>
  <c r="BE377" i="6"/>
  <c r="BC377" i="6"/>
  <c r="BB377" i="6"/>
  <c r="BA377" i="6"/>
  <c r="AX377" i="6"/>
  <c r="AW377" i="6"/>
  <c r="AV377" i="6"/>
  <c r="AU377" i="6"/>
  <c r="AS377" i="6"/>
  <c r="AR377" i="6"/>
  <c r="AQ377" i="6"/>
  <c r="AP377" i="6"/>
  <c r="AN377" i="6"/>
  <c r="AM377" i="6"/>
  <c r="AL377" i="6"/>
  <c r="AK377" i="6"/>
  <c r="AI377" i="6"/>
  <c r="AH377" i="6"/>
  <c r="AG377" i="6"/>
  <c r="AF377" i="6"/>
  <c r="AD377" i="6"/>
  <c r="AC377" i="6"/>
  <c r="AB377" i="6"/>
  <c r="Y377" i="6"/>
  <c r="X377" i="6"/>
  <c r="W377" i="6"/>
  <c r="V377" i="6"/>
  <c r="T377" i="6"/>
  <c r="S377" i="6"/>
  <c r="R377" i="6"/>
  <c r="Q377" i="6"/>
  <c r="O377" i="6"/>
  <c r="N377" i="6"/>
  <c r="M377" i="6"/>
  <c r="L377" i="6"/>
  <c r="J377" i="6"/>
  <c r="I377" i="6"/>
  <c r="H377" i="6"/>
  <c r="BR376" i="6"/>
  <c r="BQ376" i="6"/>
  <c r="BP376" i="6"/>
  <c r="BO376" i="6"/>
  <c r="BN376" i="6"/>
  <c r="BI376" i="6"/>
  <c r="BD376" i="6"/>
  <c r="AY376" i="6"/>
  <c r="AT376" i="6"/>
  <c r="AO376" i="6"/>
  <c r="AJ376" i="6"/>
  <c r="AE376" i="6"/>
  <c r="Z376" i="6"/>
  <c r="U376" i="6"/>
  <c r="P376" i="6"/>
  <c r="K376" i="6"/>
  <c r="BR375" i="6"/>
  <c r="BQ375" i="6"/>
  <c r="BP375" i="6"/>
  <c r="BO375" i="6"/>
  <c r="BN375" i="6"/>
  <c r="BI375" i="6"/>
  <c r="BD375" i="6"/>
  <c r="AY375" i="6"/>
  <c r="AT375" i="6"/>
  <c r="AO375" i="6"/>
  <c r="AJ375" i="6"/>
  <c r="AE375" i="6"/>
  <c r="Z375" i="6"/>
  <c r="U375" i="6"/>
  <c r="P375" i="6"/>
  <c r="K375" i="6"/>
  <c r="BR374" i="6"/>
  <c r="BQ374" i="6"/>
  <c r="BP374" i="6"/>
  <c r="BO374" i="6"/>
  <c r="BN374" i="6"/>
  <c r="BI374" i="6"/>
  <c r="BD374" i="6"/>
  <c r="AY374" i="6"/>
  <c r="AT374" i="6"/>
  <c r="AO374" i="6"/>
  <c r="AJ374" i="6"/>
  <c r="AE374" i="6"/>
  <c r="Z374" i="6"/>
  <c r="U374" i="6"/>
  <c r="P374" i="6"/>
  <c r="K374" i="6"/>
  <c r="BR373" i="6"/>
  <c r="BQ373" i="6"/>
  <c r="BP373" i="6"/>
  <c r="BO373" i="6"/>
  <c r="BN373" i="6"/>
  <c r="BI373" i="6"/>
  <c r="BD373" i="6"/>
  <c r="AY373" i="6"/>
  <c r="AT373" i="6"/>
  <c r="AO373" i="6"/>
  <c r="AJ373" i="6"/>
  <c r="AE373" i="6"/>
  <c r="Z373" i="6"/>
  <c r="U373" i="6"/>
  <c r="P373" i="6"/>
  <c r="K373" i="6"/>
  <c r="BR372" i="6"/>
  <c r="BQ372" i="6"/>
  <c r="BP372" i="6"/>
  <c r="BN372" i="6"/>
  <c r="BI372" i="6"/>
  <c r="AZ372" i="6"/>
  <c r="AY372" i="6"/>
  <c r="AT372" i="6"/>
  <c r="AO372" i="6"/>
  <c r="AJ372" i="6"/>
  <c r="AE372" i="6"/>
  <c r="Z372" i="6"/>
  <c r="U372" i="6"/>
  <c r="P372" i="6"/>
  <c r="K372" i="6"/>
  <c r="BR371" i="6"/>
  <c r="BQ371" i="6"/>
  <c r="BP371" i="6"/>
  <c r="BN371" i="6"/>
  <c r="BI371" i="6"/>
  <c r="AZ371" i="6"/>
  <c r="BD371" i="6" s="1"/>
  <c r="AY371" i="6"/>
  <c r="AT371" i="6"/>
  <c r="AO371" i="6"/>
  <c r="AJ371" i="6"/>
  <c r="AA371" i="6"/>
  <c r="AA377" i="6" s="1"/>
  <c r="Z371" i="6"/>
  <c r="U371" i="6"/>
  <c r="P371" i="6"/>
  <c r="K371" i="6"/>
  <c r="BR370" i="6"/>
  <c r="BQ370" i="6"/>
  <c r="BP370" i="6"/>
  <c r="BN370" i="6"/>
  <c r="BI370" i="6"/>
  <c r="BD370" i="6"/>
  <c r="AY370" i="6"/>
  <c r="AT370" i="6"/>
  <c r="AO370" i="6"/>
  <c r="AJ370" i="6"/>
  <c r="AE370" i="6"/>
  <c r="Z370" i="6"/>
  <c r="U370" i="6"/>
  <c r="P370" i="6"/>
  <c r="G370" i="6"/>
  <c r="G377" i="6" s="1"/>
  <c r="BM368" i="6"/>
  <c r="BL368" i="6"/>
  <c r="BK368" i="6"/>
  <c r="BJ368" i="6"/>
  <c r="BH368" i="6"/>
  <c r="BG368" i="6"/>
  <c r="BF368" i="6"/>
  <c r="BE368" i="6"/>
  <c r="BC368" i="6"/>
  <c r="BB368" i="6"/>
  <c r="BA368" i="6"/>
  <c r="AZ368" i="6"/>
  <c r="AX368" i="6"/>
  <c r="AW368" i="6"/>
  <c r="AV368" i="6"/>
  <c r="AU368" i="6"/>
  <c r="AS368" i="6"/>
  <c r="AR368" i="6"/>
  <c r="AQ368" i="6"/>
  <c r="AP368" i="6"/>
  <c r="AN368" i="6"/>
  <c r="AM368" i="6"/>
  <c r="AL368" i="6"/>
  <c r="AK368" i="6"/>
  <c r="AI368" i="6"/>
  <c r="AH368" i="6"/>
  <c r="AG368" i="6"/>
  <c r="AF368" i="6"/>
  <c r="AD368" i="6"/>
  <c r="AB368" i="6"/>
  <c r="Y368" i="6"/>
  <c r="X368" i="6"/>
  <c r="W368" i="6"/>
  <c r="V368" i="6"/>
  <c r="T368" i="6"/>
  <c r="S368" i="6"/>
  <c r="R368" i="6"/>
  <c r="Q368" i="6"/>
  <c r="O368" i="6"/>
  <c r="N368" i="6"/>
  <c r="M368" i="6"/>
  <c r="L368" i="6"/>
  <c r="J368" i="6"/>
  <c r="I368" i="6"/>
  <c r="H368" i="6"/>
  <c r="G368" i="6"/>
  <c r="BR367" i="6"/>
  <c r="BQ367" i="6"/>
  <c r="BP367" i="6"/>
  <c r="BO367" i="6"/>
  <c r="BN367" i="6"/>
  <c r="BI367" i="6"/>
  <c r="BD367" i="6"/>
  <c r="AY367" i="6"/>
  <c r="AT367" i="6"/>
  <c r="AO367" i="6"/>
  <c r="AJ367" i="6"/>
  <c r="AE367" i="6"/>
  <c r="Z367" i="6"/>
  <c r="U367" i="6"/>
  <c r="P367" i="6"/>
  <c r="K367" i="6"/>
  <c r="BR366" i="6"/>
  <c r="BQ366" i="6"/>
  <c r="BP366" i="6"/>
  <c r="BO366" i="6"/>
  <c r="BN366" i="6"/>
  <c r="BI366" i="6"/>
  <c r="BD366" i="6"/>
  <c r="AY366" i="6"/>
  <c r="AT366" i="6"/>
  <c r="AO366" i="6"/>
  <c r="AJ366" i="6"/>
  <c r="AE366" i="6"/>
  <c r="Z366" i="6"/>
  <c r="U366" i="6"/>
  <c r="P366" i="6"/>
  <c r="K366" i="6"/>
  <c r="BR365" i="6"/>
  <c r="BQ365" i="6"/>
  <c r="BP365" i="6"/>
  <c r="BO365" i="6"/>
  <c r="BN365" i="6"/>
  <c r="BI365" i="6"/>
  <c r="BD365" i="6"/>
  <c r="AY365" i="6"/>
  <c r="AT365" i="6"/>
  <c r="AO365" i="6"/>
  <c r="AJ365" i="6"/>
  <c r="AE365" i="6"/>
  <c r="Z365" i="6"/>
  <c r="U365" i="6"/>
  <c r="P365" i="6"/>
  <c r="K365" i="6"/>
  <c r="BR364" i="6"/>
  <c r="BQ364" i="6"/>
  <c r="BP364" i="6"/>
  <c r="BO364" i="6"/>
  <c r="BN364" i="6"/>
  <c r="BI364" i="6"/>
  <c r="BD364" i="6"/>
  <c r="AY364" i="6"/>
  <c r="AT364" i="6"/>
  <c r="AO364" i="6"/>
  <c r="AJ364" i="6"/>
  <c r="AE364" i="6"/>
  <c r="Z364" i="6"/>
  <c r="U364" i="6"/>
  <c r="P364" i="6"/>
  <c r="K364" i="6"/>
  <c r="BR363" i="6"/>
  <c r="BQ363" i="6"/>
  <c r="BP363" i="6"/>
  <c r="BO363" i="6"/>
  <c r="BN363" i="6"/>
  <c r="BI363" i="6"/>
  <c r="BD363" i="6"/>
  <c r="AY363" i="6"/>
  <c r="AT363" i="6"/>
  <c r="AO363" i="6"/>
  <c r="AJ363" i="6"/>
  <c r="AE363" i="6"/>
  <c r="Z363" i="6"/>
  <c r="U363" i="6"/>
  <c r="P363" i="6"/>
  <c r="K363" i="6"/>
  <c r="BR362" i="6"/>
  <c r="BQ362" i="6"/>
  <c r="BP362" i="6"/>
  <c r="BO362" i="6"/>
  <c r="BN362" i="6"/>
  <c r="BI362" i="6"/>
  <c r="BD362" i="6"/>
  <c r="AY362" i="6"/>
  <c r="AT362" i="6"/>
  <c r="AO362" i="6"/>
  <c r="AJ362" i="6"/>
  <c r="AE362" i="6"/>
  <c r="Z362" i="6"/>
  <c r="U362" i="6"/>
  <c r="P362" i="6"/>
  <c r="K362" i="6"/>
  <c r="BR361" i="6"/>
  <c r="BQ361" i="6"/>
  <c r="BP361" i="6"/>
  <c r="BO361" i="6"/>
  <c r="BN361" i="6"/>
  <c r="BI361" i="6"/>
  <c r="BD361" i="6"/>
  <c r="AY361" i="6"/>
  <c r="AT361" i="6"/>
  <c r="AO361" i="6"/>
  <c r="AJ361" i="6"/>
  <c r="AE361" i="6"/>
  <c r="Z361" i="6"/>
  <c r="U361" i="6"/>
  <c r="P361" i="6"/>
  <c r="K361" i="6"/>
  <c r="BR360" i="6"/>
  <c r="BQ360" i="6"/>
  <c r="BP360" i="6"/>
  <c r="BO360" i="6"/>
  <c r="BN360" i="6"/>
  <c r="BI360" i="6"/>
  <c r="BD360" i="6"/>
  <c r="AY360" i="6"/>
  <c r="AT360" i="6"/>
  <c r="AO360" i="6"/>
  <c r="AJ360" i="6"/>
  <c r="AE360" i="6"/>
  <c r="Z360" i="6"/>
  <c r="U360" i="6"/>
  <c r="P360" i="6"/>
  <c r="K360" i="6"/>
  <c r="BR359" i="6"/>
  <c r="BQ359" i="6"/>
  <c r="BP359" i="6"/>
  <c r="BO359" i="6"/>
  <c r="BN359" i="6"/>
  <c r="BI359" i="6"/>
  <c r="BD359" i="6"/>
  <c r="AY359" i="6"/>
  <c r="AT359" i="6"/>
  <c r="AO359" i="6"/>
  <c r="AJ359" i="6"/>
  <c r="AE359" i="6"/>
  <c r="Z359" i="6"/>
  <c r="U359" i="6"/>
  <c r="P359" i="6"/>
  <c r="K359" i="6"/>
  <c r="BR358" i="6"/>
  <c r="BQ358" i="6"/>
  <c r="BP358" i="6"/>
  <c r="BO358" i="6"/>
  <c r="BN358" i="6"/>
  <c r="BI358" i="6"/>
  <c r="BD358" i="6"/>
  <c r="AY358" i="6"/>
  <c r="AT358" i="6"/>
  <c r="AO358" i="6"/>
  <c r="AJ358" i="6"/>
  <c r="AE358" i="6"/>
  <c r="Z358" i="6"/>
  <c r="U358" i="6"/>
  <c r="P358" i="6"/>
  <c r="K358" i="6"/>
  <c r="BR357" i="6"/>
  <c r="BP357" i="6"/>
  <c r="BN357" i="6"/>
  <c r="BI357" i="6"/>
  <c r="BD357" i="6"/>
  <c r="AY357" i="6"/>
  <c r="AT357" i="6"/>
  <c r="AO357" i="6"/>
  <c r="AJ357" i="6"/>
  <c r="AC357" i="6"/>
  <c r="AA357" i="6"/>
  <c r="Z357" i="6"/>
  <c r="U357" i="6"/>
  <c r="P357" i="6"/>
  <c r="K357" i="6"/>
  <c r="BR356" i="6"/>
  <c r="BP356" i="6"/>
  <c r="BN356" i="6"/>
  <c r="BI356" i="6"/>
  <c r="BD356" i="6"/>
  <c r="AY356" i="6"/>
  <c r="AT356" i="6"/>
  <c r="AO356" i="6"/>
  <c r="AJ356" i="6"/>
  <c r="AC356" i="6"/>
  <c r="BQ356" i="6" s="1"/>
  <c r="AA356" i="6"/>
  <c r="BO356" i="6" s="1"/>
  <c r="Z356" i="6"/>
  <c r="U356" i="6"/>
  <c r="P356" i="6"/>
  <c r="K356" i="6"/>
  <c r="BR355" i="6"/>
  <c r="BQ355" i="6"/>
  <c r="BP355" i="6"/>
  <c r="BO355" i="6"/>
  <c r="BN355" i="6"/>
  <c r="BI355" i="6"/>
  <c r="BD355" i="6"/>
  <c r="AY355" i="6"/>
  <c r="AT355" i="6"/>
  <c r="AO355" i="6"/>
  <c r="AJ355" i="6"/>
  <c r="AE355" i="6"/>
  <c r="Z355" i="6"/>
  <c r="U355" i="6"/>
  <c r="P355" i="6"/>
  <c r="K355" i="6"/>
  <c r="BR354" i="6"/>
  <c r="BP354" i="6"/>
  <c r="BN354" i="6"/>
  <c r="BI354" i="6"/>
  <c r="BD354" i="6"/>
  <c r="AY354" i="6"/>
  <c r="AT354" i="6"/>
  <c r="AO354" i="6"/>
  <c r="AJ354" i="6"/>
  <c r="AC354" i="6"/>
  <c r="BQ354" i="6" s="1"/>
  <c r="AA354" i="6"/>
  <c r="BO354" i="6" s="1"/>
  <c r="Z354" i="6"/>
  <c r="U354" i="6"/>
  <c r="P354" i="6"/>
  <c r="K354" i="6"/>
  <c r="BR353" i="6"/>
  <c r="BQ353" i="6"/>
  <c r="BP353" i="6"/>
  <c r="BO353" i="6"/>
  <c r="BN353" i="6"/>
  <c r="BI353" i="6"/>
  <c r="BD353" i="6"/>
  <c r="AY353" i="6"/>
  <c r="AT353" i="6"/>
  <c r="AO353" i="6"/>
  <c r="AJ353" i="6"/>
  <c r="AE353" i="6"/>
  <c r="Z353" i="6"/>
  <c r="U353" i="6"/>
  <c r="P353" i="6"/>
  <c r="K353" i="6"/>
  <c r="BR352" i="6"/>
  <c r="BP352" i="6"/>
  <c r="BN352" i="6"/>
  <c r="BI352" i="6"/>
  <c r="BD352" i="6"/>
  <c r="AY352" i="6"/>
  <c r="AT352" i="6"/>
  <c r="AO352" i="6"/>
  <c r="AJ352" i="6"/>
  <c r="AC352" i="6"/>
  <c r="BQ352" i="6" s="1"/>
  <c r="AA352" i="6"/>
  <c r="Z352" i="6"/>
  <c r="U352" i="6"/>
  <c r="P352" i="6"/>
  <c r="K352" i="6"/>
  <c r="BR351" i="6"/>
  <c r="BP351" i="6"/>
  <c r="BN351" i="6"/>
  <c r="BI351" i="6"/>
  <c r="BD351" i="6"/>
  <c r="AY351" i="6"/>
  <c r="AT351" i="6"/>
  <c r="AO351" i="6"/>
  <c r="AJ351" i="6"/>
  <c r="AC351" i="6"/>
  <c r="AA351" i="6"/>
  <c r="BO351" i="6" s="1"/>
  <c r="Z351" i="6"/>
  <c r="U351" i="6"/>
  <c r="P351" i="6"/>
  <c r="K351" i="6"/>
  <c r="BR350" i="6"/>
  <c r="BQ350" i="6"/>
  <c r="BP350" i="6"/>
  <c r="BO350" i="6"/>
  <c r="BN350" i="6"/>
  <c r="BI350" i="6"/>
  <c r="BD350" i="6"/>
  <c r="AY350" i="6"/>
  <c r="AT350" i="6"/>
  <c r="AO350" i="6"/>
  <c r="AJ350" i="6"/>
  <c r="AE350" i="6"/>
  <c r="Z350" i="6"/>
  <c r="U350" i="6"/>
  <c r="P350" i="6"/>
  <c r="K350" i="6"/>
  <c r="BR349" i="6"/>
  <c r="BQ349" i="6"/>
  <c r="BP349" i="6"/>
  <c r="BO349" i="6"/>
  <c r="BN349" i="6"/>
  <c r="BI349" i="6"/>
  <c r="BD349" i="6"/>
  <c r="AY349" i="6"/>
  <c r="AT349" i="6"/>
  <c r="AO349" i="6"/>
  <c r="AJ349" i="6"/>
  <c r="AE349" i="6"/>
  <c r="Z349" i="6"/>
  <c r="U349" i="6"/>
  <c r="P349" i="6"/>
  <c r="K349" i="6"/>
  <c r="BR348" i="6"/>
  <c r="BP348" i="6"/>
  <c r="BN348" i="6"/>
  <c r="BI348" i="6"/>
  <c r="BD348" i="6"/>
  <c r="AY348" i="6"/>
  <c r="AT348" i="6"/>
  <c r="AO348" i="6"/>
  <c r="AJ348" i="6"/>
  <c r="AC348" i="6"/>
  <c r="BQ348" i="6" s="1"/>
  <c r="AA348" i="6"/>
  <c r="Z348" i="6"/>
  <c r="U348" i="6"/>
  <c r="P348" i="6"/>
  <c r="K348" i="6"/>
  <c r="BR347" i="6"/>
  <c r="BQ347" i="6"/>
  <c r="BP347" i="6"/>
  <c r="BO347" i="6"/>
  <c r="BN347" i="6"/>
  <c r="BI347" i="6"/>
  <c r="BD347" i="6"/>
  <c r="AY347" i="6"/>
  <c r="AT347" i="6"/>
  <c r="AO347" i="6"/>
  <c r="AJ347" i="6"/>
  <c r="AE347" i="6"/>
  <c r="Z347" i="6"/>
  <c r="U347" i="6"/>
  <c r="P347" i="6"/>
  <c r="K347" i="6"/>
  <c r="BR346" i="6"/>
  <c r="BQ346" i="6"/>
  <c r="BP346" i="6"/>
  <c r="BO346" i="6"/>
  <c r="BN346" i="6"/>
  <c r="BI346" i="6"/>
  <c r="BD346" i="6"/>
  <c r="AY346" i="6"/>
  <c r="AT346" i="6"/>
  <c r="AO346" i="6"/>
  <c r="AJ346" i="6"/>
  <c r="AE346" i="6"/>
  <c r="Z346" i="6"/>
  <c r="U346" i="6"/>
  <c r="P346" i="6"/>
  <c r="K346" i="6"/>
  <c r="BR345" i="6"/>
  <c r="BQ345" i="6"/>
  <c r="BP345" i="6"/>
  <c r="BN345" i="6"/>
  <c r="BI345" i="6"/>
  <c r="BD345" i="6"/>
  <c r="AY345" i="6"/>
  <c r="AT345" i="6"/>
  <c r="AO345" i="6"/>
  <c r="AJ345" i="6"/>
  <c r="AA345" i="6"/>
  <c r="Z345" i="6"/>
  <c r="U345" i="6"/>
  <c r="P345" i="6"/>
  <c r="K345" i="6"/>
  <c r="BR344" i="6"/>
  <c r="BQ344" i="6"/>
  <c r="BP344" i="6"/>
  <c r="BO344" i="6"/>
  <c r="BN344" i="6"/>
  <c r="BI344" i="6"/>
  <c r="BD344" i="6"/>
  <c r="AY344" i="6"/>
  <c r="AT344" i="6"/>
  <c r="AO344" i="6"/>
  <c r="AJ344" i="6"/>
  <c r="AE344" i="6"/>
  <c r="Z344" i="6"/>
  <c r="U344" i="6"/>
  <c r="P344" i="6"/>
  <c r="K344" i="6"/>
  <c r="BR343" i="6"/>
  <c r="BP343" i="6"/>
  <c r="BN343" i="6"/>
  <c r="BI343" i="6"/>
  <c r="BD343" i="6"/>
  <c r="AY343" i="6"/>
  <c r="AT343" i="6"/>
  <c r="AO343" i="6"/>
  <c r="AJ343" i="6"/>
  <c r="AC343" i="6"/>
  <c r="BQ343" i="6" s="1"/>
  <c r="AA343" i="6"/>
  <c r="BO343" i="6" s="1"/>
  <c r="Z343" i="6"/>
  <c r="U343" i="6"/>
  <c r="P343" i="6"/>
  <c r="K343" i="6"/>
  <c r="BR342" i="6"/>
  <c r="BQ342" i="6"/>
  <c r="BP342" i="6"/>
  <c r="BO342" i="6"/>
  <c r="BN342" i="6"/>
  <c r="BI342" i="6"/>
  <c r="BD342" i="6"/>
  <c r="AY342" i="6"/>
  <c r="AT342" i="6"/>
  <c r="AO342" i="6"/>
  <c r="AJ342" i="6"/>
  <c r="AE342" i="6"/>
  <c r="Z342" i="6"/>
  <c r="U342" i="6"/>
  <c r="P342" i="6"/>
  <c r="K342" i="6"/>
  <c r="BR341" i="6"/>
  <c r="BQ341" i="6"/>
  <c r="BP341" i="6"/>
  <c r="BO341" i="6"/>
  <c r="BN341" i="6"/>
  <c r="BI341" i="6"/>
  <c r="BD341" i="6"/>
  <c r="AY341" i="6"/>
  <c r="AT341" i="6"/>
  <c r="AO341" i="6"/>
  <c r="AJ341" i="6"/>
  <c r="AE341" i="6"/>
  <c r="Z341" i="6"/>
  <c r="U341" i="6"/>
  <c r="P341" i="6"/>
  <c r="K341" i="6"/>
  <c r="BR340" i="6"/>
  <c r="BQ340" i="6"/>
  <c r="BP340" i="6"/>
  <c r="BO340" i="6"/>
  <c r="BN340" i="6"/>
  <c r="BI340" i="6"/>
  <c r="BD340" i="6"/>
  <c r="AY340" i="6"/>
  <c r="AT340" i="6"/>
  <c r="AO340" i="6"/>
  <c r="AJ340" i="6"/>
  <c r="AE340" i="6"/>
  <c r="Z340" i="6"/>
  <c r="U340" i="6"/>
  <c r="P340" i="6"/>
  <c r="K340" i="6"/>
  <c r="BR339" i="6"/>
  <c r="BQ339" i="6"/>
  <c r="BP339" i="6"/>
  <c r="BO339" i="6"/>
  <c r="BN339" i="6"/>
  <c r="BI339" i="6"/>
  <c r="BD339" i="6"/>
  <c r="AY339" i="6"/>
  <c r="AT339" i="6"/>
  <c r="AO339" i="6"/>
  <c r="AJ339" i="6"/>
  <c r="AE339" i="6"/>
  <c r="Z339" i="6"/>
  <c r="U339" i="6"/>
  <c r="P339" i="6"/>
  <c r="K339" i="6"/>
  <c r="BR338" i="6"/>
  <c r="BQ338" i="6"/>
  <c r="BP338" i="6"/>
  <c r="BO338" i="6"/>
  <c r="BN338" i="6"/>
  <c r="BI338" i="6"/>
  <c r="BD338" i="6"/>
  <c r="AY338" i="6"/>
  <c r="AT338" i="6"/>
  <c r="AO338" i="6"/>
  <c r="AJ338" i="6"/>
  <c r="AE338" i="6"/>
  <c r="Z338" i="6"/>
  <c r="U338" i="6"/>
  <c r="P338" i="6"/>
  <c r="K338" i="6"/>
  <c r="BR337" i="6"/>
  <c r="BQ337" i="6"/>
  <c r="BP337" i="6"/>
  <c r="BO337" i="6"/>
  <c r="BN337" i="6"/>
  <c r="BI337" i="6"/>
  <c r="BD337" i="6"/>
  <c r="AY337" i="6"/>
  <c r="AT337" i="6"/>
  <c r="AO337" i="6"/>
  <c r="AJ337" i="6"/>
  <c r="AE337" i="6"/>
  <c r="Z337" i="6"/>
  <c r="U337" i="6"/>
  <c r="P337" i="6"/>
  <c r="K337" i="6"/>
  <c r="BR336" i="6"/>
  <c r="BQ336" i="6"/>
  <c r="BP336" i="6"/>
  <c r="BO336" i="6"/>
  <c r="BN336" i="6"/>
  <c r="BI336" i="6"/>
  <c r="BD336" i="6"/>
  <c r="AY336" i="6"/>
  <c r="AT336" i="6"/>
  <c r="AO336" i="6"/>
  <c r="AJ336" i="6"/>
  <c r="AE336" i="6"/>
  <c r="Z336" i="6"/>
  <c r="U336" i="6"/>
  <c r="P336" i="6"/>
  <c r="K336" i="6"/>
  <c r="BR335" i="6"/>
  <c r="BQ335" i="6"/>
  <c r="BP335" i="6"/>
  <c r="BO335" i="6"/>
  <c r="BN335" i="6"/>
  <c r="BI335" i="6"/>
  <c r="BD335" i="6"/>
  <c r="AY335" i="6"/>
  <c r="AT335" i="6"/>
  <c r="AO335" i="6"/>
  <c r="AJ335" i="6"/>
  <c r="AE335" i="6"/>
  <c r="Z335" i="6"/>
  <c r="U335" i="6"/>
  <c r="P335" i="6"/>
  <c r="K335" i="6"/>
  <c r="BR334" i="6"/>
  <c r="BQ334" i="6"/>
  <c r="BP334" i="6"/>
  <c r="BO334" i="6"/>
  <c r="BN334" i="6"/>
  <c r="BI334" i="6"/>
  <c r="BD334" i="6"/>
  <c r="AY334" i="6"/>
  <c r="AT334" i="6"/>
  <c r="AO334" i="6"/>
  <c r="AJ334" i="6"/>
  <c r="AE334" i="6"/>
  <c r="Z334" i="6"/>
  <c r="U334" i="6"/>
  <c r="P334" i="6"/>
  <c r="K334" i="6"/>
  <c r="BR333" i="6"/>
  <c r="BQ333" i="6"/>
  <c r="BP333" i="6"/>
  <c r="BO333" i="6"/>
  <c r="BN333" i="6"/>
  <c r="BI333" i="6"/>
  <c r="BD333" i="6"/>
  <c r="AY333" i="6"/>
  <c r="AT333" i="6"/>
  <c r="AO333" i="6"/>
  <c r="AJ333" i="6"/>
  <c r="AE333" i="6"/>
  <c r="Z333" i="6"/>
  <c r="U333" i="6"/>
  <c r="P333" i="6"/>
  <c r="K333" i="6"/>
  <c r="BR332" i="6"/>
  <c r="BQ332" i="6"/>
  <c r="BP332" i="6"/>
  <c r="BO332" i="6"/>
  <c r="BN332" i="6"/>
  <c r="BI332" i="6"/>
  <c r="BD332" i="6"/>
  <c r="AY332" i="6"/>
  <c r="AT332" i="6"/>
  <c r="AO332" i="6"/>
  <c r="AJ332" i="6"/>
  <c r="AE332" i="6"/>
  <c r="Z332" i="6"/>
  <c r="U332" i="6"/>
  <c r="P332" i="6"/>
  <c r="K332" i="6"/>
  <c r="BR331" i="6"/>
  <c r="BQ331" i="6"/>
  <c r="BP331" i="6"/>
  <c r="BO331" i="6"/>
  <c r="BN331" i="6"/>
  <c r="BI331" i="6"/>
  <c r="BD331" i="6"/>
  <c r="AY331" i="6"/>
  <c r="AT331" i="6"/>
  <c r="AO331" i="6"/>
  <c r="AJ331" i="6"/>
  <c r="AE331" i="6"/>
  <c r="Z331" i="6"/>
  <c r="U331" i="6"/>
  <c r="P331" i="6"/>
  <c r="K331" i="6"/>
  <c r="BM330" i="6"/>
  <c r="BL330" i="6"/>
  <c r="BK330" i="6"/>
  <c r="BJ330" i="6"/>
  <c r="BH330" i="6"/>
  <c r="BG330" i="6"/>
  <c r="BF330" i="6"/>
  <c r="BC330" i="6"/>
  <c r="BB330" i="6"/>
  <c r="BA330" i="6"/>
  <c r="AZ330" i="6"/>
  <c r="AX330" i="6"/>
  <c r="AW330" i="6"/>
  <c r="AV330" i="6"/>
  <c r="AU330" i="6"/>
  <c r="AS330" i="6"/>
  <c r="AR330" i="6"/>
  <c r="AQ330" i="6"/>
  <c r="AN330" i="6"/>
  <c r="AM330" i="6"/>
  <c r="AL330" i="6"/>
  <c r="AK330" i="6"/>
  <c r="AI330" i="6"/>
  <c r="AH330" i="6"/>
  <c r="AG330" i="6"/>
  <c r="AD330" i="6"/>
  <c r="AC330" i="6"/>
  <c r="AB330" i="6"/>
  <c r="Y330" i="6"/>
  <c r="X330" i="6"/>
  <c r="W330" i="6"/>
  <c r="V330" i="6"/>
  <c r="T330" i="6"/>
  <c r="S330" i="6"/>
  <c r="R330" i="6"/>
  <c r="Q330" i="6"/>
  <c r="O330" i="6"/>
  <c r="N330" i="6"/>
  <c r="M330" i="6"/>
  <c r="J330" i="6"/>
  <c r="I330" i="6"/>
  <c r="H330" i="6"/>
  <c r="BR329" i="6"/>
  <c r="BQ329" i="6"/>
  <c r="BP329" i="6"/>
  <c r="BO329" i="6"/>
  <c r="BN329" i="6"/>
  <c r="BI329" i="6"/>
  <c r="BD329" i="6"/>
  <c r="AY329" i="6"/>
  <c r="AT329" i="6"/>
  <c r="AO329" i="6"/>
  <c r="AJ329" i="6"/>
  <c r="AE329" i="6"/>
  <c r="Z329" i="6"/>
  <c r="U329" i="6"/>
  <c r="P329" i="6"/>
  <c r="K329" i="6"/>
  <c r="BR328" i="6"/>
  <c r="BQ328" i="6"/>
  <c r="BP328" i="6"/>
  <c r="BN328" i="6"/>
  <c r="BI328" i="6"/>
  <c r="BD328" i="6"/>
  <c r="AY328" i="6"/>
  <c r="AP328" i="6"/>
  <c r="AO328" i="6"/>
  <c r="AJ328" i="6"/>
  <c r="AE328" i="6"/>
  <c r="Z328" i="6"/>
  <c r="U328" i="6"/>
  <c r="P328" i="6"/>
  <c r="K328" i="6"/>
  <c r="BR327" i="6"/>
  <c r="BQ327" i="6"/>
  <c r="BP327" i="6"/>
  <c r="BO327" i="6"/>
  <c r="BN327" i="6"/>
  <c r="BI327" i="6"/>
  <c r="BD327" i="6"/>
  <c r="AY327" i="6"/>
  <c r="AT327" i="6"/>
  <c r="AO327" i="6"/>
  <c r="AJ327" i="6"/>
  <c r="AE327" i="6"/>
  <c r="Z327" i="6"/>
  <c r="U327" i="6"/>
  <c r="P327" i="6"/>
  <c r="K327" i="6"/>
  <c r="BR326" i="6"/>
  <c r="BQ326" i="6"/>
  <c r="BP326" i="6"/>
  <c r="BO326" i="6"/>
  <c r="BN326" i="6"/>
  <c r="BI326" i="6"/>
  <c r="BD326" i="6"/>
  <c r="AY326" i="6"/>
  <c r="AT326" i="6"/>
  <c r="AO326" i="6"/>
  <c r="AJ326" i="6"/>
  <c r="AE326" i="6"/>
  <c r="Z326" i="6"/>
  <c r="U326" i="6"/>
  <c r="P326" i="6"/>
  <c r="K326" i="6"/>
  <c r="BR325" i="6"/>
  <c r="BQ325" i="6"/>
  <c r="BP325" i="6"/>
  <c r="BO325" i="6"/>
  <c r="BN325" i="6"/>
  <c r="BI325" i="6"/>
  <c r="BD325" i="6"/>
  <c r="AY325" i="6"/>
  <c r="AT325" i="6"/>
  <c r="AO325" i="6"/>
  <c r="AJ325" i="6"/>
  <c r="AE325" i="6"/>
  <c r="Z325" i="6"/>
  <c r="U325" i="6"/>
  <c r="P325" i="6"/>
  <c r="K325" i="6"/>
  <c r="BR324" i="6"/>
  <c r="BQ324" i="6"/>
  <c r="BP324" i="6"/>
  <c r="BO324" i="6"/>
  <c r="BN324" i="6"/>
  <c r="BI324" i="6"/>
  <c r="BD324" i="6"/>
  <c r="AY324" i="6"/>
  <c r="AT324" i="6"/>
  <c r="AO324" i="6"/>
  <c r="AJ324" i="6"/>
  <c r="AE324" i="6"/>
  <c r="Z324" i="6"/>
  <c r="U324" i="6"/>
  <c r="P324" i="6"/>
  <c r="K324" i="6"/>
  <c r="BR323" i="6"/>
  <c r="BQ323" i="6"/>
  <c r="BP323" i="6"/>
  <c r="BO323" i="6"/>
  <c r="BN323" i="6"/>
  <c r="BI323" i="6"/>
  <c r="BD323" i="6"/>
  <c r="AY323" i="6"/>
  <c r="AT323" i="6"/>
  <c r="AO323" i="6"/>
  <c r="AJ323" i="6"/>
  <c r="AE323" i="6"/>
  <c r="Z323" i="6"/>
  <c r="U323" i="6"/>
  <c r="P323" i="6"/>
  <c r="K323" i="6"/>
  <c r="BR322" i="6"/>
  <c r="BQ322" i="6"/>
  <c r="BP322" i="6"/>
  <c r="BO322" i="6"/>
  <c r="BN322" i="6"/>
  <c r="BI322" i="6"/>
  <c r="BD322" i="6"/>
  <c r="AY322" i="6"/>
  <c r="AT322" i="6"/>
  <c r="AO322" i="6"/>
  <c r="AJ322" i="6"/>
  <c r="AE322" i="6"/>
  <c r="Z322" i="6"/>
  <c r="U322" i="6"/>
  <c r="P322" i="6"/>
  <c r="K322" i="6"/>
  <c r="BR321" i="6"/>
  <c r="BQ321" i="6"/>
  <c r="BP321" i="6"/>
  <c r="BO321" i="6"/>
  <c r="BN321" i="6"/>
  <c r="BI321" i="6"/>
  <c r="BD321" i="6"/>
  <c r="AY321" i="6"/>
  <c r="AT321" i="6"/>
  <c r="AO321" i="6"/>
  <c r="AJ321" i="6"/>
  <c r="AE321" i="6"/>
  <c r="Z321" i="6"/>
  <c r="U321" i="6"/>
  <c r="P321" i="6"/>
  <c r="K321" i="6"/>
  <c r="BR320" i="6"/>
  <c r="BQ320" i="6"/>
  <c r="BP320" i="6"/>
  <c r="BO320" i="6"/>
  <c r="BN320" i="6"/>
  <c r="BI320" i="6"/>
  <c r="BD320" i="6"/>
  <c r="AY320" i="6"/>
  <c r="AT320" i="6"/>
  <c r="AO320" i="6"/>
  <c r="AJ320" i="6"/>
  <c r="AE320" i="6"/>
  <c r="Z320" i="6"/>
  <c r="U320" i="6"/>
  <c r="P320" i="6"/>
  <c r="K320" i="6"/>
  <c r="BR319" i="6"/>
  <c r="BQ319" i="6"/>
  <c r="BP319" i="6"/>
  <c r="BN319" i="6"/>
  <c r="BI319" i="6"/>
  <c r="BD319" i="6"/>
  <c r="AY319" i="6"/>
  <c r="AT319" i="6"/>
  <c r="AO319" i="6"/>
  <c r="AJ319" i="6"/>
  <c r="AA319" i="6"/>
  <c r="Z319" i="6"/>
  <c r="U319" i="6"/>
  <c r="P319" i="6"/>
  <c r="K319" i="6"/>
  <c r="BR318" i="6"/>
  <c r="BQ318" i="6"/>
  <c r="BP318" i="6"/>
  <c r="BO318" i="6"/>
  <c r="BN318" i="6"/>
  <c r="BI318" i="6"/>
  <c r="BD318" i="6"/>
  <c r="AY318" i="6"/>
  <c r="AT318" i="6"/>
  <c r="AO318" i="6"/>
  <c r="AJ318" i="6"/>
  <c r="AE318" i="6"/>
  <c r="Z318" i="6"/>
  <c r="U318" i="6"/>
  <c r="P318" i="6"/>
  <c r="K318" i="6"/>
  <c r="BR317" i="6"/>
  <c r="BQ317" i="6"/>
  <c r="BP317" i="6"/>
  <c r="BO317" i="6"/>
  <c r="BN317" i="6"/>
  <c r="BI317" i="6"/>
  <c r="BD317" i="6"/>
  <c r="AY317" i="6"/>
  <c r="AT317" i="6"/>
  <c r="AO317" i="6"/>
  <c r="AJ317" i="6"/>
  <c r="AE317" i="6"/>
  <c r="Z317" i="6"/>
  <c r="U317" i="6"/>
  <c r="P317" i="6"/>
  <c r="K317" i="6"/>
  <c r="BR316" i="6"/>
  <c r="BQ316" i="6"/>
  <c r="BP316" i="6"/>
  <c r="BN316" i="6"/>
  <c r="BE316" i="6"/>
  <c r="BI316" i="6" s="1"/>
  <c r="BD316" i="6"/>
  <c r="AY316" i="6"/>
  <c r="AT316" i="6"/>
  <c r="AO316" i="6"/>
  <c r="AJ316" i="6"/>
  <c r="AA316" i="6"/>
  <c r="Z316" i="6"/>
  <c r="U316" i="6"/>
  <c r="P316" i="6"/>
  <c r="K316" i="6"/>
  <c r="BR315" i="6"/>
  <c r="BQ315" i="6"/>
  <c r="BP315" i="6"/>
  <c r="BO315" i="6"/>
  <c r="BN315" i="6"/>
  <c r="BI315" i="6"/>
  <c r="BD315" i="6"/>
  <c r="AY315" i="6"/>
  <c r="AT315" i="6"/>
  <c r="AO315" i="6"/>
  <c r="AJ315" i="6"/>
  <c r="AE315" i="6"/>
  <c r="Z315" i="6"/>
  <c r="U315" i="6"/>
  <c r="P315" i="6"/>
  <c r="K315" i="6"/>
  <c r="BR314" i="6"/>
  <c r="BQ314" i="6"/>
  <c r="BP314" i="6"/>
  <c r="BO314" i="6"/>
  <c r="BN314" i="6"/>
  <c r="BI314" i="6"/>
  <c r="BD314" i="6"/>
  <c r="AY314" i="6"/>
  <c r="AT314" i="6"/>
  <c r="AO314" i="6"/>
  <c r="AJ314" i="6"/>
  <c r="AE314" i="6"/>
  <c r="Z314" i="6"/>
  <c r="U314" i="6"/>
  <c r="P314" i="6"/>
  <c r="K314" i="6"/>
  <c r="BR313" i="6"/>
  <c r="BQ313" i="6"/>
  <c r="BP313" i="6"/>
  <c r="BO313" i="6"/>
  <c r="BN313" i="6"/>
  <c r="BI313" i="6"/>
  <c r="BD313" i="6"/>
  <c r="AY313" i="6"/>
  <c r="AT313" i="6"/>
  <c r="AO313" i="6"/>
  <c r="AJ313" i="6"/>
  <c r="AE313" i="6"/>
  <c r="Z313" i="6"/>
  <c r="U313" i="6"/>
  <c r="P313" i="6"/>
  <c r="K313" i="6"/>
  <c r="BR312" i="6"/>
  <c r="BQ312" i="6"/>
  <c r="BP312" i="6"/>
  <c r="BN312" i="6"/>
  <c r="BI312" i="6"/>
  <c r="BD312" i="6"/>
  <c r="AY312" i="6"/>
  <c r="AT312" i="6"/>
  <c r="AO312" i="6"/>
  <c r="AJ312" i="6"/>
  <c r="AA312" i="6"/>
  <c r="BO312" i="6" s="1"/>
  <c r="Z312" i="6"/>
  <c r="U312" i="6"/>
  <c r="P312" i="6"/>
  <c r="K312" i="6"/>
  <c r="BR311" i="6"/>
  <c r="BQ311" i="6"/>
  <c r="BP311" i="6"/>
  <c r="BN311" i="6"/>
  <c r="BE311" i="6"/>
  <c r="BO311" i="6" s="1"/>
  <c r="BD311" i="6"/>
  <c r="AY311" i="6"/>
  <c r="AT311" i="6"/>
  <c r="AO311" i="6"/>
  <c r="AJ311" i="6"/>
  <c r="AE311" i="6"/>
  <c r="Z311" i="6"/>
  <c r="U311" i="6"/>
  <c r="P311" i="6"/>
  <c r="K311" i="6"/>
  <c r="BR310" i="6"/>
  <c r="BQ310" i="6"/>
  <c r="BP310" i="6"/>
  <c r="BN310" i="6"/>
  <c r="BI310" i="6"/>
  <c r="BD310" i="6"/>
  <c r="AY310" i="6"/>
  <c r="AT310" i="6"/>
  <c r="AO310" i="6"/>
  <c r="AJ310" i="6"/>
  <c r="AA310" i="6"/>
  <c r="Z310" i="6"/>
  <c r="U310" i="6"/>
  <c r="P310" i="6"/>
  <c r="K310" i="6"/>
  <c r="BR309" i="6"/>
  <c r="BQ309" i="6"/>
  <c r="BP309" i="6"/>
  <c r="BO309" i="6"/>
  <c r="BN309" i="6"/>
  <c r="BI309" i="6"/>
  <c r="BD309" i="6"/>
  <c r="AY309" i="6"/>
  <c r="AT309" i="6"/>
  <c r="AO309" i="6"/>
  <c r="AJ309" i="6"/>
  <c r="AE309" i="6"/>
  <c r="Z309" i="6"/>
  <c r="U309" i="6"/>
  <c r="P309" i="6"/>
  <c r="K309" i="6"/>
  <c r="BR308" i="6"/>
  <c r="BQ308" i="6"/>
  <c r="BP308" i="6"/>
  <c r="BN308" i="6"/>
  <c r="BI308" i="6"/>
  <c r="BD308" i="6"/>
  <c r="AY308" i="6"/>
  <c r="AT308" i="6"/>
  <c r="AO308" i="6"/>
  <c r="AJ308" i="6"/>
  <c r="AA308" i="6"/>
  <c r="AE308" i="6" s="1"/>
  <c r="Z308" i="6"/>
  <c r="U308" i="6"/>
  <c r="P308" i="6"/>
  <c r="K308" i="6"/>
  <c r="BR307" i="6"/>
  <c r="BQ307" i="6"/>
  <c r="BP307" i="6"/>
  <c r="BO307" i="6"/>
  <c r="BN307" i="6"/>
  <c r="BI307" i="6"/>
  <c r="BD307" i="6"/>
  <c r="AY307" i="6"/>
  <c r="AT307" i="6"/>
  <c r="AO307" i="6"/>
  <c r="AJ307" i="6"/>
  <c r="AE307" i="6"/>
  <c r="Z307" i="6"/>
  <c r="U307" i="6"/>
  <c r="P307" i="6"/>
  <c r="K307" i="6"/>
  <c r="BR306" i="6"/>
  <c r="BQ306" i="6"/>
  <c r="BP306" i="6"/>
  <c r="BN306" i="6"/>
  <c r="BI306" i="6"/>
  <c r="BD306" i="6"/>
  <c r="AY306" i="6"/>
  <c r="AT306" i="6"/>
  <c r="AO306" i="6"/>
  <c r="AJ306" i="6"/>
  <c r="AA306" i="6"/>
  <c r="AE306" i="6" s="1"/>
  <c r="Z306" i="6"/>
  <c r="U306" i="6"/>
  <c r="P306" i="6"/>
  <c r="G306" i="6"/>
  <c r="BR305" i="6"/>
  <c r="BQ305" i="6"/>
  <c r="BP305" i="6"/>
  <c r="BO305" i="6"/>
  <c r="BN305" i="6"/>
  <c r="BI305" i="6"/>
  <c r="BD305" i="6"/>
  <c r="AY305" i="6"/>
  <c r="AT305" i="6"/>
  <c r="AO305" i="6"/>
  <c r="AJ305" i="6"/>
  <c r="AE305" i="6"/>
  <c r="Z305" i="6"/>
  <c r="U305" i="6"/>
  <c r="P305" i="6"/>
  <c r="K305" i="6"/>
  <c r="BR304" i="6"/>
  <c r="BQ304" i="6"/>
  <c r="BP304" i="6"/>
  <c r="BO304" i="6"/>
  <c r="BN304" i="6"/>
  <c r="BI304" i="6"/>
  <c r="BD304" i="6"/>
  <c r="AY304" i="6"/>
  <c r="AT304" i="6"/>
  <c r="AO304" i="6"/>
  <c r="AJ304" i="6"/>
  <c r="AE304" i="6"/>
  <c r="Z304" i="6"/>
  <c r="U304" i="6"/>
  <c r="P304" i="6"/>
  <c r="K304" i="6"/>
  <c r="BR303" i="6"/>
  <c r="BQ303" i="6"/>
  <c r="BP303" i="6"/>
  <c r="BO303" i="6"/>
  <c r="BN303" i="6"/>
  <c r="BI303" i="6"/>
  <c r="BD303" i="6"/>
  <c r="AY303" i="6"/>
  <c r="AT303" i="6"/>
  <c r="AO303" i="6"/>
  <c r="AJ303" i="6"/>
  <c r="AE303" i="6"/>
  <c r="Z303" i="6"/>
  <c r="U303" i="6"/>
  <c r="P303" i="6"/>
  <c r="K303" i="6"/>
  <c r="BR302" i="6"/>
  <c r="BQ302" i="6"/>
  <c r="BP302" i="6"/>
  <c r="BO302" i="6"/>
  <c r="BN302" i="6"/>
  <c r="BI302" i="6"/>
  <c r="BD302" i="6"/>
  <c r="AY302" i="6"/>
  <c r="AT302" i="6"/>
  <c r="AO302" i="6"/>
  <c r="AJ302" i="6"/>
  <c r="AE302" i="6"/>
  <c r="Z302" i="6"/>
  <c r="U302" i="6"/>
  <c r="P302" i="6"/>
  <c r="K302" i="6"/>
  <c r="BR301" i="6"/>
  <c r="BQ301" i="6"/>
  <c r="BP301" i="6"/>
  <c r="BO301" i="6"/>
  <c r="BN301" i="6"/>
  <c r="BI301" i="6"/>
  <c r="BD301" i="6"/>
  <c r="AY301" i="6"/>
  <c r="AT301" i="6"/>
  <c r="AO301" i="6"/>
  <c r="AJ301" i="6"/>
  <c r="AE301" i="6"/>
  <c r="Z301" i="6"/>
  <c r="U301" i="6"/>
  <c r="P301" i="6"/>
  <c r="K301" i="6"/>
  <c r="BR300" i="6"/>
  <c r="BQ300" i="6"/>
  <c r="BP300" i="6"/>
  <c r="BO300" i="6"/>
  <c r="BN300" i="6"/>
  <c r="BI300" i="6"/>
  <c r="BD300" i="6"/>
  <c r="AY300" i="6"/>
  <c r="AT300" i="6"/>
  <c r="AO300" i="6"/>
  <c r="AJ300" i="6"/>
  <c r="AE300" i="6"/>
  <c r="Z300" i="6"/>
  <c r="U300" i="6"/>
  <c r="P300" i="6"/>
  <c r="K300" i="6"/>
  <c r="BR299" i="6"/>
  <c r="BQ299" i="6"/>
  <c r="BP299" i="6"/>
  <c r="BO299" i="6"/>
  <c r="BN299" i="6"/>
  <c r="BI299" i="6"/>
  <c r="BD299" i="6"/>
  <c r="AY299" i="6"/>
  <c r="AT299" i="6"/>
  <c r="AO299" i="6"/>
  <c r="AJ299" i="6"/>
  <c r="AE299" i="6"/>
  <c r="Z299" i="6"/>
  <c r="U299" i="6"/>
  <c r="P299" i="6"/>
  <c r="K299" i="6"/>
  <c r="BR298" i="6"/>
  <c r="BQ298" i="6"/>
  <c r="BP298" i="6"/>
  <c r="BN298" i="6"/>
  <c r="BI298" i="6"/>
  <c r="BD298" i="6"/>
  <c r="AY298" i="6"/>
  <c r="AT298" i="6"/>
  <c r="AO298" i="6"/>
  <c r="AJ298" i="6"/>
  <c r="AA298" i="6"/>
  <c r="Z298" i="6"/>
  <c r="U298" i="6"/>
  <c r="P298" i="6"/>
  <c r="K298" i="6"/>
  <c r="BR297" i="6"/>
  <c r="BQ297" i="6"/>
  <c r="BP297" i="6"/>
  <c r="BO297" i="6"/>
  <c r="BN297" i="6"/>
  <c r="BI297" i="6"/>
  <c r="BD297" i="6"/>
  <c r="AY297" i="6"/>
  <c r="AT297" i="6"/>
  <c r="AO297" i="6"/>
  <c r="AJ297" i="6"/>
  <c r="AE297" i="6"/>
  <c r="Z297" i="6"/>
  <c r="U297" i="6"/>
  <c r="P297" i="6"/>
  <c r="K297" i="6"/>
  <c r="BR296" i="6"/>
  <c r="BQ296" i="6"/>
  <c r="BP296" i="6"/>
  <c r="BN296" i="6"/>
  <c r="BI296" i="6"/>
  <c r="BD296" i="6"/>
  <c r="AY296" i="6"/>
  <c r="AT296" i="6"/>
  <c r="AO296" i="6"/>
  <c r="AF296" i="6"/>
  <c r="AA296" i="6"/>
  <c r="AE296" i="6" s="1"/>
  <c r="Z296" i="6"/>
  <c r="U296" i="6"/>
  <c r="P296" i="6"/>
  <c r="K296" i="6"/>
  <c r="BR295" i="6"/>
  <c r="BQ295" i="6"/>
  <c r="BP295" i="6"/>
  <c r="BO295" i="6"/>
  <c r="BN295" i="6"/>
  <c r="BI295" i="6"/>
  <c r="BD295" i="6"/>
  <c r="AY295" i="6"/>
  <c r="AT295" i="6"/>
  <c r="AO295" i="6"/>
  <c r="AJ295" i="6"/>
  <c r="AE295" i="6"/>
  <c r="Z295" i="6"/>
  <c r="U295" i="6"/>
  <c r="P295" i="6"/>
  <c r="K295" i="6"/>
  <c r="BR294" i="6"/>
  <c r="BQ294" i="6"/>
  <c r="BP294" i="6"/>
  <c r="BO294" i="6"/>
  <c r="BN294" i="6"/>
  <c r="BI294" i="6"/>
  <c r="BD294" i="6"/>
  <c r="AY294" i="6"/>
  <c r="AT294" i="6"/>
  <c r="AO294" i="6"/>
  <c r="AJ294" i="6"/>
  <c r="AE294" i="6"/>
  <c r="Z294" i="6"/>
  <c r="U294" i="6"/>
  <c r="P294" i="6"/>
  <c r="K294" i="6"/>
  <c r="BR293" i="6"/>
  <c r="BQ293" i="6"/>
  <c r="BP293" i="6"/>
  <c r="BN293" i="6"/>
  <c r="BI293" i="6"/>
  <c r="BD293" i="6"/>
  <c r="AY293" i="6"/>
  <c r="AT293" i="6"/>
  <c r="AO293" i="6"/>
  <c r="AJ293" i="6"/>
  <c r="AA293" i="6"/>
  <c r="Z293" i="6"/>
  <c r="U293" i="6"/>
  <c r="P293" i="6"/>
  <c r="K293" i="6"/>
  <c r="BR292" i="6"/>
  <c r="BQ292" i="6"/>
  <c r="BP292" i="6"/>
  <c r="BO292" i="6"/>
  <c r="BN292" i="6"/>
  <c r="BI292" i="6"/>
  <c r="BD292" i="6"/>
  <c r="AY292" i="6"/>
  <c r="AT292" i="6"/>
  <c r="AO292" i="6"/>
  <c r="AJ292" i="6"/>
  <c r="AE292" i="6"/>
  <c r="Z292" i="6"/>
  <c r="U292" i="6"/>
  <c r="P292" i="6"/>
  <c r="K292" i="6"/>
  <c r="BR291" i="6"/>
  <c r="BQ291" i="6"/>
  <c r="BP291" i="6"/>
  <c r="BO291" i="6"/>
  <c r="BN291" i="6"/>
  <c r="BI291" i="6"/>
  <c r="BD291" i="6"/>
  <c r="AY291" i="6"/>
  <c r="AT291" i="6"/>
  <c r="AO291" i="6"/>
  <c r="AJ291" i="6"/>
  <c r="AE291" i="6"/>
  <c r="Z291" i="6"/>
  <c r="U291" i="6"/>
  <c r="P291" i="6"/>
  <c r="K291" i="6"/>
  <c r="BR290" i="6"/>
  <c r="BQ290" i="6"/>
  <c r="BP290" i="6"/>
  <c r="BO290" i="6"/>
  <c r="BN290" i="6"/>
  <c r="BI290" i="6"/>
  <c r="BD290" i="6"/>
  <c r="AY290" i="6"/>
  <c r="AT290" i="6"/>
  <c r="AO290" i="6"/>
  <c r="AJ290" i="6"/>
  <c r="AE290" i="6"/>
  <c r="Z290" i="6"/>
  <c r="U290" i="6"/>
  <c r="P290" i="6"/>
  <c r="K290" i="6"/>
  <c r="BR289" i="6"/>
  <c r="BQ289" i="6"/>
  <c r="BP289" i="6"/>
  <c r="BO289" i="6"/>
  <c r="BN289" i="6"/>
  <c r="BI289" i="6"/>
  <c r="BD289" i="6"/>
  <c r="AY289" i="6"/>
  <c r="AT289" i="6"/>
  <c r="AO289" i="6"/>
  <c r="AJ289" i="6"/>
  <c r="AE289" i="6"/>
  <c r="Z289" i="6"/>
  <c r="U289" i="6"/>
  <c r="P289" i="6"/>
  <c r="K289" i="6"/>
  <c r="BR288" i="6"/>
  <c r="BQ288" i="6"/>
  <c r="BP288" i="6"/>
  <c r="BN288" i="6"/>
  <c r="BI288" i="6"/>
  <c r="BD288" i="6"/>
  <c r="AY288" i="6"/>
  <c r="AT288" i="6"/>
  <c r="AO288" i="6"/>
  <c r="AJ288" i="6"/>
  <c r="AE288" i="6"/>
  <c r="Z288" i="6"/>
  <c r="U288" i="6"/>
  <c r="L288" i="6"/>
  <c r="BO288" i="6" s="1"/>
  <c r="K288" i="6"/>
  <c r="BR287" i="6"/>
  <c r="BQ287" i="6"/>
  <c r="BP287" i="6"/>
  <c r="BO287" i="6"/>
  <c r="BN287" i="6"/>
  <c r="BI287" i="6"/>
  <c r="BD287" i="6"/>
  <c r="AY287" i="6"/>
  <c r="AT287" i="6"/>
  <c r="AO287" i="6"/>
  <c r="AJ287" i="6"/>
  <c r="AE287" i="6"/>
  <c r="Z287" i="6"/>
  <c r="U287" i="6"/>
  <c r="P287" i="6"/>
  <c r="K287" i="6"/>
  <c r="BR286" i="6"/>
  <c r="BQ286" i="6"/>
  <c r="BP286" i="6"/>
  <c r="BN286" i="6"/>
  <c r="BI286" i="6"/>
  <c r="BD286" i="6"/>
  <c r="AY286" i="6"/>
  <c r="AT286" i="6"/>
  <c r="AO286" i="6"/>
  <c r="AJ286" i="6"/>
  <c r="AE286" i="6"/>
  <c r="Z286" i="6"/>
  <c r="U286" i="6"/>
  <c r="L286" i="6"/>
  <c r="BO286" i="6" s="1"/>
  <c r="K286" i="6"/>
  <c r="BR285" i="6"/>
  <c r="BQ285" i="6"/>
  <c r="BP285" i="6"/>
  <c r="BO285" i="6"/>
  <c r="BN285" i="6"/>
  <c r="BI285" i="6"/>
  <c r="BD285" i="6"/>
  <c r="AY285" i="6"/>
  <c r="AT285" i="6"/>
  <c r="AO285" i="6"/>
  <c r="AJ285" i="6"/>
  <c r="AE285" i="6"/>
  <c r="Z285" i="6"/>
  <c r="U285" i="6"/>
  <c r="P285" i="6"/>
  <c r="K285" i="6"/>
  <c r="BR284" i="6"/>
  <c r="BQ284" i="6"/>
  <c r="BP284" i="6"/>
  <c r="BN284" i="6"/>
  <c r="BI284" i="6"/>
  <c r="BD284" i="6"/>
  <c r="AY284" i="6"/>
  <c r="AT284" i="6"/>
  <c r="AO284" i="6"/>
  <c r="AJ284" i="6"/>
  <c r="AA284" i="6"/>
  <c r="Z284" i="6"/>
  <c r="U284" i="6"/>
  <c r="L284" i="6"/>
  <c r="G284" i="6"/>
  <c r="BR283" i="6"/>
  <c r="BQ283" i="6"/>
  <c r="BP283" i="6"/>
  <c r="BO283" i="6"/>
  <c r="BN283" i="6"/>
  <c r="BI283" i="6"/>
  <c r="BD283" i="6"/>
  <c r="AY283" i="6"/>
  <c r="AT283" i="6"/>
  <c r="AO283" i="6"/>
  <c r="AJ283" i="6"/>
  <c r="AE283" i="6"/>
  <c r="Z283" i="6"/>
  <c r="U283" i="6"/>
  <c r="P283" i="6"/>
  <c r="K283" i="6"/>
  <c r="BR282" i="6"/>
  <c r="BQ282" i="6"/>
  <c r="BP282" i="6"/>
  <c r="BO282" i="6"/>
  <c r="BN282" i="6"/>
  <c r="BI282" i="6"/>
  <c r="BD282" i="6"/>
  <c r="AY282" i="6"/>
  <c r="AT282" i="6"/>
  <c r="AO282" i="6"/>
  <c r="AJ282" i="6"/>
  <c r="AE282" i="6"/>
  <c r="Z282" i="6"/>
  <c r="U282" i="6"/>
  <c r="P282" i="6"/>
  <c r="K282" i="6"/>
  <c r="BR281" i="6"/>
  <c r="BQ281" i="6"/>
  <c r="BP281" i="6"/>
  <c r="BO281" i="6"/>
  <c r="BN281" i="6"/>
  <c r="BI281" i="6"/>
  <c r="BD281" i="6"/>
  <c r="AY281" i="6"/>
  <c r="AT281" i="6"/>
  <c r="AO281" i="6"/>
  <c r="AJ281" i="6"/>
  <c r="AE281" i="6"/>
  <c r="Z281" i="6"/>
  <c r="U281" i="6"/>
  <c r="P281" i="6"/>
  <c r="K281" i="6"/>
  <c r="BR280" i="6"/>
  <c r="BQ280" i="6"/>
  <c r="BP280" i="6"/>
  <c r="BO280" i="6"/>
  <c r="BN280" i="6"/>
  <c r="BI280" i="6"/>
  <c r="BD280" i="6"/>
  <c r="AY280" i="6"/>
  <c r="AT280" i="6"/>
  <c r="AO280" i="6"/>
  <c r="AJ280" i="6"/>
  <c r="AE280" i="6"/>
  <c r="Z280" i="6"/>
  <c r="U280" i="6"/>
  <c r="P280" i="6"/>
  <c r="K280" i="6"/>
  <c r="BM278" i="6"/>
  <c r="BM279" i="6" s="1"/>
  <c r="BL278" i="6"/>
  <c r="BL279" i="6" s="1"/>
  <c r="BK278" i="6"/>
  <c r="BK279" i="6" s="1"/>
  <c r="BJ278" i="6"/>
  <c r="BJ279" i="6" s="1"/>
  <c r="BH278" i="6"/>
  <c r="BH279" i="6" s="1"/>
  <c r="BG278" i="6"/>
  <c r="BG279" i="6" s="1"/>
  <c r="BF278" i="6"/>
  <c r="BF279" i="6" s="1"/>
  <c r="BE278" i="6"/>
  <c r="BE279" i="6" s="1"/>
  <c r="BC278" i="6"/>
  <c r="BC279" i="6" s="1"/>
  <c r="BB278" i="6"/>
  <c r="BB279" i="6" s="1"/>
  <c r="BA278" i="6"/>
  <c r="BA279" i="6" s="1"/>
  <c r="AZ278" i="6"/>
  <c r="AZ279" i="6" s="1"/>
  <c r="AX278" i="6"/>
  <c r="AX279" i="6" s="1"/>
  <c r="AW278" i="6"/>
  <c r="AW279" i="6" s="1"/>
  <c r="AV278" i="6"/>
  <c r="AV279" i="6" s="1"/>
  <c r="AU278" i="6"/>
  <c r="AU279" i="6" s="1"/>
  <c r="AS278" i="6"/>
  <c r="AS279" i="6" s="1"/>
  <c r="AR278" i="6"/>
  <c r="AR279" i="6" s="1"/>
  <c r="AQ278" i="6"/>
  <c r="AQ279" i="6" s="1"/>
  <c r="AP278" i="6"/>
  <c r="AP279" i="6" s="1"/>
  <c r="AN278" i="6"/>
  <c r="AN279" i="6" s="1"/>
  <c r="AM278" i="6"/>
  <c r="AM279" i="6" s="1"/>
  <c r="AL278" i="6"/>
  <c r="AL279" i="6" s="1"/>
  <c r="AK278" i="6"/>
  <c r="AK279" i="6" s="1"/>
  <c r="AI278" i="6"/>
  <c r="AI279" i="6" s="1"/>
  <c r="AH278" i="6"/>
  <c r="AH279" i="6" s="1"/>
  <c r="AG278" i="6"/>
  <c r="AG279" i="6" s="1"/>
  <c r="AF278" i="6"/>
  <c r="AF279" i="6" s="1"/>
  <c r="AD278" i="6"/>
  <c r="AD279" i="6" s="1"/>
  <c r="AC278" i="6"/>
  <c r="AC279" i="6" s="1"/>
  <c r="AB278" i="6"/>
  <c r="AB279" i="6" s="1"/>
  <c r="AA278" i="6"/>
  <c r="AA279" i="6" s="1"/>
  <c r="Y278" i="6"/>
  <c r="Y279" i="6" s="1"/>
  <c r="X278" i="6"/>
  <c r="X279" i="6" s="1"/>
  <c r="W278" i="6"/>
  <c r="W279" i="6" s="1"/>
  <c r="V278" i="6"/>
  <c r="V279" i="6" s="1"/>
  <c r="T278" i="6"/>
  <c r="T279" i="6" s="1"/>
  <c r="S278" i="6"/>
  <c r="S279" i="6" s="1"/>
  <c r="R278" i="6"/>
  <c r="R279" i="6" s="1"/>
  <c r="Q278" i="6"/>
  <c r="O278" i="6"/>
  <c r="O279" i="6" s="1"/>
  <c r="N278" i="6"/>
  <c r="N279" i="6" s="1"/>
  <c r="M278" i="6"/>
  <c r="M279" i="6" s="1"/>
  <c r="L278" i="6"/>
  <c r="J278" i="6"/>
  <c r="J279" i="6" s="1"/>
  <c r="I278" i="6"/>
  <c r="I279" i="6" s="1"/>
  <c r="H278" i="6"/>
  <c r="H279" i="6" s="1"/>
  <c r="G278" i="6"/>
  <c r="G279" i="6" s="1"/>
  <c r="BR277" i="6"/>
  <c r="BQ277" i="6"/>
  <c r="BP277" i="6"/>
  <c r="BO277" i="6"/>
  <c r="BN277" i="6"/>
  <c r="BI277" i="6"/>
  <c r="BD277" i="6"/>
  <c r="AY277" i="6"/>
  <c r="AT277" i="6"/>
  <c r="AO277" i="6"/>
  <c r="AJ277" i="6"/>
  <c r="AE277" i="6"/>
  <c r="Z277" i="6"/>
  <c r="U277" i="6"/>
  <c r="P277" i="6"/>
  <c r="K277" i="6"/>
  <c r="BR276" i="6"/>
  <c r="BQ276" i="6"/>
  <c r="BP276" i="6"/>
  <c r="BO276" i="6"/>
  <c r="BN276" i="6"/>
  <c r="BI276" i="6"/>
  <c r="BD276" i="6"/>
  <c r="AY276" i="6"/>
  <c r="AT276" i="6"/>
  <c r="AO276" i="6"/>
  <c r="AJ276" i="6"/>
  <c r="AE276" i="6"/>
  <c r="Z276" i="6"/>
  <c r="U276" i="6"/>
  <c r="P276" i="6"/>
  <c r="K276" i="6"/>
  <c r="BR275" i="6"/>
  <c r="BQ275" i="6"/>
  <c r="BP275" i="6"/>
  <c r="BO275" i="6"/>
  <c r="BN275" i="6"/>
  <c r="BI275" i="6"/>
  <c r="BD275" i="6"/>
  <c r="AY275" i="6"/>
  <c r="AT275" i="6"/>
  <c r="AO275" i="6"/>
  <c r="AJ275" i="6"/>
  <c r="AE275" i="6"/>
  <c r="Z275" i="6"/>
  <c r="U275" i="6"/>
  <c r="P275" i="6"/>
  <c r="K275" i="6"/>
  <c r="BR274" i="6"/>
  <c r="BQ274" i="6"/>
  <c r="BP274" i="6"/>
  <c r="BO274" i="6"/>
  <c r="BN274" i="6"/>
  <c r="BI274" i="6"/>
  <c r="BD274" i="6"/>
  <c r="AY274" i="6"/>
  <c r="AT274" i="6"/>
  <c r="AO274" i="6"/>
  <c r="AJ274" i="6"/>
  <c r="AE274" i="6"/>
  <c r="Z274" i="6"/>
  <c r="U274" i="6"/>
  <c r="P274" i="6"/>
  <c r="K274" i="6"/>
  <c r="BR273" i="6"/>
  <c r="BQ273" i="6"/>
  <c r="BP273" i="6"/>
  <c r="BO273" i="6"/>
  <c r="BN273" i="6"/>
  <c r="BI273" i="6"/>
  <c r="BD273" i="6"/>
  <c r="AY273" i="6"/>
  <c r="AT273" i="6"/>
  <c r="AO273" i="6"/>
  <c r="AJ273" i="6"/>
  <c r="AE273" i="6"/>
  <c r="Z273" i="6"/>
  <c r="U273" i="6"/>
  <c r="P273" i="6"/>
  <c r="K273" i="6"/>
  <c r="BR272" i="6"/>
  <c r="BQ272" i="6"/>
  <c r="BP272" i="6"/>
  <c r="BO272" i="6"/>
  <c r="BN272" i="6"/>
  <c r="BI272" i="6"/>
  <c r="BD272" i="6"/>
  <c r="AY272" i="6"/>
  <c r="AT272" i="6"/>
  <c r="AO272" i="6"/>
  <c r="AJ272" i="6"/>
  <c r="AE272" i="6"/>
  <c r="Z272" i="6"/>
  <c r="U272" i="6"/>
  <c r="P272" i="6"/>
  <c r="K272" i="6"/>
  <c r="BR271" i="6"/>
  <c r="BQ271" i="6"/>
  <c r="BP271" i="6"/>
  <c r="BO271" i="6"/>
  <c r="BN271" i="6"/>
  <c r="BI271" i="6"/>
  <c r="BD271" i="6"/>
  <c r="AY271" i="6"/>
  <c r="AT271" i="6"/>
  <c r="AO271" i="6"/>
  <c r="AJ271" i="6"/>
  <c r="AE271" i="6"/>
  <c r="Z271" i="6"/>
  <c r="U271" i="6"/>
  <c r="P271" i="6"/>
  <c r="K271" i="6"/>
  <c r="BR270" i="6"/>
  <c r="BQ270" i="6"/>
  <c r="BP270" i="6"/>
  <c r="BO270" i="6"/>
  <c r="BN270" i="6"/>
  <c r="BI270" i="6"/>
  <c r="BD270" i="6"/>
  <c r="AY270" i="6"/>
  <c r="AT270" i="6"/>
  <c r="AO270" i="6"/>
  <c r="AJ270" i="6"/>
  <c r="AE270" i="6"/>
  <c r="Z270" i="6"/>
  <c r="U270" i="6"/>
  <c r="P270" i="6"/>
  <c r="K270" i="6"/>
  <c r="BR269" i="6"/>
  <c r="BQ269" i="6"/>
  <c r="BP269" i="6"/>
  <c r="BO269" i="6"/>
  <c r="BN269" i="6"/>
  <c r="BI269" i="6"/>
  <c r="BD269" i="6"/>
  <c r="AY269" i="6"/>
  <c r="AT269" i="6"/>
  <c r="AO269" i="6"/>
  <c r="AJ269" i="6"/>
  <c r="AE269" i="6"/>
  <c r="Z269" i="6"/>
  <c r="U269" i="6"/>
  <c r="P269" i="6"/>
  <c r="K269" i="6"/>
  <c r="BR268" i="6"/>
  <c r="BQ268" i="6"/>
  <c r="BP268" i="6"/>
  <c r="BO268" i="6"/>
  <c r="BN268" i="6"/>
  <c r="BI268" i="6"/>
  <c r="BD268" i="6"/>
  <c r="AY268" i="6"/>
  <c r="AT268" i="6"/>
  <c r="AO268" i="6"/>
  <c r="AJ268" i="6"/>
  <c r="AE268" i="6"/>
  <c r="Z268" i="6"/>
  <c r="U268" i="6"/>
  <c r="P268" i="6"/>
  <c r="K268" i="6"/>
  <c r="BR267" i="6"/>
  <c r="BQ267" i="6"/>
  <c r="BP267" i="6"/>
  <c r="BO267" i="6"/>
  <c r="BN267" i="6"/>
  <c r="BI267" i="6"/>
  <c r="BD267" i="6"/>
  <c r="AY267" i="6"/>
  <c r="AT267" i="6"/>
  <c r="AO267" i="6"/>
  <c r="AJ267" i="6"/>
  <c r="AE267" i="6"/>
  <c r="Z267" i="6"/>
  <c r="U267" i="6"/>
  <c r="P267" i="6"/>
  <c r="K267" i="6"/>
  <c r="BR266" i="6"/>
  <c r="BQ266" i="6"/>
  <c r="BP266" i="6"/>
  <c r="BO266" i="6"/>
  <c r="BN266" i="6"/>
  <c r="BI266" i="6"/>
  <c r="BD266" i="6"/>
  <c r="AY266" i="6"/>
  <c r="AT266" i="6"/>
  <c r="AO266" i="6"/>
  <c r="AJ266" i="6"/>
  <c r="AE266" i="6"/>
  <c r="Z266" i="6"/>
  <c r="U266" i="6"/>
  <c r="P266" i="6"/>
  <c r="K266" i="6"/>
  <c r="BR265" i="6"/>
  <c r="BQ265" i="6"/>
  <c r="BP265" i="6"/>
  <c r="BO265" i="6"/>
  <c r="BN265" i="6"/>
  <c r="BI265" i="6"/>
  <c r="BD265" i="6"/>
  <c r="AY265" i="6"/>
  <c r="AT265" i="6"/>
  <c r="AO265" i="6"/>
  <c r="AJ265" i="6"/>
  <c r="AE265" i="6"/>
  <c r="Z265" i="6"/>
  <c r="U265" i="6"/>
  <c r="P265" i="6"/>
  <c r="K265" i="6"/>
  <c r="BR264" i="6"/>
  <c r="BQ264" i="6"/>
  <c r="BP264" i="6"/>
  <c r="BO264" i="6"/>
  <c r="BN264" i="6"/>
  <c r="BI264" i="6"/>
  <c r="BD264" i="6"/>
  <c r="AY264" i="6"/>
  <c r="AT264" i="6"/>
  <c r="AO264" i="6"/>
  <c r="AJ264" i="6"/>
  <c r="AE264" i="6"/>
  <c r="Z264" i="6"/>
  <c r="U264" i="6"/>
  <c r="P264" i="6"/>
  <c r="K264" i="6"/>
  <c r="BR263" i="6"/>
  <c r="BQ263" i="6"/>
  <c r="BP263" i="6"/>
  <c r="BO263" i="6"/>
  <c r="BN263" i="6"/>
  <c r="BI263" i="6"/>
  <c r="BD263" i="6"/>
  <c r="AY263" i="6"/>
  <c r="AT263" i="6"/>
  <c r="AO263" i="6"/>
  <c r="AJ263" i="6"/>
  <c r="AE263" i="6"/>
  <c r="Z263" i="6"/>
  <c r="U263" i="6"/>
  <c r="P263" i="6"/>
  <c r="K263" i="6"/>
  <c r="BR262" i="6"/>
  <c r="BQ262" i="6"/>
  <c r="BP262" i="6"/>
  <c r="BO262" i="6"/>
  <c r="BN262" i="6"/>
  <c r="BI262" i="6"/>
  <c r="BD262" i="6"/>
  <c r="AY262" i="6"/>
  <c r="AT262" i="6"/>
  <c r="AO262" i="6"/>
  <c r="AJ262" i="6"/>
  <c r="AE262" i="6"/>
  <c r="Z262" i="6"/>
  <c r="U262" i="6"/>
  <c r="P262" i="6"/>
  <c r="K262" i="6"/>
  <c r="BR261" i="6"/>
  <c r="BQ261" i="6"/>
  <c r="BP261" i="6"/>
  <c r="BO261" i="6"/>
  <c r="BN261" i="6"/>
  <c r="BI261" i="6"/>
  <c r="BD261" i="6"/>
  <c r="AY261" i="6"/>
  <c r="AT261" i="6"/>
  <c r="AO261" i="6"/>
  <c r="AJ261" i="6"/>
  <c r="AE261" i="6"/>
  <c r="Z261" i="6"/>
  <c r="U261" i="6"/>
  <c r="P261" i="6"/>
  <c r="K261" i="6"/>
  <c r="BR260" i="6"/>
  <c r="BQ260" i="6"/>
  <c r="BP260" i="6"/>
  <c r="BO260" i="6"/>
  <c r="BN260" i="6"/>
  <c r="BI260" i="6"/>
  <c r="BD260" i="6"/>
  <c r="AY260" i="6"/>
  <c r="AT260" i="6"/>
  <c r="AO260" i="6"/>
  <c r="AJ260" i="6"/>
  <c r="AE260" i="6"/>
  <c r="Z260" i="6"/>
  <c r="U260" i="6"/>
  <c r="P260" i="6"/>
  <c r="K260" i="6"/>
  <c r="BR259" i="6"/>
  <c r="BQ259" i="6"/>
  <c r="BP259" i="6"/>
  <c r="BO259" i="6"/>
  <c r="BN259" i="6"/>
  <c r="BI259" i="6"/>
  <c r="BD259" i="6"/>
  <c r="AY259" i="6"/>
  <c r="AT259" i="6"/>
  <c r="AO259" i="6"/>
  <c r="AJ259" i="6"/>
  <c r="AE259" i="6"/>
  <c r="Z259" i="6"/>
  <c r="U259" i="6"/>
  <c r="P259" i="6"/>
  <c r="K259" i="6"/>
  <c r="BR258" i="6"/>
  <c r="BQ258" i="6"/>
  <c r="BP258" i="6"/>
  <c r="BO258" i="6"/>
  <c r="BN258" i="6"/>
  <c r="BI258" i="6"/>
  <c r="BD258" i="6"/>
  <c r="AY258" i="6"/>
  <c r="AT258" i="6"/>
  <c r="AO258" i="6"/>
  <c r="AJ258" i="6"/>
  <c r="AE258" i="6"/>
  <c r="Z258" i="6"/>
  <c r="U258" i="6"/>
  <c r="P258" i="6"/>
  <c r="K258" i="6"/>
  <c r="BR257" i="6"/>
  <c r="BQ257" i="6"/>
  <c r="BP257" i="6"/>
  <c r="BO257" i="6"/>
  <c r="BN257" i="6"/>
  <c r="BI257" i="6"/>
  <c r="BD257" i="6"/>
  <c r="AY257" i="6"/>
  <c r="AT257" i="6"/>
  <c r="AO257" i="6"/>
  <c r="AJ257" i="6"/>
  <c r="AE257" i="6"/>
  <c r="Z257" i="6"/>
  <c r="U257" i="6"/>
  <c r="P257" i="6"/>
  <c r="K257" i="6"/>
  <c r="BR256" i="6"/>
  <c r="BQ256" i="6"/>
  <c r="BP256" i="6"/>
  <c r="BO256" i="6"/>
  <c r="BN256" i="6"/>
  <c r="BI256" i="6"/>
  <c r="BD256" i="6"/>
  <c r="AY256" i="6"/>
  <c r="AT256" i="6"/>
  <c r="AO256" i="6"/>
  <c r="AJ256" i="6"/>
  <c r="AE256" i="6"/>
  <c r="Z256" i="6"/>
  <c r="U256" i="6"/>
  <c r="P256" i="6"/>
  <c r="K256" i="6"/>
  <c r="BR255" i="6"/>
  <c r="BQ255" i="6"/>
  <c r="BP255" i="6"/>
  <c r="BO255" i="6"/>
  <c r="BN255" i="6"/>
  <c r="BI255" i="6"/>
  <c r="BD255" i="6"/>
  <c r="AY255" i="6"/>
  <c r="AT255" i="6"/>
  <c r="AO255" i="6"/>
  <c r="AJ255" i="6"/>
  <c r="AE255" i="6"/>
  <c r="Z255" i="6"/>
  <c r="U255" i="6"/>
  <c r="P255" i="6"/>
  <c r="K255" i="6"/>
  <c r="BR254" i="6"/>
  <c r="BQ254" i="6"/>
  <c r="BP254" i="6"/>
  <c r="BO254" i="6"/>
  <c r="BN254" i="6"/>
  <c r="BI254" i="6"/>
  <c r="BD254" i="6"/>
  <c r="AY254" i="6"/>
  <c r="AT254" i="6"/>
  <c r="AO254" i="6"/>
  <c r="AJ254" i="6"/>
  <c r="AE254" i="6"/>
  <c r="Z254" i="6"/>
  <c r="U254" i="6"/>
  <c r="P254" i="6"/>
  <c r="K254" i="6"/>
  <c r="BR253" i="6"/>
  <c r="BQ253" i="6"/>
  <c r="BP253" i="6"/>
  <c r="BO253" i="6"/>
  <c r="BN253" i="6"/>
  <c r="BI253" i="6"/>
  <c r="BD253" i="6"/>
  <c r="AY253" i="6"/>
  <c r="AT253" i="6"/>
  <c r="AO253" i="6"/>
  <c r="AJ253" i="6"/>
  <c r="AE253" i="6"/>
  <c r="Z253" i="6"/>
  <c r="U253" i="6"/>
  <c r="P253" i="6"/>
  <c r="K253" i="6"/>
  <c r="BR252" i="6"/>
  <c r="BQ252" i="6"/>
  <c r="BP252" i="6"/>
  <c r="BO252" i="6"/>
  <c r="BN252" i="6"/>
  <c r="BI252" i="6"/>
  <c r="BD252" i="6"/>
  <c r="AY252" i="6"/>
  <c r="AT252" i="6"/>
  <c r="AO252" i="6"/>
  <c r="AJ252" i="6"/>
  <c r="AE252" i="6"/>
  <c r="Z252" i="6"/>
  <c r="U252" i="6"/>
  <c r="P252" i="6"/>
  <c r="K252" i="6"/>
  <c r="BR251" i="6"/>
  <c r="BQ251" i="6"/>
  <c r="BP251" i="6"/>
  <c r="BO251" i="6"/>
  <c r="BN251" i="6"/>
  <c r="BI251" i="6"/>
  <c r="BD251" i="6"/>
  <c r="AY251" i="6"/>
  <c r="AT251" i="6"/>
  <c r="AO251" i="6"/>
  <c r="AJ251" i="6"/>
  <c r="AE251" i="6"/>
  <c r="Z251" i="6"/>
  <c r="U251" i="6"/>
  <c r="P251" i="6"/>
  <c r="K251" i="6"/>
  <c r="BR250" i="6"/>
  <c r="BQ250" i="6"/>
  <c r="BP250" i="6"/>
  <c r="BO250" i="6"/>
  <c r="BN250" i="6"/>
  <c r="BI250" i="6"/>
  <c r="BD250" i="6"/>
  <c r="AY250" i="6"/>
  <c r="AT250" i="6"/>
  <c r="AO250" i="6"/>
  <c r="AJ250" i="6"/>
  <c r="AE250" i="6"/>
  <c r="Z250" i="6"/>
  <c r="U250" i="6"/>
  <c r="P250" i="6"/>
  <c r="K250" i="6"/>
  <c r="BR249" i="6"/>
  <c r="BQ249" i="6"/>
  <c r="BP249" i="6"/>
  <c r="BO249" i="6"/>
  <c r="BN249" i="6"/>
  <c r="BI249" i="6"/>
  <c r="BD249" i="6"/>
  <c r="AY249" i="6"/>
  <c r="AT249" i="6"/>
  <c r="AO249" i="6"/>
  <c r="AJ249" i="6"/>
  <c r="AE249" i="6"/>
  <c r="Z249" i="6"/>
  <c r="U249" i="6"/>
  <c r="P249" i="6"/>
  <c r="K249" i="6"/>
  <c r="BR248" i="6"/>
  <c r="BQ248" i="6"/>
  <c r="BP248" i="6"/>
  <c r="BO248" i="6"/>
  <c r="BN248" i="6"/>
  <c r="BI248" i="6"/>
  <c r="BD248" i="6"/>
  <c r="AY248" i="6"/>
  <c r="AT248" i="6"/>
  <c r="AO248" i="6"/>
  <c r="AJ248" i="6"/>
  <c r="AE248" i="6"/>
  <c r="Z248" i="6"/>
  <c r="U248" i="6"/>
  <c r="P248" i="6"/>
  <c r="K248" i="6"/>
  <c r="BR247" i="6"/>
  <c r="BQ247" i="6"/>
  <c r="BP247" i="6"/>
  <c r="BO247" i="6"/>
  <c r="BN247" i="6"/>
  <c r="BI247" i="6"/>
  <c r="BD247" i="6"/>
  <c r="AY247" i="6"/>
  <c r="AT247" i="6"/>
  <c r="AO247" i="6"/>
  <c r="AJ247" i="6"/>
  <c r="AE247" i="6"/>
  <c r="Z247" i="6"/>
  <c r="U247" i="6"/>
  <c r="P247" i="6"/>
  <c r="K247" i="6"/>
  <c r="BR246" i="6"/>
  <c r="BQ246" i="6"/>
  <c r="BP246" i="6"/>
  <c r="BO246" i="6"/>
  <c r="BN246" i="6"/>
  <c r="BI246" i="6"/>
  <c r="BD246" i="6"/>
  <c r="AY246" i="6"/>
  <c r="AT246" i="6"/>
  <c r="AO246" i="6"/>
  <c r="AJ246" i="6"/>
  <c r="AE246" i="6"/>
  <c r="Z246" i="6"/>
  <c r="U246" i="6"/>
  <c r="P246" i="6"/>
  <c r="K246" i="6"/>
  <c r="BR245" i="6"/>
  <c r="BQ245" i="6"/>
  <c r="BP245" i="6"/>
  <c r="BO245" i="6"/>
  <c r="BN245" i="6"/>
  <c r="BI245" i="6"/>
  <c r="BD245" i="6"/>
  <c r="AY245" i="6"/>
  <c r="AT245" i="6"/>
  <c r="AO245" i="6"/>
  <c r="AJ245" i="6"/>
  <c r="AE245" i="6"/>
  <c r="Z245" i="6"/>
  <c r="U245" i="6"/>
  <c r="P245" i="6"/>
  <c r="K245" i="6"/>
  <c r="BR244" i="6"/>
  <c r="BQ244" i="6"/>
  <c r="BP244" i="6"/>
  <c r="BO244" i="6"/>
  <c r="BN244" i="6"/>
  <c r="BI244" i="6"/>
  <c r="BD244" i="6"/>
  <c r="AY244" i="6"/>
  <c r="AT244" i="6"/>
  <c r="AO244" i="6"/>
  <c r="AJ244" i="6"/>
  <c r="AE244" i="6"/>
  <c r="Z244" i="6"/>
  <c r="U244" i="6"/>
  <c r="P244" i="6"/>
  <c r="K244" i="6"/>
  <c r="BR243" i="6"/>
  <c r="BQ243" i="6"/>
  <c r="BP243" i="6"/>
  <c r="BO243" i="6"/>
  <c r="BN243" i="6"/>
  <c r="BI243" i="6"/>
  <c r="BD243" i="6"/>
  <c r="AY243" i="6"/>
  <c r="AT243" i="6"/>
  <c r="AO243" i="6"/>
  <c r="AJ243" i="6"/>
  <c r="AE243" i="6"/>
  <c r="Z243" i="6"/>
  <c r="U243" i="6"/>
  <c r="P243" i="6"/>
  <c r="K243" i="6"/>
  <c r="BR242" i="6"/>
  <c r="BQ242" i="6"/>
  <c r="BP242" i="6"/>
  <c r="BO242" i="6"/>
  <c r="BN242" i="6"/>
  <c r="BI242" i="6"/>
  <c r="BD242" i="6"/>
  <c r="AY242" i="6"/>
  <c r="AT242" i="6"/>
  <c r="AO242" i="6"/>
  <c r="AJ242" i="6"/>
  <c r="AE242" i="6"/>
  <c r="Z242" i="6"/>
  <c r="U242" i="6"/>
  <c r="P242" i="6"/>
  <c r="K242" i="6"/>
  <c r="BR241" i="6"/>
  <c r="BQ241" i="6"/>
  <c r="BP241" i="6"/>
  <c r="BO241" i="6"/>
  <c r="BN241" i="6"/>
  <c r="BI241" i="6"/>
  <c r="BD241" i="6"/>
  <c r="AY241" i="6"/>
  <c r="AT241" i="6"/>
  <c r="AO241" i="6"/>
  <c r="AJ241" i="6"/>
  <c r="AE241" i="6"/>
  <c r="Z241" i="6"/>
  <c r="U241" i="6"/>
  <c r="P241" i="6"/>
  <c r="K241" i="6"/>
  <c r="BR240" i="6"/>
  <c r="BQ240" i="6"/>
  <c r="BP240" i="6"/>
  <c r="BO240" i="6"/>
  <c r="BN240" i="6"/>
  <c r="BI240" i="6"/>
  <c r="BD240" i="6"/>
  <c r="AY240" i="6"/>
  <c r="AT240" i="6"/>
  <c r="AO240" i="6"/>
  <c r="AJ240" i="6"/>
  <c r="AE240" i="6"/>
  <c r="Z240" i="6"/>
  <c r="U240" i="6"/>
  <c r="P240" i="6"/>
  <c r="K240" i="6"/>
  <c r="BR239" i="6"/>
  <c r="BQ239" i="6"/>
  <c r="BP239" i="6"/>
  <c r="BO239" i="6"/>
  <c r="BN239" i="6"/>
  <c r="BI239" i="6"/>
  <c r="BD239" i="6"/>
  <c r="AY239" i="6"/>
  <c r="AT239" i="6"/>
  <c r="AO239" i="6"/>
  <c r="AJ239" i="6"/>
  <c r="AE239" i="6"/>
  <c r="Z239" i="6"/>
  <c r="U239" i="6"/>
  <c r="P239" i="6"/>
  <c r="K239" i="6"/>
  <c r="BR238" i="6"/>
  <c r="BQ238" i="6"/>
  <c r="BP238" i="6"/>
  <c r="BO238" i="6"/>
  <c r="BN238" i="6"/>
  <c r="BI238" i="6"/>
  <c r="BD238" i="6"/>
  <c r="AY238" i="6"/>
  <c r="AT238" i="6"/>
  <c r="AO238" i="6"/>
  <c r="AJ238" i="6"/>
  <c r="AE238" i="6"/>
  <c r="Z238" i="6"/>
  <c r="U238" i="6"/>
  <c r="P238" i="6"/>
  <c r="K238" i="6"/>
  <c r="BR237" i="6"/>
  <c r="BQ237" i="6"/>
  <c r="BP237" i="6"/>
  <c r="BO237" i="6"/>
  <c r="BN237" i="6"/>
  <c r="BI237" i="6"/>
  <c r="BD237" i="6"/>
  <c r="AY237" i="6"/>
  <c r="AT237" i="6"/>
  <c r="AO237" i="6"/>
  <c r="AJ237" i="6"/>
  <c r="AE237" i="6"/>
  <c r="Z237" i="6"/>
  <c r="U237" i="6"/>
  <c r="P237" i="6"/>
  <c r="K237" i="6"/>
  <c r="BR236" i="6"/>
  <c r="BQ236" i="6"/>
  <c r="BP236" i="6"/>
  <c r="BO236" i="6"/>
  <c r="BN236" i="6"/>
  <c r="BI236" i="6"/>
  <c r="BD236" i="6"/>
  <c r="AY236" i="6"/>
  <c r="AT236" i="6"/>
  <c r="AO236" i="6"/>
  <c r="AJ236" i="6"/>
  <c r="AE236" i="6"/>
  <c r="Z236" i="6"/>
  <c r="U236" i="6"/>
  <c r="P236" i="6"/>
  <c r="K236" i="6"/>
  <c r="BR235" i="6"/>
  <c r="BQ235" i="6"/>
  <c r="BP235" i="6"/>
  <c r="BO235" i="6"/>
  <c r="BN235" i="6"/>
  <c r="BI235" i="6"/>
  <c r="BD235" i="6"/>
  <c r="AY235" i="6"/>
  <c r="AT235" i="6"/>
  <c r="AO235" i="6"/>
  <c r="AJ235" i="6"/>
  <c r="AE235" i="6"/>
  <c r="Z235" i="6"/>
  <c r="U235" i="6"/>
  <c r="P235" i="6"/>
  <c r="K235" i="6"/>
  <c r="BR234" i="6"/>
  <c r="BQ234" i="6"/>
  <c r="BP234" i="6"/>
  <c r="BO234" i="6"/>
  <c r="BN234" i="6"/>
  <c r="BI234" i="6"/>
  <c r="BD234" i="6"/>
  <c r="AY234" i="6"/>
  <c r="AT234" i="6"/>
  <c r="AO234" i="6"/>
  <c r="AJ234" i="6"/>
  <c r="AE234" i="6"/>
  <c r="Z234" i="6"/>
  <c r="U234" i="6"/>
  <c r="P234" i="6"/>
  <c r="K234" i="6"/>
  <c r="BR233" i="6"/>
  <c r="BQ233" i="6"/>
  <c r="BP233" i="6"/>
  <c r="BO233" i="6"/>
  <c r="BN233" i="6"/>
  <c r="BI233" i="6"/>
  <c r="BD233" i="6"/>
  <c r="AY233" i="6"/>
  <c r="AT233" i="6"/>
  <c r="AO233" i="6"/>
  <c r="AJ233" i="6"/>
  <c r="AE233" i="6"/>
  <c r="Z233" i="6"/>
  <c r="U233" i="6"/>
  <c r="P233" i="6"/>
  <c r="K233" i="6"/>
  <c r="BR232" i="6"/>
  <c r="BQ232" i="6"/>
  <c r="BP232" i="6"/>
  <c r="BO232" i="6"/>
  <c r="BN232" i="6"/>
  <c r="BI232" i="6"/>
  <c r="BD232" i="6"/>
  <c r="AY232" i="6"/>
  <c r="AT232" i="6"/>
  <c r="AO232" i="6"/>
  <c r="AJ232" i="6"/>
  <c r="AE232" i="6"/>
  <c r="Z232" i="6"/>
  <c r="U232" i="6"/>
  <c r="P232" i="6"/>
  <c r="K232" i="6"/>
  <c r="BR231" i="6"/>
  <c r="BQ231" i="6"/>
  <c r="BP231" i="6"/>
  <c r="BO231" i="6"/>
  <c r="BN231" i="6"/>
  <c r="BI231" i="6"/>
  <c r="BD231" i="6"/>
  <c r="AY231" i="6"/>
  <c r="AT231" i="6"/>
  <c r="AO231" i="6"/>
  <c r="AJ231" i="6"/>
  <c r="AE231" i="6"/>
  <c r="Z231" i="6"/>
  <c r="U231" i="6"/>
  <c r="P231" i="6"/>
  <c r="K231" i="6"/>
  <c r="BR230" i="6"/>
  <c r="BQ230" i="6"/>
  <c r="BP230" i="6"/>
  <c r="BO230" i="6"/>
  <c r="BN230" i="6"/>
  <c r="BI230" i="6"/>
  <c r="BD230" i="6"/>
  <c r="AY230" i="6"/>
  <c r="AT230" i="6"/>
  <c r="AO230" i="6"/>
  <c r="AJ230" i="6"/>
  <c r="AE230" i="6"/>
  <c r="Z230" i="6"/>
  <c r="U230" i="6"/>
  <c r="P230" i="6"/>
  <c r="K230" i="6"/>
  <c r="BR229" i="6"/>
  <c r="BQ229" i="6"/>
  <c r="BP229" i="6"/>
  <c r="BO229" i="6"/>
  <c r="BN229" i="6"/>
  <c r="BI229" i="6"/>
  <c r="BD229" i="6"/>
  <c r="AY229" i="6"/>
  <c r="AT229" i="6"/>
  <c r="AO229" i="6"/>
  <c r="AJ229" i="6"/>
  <c r="AE229" i="6"/>
  <c r="Z229" i="6"/>
  <c r="U229" i="6"/>
  <c r="P229" i="6"/>
  <c r="K229" i="6"/>
  <c r="BR228" i="6"/>
  <c r="BQ228" i="6"/>
  <c r="BP228" i="6"/>
  <c r="BO228" i="6"/>
  <c r="BN228" i="6"/>
  <c r="BI228" i="6"/>
  <c r="BD228" i="6"/>
  <c r="AY228" i="6"/>
  <c r="AT228" i="6"/>
  <c r="AO228" i="6"/>
  <c r="AJ228" i="6"/>
  <c r="AE228" i="6"/>
  <c r="Z228" i="6"/>
  <c r="U228" i="6"/>
  <c r="P228" i="6"/>
  <c r="K228" i="6"/>
  <c r="BR227" i="6"/>
  <c r="BQ227" i="6"/>
  <c r="BP227" i="6"/>
  <c r="BO227" i="6"/>
  <c r="BN227" i="6"/>
  <c r="BI227" i="6"/>
  <c r="BD227" i="6"/>
  <c r="AY227" i="6"/>
  <c r="AT227" i="6"/>
  <c r="AO227" i="6"/>
  <c r="AJ227" i="6"/>
  <c r="AE227" i="6"/>
  <c r="Z227" i="6"/>
  <c r="U227" i="6"/>
  <c r="P227" i="6"/>
  <c r="K227" i="6"/>
  <c r="BR226" i="6"/>
  <c r="BQ226" i="6"/>
  <c r="BP226" i="6"/>
  <c r="BO226" i="6"/>
  <c r="BN226" i="6"/>
  <c r="BI226" i="6"/>
  <c r="BD226" i="6"/>
  <c r="AY226" i="6"/>
  <c r="AT226" i="6"/>
  <c r="AO226" i="6"/>
  <c r="AJ226" i="6"/>
  <c r="AE226" i="6"/>
  <c r="Z226" i="6"/>
  <c r="U226" i="6"/>
  <c r="P226" i="6"/>
  <c r="K226" i="6"/>
  <c r="BR225" i="6"/>
  <c r="BQ225" i="6"/>
  <c r="BP225" i="6"/>
  <c r="BO225" i="6"/>
  <c r="BN225" i="6"/>
  <c r="BI225" i="6"/>
  <c r="BD225" i="6"/>
  <c r="AY225" i="6"/>
  <c r="AT225" i="6"/>
  <c r="AO225" i="6"/>
  <c r="AJ225" i="6"/>
  <c r="AE225" i="6"/>
  <c r="Z225" i="6"/>
  <c r="U225" i="6"/>
  <c r="P225" i="6"/>
  <c r="K225" i="6"/>
  <c r="BR224" i="6"/>
  <c r="BQ224" i="6"/>
  <c r="BP224" i="6"/>
  <c r="BO224" i="6"/>
  <c r="BN224" i="6"/>
  <c r="BI224" i="6"/>
  <c r="BD224" i="6"/>
  <c r="AY224" i="6"/>
  <c r="AT224" i="6"/>
  <c r="AO224" i="6"/>
  <c r="AJ224" i="6"/>
  <c r="AE224" i="6"/>
  <c r="Z224" i="6"/>
  <c r="U224" i="6"/>
  <c r="P224" i="6"/>
  <c r="K224" i="6"/>
  <c r="BR223" i="6"/>
  <c r="BQ223" i="6"/>
  <c r="BP223" i="6"/>
  <c r="BO223" i="6"/>
  <c r="BN223" i="6"/>
  <c r="BI223" i="6"/>
  <c r="BD223" i="6"/>
  <c r="AY223" i="6"/>
  <c r="AT223" i="6"/>
  <c r="AO223" i="6"/>
  <c r="AJ223" i="6"/>
  <c r="AE223" i="6"/>
  <c r="Z223" i="6"/>
  <c r="U223" i="6"/>
  <c r="P223" i="6"/>
  <c r="K223" i="6"/>
  <c r="BR222" i="6"/>
  <c r="BQ222" i="6"/>
  <c r="BP222" i="6"/>
  <c r="BO222" i="6"/>
  <c r="BN222" i="6"/>
  <c r="BI222" i="6"/>
  <c r="BD222" i="6"/>
  <c r="AY222" i="6"/>
  <c r="AT222" i="6"/>
  <c r="AO222" i="6"/>
  <c r="AJ222" i="6"/>
  <c r="AE222" i="6"/>
  <c r="Z222" i="6"/>
  <c r="U222" i="6"/>
  <c r="P222" i="6"/>
  <c r="K222" i="6"/>
  <c r="BR221" i="6"/>
  <c r="BQ221" i="6"/>
  <c r="BP221" i="6"/>
  <c r="BO221" i="6"/>
  <c r="BN221" i="6"/>
  <c r="BI221" i="6"/>
  <c r="BD221" i="6"/>
  <c r="AY221" i="6"/>
  <c r="AT221" i="6"/>
  <c r="AO221" i="6"/>
  <c r="AJ221" i="6"/>
  <c r="AE221" i="6"/>
  <c r="Z221" i="6"/>
  <c r="U221" i="6"/>
  <c r="P221" i="6"/>
  <c r="K221" i="6"/>
  <c r="BR220" i="6"/>
  <c r="BQ220" i="6"/>
  <c r="BP220" i="6"/>
  <c r="BO220" i="6"/>
  <c r="BN220" i="6"/>
  <c r="BI220" i="6"/>
  <c r="BD220" i="6"/>
  <c r="AY220" i="6"/>
  <c r="AT220" i="6"/>
  <c r="AO220" i="6"/>
  <c r="AJ220" i="6"/>
  <c r="AE220" i="6"/>
  <c r="Z220" i="6"/>
  <c r="U220" i="6"/>
  <c r="P220" i="6"/>
  <c r="K220" i="6"/>
  <c r="BR219" i="6"/>
  <c r="BQ219" i="6"/>
  <c r="BP219" i="6"/>
  <c r="BO219" i="6"/>
  <c r="BN219" i="6"/>
  <c r="BI219" i="6"/>
  <c r="BD219" i="6"/>
  <c r="AY219" i="6"/>
  <c r="AT219" i="6"/>
  <c r="AO219" i="6"/>
  <c r="AJ219" i="6"/>
  <c r="AE219" i="6"/>
  <c r="Z219" i="6"/>
  <c r="U219" i="6"/>
  <c r="P219" i="6"/>
  <c r="K219" i="6"/>
  <c r="BR218" i="6"/>
  <c r="BQ218" i="6"/>
  <c r="BP218" i="6"/>
  <c r="BO218" i="6"/>
  <c r="BN218" i="6"/>
  <c r="BI218" i="6"/>
  <c r="BD218" i="6"/>
  <c r="AY218" i="6"/>
  <c r="AT218" i="6"/>
  <c r="AO218" i="6"/>
  <c r="AJ218" i="6"/>
  <c r="AE218" i="6"/>
  <c r="Z218" i="6"/>
  <c r="U218" i="6"/>
  <c r="P218" i="6"/>
  <c r="K218" i="6"/>
  <c r="BR217" i="6"/>
  <c r="BQ217" i="6"/>
  <c r="BP217" i="6"/>
  <c r="BO217" i="6"/>
  <c r="BN217" i="6"/>
  <c r="BI217" i="6"/>
  <c r="BD217" i="6"/>
  <c r="AY217" i="6"/>
  <c r="AT217" i="6"/>
  <c r="AO217" i="6"/>
  <c r="AJ217" i="6"/>
  <c r="AE217" i="6"/>
  <c r="Z217" i="6"/>
  <c r="U217" i="6"/>
  <c r="P217" i="6"/>
  <c r="K217" i="6"/>
  <c r="BR216" i="6"/>
  <c r="BQ216" i="6"/>
  <c r="BP216" i="6"/>
  <c r="BO216" i="6"/>
  <c r="BN216" i="6"/>
  <c r="BI216" i="6"/>
  <c r="BD216" i="6"/>
  <c r="AY216" i="6"/>
  <c r="AT216" i="6"/>
  <c r="AO216" i="6"/>
  <c r="AJ216" i="6"/>
  <c r="AE216" i="6"/>
  <c r="Z216" i="6"/>
  <c r="U216" i="6"/>
  <c r="P216" i="6"/>
  <c r="K216" i="6"/>
  <c r="BR215" i="6"/>
  <c r="BQ215" i="6"/>
  <c r="BP215" i="6"/>
  <c r="BO215" i="6"/>
  <c r="BN215" i="6"/>
  <c r="BI215" i="6"/>
  <c r="BD215" i="6"/>
  <c r="AY215" i="6"/>
  <c r="AT215" i="6"/>
  <c r="AO215" i="6"/>
  <c r="AJ215" i="6"/>
  <c r="AE215" i="6"/>
  <c r="Z215" i="6"/>
  <c r="U215" i="6"/>
  <c r="P215" i="6"/>
  <c r="K215" i="6"/>
  <c r="BR214" i="6"/>
  <c r="BQ214" i="6"/>
  <c r="BP214" i="6"/>
  <c r="BO214" i="6"/>
  <c r="BN214" i="6"/>
  <c r="BI214" i="6"/>
  <c r="BD214" i="6"/>
  <c r="AY214" i="6"/>
  <c r="AT214" i="6"/>
  <c r="AO214" i="6"/>
  <c r="AJ214" i="6"/>
  <c r="AE214" i="6"/>
  <c r="Z214" i="6"/>
  <c r="U214" i="6"/>
  <c r="P214" i="6"/>
  <c r="K214" i="6"/>
  <c r="BR213" i="6"/>
  <c r="BQ213" i="6"/>
  <c r="BP213" i="6"/>
  <c r="BO213" i="6"/>
  <c r="BN213" i="6"/>
  <c r="BI213" i="6"/>
  <c r="BD213" i="6"/>
  <c r="AY213" i="6"/>
  <c r="AT213" i="6"/>
  <c r="AO213" i="6"/>
  <c r="AJ213" i="6"/>
  <c r="AE213" i="6"/>
  <c r="Z213" i="6"/>
  <c r="U213" i="6"/>
  <c r="P213" i="6"/>
  <c r="K213" i="6"/>
  <c r="BR212" i="6"/>
  <c r="BQ212" i="6"/>
  <c r="BP212" i="6"/>
  <c r="BO212" i="6"/>
  <c r="BN212" i="6"/>
  <c r="BI212" i="6"/>
  <c r="BD212" i="6"/>
  <c r="AY212" i="6"/>
  <c r="AT212" i="6"/>
  <c r="AO212" i="6"/>
  <c r="AJ212" i="6"/>
  <c r="AE212" i="6"/>
  <c r="Z212" i="6"/>
  <c r="U212" i="6"/>
  <c r="P212" i="6"/>
  <c r="K212" i="6"/>
  <c r="BR211" i="6"/>
  <c r="BQ211" i="6"/>
  <c r="BP211" i="6"/>
  <c r="BO211" i="6"/>
  <c r="BN211" i="6"/>
  <c r="BI211" i="6"/>
  <c r="BD211" i="6"/>
  <c r="AY211" i="6"/>
  <c r="AT211" i="6"/>
  <c r="AO211" i="6"/>
  <c r="AJ211" i="6"/>
  <c r="AE211" i="6"/>
  <c r="Z211" i="6"/>
  <c r="U211" i="6"/>
  <c r="P211" i="6"/>
  <c r="K211" i="6"/>
  <c r="BR210" i="6"/>
  <c r="BQ210" i="6"/>
  <c r="BP210" i="6"/>
  <c r="BO210" i="6"/>
  <c r="BN210" i="6"/>
  <c r="BI210" i="6"/>
  <c r="BD210" i="6"/>
  <c r="AY210" i="6"/>
  <c r="AT210" i="6"/>
  <c r="AO210" i="6"/>
  <c r="AJ210" i="6"/>
  <c r="AE210" i="6"/>
  <c r="Z210" i="6"/>
  <c r="U210" i="6"/>
  <c r="P210" i="6"/>
  <c r="K210" i="6"/>
  <c r="BR209" i="6"/>
  <c r="BQ209" i="6"/>
  <c r="BP209" i="6"/>
  <c r="BO209" i="6"/>
  <c r="BN209" i="6"/>
  <c r="BI209" i="6"/>
  <c r="BD209" i="6"/>
  <c r="AY209" i="6"/>
  <c r="AT209" i="6"/>
  <c r="AO209" i="6"/>
  <c r="AJ209" i="6"/>
  <c r="AE209" i="6"/>
  <c r="Z209" i="6"/>
  <c r="U209" i="6"/>
  <c r="P209" i="6"/>
  <c r="K209" i="6"/>
  <c r="BR208" i="6"/>
  <c r="BQ208" i="6"/>
  <c r="BP208" i="6"/>
  <c r="BO208" i="6"/>
  <c r="BN208" i="6"/>
  <c r="BI208" i="6"/>
  <c r="BD208" i="6"/>
  <c r="AY208" i="6"/>
  <c r="AT208" i="6"/>
  <c r="AO208" i="6"/>
  <c r="AJ208" i="6"/>
  <c r="AE208" i="6"/>
  <c r="Z208" i="6"/>
  <c r="U208" i="6"/>
  <c r="P208" i="6"/>
  <c r="K208" i="6"/>
  <c r="BR207" i="6"/>
  <c r="BQ207" i="6"/>
  <c r="BP207" i="6"/>
  <c r="BO207" i="6"/>
  <c r="BN207" i="6"/>
  <c r="BI207" i="6"/>
  <c r="BD207" i="6"/>
  <c r="AY207" i="6"/>
  <c r="AT207" i="6"/>
  <c r="AO207" i="6"/>
  <c r="AJ207" i="6"/>
  <c r="AE207" i="6"/>
  <c r="Z207" i="6"/>
  <c r="U207" i="6"/>
  <c r="P207" i="6"/>
  <c r="K207" i="6"/>
  <c r="BR206" i="6"/>
  <c r="BQ206" i="6"/>
  <c r="BP206" i="6"/>
  <c r="BO206" i="6"/>
  <c r="BN206" i="6"/>
  <c r="BI206" i="6"/>
  <c r="BD206" i="6"/>
  <c r="AY206" i="6"/>
  <c r="AT206" i="6"/>
  <c r="AO206" i="6"/>
  <c r="AJ206" i="6"/>
  <c r="AE206" i="6"/>
  <c r="Z206" i="6"/>
  <c r="U206" i="6"/>
  <c r="P206" i="6"/>
  <c r="K206" i="6"/>
  <c r="BR205" i="6"/>
  <c r="BQ205" i="6"/>
  <c r="BP205" i="6"/>
  <c r="BO205" i="6"/>
  <c r="BN205" i="6"/>
  <c r="BI205" i="6"/>
  <c r="BD205" i="6"/>
  <c r="AY205" i="6"/>
  <c r="AT205" i="6"/>
  <c r="AO205" i="6"/>
  <c r="AJ205" i="6"/>
  <c r="AE205" i="6"/>
  <c r="Z205" i="6"/>
  <c r="U205" i="6"/>
  <c r="P205" i="6"/>
  <c r="K205" i="6"/>
  <c r="BR204" i="6"/>
  <c r="BQ204" i="6"/>
  <c r="BP204" i="6"/>
  <c r="BO204" i="6"/>
  <c r="BN204" i="6"/>
  <c r="BI204" i="6"/>
  <c r="BD204" i="6"/>
  <c r="AY204" i="6"/>
  <c r="AT204" i="6"/>
  <c r="AO204" i="6"/>
  <c r="AJ204" i="6"/>
  <c r="AE204" i="6"/>
  <c r="Z204" i="6"/>
  <c r="U204" i="6"/>
  <c r="P204" i="6"/>
  <c r="K204" i="6"/>
  <c r="BR203" i="6"/>
  <c r="BQ203" i="6"/>
  <c r="BP203" i="6"/>
  <c r="BO203" i="6"/>
  <c r="BN203" i="6"/>
  <c r="BI203" i="6"/>
  <c r="BD203" i="6"/>
  <c r="AY203" i="6"/>
  <c r="AT203" i="6"/>
  <c r="AO203" i="6"/>
  <c r="AJ203" i="6"/>
  <c r="AE203" i="6"/>
  <c r="Z203" i="6"/>
  <c r="U203" i="6"/>
  <c r="P203" i="6"/>
  <c r="K203" i="6"/>
  <c r="BR202" i="6"/>
  <c r="BQ202" i="6"/>
  <c r="BP202" i="6"/>
  <c r="BO202" i="6"/>
  <c r="BN202" i="6"/>
  <c r="BI202" i="6"/>
  <c r="BD202" i="6"/>
  <c r="AY202" i="6"/>
  <c r="AT202" i="6"/>
  <c r="AO202" i="6"/>
  <c r="AJ202" i="6"/>
  <c r="AE202" i="6"/>
  <c r="Z202" i="6"/>
  <c r="U202" i="6"/>
  <c r="P202" i="6"/>
  <c r="K202" i="6"/>
  <c r="BR201" i="6"/>
  <c r="BQ201" i="6"/>
  <c r="BP201" i="6"/>
  <c r="BO201" i="6"/>
  <c r="BN201" i="6"/>
  <c r="BI201" i="6"/>
  <c r="BD201" i="6"/>
  <c r="AY201" i="6"/>
  <c r="AT201" i="6"/>
  <c r="AO201" i="6"/>
  <c r="AJ201" i="6"/>
  <c r="AE201" i="6"/>
  <c r="Z201" i="6"/>
  <c r="U201" i="6"/>
  <c r="P201" i="6"/>
  <c r="K201" i="6"/>
  <c r="BR200" i="6"/>
  <c r="BQ200" i="6"/>
  <c r="BP200" i="6"/>
  <c r="BO200" i="6"/>
  <c r="BN200" i="6"/>
  <c r="BI200" i="6"/>
  <c r="BD200" i="6"/>
  <c r="AY200" i="6"/>
  <c r="AT200" i="6"/>
  <c r="AO200" i="6"/>
  <c r="AJ200" i="6"/>
  <c r="AE200" i="6"/>
  <c r="Z200" i="6"/>
  <c r="U200" i="6"/>
  <c r="P200" i="6"/>
  <c r="K200" i="6"/>
  <c r="BR199" i="6"/>
  <c r="BQ199" i="6"/>
  <c r="BP199" i="6"/>
  <c r="BO199" i="6"/>
  <c r="BN199" i="6"/>
  <c r="BI199" i="6"/>
  <c r="BD199" i="6"/>
  <c r="AY199" i="6"/>
  <c r="AT199" i="6"/>
  <c r="AO199" i="6"/>
  <c r="AJ199" i="6"/>
  <c r="AE199" i="6"/>
  <c r="Z199" i="6"/>
  <c r="U199" i="6"/>
  <c r="P199" i="6"/>
  <c r="K199" i="6"/>
  <c r="BR198" i="6"/>
  <c r="BQ198" i="6"/>
  <c r="BP198" i="6"/>
  <c r="BO198" i="6"/>
  <c r="BN198" i="6"/>
  <c r="BI198" i="6"/>
  <c r="BD198" i="6"/>
  <c r="AY198" i="6"/>
  <c r="AT198" i="6"/>
  <c r="AO198" i="6"/>
  <c r="AJ198" i="6"/>
  <c r="AE198" i="6"/>
  <c r="Z198" i="6"/>
  <c r="U198" i="6"/>
  <c r="P198" i="6"/>
  <c r="K198" i="6"/>
  <c r="BR197" i="6"/>
  <c r="BQ197" i="6"/>
  <c r="BP197" i="6"/>
  <c r="BO197" i="6"/>
  <c r="BN197" i="6"/>
  <c r="BI197" i="6"/>
  <c r="BD197" i="6"/>
  <c r="AY197" i="6"/>
  <c r="AT197" i="6"/>
  <c r="AO197" i="6"/>
  <c r="AJ197" i="6"/>
  <c r="AE197" i="6"/>
  <c r="Z197" i="6"/>
  <c r="U197" i="6"/>
  <c r="P197" i="6"/>
  <c r="K197" i="6"/>
  <c r="BR196" i="6"/>
  <c r="BQ196" i="6"/>
  <c r="BP196" i="6"/>
  <c r="BO196" i="6"/>
  <c r="BN196" i="6"/>
  <c r="BI196" i="6"/>
  <c r="BD196" i="6"/>
  <c r="AY196" i="6"/>
  <c r="AT196" i="6"/>
  <c r="AO196" i="6"/>
  <c r="AJ196" i="6"/>
  <c r="AE196" i="6"/>
  <c r="Z196" i="6"/>
  <c r="U196" i="6"/>
  <c r="P196" i="6"/>
  <c r="K196" i="6"/>
  <c r="BR195" i="6"/>
  <c r="BQ195" i="6"/>
  <c r="BP195" i="6"/>
  <c r="BO195" i="6"/>
  <c r="BN195" i="6"/>
  <c r="BI195" i="6"/>
  <c r="BD195" i="6"/>
  <c r="AY195" i="6"/>
  <c r="AT195" i="6"/>
  <c r="AO195" i="6"/>
  <c r="AJ195" i="6"/>
  <c r="AE195" i="6"/>
  <c r="Z195" i="6"/>
  <c r="U195" i="6"/>
  <c r="P195" i="6"/>
  <c r="K195" i="6"/>
  <c r="BR194" i="6"/>
  <c r="BQ194" i="6"/>
  <c r="BP194" i="6"/>
  <c r="BO194" i="6"/>
  <c r="BN194" i="6"/>
  <c r="BI194" i="6"/>
  <c r="BD194" i="6"/>
  <c r="AY194" i="6"/>
  <c r="AT194" i="6"/>
  <c r="AO194" i="6"/>
  <c r="AJ194" i="6"/>
  <c r="AE194" i="6"/>
  <c r="Z194" i="6"/>
  <c r="U194" i="6"/>
  <c r="P194" i="6"/>
  <c r="K194" i="6"/>
  <c r="BR193" i="6"/>
  <c r="BQ193" i="6"/>
  <c r="BP193" i="6"/>
  <c r="BO193" i="6"/>
  <c r="BN193" i="6"/>
  <c r="BI193" i="6"/>
  <c r="BD193" i="6"/>
  <c r="AY193" i="6"/>
  <c r="AT193" i="6"/>
  <c r="AO193" i="6"/>
  <c r="AJ193" i="6"/>
  <c r="AE193" i="6"/>
  <c r="Z193" i="6"/>
  <c r="U193" i="6"/>
  <c r="P193" i="6"/>
  <c r="K193" i="6"/>
  <c r="BR192" i="6"/>
  <c r="BQ192" i="6"/>
  <c r="BP192" i="6"/>
  <c r="BO192" i="6"/>
  <c r="BN192" i="6"/>
  <c r="BI192" i="6"/>
  <c r="BD192" i="6"/>
  <c r="AY192" i="6"/>
  <c r="AT192" i="6"/>
  <c r="AO192" i="6"/>
  <c r="AJ192" i="6"/>
  <c r="AE192" i="6"/>
  <c r="Z192" i="6"/>
  <c r="U192" i="6"/>
  <c r="P192" i="6"/>
  <c r="K192" i="6"/>
  <c r="BR191" i="6"/>
  <c r="BQ191" i="6"/>
  <c r="BP191" i="6"/>
  <c r="BO191" i="6"/>
  <c r="BN191" i="6"/>
  <c r="BI191" i="6"/>
  <c r="BD191" i="6"/>
  <c r="AY191" i="6"/>
  <c r="AT191" i="6"/>
  <c r="AO191" i="6"/>
  <c r="AJ191" i="6"/>
  <c r="AE191" i="6"/>
  <c r="Z191" i="6"/>
  <c r="U191" i="6"/>
  <c r="P191" i="6"/>
  <c r="K191" i="6"/>
  <c r="BR190" i="6"/>
  <c r="BQ190" i="6"/>
  <c r="BP190" i="6"/>
  <c r="BO190" i="6"/>
  <c r="BN190" i="6"/>
  <c r="BI190" i="6"/>
  <c r="BD190" i="6"/>
  <c r="AY190" i="6"/>
  <c r="AT190" i="6"/>
  <c r="AO190" i="6"/>
  <c r="AJ190" i="6"/>
  <c r="AE190" i="6"/>
  <c r="Z190" i="6"/>
  <c r="U190" i="6"/>
  <c r="P190" i="6"/>
  <c r="K190" i="6"/>
  <c r="BR189" i="6"/>
  <c r="BQ189" i="6"/>
  <c r="BP189" i="6"/>
  <c r="BO189" i="6"/>
  <c r="BN189" i="6"/>
  <c r="BI189" i="6"/>
  <c r="BD189" i="6"/>
  <c r="AY189" i="6"/>
  <c r="AT189" i="6"/>
  <c r="AO189" i="6"/>
  <c r="AJ189" i="6"/>
  <c r="AE189" i="6"/>
  <c r="Z189" i="6"/>
  <c r="U189" i="6"/>
  <c r="P189" i="6"/>
  <c r="K189" i="6"/>
  <c r="BR188" i="6"/>
  <c r="BQ188" i="6"/>
  <c r="BP188" i="6"/>
  <c r="BO188" i="6"/>
  <c r="BN188" i="6"/>
  <c r="BI188" i="6"/>
  <c r="BD188" i="6"/>
  <c r="AY188" i="6"/>
  <c r="AT188" i="6"/>
  <c r="AO188" i="6"/>
  <c r="AJ188" i="6"/>
  <c r="AE188" i="6"/>
  <c r="Z188" i="6"/>
  <c r="U188" i="6"/>
  <c r="P188" i="6"/>
  <c r="K188" i="6"/>
  <c r="BR187" i="6"/>
  <c r="BQ187" i="6"/>
  <c r="BP187" i="6"/>
  <c r="BO187" i="6"/>
  <c r="BN187" i="6"/>
  <c r="BI187" i="6"/>
  <c r="BD187" i="6"/>
  <c r="AY187" i="6"/>
  <c r="AT187" i="6"/>
  <c r="AO187" i="6"/>
  <c r="AJ187" i="6"/>
  <c r="AE187" i="6"/>
  <c r="Z187" i="6"/>
  <c r="U187" i="6"/>
  <c r="P187" i="6"/>
  <c r="K187" i="6"/>
  <c r="BR186" i="6"/>
  <c r="BQ186" i="6"/>
  <c r="BP186" i="6"/>
  <c r="BO186" i="6"/>
  <c r="BN186" i="6"/>
  <c r="BI186" i="6"/>
  <c r="BD186" i="6"/>
  <c r="AY186" i="6"/>
  <c r="AT186" i="6"/>
  <c r="AO186" i="6"/>
  <c r="AJ186" i="6"/>
  <c r="AE186" i="6"/>
  <c r="Z186" i="6"/>
  <c r="U186" i="6"/>
  <c r="P186" i="6"/>
  <c r="K186" i="6"/>
  <c r="BR185" i="6"/>
  <c r="BQ185" i="6"/>
  <c r="BP185" i="6"/>
  <c r="BO185" i="6"/>
  <c r="BN185" i="6"/>
  <c r="BI185" i="6"/>
  <c r="BD185" i="6"/>
  <c r="AY185" i="6"/>
  <c r="AT185" i="6"/>
  <c r="AO185" i="6"/>
  <c r="AJ185" i="6"/>
  <c r="AE185" i="6"/>
  <c r="Z185" i="6"/>
  <c r="U185" i="6"/>
  <c r="P185" i="6"/>
  <c r="K185" i="6"/>
  <c r="BR184" i="6"/>
  <c r="BQ184" i="6"/>
  <c r="BP184" i="6"/>
  <c r="BO184" i="6"/>
  <c r="BN184" i="6"/>
  <c r="BI184" i="6"/>
  <c r="BD184" i="6"/>
  <c r="AY184" i="6"/>
  <c r="AT184" i="6"/>
  <c r="AO184" i="6"/>
  <c r="AJ184" i="6"/>
  <c r="AE184" i="6"/>
  <c r="Z184" i="6"/>
  <c r="U184" i="6"/>
  <c r="P184" i="6"/>
  <c r="K184" i="6"/>
  <c r="BR183" i="6"/>
  <c r="BQ183" i="6"/>
  <c r="BP183" i="6"/>
  <c r="BO183" i="6"/>
  <c r="BN183" i="6"/>
  <c r="BI183" i="6"/>
  <c r="BD183" i="6"/>
  <c r="AY183" i="6"/>
  <c r="AT183" i="6"/>
  <c r="AO183" i="6"/>
  <c r="AJ183" i="6"/>
  <c r="AE183" i="6"/>
  <c r="Z183" i="6"/>
  <c r="U183" i="6"/>
  <c r="P183" i="6"/>
  <c r="K183" i="6"/>
  <c r="BR182" i="6"/>
  <c r="BQ182" i="6"/>
  <c r="BP182" i="6"/>
  <c r="BO182" i="6"/>
  <c r="BN182" i="6"/>
  <c r="BI182" i="6"/>
  <c r="BD182" i="6"/>
  <c r="AY182" i="6"/>
  <c r="AT182" i="6"/>
  <c r="AO182" i="6"/>
  <c r="AJ182" i="6"/>
  <c r="AE182" i="6"/>
  <c r="Z182" i="6"/>
  <c r="U182" i="6"/>
  <c r="P182" i="6"/>
  <c r="K182" i="6"/>
  <c r="BM179" i="6"/>
  <c r="BL179" i="6"/>
  <c r="BK179" i="6"/>
  <c r="BJ179" i="6"/>
  <c r="BH179" i="6"/>
  <c r="BG179" i="6"/>
  <c r="BF179" i="6"/>
  <c r="BE179" i="6"/>
  <c r="BC179" i="6"/>
  <c r="BB179" i="6"/>
  <c r="BA179" i="6"/>
  <c r="AZ179" i="6"/>
  <c r="AX179" i="6"/>
  <c r="AW179" i="6"/>
  <c r="AV179" i="6"/>
  <c r="AU179" i="6"/>
  <c r="AS179" i="6"/>
  <c r="AR179" i="6"/>
  <c r="AQ179" i="6"/>
  <c r="AP179" i="6"/>
  <c r="AN179" i="6"/>
  <c r="AM179" i="6"/>
  <c r="AL179" i="6"/>
  <c r="AK179" i="6"/>
  <c r="AI179" i="6"/>
  <c r="AH179" i="6"/>
  <c r="AG179" i="6"/>
  <c r="AF179" i="6"/>
  <c r="AD179" i="6"/>
  <c r="AC179" i="6"/>
  <c r="AB179" i="6"/>
  <c r="AA179" i="6"/>
  <c r="Y179" i="6"/>
  <c r="X179" i="6"/>
  <c r="W179" i="6"/>
  <c r="V179" i="6"/>
  <c r="T179" i="6"/>
  <c r="S179" i="6"/>
  <c r="R179" i="6"/>
  <c r="Q179" i="6"/>
  <c r="O179" i="6"/>
  <c r="N179" i="6"/>
  <c r="M179" i="6"/>
  <c r="L179" i="6"/>
  <c r="J179" i="6"/>
  <c r="I179" i="6"/>
  <c r="H179" i="6"/>
  <c r="G179" i="6"/>
  <c r="BR178" i="6"/>
  <c r="BQ178" i="6"/>
  <c r="BP178" i="6"/>
  <c r="BO178" i="6"/>
  <c r="BN178" i="6"/>
  <c r="BI178" i="6"/>
  <c r="BD178" i="6"/>
  <c r="AY178" i="6"/>
  <c r="AT178" i="6"/>
  <c r="AO178" i="6"/>
  <c r="AJ178" i="6"/>
  <c r="AE178" i="6"/>
  <c r="Z178" i="6"/>
  <c r="U178" i="6"/>
  <c r="P178" i="6"/>
  <c r="K178" i="6"/>
  <c r="BR177" i="6"/>
  <c r="BQ177" i="6"/>
  <c r="BP177" i="6"/>
  <c r="BO177" i="6"/>
  <c r="BN177" i="6"/>
  <c r="BI177" i="6"/>
  <c r="BD177" i="6"/>
  <c r="AY177" i="6"/>
  <c r="AT177" i="6"/>
  <c r="AO177" i="6"/>
  <c r="AJ177" i="6"/>
  <c r="AE177" i="6"/>
  <c r="Z177" i="6"/>
  <c r="U177" i="6"/>
  <c r="P177" i="6"/>
  <c r="K177" i="6"/>
  <c r="BR176" i="6"/>
  <c r="BQ176" i="6"/>
  <c r="BP176" i="6"/>
  <c r="BO176" i="6"/>
  <c r="BN176" i="6"/>
  <c r="BI176" i="6"/>
  <c r="BD176" i="6"/>
  <c r="AY176" i="6"/>
  <c r="AT176" i="6"/>
  <c r="AO176" i="6"/>
  <c r="AJ176" i="6"/>
  <c r="AE176" i="6"/>
  <c r="Z176" i="6"/>
  <c r="U176" i="6"/>
  <c r="P176" i="6"/>
  <c r="K176" i="6"/>
  <c r="BR175" i="6"/>
  <c r="BQ175" i="6"/>
  <c r="BP175" i="6"/>
  <c r="BO175" i="6"/>
  <c r="BN175" i="6"/>
  <c r="BI175" i="6"/>
  <c r="BD175" i="6"/>
  <c r="AY175" i="6"/>
  <c r="AT175" i="6"/>
  <c r="AO175" i="6"/>
  <c r="AJ175" i="6"/>
  <c r="AE175" i="6"/>
  <c r="Z175" i="6"/>
  <c r="U175" i="6"/>
  <c r="P175" i="6"/>
  <c r="K175" i="6"/>
  <c r="BR174" i="6"/>
  <c r="BQ174" i="6"/>
  <c r="BP174" i="6"/>
  <c r="BO174" i="6"/>
  <c r="BN174" i="6"/>
  <c r="BI174" i="6"/>
  <c r="BD174" i="6"/>
  <c r="AY174" i="6"/>
  <c r="AT174" i="6"/>
  <c r="AO174" i="6"/>
  <c r="AJ174" i="6"/>
  <c r="AE174" i="6"/>
  <c r="Z174" i="6"/>
  <c r="U174" i="6"/>
  <c r="P174" i="6"/>
  <c r="K174" i="6"/>
  <c r="BR173" i="6"/>
  <c r="BQ173" i="6"/>
  <c r="BP173" i="6"/>
  <c r="BO173" i="6"/>
  <c r="BN173" i="6"/>
  <c r="BI173" i="6"/>
  <c r="BD173" i="6"/>
  <c r="AY173" i="6"/>
  <c r="AT173" i="6"/>
  <c r="AO173" i="6"/>
  <c r="AJ173" i="6"/>
  <c r="AE173" i="6"/>
  <c r="Z173" i="6"/>
  <c r="U173" i="6"/>
  <c r="P173" i="6"/>
  <c r="K173" i="6"/>
  <c r="BR172" i="6"/>
  <c r="BQ172" i="6"/>
  <c r="BP172" i="6"/>
  <c r="BO172" i="6"/>
  <c r="BN172" i="6"/>
  <c r="BI172" i="6"/>
  <c r="BD172" i="6"/>
  <c r="AY172" i="6"/>
  <c r="AT172" i="6"/>
  <c r="AO172" i="6"/>
  <c r="AJ172" i="6"/>
  <c r="AE172" i="6"/>
  <c r="Z172" i="6"/>
  <c r="U172" i="6"/>
  <c r="P172" i="6"/>
  <c r="K172" i="6"/>
  <c r="BR171" i="6"/>
  <c r="BQ171" i="6"/>
  <c r="BP171" i="6"/>
  <c r="BO171" i="6"/>
  <c r="BN171" i="6"/>
  <c r="BI171" i="6"/>
  <c r="BD171" i="6"/>
  <c r="AY171" i="6"/>
  <c r="AT171" i="6"/>
  <c r="AO171" i="6"/>
  <c r="AJ171" i="6"/>
  <c r="AE171" i="6"/>
  <c r="Z171" i="6"/>
  <c r="U171" i="6"/>
  <c r="P171" i="6"/>
  <c r="K171" i="6"/>
  <c r="BR170" i="6"/>
  <c r="BQ170" i="6"/>
  <c r="BP170" i="6"/>
  <c r="BO170" i="6"/>
  <c r="BN170" i="6"/>
  <c r="BI170" i="6"/>
  <c r="BD170" i="6"/>
  <c r="AY170" i="6"/>
  <c r="AT170" i="6"/>
  <c r="AO170" i="6"/>
  <c r="AJ170" i="6"/>
  <c r="AE170" i="6"/>
  <c r="Z170" i="6"/>
  <c r="U170" i="6"/>
  <c r="P170" i="6"/>
  <c r="K170" i="6"/>
  <c r="BR169" i="6"/>
  <c r="BQ169" i="6"/>
  <c r="BP169" i="6"/>
  <c r="BO169" i="6"/>
  <c r="BN169" i="6"/>
  <c r="BI169" i="6"/>
  <c r="BD169" i="6"/>
  <c r="AY169" i="6"/>
  <c r="AT169" i="6"/>
  <c r="AO169" i="6"/>
  <c r="AJ169" i="6"/>
  <c r="AE169" i="6"/>
  <c r="Z169" i="6"/>
  <c r="U169" i="6"/>
  <c r="P169" i="6"/>
  <c r="K169" i="6"/>
  <c r="BM168" i="6"/>
  <c r="BL168" i="6"/>
  <c r="BK168" i="6"/>
  <c r="BJ168" i="6"/>
  <c r="BH168" i="6"/>
  <c r="BG168" i="6"/>
  <c r="BF168" i="6"/>
  <c r="BE168" i="6"/>
  <c r="BC168" i="6"/>
  <c r="BB168" i="6"/>
  <c r="BA168" i="6"/>
  <c r="AZ168" i="6"/>
  <c r="AX168" i="6"/>
  <c r="AW168" i="6"/>
  <c r="AV168" i="6"/>
  <c r="AU168" i="6"/>
  <c r="AS168" i="6"/>
  <c r="AR168" i="6"/>
  <c r="AQ168" i="6"/>
  <c r="AP168" i="6"/>
  <c r="AN168" i="6"/>
  <c r="AM168" i="6"/>
  <c r="AL168" i="6"/>
  <c r="AK168" i="6"/>
  <c r="AI168" i="6"/>
  <c r="AH168" i="6"/>
  <c r="AG168" i="6"/>
  <c r="AF168" i="6"/>
  <c r="AD168" i="6"/>
  <c r="AC168" i="6"/>
  <c r="AB168" i="6"/>
  <c r="Y168" i="6"/>
  <c r="X168" i="6"/>
  <c r="W168" i="6"/>
  <c r="V168" i="6"/>
  <c r="T168" i="6"/>
  <c r="S168" i="6"/>
  <c r="R168" i="6"/>
  <c r="Q168" i="6"/>
  <c r="O168" i="6"/>
  <c r="N168" i="6"/>
  <c r="M168" i="6"/>
  <c r="L168" i="6"/>
  <c r="J168" i="6"/>
  <c r="I168" i="6"/>
  <c r="H168" i="6"/>
  <c r="G168" i="6"/>
  <c r="BR167" i="6"/>
  <c r="BQ167" i="6"/>
  <c r="BP167" i="6"/>
  <c r="BO167" i="6"/>
  <c r="BN167" i="6"/>
  <c r="BI167" i="6"/>
  <c r="BD167" i="6"/>
  <c r="AY167" i="6"/>
  <c r="AT167" i="6"/>
  <c r="AO167" i="6"/>
  <c r="AJ167" i="6"/>
  <c r="AE167" i="6"/>
  <c r="Z167" i="6"/>
  <c r="U167" i="6"/>
  <c r="P167" i="6"/>
  <c r="K167" i="6"/>
  <c r="BR166" i="6"/>
  <c r="BQ166" i="6"/>
  <c r="BP166" i="6"/>
  <c r="BN166" i="6"/>
  <c r="BI166" i="6"/>
  <c r="BD166" i="6"/>
  <c r="AY166" i="6"/>
  <c r="AT166" i="6"/>
  <c r="AO166" i="6"/>
  <c r="AJ166" i="6"/>
  <c r="AA166" i="6"/>
  <c r="AA168" i="6" s="1"/>
  <c r="Z166" i="6"/>
  <c r="U166" i="6"/>
  <c r="P166" i="6"/>
  <c r="K166" i="6"/>
  <c r="BR165" i="6"/>
  <c r="BQ165" i="6"/>
  <c r="BP165" i="6"/>
  <c r="BO165" i="6"/>
  <c r="BN165" i="6"/>
  <c r="BI165" i="6"/>
  <c r="BD165" i="6"/>
  <c r="AY165" i="6"/>
  <c r="AT165" i="6"/>
  <c r="AO165" i="6"/>
  <c r="AJ165" i="6"/>
  <c r="AE165" i="6"/>
  <c r="Z165" i="6"/>
  <c r="U165" i="6"/>
  <c r="P165" i="6"/>
  <c r="K165" i="6"/>
  <c r="BR164" i="6"/>
  <c r="BQ164" i="6"/>
  <c r="BP164" i="6"/>
  <c r="BO164" i="6"/>
  <c r="BN164" i="6"/>
  <c r="BI164" i="6"/>
  <c r="BD164" i="6"/>
  <c r="AY164" i="6"/>
  <c r="AT164" i="6"/>
  <c r="AO164" i="6"/>
  <c r="AJ164" i="6"/>
  <c r="AE164" i="6"/>
  <c r="Z164" i="6"/>
  <c r="U164" i="6"/>
  <c r="P164" i="6"/>
  <c r="K164" i="6"/>
  <c r="BR163" i="6"/>
  <c r="BQ163" i="6"/>
  <c r="BP163" i="6"/>
  <c r="BO163" i="6"/>
  <c r="BN163" i="6"/>
  <c r="BI163" i="6"/>
  <c r="BD163" i="6"/>
  <c r="AY163" i="6"/>
  <c r="AT163" i="6"/>
  <c r="AO163" i="6"/>
  <c r="AJ163" i="6"/>
  <c r="AE163" i="6"/>
  <c r="Z163" i="6"/>
  <c r="U163" i="6"/>
  <c r="P163" i="6"/>
  <c r="K163" i="6"/>
  <c r="BR162" i="6"/>
  <c r="BQ162" i="6"/>
  <c r="BP162" i="6"/>
  <c r="BO162" i="6"/>
  <c r="BN162" i="6"/>
  <c r="BI162" i="6"/>
  <c r="BD162" i="6"/>
  <c r="AY162" i="6"/>
  <c r="AT162" i="6"/>
  <c r="AO162" i="6"/>
  <c r="AJ162" i="6"/>
  <c r="AE162" i="6"/>
  <c r="Z162" i="6"/>
  <c r="U162" i="6"/>
  <c r="P162" i="6"/>
  <c r="K162" i="6"/>
  <c r="BR161" i="6"/>
  <c r="BQ161" i="6"/>
  <c r="BP161" i="6"/>
  <c r="BO161" i="6"/>
  <c r="BN161" i="6"/>
  <c r="BI161" i="6"/>
  <c r="BD161" i="6"/>
  <c r="AY161" i="6"/>
  <c r="AT161" i="6"/>
  <c r="AO161" i="6"/>
  <c r="AJ161" i="6"/>
  <c r="AE161" i="6"/>
  <c r="Z161" i="6"/>
  <c r="U161" i="6"/>
  <c r="P161" i="6"/>
  <c r="K161" i="6"/>
  <c r="BR160" i="6"/>
  <c r="BQ160" i="6"/>
  <c r="BP160" i="6"/>
  <c r="BO160" i="6"/>
  <c r="BN160" i="6"/>
  <c r="BI160" i="6"/>
  <c r="BD160" i="6"/>
  <c r="AY160" i="6"/>
  <c r="AT160" i="6"/>
  <c r="AO160" i="6"/>
  <c r="AJ160" i="6"/>
  <c r="AE160" i="6"/>
  <c r="Z160" i="6"/>
  <c r="U160" i="6"/>
  <c r="P160" i="6"/>
  <c r="K160" i="6"/>
  <c r="BM159" i="6"/>
  <c r="BL159" i="6"/>
  <c r="BK159" i="6"/>
  <c r="BJ159" i="6"/>
  <c r="BH159" i="6"/>
  <c r="BG159" i="6"/>
  <c r="BF159" i="6"/>
  <c r="BE159" i="6"/>
  <c r="BC159" i="6"/>
  <c r="BB159" i="6"/>
  <c r="BA159" i="6"/>
  <c r="AZ159" i="6"/>
  <c r="AX159" i="6"/>
  <c r="AW159" i="6"/>
  <c r="AV159" i="6"/>
  <c r="AU159" i="6"/>
  <c r="AS159" i="6"/>
  <c r="AR159" i="6"/>
  <c r="AQ159" i="6"/>
  <c r="AP159" i="6"/>
  <c r="AN159" i="6"/>
  <c r="AM159" i="6"/>
  <c r="AL159" i="6"/>
  <c r="AK159" i="6"/>
  <c r="AI159" i="6"/>
  <c r="AH159" i="6"/>
  <c r="AG159" i="6"/>
  <c r="AF159" i="6"/>
  <c r="AD159" i="6"/>
  <c r="AC159" i="6"/>
  <c r="AB159" i="6"/>
  <c r="AA159" i="6"/>
  <c r="Y159" i="6"/>
  <c r="X159" i="6"/>
  <c r="W159" i="6"/>
  <c r="V159" i="6"/>
  <c r="T159" i="6"/>
  <c r="S159" i="6"/>
  <c r="R159" i="6"/>
  <c r="Q159" i="6"/>
  <c r="O159" i="6"/>
  <c r="N159" i="6"/>
  <c r="M159" i="6"/>
  <c r="L159" i="6"/>
  <c r="J159" i="6"/>
  <c r="I159" i="6"/>
  <c r="H159" i="6"/>
  <c r="G159" i="6"/>
  <c r="BR158" i="6"/>
  <c r="BQ158" i="6"/>
  <c r="BP158" i="6"/>
  <c r="BO158" i="6"/>
  <c r="BN158" i="6"/>
  <c r="BI158" i="6"/>
  <c r="BD158" i="6"/>
  <c r="AY158" i="6"/>
  <c r="AT158" i="6"/>
  <c r="AO158" i="6"/>
  <c r="AJ158" i="6"/>
  <c r="AE158" i="6"/>
  <c r="Z158" i="6"/>
  <c r="U158" i="6"/>
  <c r="P158" i="6"/>
  <c r="K158" i="6"/>
  <c r="BR157" i="6"/>
  <c r="BQ157" i="6"/>
  <c r="BP157" i="6"/>
  <c r="BO157" i="6"/>
  <c r="BN157" i="6"/>
  <c r="BI157" i="6"/>
  <c r="BD157" i="6"/>
  <c r="AY157" i="6"/>
  <c r="AT157" i="6"/>
  <c r="AO157" i="6"/>
  <c r="AJ157" i="6"/>
  <c r="AE157" i="6"/>
  <c r="Z157" i="6"/>
  <c r="U157" i="6"/>
  <c r="P157" i="6"/>
  <c r="K157" i="6"/>
  <c r="BR156" i="6"/>
  <c r="BQ156" i="6"/>
  <c r="BP156" i="6"/>
  <c r="BO156" i="6"/>
  <c r="BN156" i="6"/>
  <c r="BI156" i="6"/>
  <c r="BD156" i="6"/>
  <c r="AY156" i="6"/>
  <c r="AT156" i="6"/>
  <c r="AO156" i="6"/>
  <c r="AJ156" i="6"/>
  <c r="AE156" i="6"/>
  <c r="Z156" i="6"/>
  <c r="U156" i="6"/>
  <c r="P156" i="6"/>
  <c r="K156" i="6"/>
  <c r="BR155" i="6"/>
  <c r="BQ155" i="6"/>
  <c r="BP155" i="6"/>
  <c r="BO155" i="6"/>
  <c r="BN155" i="6"/>
  <c r="BI155" i="6"/>
  <c r="BD155" i="6"/>
  <c r="AY155" i="6"/>
  <c r="AT155" i="6"/>
  <c r="AO155" i="6"/>
  <c r="AJ155" i="6"/>
  <c r="AE155" i="6"/>
  <c r="Z155" i="6"/>
  <c r="U155" i="6"/>
  <c r="P155" i="6"/>
  <c r="K155" i="6"/>
  <c r="BR154" i="6"/>
  <c r="BQ154" i="6"/>
  <c r="BP154" i="6"/>
  <c r="BO154" i="6"/>
  <c r="BN154" i="6"/>
  <c r="BI154" i="6"/>
  <c r="BD154" i="6"/>
  <c r="AY154" i="6"/>
  <c r="AT154" i="6"/>
  <c r="AO154" i="6"/>
  <c r="AJ154" i="6"/>
  <c r="AE154" i="6"/>
  <c r="Z154" i="6"/>
  <c r="U154" i="6"/>
  <c r="P154" i="6"/>
  <c r="K154" i="6"/>
  <c r="BR153" i="6"/>
  <c r="BQ153" i="6"/>
  <c r="BP153" i="6"/>
  <c r="BO153" i="6"/>
  <c r="BN153" i="6"/>
  <c r="BI153" i="6"/>
  <c r="BD153" i="6"/>
  <c r="AY153" i="6"/>
  <c r="AT153" i="6"/>
  <c r="AO153" i="6"/>
  <c r="AJ153" i="6"/>
  <c r="AE153" i="6"/>
  <c r="Z153" i="6"/>
  <c r="U153" i="6"/>
  <c r="P153" i="6"/>
  <c r="K153" i="6"/>
  <c r="BR152" i="6"/>
  <c r="BQ152" i="6"/>
  <c r="BP152" i="6"/>
  <c r="BO152" i="6"/>
  <c r="BN152" i="6"/>
  <c r="BI152" i="6"/>
  <c r="BD152" i="6"/>
  <c r="AY152" i="6"/>
  <c r="AT152" i="6"/>
  <c r="AO152" i="6"/>
  <c r="AJ152" i="6"/>
  <c r="AE152" i="6"/>
  <c r="Z152" i="6"/>
  <c r="U152" i="6"/>
  <c r="P152" i="6"/>
  <c r="K152" i="6"/>
  <c r="BR151" i="6"/>
  <c r="BQ151" i="6"/>
  <c r="BP151" i="6"/>
  <c r="BO151" i="6"/>
  <c r="BN151" i="6"/>
  <c r="BI151" i="6"/>
  <c r="BD151" i="6"/>
  <c r="AY151" i="6"/>
  <c r="AT151" i="6"/>
  <c r="AO151" i="6"/>
  <c r="AJ151" i="6"/>
  <c r="AE151" i="6"/>
  <c r="Z151" i="6"/>
  <c r="U151" i="6"/>
  <c r="P151" i="6"/>
  <c r="K151" i="6"/>
  <c r="BR150" i="6"/>
  <c r="BQ150" i="6"/>
  <c r="BP150" i="6"/>
  <c r="BO150" i="6"/>
  <c r="BN150" i="6"/>
  <c r="BI150" i="6"/>
  <c r="BD150" i="6"/>
  <c r="AY150" i="6"/>
  <c r="AT150" i="6"/>
  <c r="AO150" i="6"/>
  <c r="AJ150" i="6"/>
  <c r="AE150" i="6"/>
  <c r="Z150" i="6"/>
  <c r="U150" i="6"/>
  <c r="P150" i="6"/>
  <c r="K150" i="6"/>
  <c r="BR149" i="6"/>
  <c r="BQ149" i="6"/>
  <c r="BP149" i="6"/>
  <c r="BO149" i="6"/>
  <c r="BN149" i="6"/>
  <c r="BI149" i="6"/>
  <c r="BD149" i="6"/>
  <c r="AY149" i="6"/>
  <c r="AT149" i="6"/>
  <c r="AO149" i="6"/>
  <c r="AJ149" i="6"/>
  <c r="AE149" i="6"/>
  <c r="Z149" i="6"/>
  <c r="U149" i="6"/>
  <c r="P149" i="6"/>
  <c r="K149" i="6"/>
  <c r="BM146" i="6"/>
  <c r="BL146" i="6"/>
  <c r="BK146" i="6"/>
  <c r="BJ146" i="6"/>
  <c r="BH146" i="6"/>
  <c r="BG146" i="6"/>
  <c r="BF146" i="6"/>
  <c r="BE146" i="6"/>
  <c r="BC146" i="6"/>
  <c r="BB146" i="6"/>
  <c r="BA146" i="6"/>
  <c r="AZ146" i="6"/>
  <c r="AX146" i="6"/>
  <c r="AW146" i="6"/>
  <c r="AV146" i="6"/>
  <c r="AU146" i="6"/>
  <c r="AS146" i="6"/>
  <c r="AR146" i="6"/>
  <c r="AQ146" i="6"/>
  <c r="AP146" i="6"/>
  <c r="AN146" i="6"/>
  <c r="AM146" i="6"/>
  <c r="AL146" i="6"/>
  <c r="AK146" i="6"/>
  <c r="AI146" i="6"/>
  <c r="AH146" i="6"/>
  <c r="AG146" i="6"/>
  <c r="AF146" i="6"/>
  <c r="AD146" i="6"/>
  <c r="AC146" i="6"/>
  <c r="AB146" i="6"/>
  <c r="AA146" i="6"/>
  <c r="Y146" i="6"/>
  <c r="X146" i="6"/>
  <c r="W146" i="6"/>
  <c r="V146" i="6"/>
  <c r="T146" i="6"/>
  <c r="S146" i="6"/>
  <c r="R146" i="6"/>
  <c r="Q146" i="6"/>
  <c r="O146" i="6"/>
  <c r="N146" i="6"/>
  <c r="M146" i="6"/>
  <c r="L146" i="6"/>
  <c r="J146" i="6"/>
  <c r="I146" i="6"/>
  <c r="H146" i="6"/>
  <c r="BR145" i="6"/>
  <c r="BQ145" i="6"/>
  <c r="BP145" i="6"/>
  <c r="BO145" i="6"/>
  <c r="BN145" i="6"/>
  <c r="BI145" i="6"/>
  <c r="BD145" i="6"/>
  <c r="AY145" i="6"/>
  <c r="AT145" i="6"/>
  <c r="AO145" i="6"/>
  <c r="AJ145" i="6"/>
  <c r="AE145" i="6"/>
  <c r="Z145" i="6"/>
  <c r="U145" i="6"/>
  <c r="P145" i="6"/>
  <c r="K145" i="6"/>
  <c r="BR144" i="6"/>
  <c r="BQ144" i="6"/>
  <c r="BP144" i="6"/>
  <c r="BO144" i="6"/>
  <c r="BN144" i="6"/>
  <c r="BI144" i="6"/>
  <c r="BD144" i="6"/>
  <c r="AY144" i="6"/>
  <c r="AT144" i="6"/>
  <c r="AO144" i="6"/>
  <c r="AJ144" i="6"/>
  <c r="AE144" i="6"/>
  <c r="Z144" i="6"/>
  <c r="U144" i="6"/>
  <c r="P144" i="6"/>
  <c r="K144" i="6"/>
  <c r="BR143" i="6"/>
  <c r="BQ143" i="6"/>
  <c r="BP143" i="6"/>
  <c r="BO143" i="6"/>
  <c r="BN143" i="6"/>
  <c r="BI143" i="6"/>
  <c r="BD143" i="6"/>
  <c r="AY143" i="6"/>
  <c r="AT143" i="6"/>
  <c r="AO143" i="6"/>
  <c r="AJ143" i="6"/>
  <c r="AE143" i="6"/>
  <c r="Z143" i="6"/>
  <c r="U143" i="6"/>
  <c r="P143" i="6"/>
  <c r="K143" i="6"/>
  <c r="BR142" i="6"/>
  <c r="BQ142" i="6"/>
  <c r="BP142" i="6"/>
  <c r="BO142" i="6"/>
  <c r="BN142" i="6"/>
  <c r="BI142" i="6"/>
  <c r="BD142" i="6"/>
  <c r="AY142" i="6"/>
  <c r="AT142" i="6"/>
  <c r="AO142" i="6"/>
  <c r="AJ142" i="6"/>
  <c r="AE142" i="6"/>
  <c r="Z142" i="6"/>
  <c r="U142" i="6"/>
  <c r="P142" i="6"/>
  <c r="K142" i="6"/>
  <c r="BR141" i="6"/>
  <c r="BQ141" i="6"/>
  <c r="BP141" i="6"/>
  <c r="BN141" i="6"/>
  <c r="BI141" i="6"/>
  <c r="BD141" i="6"/>
  <c r="AY141" i="6"/>
  <c r="AT141" i="6"/>
  <c r="AO141" i="6"/>
  <c r="AJ141" i="6"/>
  <c r="AE141" i="6"/>
  <c r="Z141" i="6"/>
  <c r="U141" i="6"/>
  <c r="P141" i="6"/>
  <c r="G141" i="6"/>
  <c r="BR140" i="6"/>
  <c r="BQ140" i="6"/>
  <c r="BP140" i="6"/>
  <c r="BN140" i="6"/>
  <c r="BI140" i="6"/>
  <c r="BD140" i="6"/>
  <c r="AY140" i="6"/>
  <c r="AT140" i="6"/>
  <c r="AO140" i="6"/>
  <c r="AJ140" i="6"/>
  <c r="AE140" i="6"/>
  <c r="Z140" i="6"/>
  <c r="U140" i="6"/>
  <c r="P140" i="6"/>
  <c r="G140" i="6"/>
  <c r="K140" i="6" s="1"/>
  <c r="BR139" i="6"/>
  <c r="BQ139" i="6"/>
  <c r="BP139" i="6"/>
  <c r="BN139" i="6"/>
  <c r="BI139" i="6"/>
  <c r="BD139" i="6"/>
  <c r="AY139" i="6"/>
  <c r="AT139" i="6"/>
  <c r="AO139" i="6"/>
  <c r="AJ139" i="6"/>
  <c r="AE139" i="6"/>
  <c r="Z139" i="6"/>
  <c r="U139" i="6"/>
  <c r="P139" i="6"/>
  <c r="G139" i="6"/>
  <c r="K139" i="6" s="1"/>
  <c r="BR138" i="6"/>
  <c r="BQ138" i="6"/>
  <c r="BP138" i="6"/>
  <c r="BN138" i="6"/>
  <c r="BI138" i="6"/>
  <c r="BD138" i="6"/>
  <c r="AY138" i="6"/>
  <c r="AT138" i="6"/>
  <c r="AO138" i="6"/>
  <c r="AJ138" i="6"/>
  <c r="AE138" i="6"/>
  <c r="Z138" i="6"/>
  <c r="U138" i="6"/>
  <c r="P138" i="6"/>
  <c r="G138" i="6"/>
  <c r="BO138" i="6" s="1"/>
  <c r="BR137" i="6"/>
  <c r="BQ137" i="6"/>
  <c r="BP137" i="6"/>
  <c r="BO137" i="6"/>
  <c r="BN137" i="6"/>
  <c r="BI137" i="6"/>
  <c r="BD137" i="6"/>
  <c r="AY137" i="6"/>
  <c r="AT137" i="6"/>
  <c r="AO137" i="6"/>
  <c r="AJ137" i="6"/>
  <c r="AE137" i="6"/>
  <c r="Z137" i="6"/>
  <c r="U137" i="6"/>
  <c r="P137" i="6"/>
  <c r="K137" i="6"/>
  <c r="BR136" i="6"/>
  <c r="BQ136" i="6"/>
  <c r="BP136" i="6"/>
  <c r="BO136" i="6"/>
  <c r="BN136" i="6"/>
  <c r="BI136" i="6"/>
  <c r="BD136" i="6"/>
  <c r="AY136" i="6"/>
  <c r="AT136" i="6"/>
  <c r="AO136" i="6"/>
  <c r="AJ136" i="6"/>
  <c r="AE136" i="6"/>
  <c r="Z136" i="6"/>
  <c r="U136" i="6"/>
  <c r="P136" i="6"/>
  <c r="K136" i="6"/>
  <c r="BR135" i="6"/>
  <c r="BQ135" i="6"/>
  <c r="BP135" i="6"/>
  <c r="BO135" i="6"/>
  <c r="BN135" i="6"/>
  <c r="BI135" i="6"/>
  <c r="BD135" i="6"/>
  <c r="AY135" i="6"/>
  <c r="AT135" i="6"/>
  <c r="AO135" i="6"/>
  <c r="AJ135" i="6"/>
  <c r="AE135" i="6"/>
  <c r="Z135" i="6"/>
  <c r="U135" i="6"/>
  <c r="P135" i="6"/>
  <c r="K135" i="6"/>
  <c r="BR134" i="6"/>
  <c r="BQ134" i="6"/>
  <c r="BP134" i="6"/>
  <c r="BO134" i="6"/>
  <c r="BN134" i="6"/>
  <c r="BI134" i="6"/>
  <c r="BD134" i="6"/>
  <c r="AY134" i="6"/>
  <c r="AT134" i="6"/>
  <c r="AO134" i="6"/>
  <c r="AJ134" i="6"/>
  <c r="AE134" i="6"/>
  <c r="Z134" i="6"/>
  <c r="U134" i="6"/>
  <c r="P134" i="6"/>
  <c r="K134" i="6"/>
  <c r="BR133" i="6"/>
  <c r="BQ133" i="6"/>
  <c r="BP133" i="6"/>
  <c r="BO133" i="6"/>
  <c r="BN133" i="6"/>
  <c r="BI133" i="6"/>
  <c r="BD133" i="6"/>
  <c r="AY133" i="6"/>
  <c r="AT133" i="6"/>
  <c r="AO133" i="6"/>
  <c r="AJ133" i="6"/>
  <c r="AE133" i="6"/>
  <c r="Z133" i="6"/>
  <c r="U133" i="6"/>
  <c r="P133" i="6"/>
  <c r="K133" i="6"/>
  <c r="BR132" i="6"/>
  <c r="BQ132" i="6"/>
  <c r="BP132" i="6"/>
  <c r="BO132" i="6"/>
  <c r="BN132" i="6"/>
  <c r="BI132" i="6"/>
  <c r="BD132" i="6"/>
  <c r="AY132" i="6"/>
  <c r="AT132" i="6"/>
  <c r="AO132" i="6"/>
  <c r="AJ132" i="6"/>
  <c r="AE132" i="6"/>
  <c r="Z132" i="6"/>
  <c r="U132" i="6"/>
  <c r="P132" i="6"/>
  <c r="K132" i="6"/>
  <c r="BR131" i="6"/>
  <c r="BQ131" i="6"/>
  <c r="BP131" i="6"/>
  <c r="BO131" i="6"/>
  <c r="BN131" i="6"/>
  <c r="BI131" i="6"/>
  <c r="BD131" i="6"/>
  <c r="AY131" i="6"/>
  <c r="AT131" i="6"/>
  <c r="AO131" i="6"/>
  <c r="AJ131" i="6"/>
  <c r="AE131" i="6"/>
  <c r="Z131" i="6"/>
  <c r="U131" i="6"/>
  <c r="P131" i="6"/>
  <c r="K131" i="6"/>
  <c r="BR130" i="6"/>
  <c r="BQ130" i="6"/>
  <c r="BP130" i="6"/>
  <c r="BO130" i="6"/>
  <c r="BN130" i="6"/>
  <c r="BI130" i="6"/>
  <c r="BD130" i="6"/>
  <c r="AY130" i="6"/>
  <c r="AT130" i="6"/>
  <c r="AO130" i="6"/>
  <c r="AJ130" i="6"/>
  <c r="AE130" i="6"/>
  <c r="Z130" i="6"/>
  <c r="U130" i="6"/>
  <c r="P130" i="6"/>
  <c r="K130" i="6"/>
  <c r="BM129" i="6"/>
  <c r="BL129" i="6"/>
  <c r="BK129" i="6"/>
  <c r="BJ129" i="6"/>
  <c r="BH129" i="6"/>
  <c r="BG129" i="6"/>
  <c r="BF129" i="6"/>
  <c r="BE129" i="6"/>
  <c r="BC129" i="6"/>
  <c r="BB129" i="6"/>
  <c r="BA129" i="6"/>
  <c r="AZ129" i="6"/>
  <c r="AX129" i="6"/>
  <c r="AW129" i="6"/>
  <c r="AV129" i="6"/>
  <c r="AU129" i="6"/>
  <c r="AS129" i="6"/>
  <c r="AR129" i="6"/>
  <c r="AQ129" i="6"/>
  <c r="AP129" i="6"/>
  <c r="AN129" i="6"/>
  <c r="AM129" i="6"/>
  <c r="AL129" i="6"/>
  <c r="AK129" i="6"/>
  <c r="AI129" i="6"/>
  <c r="AH129" i="6"/>
  <c r="AG129" i="6"/>
  <c r="AF129" i="6"/>
  <c r="AD129" i="6"/>
  <c r="AC129" i="6"/>
  <c r="AB129" i="6"/>
  <c r="AA129" i="6"/>
  <c r="Y129" i="6"/>
  <c r="X129" i="6"/>
  <c r="W129" i="6"/>
  <c r="V129" i="6"/>
  <c r="T129" i="6"/>
  <c r="S129" i="6"/>
  <c r="R129" i="6"/>
  <c r="Q129" i="6"/>
  <c r="O129" i="6"/>
  <c r="N129" i="6"/>
  <c r="M129" i="6"/>
  <c r="L129" i="6"/>
  <c r="J129" i="6"/>
  <c r="I129" i="6"/>
  <c r="H129" i="6"/>
  <c r="G129" i="6"/>
  <c r="BR128" i="6"/>
  <c r="BQ128" i="6"/>
  <c r="BP128" i="6"/>
  <c r="BO128" i="6"/>
  <c r="BN128" i="6"/>
  <c r="BI128" i="6"/>
  <c r="BD128" i="6"/>
  <c r="AY128" i="6"/>
  <c r="AT128" i="6"/>
  <c r="AO128" i="6"/>
  <c r="AJ128" i="6"/>
  <c r="AE128" i="6"/>
  <c r="Z128" i="6"/>
  <c r="U128" i="6"/>
  <c r="P128" i="6"/>
  <c r="K128" i="6"/>
  <c r="BR127" i="6"/>
  <c r="BQ127" i="6"/>
  <c r="BP127" i="6"/>
  <c r="BO127" i="6"/>
  <c r="BN127" i="6"/>
  <c r="BI127" i="6"/>
  <c r="BD127" i="6"/>
  <c r="AY127" i="6"/>
  <c r="AT127" i="6"/>
  <c r="AO127" i="6"/>
  <c r="AJ127" i="6"/>
  <c r="AE127" i="6"/>
  <c r="Z127" i="6"/>
  <c r="U127" i="6"/>
  <c r="P127" i="6"/>
  <c r="K127" i="6"/>
  <c r="BR126" i="6"/>
  <c r="BQ126" i="6"/>
  <c r="BP126" i="6"/>
  <c r="BO126" i="6"/>
  <c r="BN126" i="6"/>
  <c r="BI126" i="6"/>
  <c r="BD126" i="6"/>
  <c r="AY126" i="6"/>
  <c r="AT126" i="6"/>
  <c r="AO126" i="6"/>
  <c r="AJ126" i="6"/>
  <c r="AE126" i="6"/>
  <c r="Z126" i="6"/>
  <c r="U126" i="6"/>
  <c r="P126" i="6"/>
  <c r="K126" i="6"/>
  <c r="BR125" i="6"/>
  <c r="BQ125" i="6"/>
  <c r="BP125" i="6"/>
  <c r="BO125" i="6"/>
  <c r="BN125" i="6"/>
  <c r="BI125" i="6"/>
  <c r="BD125" i="6"/>
  <c r="AY125" i="6"/>
  <c r="AT125" i="6"/>
  <c r="AO125" i="6"/>
  <c r="AJ125" i="6"/>
  <c r="AE125" i="6"/>
  <c r="Z125" i="6"/>
  <c r="U125" i="6"/>
  <c r="P125" i="6"/>
  <c r="K125" i="6"/>
  <c r="BM124" i="6"/>
  <c r="BL124" i="6"/>
  <c r="BK124" i="6"/>
  <c r="BJ124" i="6"/>
  <c r="BH124" i="6"/>
  <c r="BG124" i="6"/>
  <c r="BF124" i="6"/>
  <c r="BE124" i="6"/>
  <c r="BC124" i="6"/>
  <c r="BB124" i="6"/>
  <c r="BA124" i="6"/>
  <c r="AZ124" i="6"/>
  <c r="AX124" i="6"/>
  <c r="AW124" i="6"/>
  <c r="AV124" i="6"/>
  <c r="AU124" i="6"/>
  <c r="AS124" i="6"/>
  <c r="AR124" i="6"/>
  <c r="AQ124" i="6"/>
  <c r="AP124" i="6"/>
  <c r="AN124" i="6"/>
  <c r="AM124" i="6"/>
  <c r="AL124" i="6"/>
  <c r="AK124" i="6"/>
  <c r="AI124" i="6"/>
  <c r="AH124" i="6"/>
  <c r="AG124" i="6"/>
  <c r="AF124" i="6"/>
  <c r="AD124" i="6"/>
  <c r="AC124" i="6"/>
  <c r="AB124" i="6"/>
  <c r="AA124" i="6"/>
  <c r="Y124" i="6"/>
  <c r="X124" i="6"/>
  <c r="W124" i="6"/>
  <c r="V124" i="6"/>
  <c r="T124" i="6"/>
  <c r="S124" i="6"/>
  <c r="R124" i="6"/>
  <c r="Q124" i="6"/>
  <c r="O124" i="6"/>
  <c r="N124" i="6"/>
  <c r="M124" i="6"/>
  <c r="L124" i="6"/>
  <c r="J124" i="6"/>
  <c r="I124" i="6"/>
  <c r="H124" i="6"/>
  <c r="G124" i="6"/>
  <c r="BR123" i="6"/>
  <c r="BQ123" i="6"/>
  <c r="BP123" i="6"/>
  <c r="BO123" i="6"/>
  <c r="BN123" i="6"/>
  <c r="BI123" i="6"/>
  <c r="BD123" i="6"/>
  <c r="AY123" i="6"/>
  <c r="AT123" i="6"/>
  <c r="AO123" i="6"/>
  <c r="AJ123" i="6"/>
  <c r="AE123" i="6"/>
  <c r="Z123" i="6"/>
  <c r="U123" i="6"/>
  <c r="P123" i="6"/>
  <c r="K123" i="6"/>
  <c r="BR122" i="6"/>
  <c r="BQ122" i="6"/>
  <c r="BP122" i="6"/>
  <c r="BO122" i="6"/>
  <c r="BN122" i="6"/>
  <c r="BI122" i="6"/>
  <c r="BD122" i="6"/>
  <c r="AY122" i="6"/>
  <c r="AT122" i="6"/>
  <c r="AO122" i="6"/>
  <c r="AJ122" i="6"/>
  <c r="AE122" i="6"/>
  <c r="Z122" i="6"/>
  <c r="U122" i="6"/>
  <c r="P122" i="6"/>
  <c r="K122" i="6"/>
  <c r="BR121" i="6"/>
  <c r="BQ121" i="6"/>
  <c r="BP121" i="6"/>
  <c r="BO121" i="6"/>
  <c r="BN121" i="6"/>
  <c r="BI121" i="6"/>
  <c r="BD121" i="6"/>
  <c r="AY121" i="6"/>
  <c r="AT121" i="6"/>
  <c r="AO121" i="6"/>
  <c r="AJ121" i="6"/>
  <c r="AE121" i="6"/>
  <c r="Z121" i="6"/>
  <c r="U121" i="6"/>
  <c r="P121" i="6"/>
  <c r="K121" i="6"/>
  <c r="BR120" i="6"/>
  <c r="BQ120" i="6"/>
  <c r="BP120" i="6"/>
  <c r="BO120" i="6"/>
  <c r="BN120" i="6"/>
  <c r="BI120" i="6"/>
  <c r="BD120" i="6"/>
  <c r="AY120" i="6"/>
  <c r="AT120" i="6"/>
  <c r="AO120" i="6"/>
  <c r="AJ120" i="6"/>
  <c r="AE120" i="6"/>
  <c r="Z120" i="6"/>
  <c r="U120" i="6"/>
  <c r="P120" i="6"/>
  <c r="K120" i="6"/>
  <c r="BR119" i="6"/>
  <c r="BQ119" i="6"/>
  <c r="BP119" i="6"/>
  <c r="BO119" i="6"/>
  <c r="BN119" i="6"/>
  <c r="BI119" i="6"/>
  <c r="BD119" i="6"/>
  <c r="AY119" i="6"/>
  <c r="AT119" i="6"/>
  <c r="AO119" i="6"/>
  <c r="AJ119" i="6"/>
  <c r="AE119" i="6"/>
  <c r="Z119" i="6"/>
  <c r="U119" i="6"/>
  <c r="P119" i="6"/>
  <c r="K119" i="6"/>
  <c r="BR118" i="6"/>
  <c r="BQ118" i="6"/>
  <c r="BP118" i="6"/>
  <c r="BO118" i="6"/>
  <c r="BN118" i="6"/>
  <c r="BI118" i="6"/>
  <c r="BD118" i="6"/>
  <c r="AY118" i="6"/>
  <c r="AT118" i="6"/>
  <c r="AO118" i="6"/>
  <c r="AJ118" i="6"/>
  <c r="AE118" i="6"/>
  <c r="Z118" i="6"/>
  <c r="U118" i="6"/>
  <c r="P118" i="6"/>
  <c r="K118" i="6"/>
  <c r="BM117" i="6"/>
  <c r="BL117" i="6"/>
  <c r="BK117" i="6"/>
  <c r="BJ117" i="6"/>
  <c r="BH117" i="6"/>
  <c r="BG117" i="6"/>
  <c r="BF117" i="6"/>
  <c r="BE117" i="6"/>
  <c r="BC117" i="6"/>
  <c r="BB117" i="6"/>
  <c r="BA117" i="6"/>
  <c r="AZ117" i="6"/>
  <c r="AX117" i="6"/>
  <c r="AW117" i="6"/>
  <c r="AV117" i="6"/>
  <c r="AU117" i="6"/>
  <c r="AS117" i="6"/>
  <c r="AR117" i="6"/>
  <c r="AQ117" i="6"/>
  <c r="AP117" i="6"/>
  <c r="AN117" i="6"/>
  <c r="AM117" i="6"/>
  <c r="AL117" i="6"/>
  <c r="AK117" i="6"/>
  <c r="AI117" i="6"/>
  <c r="AH117" i="6"/>
  <c r="AG117" i="6"/>
  <c r="AF117" i="6"/>
  <c r="AD117" i="6"/>
  <c r="AC117" i="6"/>
  <c r="AB117" i="6"/>
  <c r="AA117" i="6"/>
  <c r="Y117" i="6"/>
  <c r="X117" i="6"/>
  <c r="W117" i="6"/>
  <c r="V117" i="6"/>
  <c r="T117" i="6"/>
  <c r="S117" i="6"/>
  <c r="R117" i="6"/>
  <c r="Q117" i="6"/>
  <c r="O117" i="6"/>
  <c r="N117" i="6"/>
  <c r="M117" i="6"/>
  <c r="L117" i="6"/>
  <c r="J117" i="6"/>
  <c r="I117" i="6"/>
  <c r="H117" i="6"/>
  <c r="G117" i="6"/>
  <c r="BR116" i="6"/>
  <c r="BQ116" i="6"/>
  <c r="BP116" i="6"/>
  <c r="BO116" i="6"/>
  <c r="BN116" i="6"/>
  <c r="BI116" i="6"/>
  <c r="BD116" i="6"/>
  <c r="AY116" i="6"/>
  <c r="AT116" i="6"/>
  <c r="AO116" i="6"/>
  <c r="AJ116" i="6"/>
  <c r="AE116" i="6"/>
  <c r="Z116" i="6"/>
  <c r="U116" i="6"/>
  <c r="P116" i="6"/>
  <c r="K116" i="6"/>
  <c r="BR115" i="6"/>
  <c r="BQ115" i="6"/>
  <c r="BP115" i="6"/>
  <c r="BO115" i="6"/>
  <c r="BN115" i="6"/>
  <c r="BI115" i="6"/>
  <c r="BD115" i="6"/>
  <c r="AY115" i="6"/>
  <c r="AT115" i="6"/>
  <c r="AO115" i="6"/>
  <c r="AJ115" i="6"/>
  <c r="AE115" i="6"/>
  <c r="Z115" i="6"/>
  <c r="U115" i="6"/>
  <c r="P115" i="6"/>
  <c r="K115" i="6"/>
  <c r="BR114" i="6"/>
  <c r="BQ114" i="6"/>
  <c r="BP114" i="6"/>
  <c r="BO114" i="6"/>
  <c r="BN114" i="6"/>
  <c r="BI114" i="6"/>
  <c r="BD114" i="6"/>
  <c r="AY114" i="6"/>
  <c r="AT114" i="6"/>
  <c r="AO114" i="6"/>
  <c r="AJ114" i="6"/>
  <c r="AE114" i="6"/>
  <c r="Z114" i="6"/>
  <c r="U114" i="6"/>
  <c r="P114" i="6"/>
  <c r="K114" i="6"/>
  <c r="BR113" i="6"/>
  <c r="BQ113" i="6"/>
  <c r="BP113" i="6"/>
  <c r="BO113" i="6"/>
  <c r="BN113" i="6"/>
  <c r="BI113" i="6"/>
  <c r="BD113" i="6"/>
  <c r="AY113" i="6"/>
  <c r="AT113" i="6"/>
  <c r="AO113" i="6"/>
  <c r="AJ113" i="6"/>
  <c r="AE113" i="6"/>
  <c r="Z113" i="6"/>
  <c r="U113" i="6"/>
  <c r="P113" i="6"/>
  <c r="K113" i="6"/>
  <c r="BR112" i="6"/>
  <c r="BQ112" i="6"/>
  <c r="BP112" i="6"/>
  <c r="BO112" i="6"/>
  <c r="BN112" i="6"/>
  <c r="BI112" i="6"/>
  <c r="BD112" i="6"/>
  <c r="AY112" i="6"/>
  <c r="AT112" i="6"/>
  <c r="AO112" i="6"/>
  <c r="AJ112" i="6"/>
  <c r="AE112" i="6"/>
  <c r="Z112" i="6"/>
  <c r="U112" i="6"/>
  <c r="P112" i="6"/>
  <c r="K112" i="6"/>
  <c r="BR111" i="6"/>
  <c r="BQ111" i="6"/>
  <c r="BP111" i="6"/>
  <c r="BO111" i="6"/>
  <c r="BN111" i="6"/>
  <c r="BI111" i="6"/>
  <c r="BD111" i="6"/>
  <c r="AY111" i="6"/>
  <c r="AT111" i="6"/>
  <c r="AO111" i="6"/>
  <c r="AJ111" i="6"/>
  <c r="AE111" i="6"/>
  <c r="Z111" i="6"/>
  <c r="U111" i="6"/>
  <c r="P111" i="6"/>
  <c r="K111" i="6"/>
  <c r="BM110" i="6"/>
  <c r="BL110" i="6"/>
  <c r="BK110" i="6"/>
  <c r="BJ110" i="6"/>
  <c r="BH110" i="6"/>
  <c r="BG110" i="6"/>
  <c r="BF110" i="6"/>
  <c r="BE110" i="6"/>
  <c r="BC110" i="6"/>
  <c r="BB110" i="6"/>
  <c r="BA110" i="6"/>
  <c r="AZ110" i="6"/>
  <c r="AX110" i="6"/>
  <c r="AW110" i="6"/>
  <c r="AV110" i="6"/>
  <c r="AU110" i="6"/>
  <c r="AS110" i="6"/>
  <c r="AR110" i="6"/>
  <c r="AQ110" i="6"/>
  <c r="AP110" i="6"/>
  <c r="AN110" i="6"/>
  <c r="AM110" i="6"/>
  <c r="AL110" i="6"/>
  <c r="AK110" i="6"/>
  <c r="AI110" i="6"/>
  <c r="AH110" i="6"/>
  <c r="AG110" i="6"/>
  <c r="AF110" i="6"/>
  <c r="AD110" i="6"/>
  <c r="AC110" i="6"/>
  <c r="AB110" i="6"/>
  <c r="AA110" i="6"/>
  <c r="Y110" i="6"/>
  <c r="X110" i="6"/>
  <c r="W110" i="6"/>
  <c r="V110" i="6"/>
  <c r="T110" i="6"/>
  <c r="S110" i="6"/>
  <c r="R110" i="6"/>
  <c r="Q110" i="6"/>
  <c r="O110" i="6"/>
  <c r="N110" i="6"/>
  <c r="M110" i="6"/>
  <c r="L110" i="6"/>
  <c r="J110" i="6"/>
  <c r="I110" i="6"/>
  <c r="H110" i="6"/>
  <c r="G110" i="6"/>
  <c r="BR109" i="6"/>
  <c r="BQ109" i="6"/>
  <c r="BP109" i="6"/>
  <c r="BO109" i="6"/>
  <c r="BN109" i="6"/>
  <c r="BI109" i="6"/>
  <c r="BD109" i="6"/>
  <c r="AY109" i="6"/>
  <c r="AT109" i="6"/>
  <c r="AO109" i="6"/>
  <c r="AJ109" i="6"/>
  <c r="AE109" i="6"/>
  <c r="Z109" i="6"/>
  <c r="U109" i="6"/>
  <c r="P109" i="6"/>
  <c r="K109" i="6"/>
  <c r="BR108" i="6"/>
  <c r="BQ108" i="6"/>
  <c r="BP108" i="6"/>
  <c r="BO108" i="6"/>
  <c r="BN108" i="6"/>
  <c r="BI108" i="6"/>
  <c r="BD108" i="6"/>
  <c r="AY108" i="6"/>
  <c r="AT108" i="6"/>
  <c r="AO108" i="6"/>
  <c r="AJ108" i="6"/>
  <c r="AE108" i="6"/>
  <c r="Z108" i="6"/>
  <c r="U108" i="6"/>
  <c r="P108" i="6"/>
  <c r="K108" i="6"/>
  <c r="BR107" i="6"/>
  <c r="BQ107" i="6"/>
  <c r="BP107" i="6"/>
  <c r="BO107" i="6"/>
  <c r="BN107" i="6"/>
  <c r="BI107" i="6"/>
  <c r="BD107" i="6"/>
  <c r="AY107" i="6"/>
  <c r="AT107" i="6"/>
  <c r="AO107" i="6"/>
  <c r="AJ107" i="6"/>
  <c r="AE107" i="6"/>
  <c r="Z107" i="6"/>
  <c r="U107" i="6"/>
  <c r="P107" i="6"/>
  <c r="K107" i="6"/>
  <c r="BR106" i="6"/>
  <c r="BQ106" i="6"/>
  <c r="BP106" i="6"/>
  <c r="BO106" i="6"/>
  <c r="BN106" i="6"/>
  <c r="BI106" i="6"/>
  <c r="BD106" i="6"/>
  <c r="AY106" i="6"/>
  <c r="AT106" i="6"/>
  <c r="AO106" i="6"/>
  <c r="AJ106" i="6"/>
  <c r="AE106" i="6"/>
  <c r="Z106" i="6"/>
  <c r="U106" i="6"/>
  <c r="P106" i="6"/>
  <c r="K106" i="6"/>
  <c r="BR105" i="6"/>
  <c r="BQ105" i="6"/>
  <c r="BP105" i="6"/>
  <c r="BO105" i="6"/>
  <c r="BN105" i="6"/>
  <c r="BI105" i="6"/>
  <c r="BD105" i="6"/>
  <c r="AY105" i="6"/>
  <c r="AT105" i="6"/>
  <c r="AO105" i="6"/>
  <c r="AJ105" i="6"/>
  <c r="AE105" i="6"/>
  <c r="Z105" i="6"/>
  <c r="U105" i="6"/>
  <c r="P105" i="6"/>
  <c r="K105" i="6"/>
  <c r="BR104" i="6"/>
  <c r="BQ104" i="6"/>
  <c r="BP104" i="6"/>
  <c r="BO104" i="6"/>
  <c r="BN104" i="6"/>
  <c r="BI104" i="6"/>
  <c r="BD104" i="6"/>
  <c r="AY104" i="6"/>
  <c r="AT104" i="6"/>
  <c r="AO104" i="6"/>
  <c r="AJ104" i="6"/>
  <c r="AE104" i="6"/>
  <c r="Z104" i="6"/>
  <c r="U104" i="6"/>
  <c r="P104" i="6"/>
  <c r="K104" i="6"/>
  <c r="BR103" i="6"/>
  <c r="BQ103" i="6"/>
  <c r="BP103" i="6"/>
  <c r="BO103" i="6"/>
  <c r="BN103" i="6"/>
  <c r="BI103" i="6"/>
  <c r="BD103" i="6"/>
  <c r="AY103" i="6"/>
  <c r="AT103" i="6"/>
  <c r="AO103" i="6"/>
  <c r="AJ103" i="6"/>
  <c r="AE103" i="6"/>
  <c r="Z103" i="6"/>
  <c r="U103" i="6"/>
  <c r="P103" i="6"/>
  <c r="K103" i="6"/>
  <c r="BR102" i="6"/>
  <c r="BQ102" i="6"/>
  <c r="BP102" i="6"/>
  <c r="BO102" i="6"/>
  <c r="BN102" i="6"/>
  <c r="BI102" i="6"/>
  <c r="BD102" i="6"/>
  <c r="AY102" i="6"/>
  <c r="AT102" i="6"/>
  <c r="AO102" i="6"/>
  <c r="AJ102" i="6"/>
  <c r="AE102" i="6"/>
  <c r="Z102" i="6"/>
  <c r="U102" i="6"/>
  <c r="P102" i="6"/>
  <c r="K102" i="6"/>
  <c r="BR101" i="6"/>
  <c r="BQ101" i="6"/>
  <c r="BP101" i="6"/>
  <c r="BO101" i="6"/>
  <c r="BN101" i="6"/>
  <c r="BI101" i="6"/>
  <c r="BD101" i="6"/>
  <c r="AY101" i="6"/>
  <c r="AT101" i="6"/>
  <c r="AO101" i="6"/>
  <c r="AJ101" i="6"/>
  <c r="AE101" i="6"/>
  <c r="Z101" i="6"/>
  <c r="U101" i="6"/>
  <c r="P101" i="6"/>
  <c r="K101" i="6"/>
  <c r="BR100" i="6"/>
  <c r="BQ100" i="6"/>
  <c r="BP100" i="6"/>
  <c r="BO100" i="6"/>
  <c r="BN100" i="6"/>
  <c r="BI100" i="6"/>
  <c r="BD100" i="6"/>
  <c r="AY100" i="6"/>
  <c r="AT100" i="6"/>
  <c r="AO100" i="6"/>
  <c r="AJ100" i="6"/>
  <c r="AE100" i="6"/>
  <c r="Z100" i="6"/>
  <c r="U100" i="6"/>
  <c r="P100" i="6"/>
  <c r="K100" i="6"/>
  <c r="BR99" i="6"/>
  <c r="BQ99" i="6"/>
  <c r="BP99" i="6"/>
  <c r="BO99" i="6"/>
  <c r="BN99" i="6"/>
  <c r="BI99" i="6"/>
  <c r="BD99" i="6"/>
  <c r="AY99" i="6"/>
  <c r="AT99" i="6"/>
  <c r="AO99" i="6"/>
  <c r="AJ99" i="6"/>
  <c r="AE99" i="6"/>
  <c r="Z99" i="6"/>
  <c r="U99" i="6"/>
  <c r="P99" i="6"/>
  <c r="K99" i="6"/>
  <c r="BR98" i="6"/>
  <c r="BQ98" i="6"/>
  <c r="BP98" i="6"/>
  <c r="BO98" i="6"/>
  <c r="BN98" i="6"/>
  <c r="BI98" i="6"/>
  <c r="BD98" i="6"/>
  <c r="AY98" i="6"/>
  <c r="AT98" i="6"/>
  <c r="AO98" i="6"/>
  <c r="AJ98" i="6"/>
  <c r="AE98" i="6"/>
  <c r="Z98" i="6"/>
  <c r="U98" i="6"/>
  <c r="P98" i="6"/>
  <c r="K98" i="6"/>
  <c r="BR97" i="6"/>
  <c r="BQ97" i="6"/>
  <c r="BP97" i="6"/>
  <c r="BO97" i="6"/>
  <c r="BN97" i="6"/>
  <c r="BI97" i="6"/>
  <c r="BD97" i="6"/>
  <c r="AY97" i="6"/>
  <c r="AT97" i="6"/>
  <c r="AO97" i="6"/>
  <c r="AJ97" i="6"/>
  <c r="AE97" i="6"/>
  <c r="Z97" i="6"/>
  <c r="U97" i="6"/>
  <c r="P97" i="6"/>
  <c r="K97" i="6"/>
  <c r="BR96" i="6"/>
  <c r="BQ96" i="6"/>
  <c r="BP96" i="6"/>
  <c r="BO96" i="6"/>
  <c r="BN96" i="6"/>
  <c r="BI96" i="6"/>
  <c r="BD96" i="6"/>
  <c r="AY96" i="6"/>
  <c r="AT96" i="6"/>
  <c r="AO96" i="6"/>
  <c r="AJ96" i="6"/>
  <c r="AE96" i="6"/>
  <c r="Z96" i="6"/>
  <c r="U96" i="6"/>
  <c r="P96" i="6"/>
  <c r="K96" i="6"/>
  <c r="BM95" i="6"/>
  <c r="BL95" i="6"/>
  <c r="BK95" i="6"/>
  <c r="BJ95" i="6"/>
  <c r="BH95" i="6"/>
  <c r="BG95" i="6"/>
  <c r="BF95" i="6"/>
  <c r="BE95" i="6"/>
  <c r="BC95" i="6"/>
  <c r="BB95" i="6"/>
  <c r="BA95" i="6"/>
  <c r="AZ95" i="6"/>
  <c r="AX95" i="6"/>
  <c r="AW95" i="6"/>
  <c r="AV95" i="6"/>
  <c r="AU95" i="6"/>
  <c r="AS95" i="6"/>
  <c r="AR95" i="6"/>
  <c r="AQ95" i="6"/>
  <c r="AP95" i="6"/>
  <c r="AN95" i="6"/>
  <c r="AM95" i="6"/>
  <c r="AL95" i="6"/>
  <c r="AK95" i="6"/>
  <c r="AI95" i="6"/>
  <c r="AH95" i="6"/>
  <c r="AG95" i="6"/>
  <c r="AF95" i="6"/>
  <c r="AD95" i="6"/>
  <c r="AC95" i="6"/>
  <c r="AB95" i="6"/>
  <c r="AA95" i="6"/>
  <c r="Y95" i="6"/>
  <c r="X95" i="6"/>
  <c r="W95" i="6"/>
  <c r="V95" i="6"/>
  <c r="T95" i="6"/>
  <c r="S95" i="6"/>
  <c r="R95" i="6"/>
  <c r="Q95" i="6"/>
  <c r="O95" i="6"/>
  <c r="N95" i="6"/>
  <c r="M95" i="6"/>
  <c r="L95" i="6"/>
  <c r="J95" i="6"/>
  <c r="I95" i="6"/>
  <c r="H95" i="6"/>
  <c r="G95" i="6"/>
  <c r="BR94" i="6"/>
  <c r="BQ94" i="6"/>
  <c r="BP94" i="6"/>
  <c r="BO94" i="6"/>
  <c r="BN94" i="6"/>
  <c r="BI94" i="6"/>
  <c r="BD94" i="6"/>
  <c r="AY94" i="6"/>
  <c r="AT94" i="6"/>
  <c r="AO94" i="6"/>
  <c r="AJ94" i="6"/>
  <c r="AE94" i="6"/>
  <c r="Z94" i="6"/>
  <c r="U94" i="6"/>
  <c r="P94" i="6"/>
  <c r="K94" i="6"/>
  <c r="BR93" i="6"/>
  <c r="BQ93" i="6"/>
  <c r="BP93" i="6"/>
  <c r="BO93" i="6"/>
  <c r="BN93" i="6"/>
  <c r="BI93" i="6"/>
  <c r="BD93" i="6"/>
  <c r="AY93" i="6"/>
  <c r="AT93" i="6"/>
  <c r="AO93" i="6"/>
  <c r="AJ93" i="6"/>
  <c r="AE93" i="6"/>
  <c r="Z93" i="6"/>
  <c r="U93" i="6"/>
  <c r="P93" i="6"/>
  <c r="K93" i="6"/>
  <c r="BR92" i="6"/>
  <c r="BQ92" i="6"/>
  <c r="BP92" i="6"/>
  <c r="BO92" i="6"/>
  <c r="BN92" i="6"/>
  <c r="BI92" i="6"/>
  <c r="BD92" i="6"/>
  <c r="AY92" i="6"/>
  <c r="AT92" i="6"/>
  <c r="AO92" i="6"/>
  <c r="AJ92" i="6"/>
  <c r="AE92" i="6"/>
  <c r="Z92" i="6"/>
  <c r="U92" i="6"/>
  <c r="P92" i="6"/>
  <c r="K92" i="6"/>
  <c r="BR91" i="6"/>
  <c r="BQ91" i="6"/>
  <c r="BP91" i="6"/>
  <c r="BO91" i="6"/>
  <c r="BN91" i="6"/>
  <c r="BI91" i="6"/>
  <c r="BD91" i="6"/>
  <c r="AY91" i="6"/>
  <c r="AT91" i="6"/>
  <c r="AO91" i="6"/>
  <c r="AJ91" i="6"/>
  <c r="AE91" i="6"/>
  <c r="Z91" i="6"/>
  <c r="U91" i="6"/>
  <c r="P91" i="6"/>
  <c r="K91" i="6"/>
  <c r="BR90" i="6"/>
  <c r="BQ90" i="6"/>
  <c r="BP90" i="6"/>
  <c r="BO90" i="6"/>
  <c r="BN90" i="6"/>
  <c r="BI90" i="6"/>
  <c r="BD90" i="6"/>
  <c r="AY90" i="6"/>
  <c r="AT90" i="6"/>
  <c r="AO90" i="6"/>
  <c r="AJ90" i="6"/>
  <c r="AE90" i="6"/>
  <c r="Z90" i="6"/>
  <c r="U90" i="6"/>
  <c r="P90" i="6"/>
  <c r="K90" i="6"/>
  <c r="BR89" i="6"/>
  <c r="BQ89" i="6"/>
  <c r="BP89" i="6"/>
  <c r="BO89" i="6"/>
  <c r="BN89" i="6"/>
  <c r="BI89" i="6"/>
  <c r="BD89" i="6"/>
  <c r="AY89" i="6"/>
  <c r="AT89" i="6"/>
  <c r="AO89" i="6"/>
  <c r="AJ89" i="6"/>
  <c r="AE89" i="6"/>
  <c r="Z89" i="6"/>
  <c r="U89" i="6"/>
  <c r="P89" i="6"/>
  <c r="K89" i="6"/>
  <c r="BM88" i="6"/>
  <c r="BL88" i="6"/>
  <c r="BK88" i="6"/>
  <c r="BJ88" i="6"/>
  <c r="BH88" i="6"/>
  <c r="BG88" i="6"/>
  <c r="BF88" i="6"/>
  <c r="BE88" i="6"/>
  <c r="BC88" i="6"/>
  <c r="BB88" i="6"/>
  <c r="BA88" i="6"/>
  <c r="AZ88" i="6"/>
  <c r="AX88" i="6"/>
  <c r="AW88" i="6"/>
  <c r="AV88" i="6"/>
  <c r="AU88" i="6"/>
  <c r="AS88" i="6"/>
  <c r="AR88" i="6"/>
  <c r="AQ88" i="6"/>
  <c r="AP88" i="6"/>
  <c r="AN88" i="6"/>
  <c r="AM88" i="6"/>
  <c r="AL88" i="6"/>
  <c r="AK88" i="6"/>
  <c r="AI88" i="6"/>
  <c r="AH88" i="6"/>
  <c r="AG88" i="6"/>
  <c r="AF88" i="6"/>
  <c r="AD88" i="6"/>
  <c r="AC88" i="6"/>
  <c r="AB88" i="6"/>
  <c r="AA88" i="6"/>
  <c r="Y88" i="6"/>
  <c r="X88" i="6"/>
  <c r="W88" i="6"/>
  <c r="V88" i="6"/>
  <c r="T88" i="6"/>
  <c r="S88" i="6"/>
  <c r="R88" i="6"/>
  <c r="O88" i="6"/>
  <c r="N88" i="6"/>
  <c r="M88" i="6"/>
  <c r="L88" i="6"/>
  <c r="J88" i="6"/>
  <c r="I88" i="6"/>
  <c r="H88" i="6"/>
  <c r="G88" i="6"/>
  <c r="BR87" i="6"/>
  <c r="BQ87" i="6"/>
  <c r="BP87" i="6"/>
  <c r="BO87" i="6"/>
  <c r="BN87" i="6"/>
  <c r="BI87" i="6"/>
  <c r="BD87" i="6"/>
  <c r="AY87" i="6"/>
  <c r="AT87" i="6"/>
  <c r="AO87" i="6"/>
  <c r="AJ87" i="6"/>
  <c r="AE87" i="6"/>
  <c r="Z87" i="6"/>
  <c r="U87" i="6"/>
  <c r="P87" i="6"/>
  <c r="K87" i="6"/>
  <c r="BR86" i="6"/>
  <c r="BQ86" i="6"/>
  <c r="BP86" i="6"/>
  <c r="BO86" i="6"/>
  <c r="BN86" i="6"/>
  <c r="BI86" i="6"/>
  <c r="BD86" i="6"/>
  <c r="AY86" i="6"/>
  <c r="AT86" i="6"/>
  <c r="AO86" i="6"/>
  <c r="AJ86" i="6"/>
  <c r="AE86" i="6"/>
  <c r="Z86" i="6"/>
  <c r="U86" i="6"/>
  <c r="P86" i="6"/>
  <c r="K86" i="6"/>
  <c r="BR85" i="6"/>
  <c r="BQ85" i="6"/>
  <c r="BP85" i="6"/>
  <c r="BN85" i="6"/>
  <c r="BI85" i="6"/>
  <c r="BD85" i="6"/>
  <c r="AY85" i="6"/>
  <c r="AT85" i="6"/>
  <c r="AO85" i="6"/>
  <c r="AJ85" i="6"/>
  <c r="AE85" i="6"/>
  <c r="Z85" i="6"/>
  <c r="Q85" i="6"/>
  <c r="BO85" i="6" s="1"/>
  <c r="P85" i="6"/>
  <c r="K85" i="6"/>
  <c r="BR84" i="6"/>
  <c r="BQ84" i="6"/>
  <c r="BP84" i="6"/>
  <c r="BO84" i="6"/>
  <c r="BN84" i="6"/>
  <c r="BI84" i="6"/>
  <c r="BD84" i="6"/>
  <c r="AY84" i="6"/>
  <c r="AT84" i="6"/>
  <c r="AO84" i="6"/>
  <c r="AJ84" i="6"/>
  <c r="AE84" i="6"/>
  <c r="Z84" i="6"/>
  <c r="U84" i="6"/>
  <c r="P84" i="6"/>
  <c r="K84" i="6"/>
  <c r="BR83" i="6"/>
  <c r="BQ83" i="6"/>
  <c r="BP83" i="6"/>
  <c r="BO83" i="6"/>
  <c r="BN83" i="6"/>
  <c r="BI83" i="6"/>
  <c r="BD83" i="6"/>
  <c r="AY83" i="6"/>
  <c r="AT83" i="6"/>
  <c r="AO83" i="6"/>
  <c r="AJ83" i="6"/>
  <c r="AE83" i="6"/>
  <c r="Z83" i="6"/>
  <c r="U83" i="6"/>
  <c r="P83" i="6"/>
  <c r="K83" i="6"/>
  <c r="BR82" i="6"/>
  <c r="BQ82" i="6"/>
  <c r="BP82" i="6"/>
  <c r="BO82" i="6"/>
  <c r="BN82" i="6"/>
  <c r="BI82" i="6"/>
  <c r="BD82" i="6"/>
  <c r="AY82" i="6"/>
  <c r="AT82" i="6"/>
  <c r="AO82" i="6"/>
  <c r="AJ82" i="6"/>
  <c r="AE82" i="6"/>
  <c r="Z82" i="6"/>
  <c r="U82" i="6"/>
  <c r="P82" i="6"/>
  <c r="K82" i="6"/>
  <c r="BR81" i="6"/>
  <c r="BQ81" i="6"/>
  <c r="BP81" i="6"/>
  <c r="BO81" i="6"/>
  <c r="BN81" i="6"/>
  <c r="BI81" i="6"/>
  <c r="BD81" i="6"/>
  <c r="AY81" i="6"/>
  <c r="AT81" i="6"/>
  <c r="AO81" i="6"/>
  <c r="AJ81" i="6"/>
  <c r="AE81" i="6"/>
  <c r="Z81" i="6"/>
  <c r="U81" i="6"/>
  <c r="P81" i="6"/>
  <c r="K81" i="6"/>
  <c r="BR80" i="6"/>
  <c r="BQ80" i="6"/>
  <c r="BP80" i="6"/>
  <c r="BO80" i="6"/>
  <c r="BN80" i="6"/>
  <c r="BI80" i="6"/>
  <c r="BD80" i="6"/>
  <c r="AY80" i="6"/>
  <c r="AT80" i="6"/>
  <c r="AO80" i="6"/>
  <c r="AJ80" i="6"/>
  <c r="AE80" i="6"/>
  <c r="Z80" i="6"/>
  <c r="U80" i="6"/>
  <c r="P80" i="6"/>
  <c r="K80" i="6"/>
  <c r="BR79" i="6"/>
  <c r="BQ79" i="6"/>
  <c r="BP79" i="6"/>
  <c r="BO79" i="6"/>
  <c r="BN79" i="6"/>
  <c r="BI79" i="6"/>
  <c r="BD79" i="6"/>
  <c r="AY79" i="6"/>
  <c r="AT79" i="6"/>
  <c r="AO79" i="6"/>
  <c r="AJ79" i="6"/>
  <c r="AE79" i="6"/>
  <c r="Z79" i="6"/>
  <c r="U79" i="6"/>
  <c r="P79" i="6"/>
  <c r="K79" i="6"/>
  <c r="BR78" i="6"/>
  <c r="BQ78" i="6"/>
  <c r="BP78" i="6"/>
  <c r="BO78" i="6"/>
  <c r="BN78" i="6"/>
  <c r="BI78" i="6"/>
  <c r="BD78" i="6"/>
  <c r="AY78" i="6"/>
  <c r="AT78" i="6"/>
  <c r="AO78" i="6"/>
  <c r="AJ78" i="6"/>
  <c r="AE78" i="6"/>
  <c r="Z78" i="6"/>
  <c r="U78" i="6"/>
  <c r="P78" i="6"/>
  <c r="K78" i="6"/>
  <c r="BR77" i="6"/>
  <c r="BQ77" i="6"/>
  <c r="BP77" i="6"/>
  <c r="BO77" i="6"/>
  <c r="BN77" i="6"/>
  <c r="BI77" i="6"/>
  <c r="BD77" i="6"/>
  <c r="AY77" i="6"/>
  <c r="AT77" i="6"/>
  <c r="AO77" i="6"/>
  <c r="AJ77" i="6"/>
  <c r="AE77" i="6"/>
  <c r="Z77" i="6"/>
  <c r="U77" i="6"/>
  <c r="P77" i="6"/>
  <c r="K77" i="6"/>
  <c r="BR76" i="6"/>
  <c r="BQ76" i="6"/>
  <c r="BP76" i="6"/>
  <c r="BO76" i="6"/>
  <c r="BN76" i="6"/>
  <c r="BI76" i="6"/>
  <c r="BD76" i="6"/>
  <c r="AY76" i="6"/>
  <c r="AT76" i="6"/>
  <c r="AO76" i="6"/>
  <c r="AJ76" i="6"/>
  <c r="AE76" i="6"/>
  <c r="Z76" i="6"/>
  <c r="U76" i="6"/>
  <c r="P76" i="6"/>
  <c r="K76" i="6"/>
  <c r="BR75" i="6"/>
  <c r="BQ75" i="6"/>
  <c r="BP75" i="6"/>
  <c r="BO75" i="6"/>
  <c r="BN75" i="6"/>
  <c r="BI75" i="6"/>
  <c r="BD75" i="6"/>
  <c r="AY75" i="6"/>
  <c r="AT75" i="6"/>
  <c r="AO75" i="6"/>
  <c r="AJ75" i="6"/>
  <c r="AE75" i="6"/>
  <c r="Z75" i="6"/>
  <c r="U75" i="6"/>
  <c r="P75" i="6"/>
  <c r="K75" i="6"/>
  <c r="BR74" i="6"/>
  <c r="BQ74" i="6"/>
  <c r="BP74" i="6"/>
  <c r="BO74" i="6"/>
  <c r="BN74" i="6"/>
  <c r="BI74" i="6"/>
  <c r="BD74" i="6"/>
  <c r="AY74" i="6"/>
  <c r="AT74" i="6"/>
  <c r="AO74" i="6"/>
  <c r="AJ74" i="6"/>
  <c r="AE74" i="6"/>
  <c r="Z74" i="6"/>
  <c r="U74" i="6"/>
  <c r="P74" i="6"/>
  <c r="K74" i="6"/>
  <c r="BM73" i="6"/>
  <c r="BL73" i="6"/>
  <c r="BK73" i="6"/>
  <c r="BJ73" i="6"/>
  <c r="BH73" i="6"/>
  <c r="BG73" i="6"/>
  <c r="BF73" i="6"/>
  <c r="BE73" i="6"/>
  <c r="BC73" i="6"/>
  <c r="BB73" i="6"/>
  <c r="BA73" i="6"/>
  <c r="AZ73" i="6"/>
  <c r="AX73" i="6"/>
  <c r="AW73" i="6"/>
  <c r="AV73" i="6"/>
  <c r="AU73" i="6"/>
  <c r="AS73" i="6"/>
  <c r="AR73" i="6"/>
  <c r="AQ73" i="6"/>
  <c r="AP73" i="6"/>
  <c r="AN73" i="6"/>
  <c r="AM73" i="6"/>
  <c r="AL73" i="6"/>
  <c r="AK73" i="6"/>
  <c r="AI73" i="6"/>
  <c r="AH73" i="6"/>
  <c r="AG73" i="6"/>
  <c r="AF73" i="6"/>
  <c r="AD73" i="6"/>
  <c r="AC73" i="6"/>
  <c r="AB73" i="6"/>
  <c r="AA73" i="6"/>
  <c r="Y73" i="6"/>
  <c r="X73" i="6"/>
  <c r="W73" i="6"/>
  <c r="V73" i="6"/>
  <c r="T73" i="6"/>
  <c r="S73" i="6"/>
  <c r="R73" i="6"/>
  <c r="Q73" i="6"/>
  <c r="O73" i="6"/>
  <c r="N73" i="6"/>
  <c r="M73" i="6"/>
  <c r="L73" i="6"/>
  <c r="J73" i="6"/>
  <c r="I73" i="6"/>
  <c r="H73" i="6"/>
  <c r="G73" i="6"/>
  <c r="BR72" i="6"/>
  <c r="BQ72" i="6"/>
  <c r="BP72" i="6"/>
  <c r="BO72" i="6"/>
  <c r="BN72" i="6"/>
  <c r="BI72" i="6"/>
  <c r="BD72" i="6"/>
  <c r="AY72" i="6"/>
  <c r="AT72" i="6"/>
  <c r="AO72" i="6"/>
  <c r="AJ72" i="6"/>
  <c r="AE72" i="6"/>
  <c r="Z72" i="6"/>
  <c r="U72" i="6"/>
  <c r="P72" i="6"/>
  <c r="K72" i="6"/>
  <c r="BR71" i="6"/>
  <c r="BQ71" i="6"/>
  <c r="BP71" i="6"/>
  <c r="BO71" i="6"/>
  <c r="BN71" i="6"/>
  <c r="BI71" i="6"/>
  <c r="BD71" i="6"/>
  <c r="AY71" i="6"/>
  <c r="AT71" i="6"/>
  <c r="AO71" i="6"/>
  <c r="AJ71" i="6"/>
  <c r="AE71" i="6"/>
  <c r="Z71" i="6"/>
  <c r="U71" i="6"/>
  <c r="P71" i="6"/>
  <c r="K71" i="6"/>
  <c r="BR70" i="6"/>
  <c r="BQ70" i="6"/>
  <c r="BP70" i="6"/>
  <c r="BO70" i="6"/>
  <c r="BN70" i="6"/>
  <c r="BI70" i="6"/>
  <c r="BD70" i="6"/>
  <c r="AY70" i="6"/>
  <c r="AT70" i="6"/>
  <c r="AO70" i="6"/>
  <c r="AJ70" i="6"/>
  <c r="AE70" i="6"/>
  <c r="Z70" i="6"/>
  <c r="U70" i="6"/>
  <c r="P70" i="6"/>
  <c r="K70" i="6"/>
  <c r="BR69" i="6"/>
  <c r="BQ69" i="6"/>
  <c r="BP69" i="6"/>
  <c r="BO69" i="6"/>
  <c r="BN69" i="6"/>
  <c r="BI69" i="6"/>
  <c r="BD69" i="6"/>
  <c r="AY69" i="6"/>
  <c r="AT69" i="6"/>
  <c r="AO69" i="6"/>
  <c r="AJ69" i="6"/>
  <c r="AE69" i="6"/>
  <c r="Z69" i="6"/>
  <c r="U69" i="6"/>
  <c r="P69" i="6"/>
  <c r="K69" i="6"/>
  <c r="BR68" i="6"/>
  <c r="BQ68" i="6"/>
  <c r="BP68" i="6"/>
  <c r="BO68" i="6"/>
  <c r="BN68" i="6"/>
  <c r="BI68" i="6"/>
  <c r="BD68" i="6"/>
  <c r="AY68" i="6"/>
  <c r="AT68" i="6"/>
  <c r="AO68" i="6"/>
  <c r="AJ68" i="6"/>
  <c r="AE68" i="6"/>
  <c r="Z68" i="6"/>
  <c r="U68" i="6"/>
  <c r="P68" i="6"/>
  <c r="K68" i="6"/>
  <c r="BR67" i="6"/>
  <c r="BQ67" i="6"/>
  <c r="BP67" i="6"/>
  <c r="BO67" i="6"/>
  <c r="BN67" i="6"/>
  <c r="BI67" i="6"/>
  <c r="BD67" i="6"/>
  <c r="AY67" i="6"/>
  <c r="AT67" i="6"/>
  <c r="AO67" i="6"/>
  <c r="AJ67" i="6"/>
  <c r="AE67" i="6"/>
  <c r="Z67" i="6"/>
  <c r="U67" i="6"/>
  <c r="P67" i="6"/>
  <c r="K67" i="6"/>
  <c r="BR66" i="6"/>
  <c r="BQ66" i="6"/>
  <c r="BP66" i="6"/>
  <c r="BO66" i="6"/>
  <c r="BN66" i="6"/>
  <c r="BI66" i="6"/>
  <c r="BD66" i="6"/>
  <c r="AY66" i="6"/>
  <c r="AT66" i="6"/>
  <c r="AO66" i="6"/>
  <c r="AJ66" i="6"/>
  <c r="AE66" i="6"/>
  <c r="Z66" i="6"/>
  <c r="U66" i="6"/>
  <c r="P66" i="6"/>
  <c r="K66" i="6"/>
  <c r="BR65" i="6"/>
  <c r="BQ65" i="6"/>
  <c r="BP65" i="6"/>
  <c r="BO65" i="6"/>
  <c r="BN65" i="6"/>
  <c r="BI65" i="6"/>
  <c r="BD65" i="6"/>
  <c r="AY65" i="6"/>
  <c r="AT65" i="6"/>
  <c r="AO65" i="6"/>
  <c r="AJ65" i="6"/>
  <c r="AE65" i="6"/>
  <c r="Z65" i="6"/>
  <c r="U65" i="6"/>
  <c r="P65" i="6"/>
  <c r="K65" i="6"/>
  <c r="BR64" i="6"/>
  <c r="BQ64" i="6"/>
  <c r="BP64" i="6"/>
  <c r="BO64" i="6"/>
  <c r="BN64" i="6"/>
  <c r="BI64" i="6"/>
  <c r="BD64" i="6"/>
  <c r="AY64" i="6"/>
  <c r="AT64" i="6"/>
  <c r="AO64" i="6"/>
  <c r="AJ64" i="6"/>
  <c r="AE64" i="6"/>
  <c r="Z64" i="6"/>
  <c r="U64" i="6"/>
  <c r="P64" i="6"/>
  <c r="K64" i="6"/>
  <c r="BR63" i="6"/>
  <c r="BQ63" i="6"/>
  <c r="BP63" i="6"/>
  <c r="BO63" i="6"/>
  <c r="BN63" i="6"/>
  <c r="BI63" i="6"/>
  <c r="BD63" i="6"/>
  <c r="AY63" i="6"/>
  <c r="AT63" i="6"/>
  <c r="AO63" i="6"/>
  <c r="AJ63" i="6"/>
  <c r="AE63" i="6"/>
  <c r="Z63" i="6"/>
  <c r="U63" i="6"/>
  <c r="P63" i="6"/>
  <c r="K63" i="6"/>
  <c r="BR62" i="6"/>
  <c r="BQ62" i="6"/>
  <c r="BP62" i="6"/>
  <c r="BO62" i="6"/>
  <c r="BN62" i="6"/>
  <c r="BI62" i="6"/>
  <c r="BD62" i="6"/>
  <c r="AY62" i="6"/>
  <c r="AT62" i="6"/>
  <c r="AO62" i="6"/>
  <c r="AJ62" i="6"/>
  <c r="AE62" i="6"/>
  <c r="Z62" i="6"/>
  <c r="U62" i="6"/>
  <c r="P62" i="6"/>
  <c r="K62" i="6"/>
  <c r="BR61" i="6"/>
  <c r="BQ61" i="6"/>
  <c r="BP61" i="6"/>
  <c r="BO61" i="6"/>
  <c r="BN61" i="6"/>
  <c r="BI61" i="6"/>
  <c r="BD61" i="6"/>
  <c r="AY61" i="6"/>
  <c r="AT61" i="6"/>
  <c r="AO61" i="6"/>
  <c r="AJ61" i="6"/>
  <c r="AE61" i="6"/>
  <c r="Z61" i="6"/>
  <c r="U61" i="6"/>
  <c r="P61" i="6"/>
  <c r="K61" i="6"/>
  <c r="BR60" i="6"/>
  <c r="BQ60" i="6"/>
  <c r="BP60" i="6"/>
  <c r="BO60" i="6"/>
  <c r="BN60" i="6"/>
  <c r="BI60" i="6"/>
  <c r="BD60" i="6"/>
  <c r="AY60" i="6"/>
  <c r="AT60" i="6"/>
  <c r="AO60" i="6"/>
  <c r="AJ60" i="6"/>
  <c r="AE60" i="6"/>
  <c r="Z60" i="6"/>
  <c r="U60" i="6"/>
  <c r="P60" i="6"/>
  <c r="K60" i="6"/>
  <c r="BR59" i="6"/>
  <c r="BQ59" i="6"/>
  <c r="BP59" i="6"/>
  <c r="BO59" i="6"/>
  <c r="BN59" i="6"/>
  <c r="BI59" i="6"/>
  <c r="BD59" i="6"/>
  <c r="AY59" i="6"/>
  <c r="AT59" i="6"/>
  <c r="AO59" i="6"/>
  <c r="AJ59" i="6"/>
  <c r="AE59" i="6"/>
  <c r="Z59" i="6"/>
  <c r="U59" i="6"/>
  <c r="P59" i="6"/>
  <c r="K59" i="6"/>
  <c r="BR58" i="6"/>
  <c r="BQ58" i="6"/>
  <c r="BP58" i="6"/>
  <c r="BO58" i="6"/>
  <c r="BN58" i="6"/>
  <c r="BI58" i="6"/>
  <c r="BD58" i="6"/>
  <c r="AY58" i="6"/>
  <c r="AT58" i="6"/>
  <c r="AO58" i="6"/>
  <c r="AJ58" i="6"/>
  <c r="AE58" i="6"/>
  <c r="Z58" i="6"/>
  <c r="U58" i="6"/>
  <c r="P58" i="6"/>
  <c r="K58" i="6"/>
  <c r="BR57" i="6"/>
  <c r="BQ57" i="6"/>
  <c r="BP57" i="6"/>
  <c r="BO57" i="6"/>
  <c r="BN57" i="6"/>
  <c r="BI57" i="6"/>
  <c r="BD57" i="6"/>
  <c r="AY57" i="6"/>
  <c r="AT57" i="6"/>
  <c r="AO57" i="6"/>
  <c r="AJ57" i="6"/>
  <c r="AE57" i="6"/>
  <c r="Z57" i="6"/>
  <c r="U57" i="6"/>
  <c r="P57" i="6"/>
  <c r="K57" i="6"/>
  <c r="BR56" i="6"/>
  <c r="BQ56" i="6"/>
  <c r="BP56" i="6"/>
  <c r="BO56" i="6"/>
  <c r="BN56" i="6"/>
  <c r="BI56" i="6"/>
  <c r="BD56" i="6"/>
  <c r="AY56" i="6"/>
  <c r="AT56" i="6"/>
  <c r="AO56" i="6"/>
  <c r="AJ56" i="6"/>
  <c r="AE56" i="6"/>
  <c r="Z56" i="6"/>
  <c r="U56" i="6"/>
  <c r="P56" i="6"/>
  <c r="K56" i="6"/>
  <c r="BR55" i="6"/>
  <c r="BQ55" i="6"/>
  <c r="BP55" i="6"/>
  <c r="BO55" i="6"/>
  <c r="BN55" i="6"/>
  <c r="BI55" i="6"/>
  <c r="BD55" i="6"/>
  <c r="AY55" i="6"/>
  <c r="AT55" i="6"/>
  <c r="AO55" i="6"/>
  <c r="AJ55" i="6"/>
  <c r="AE55" i="6"/>
  <c r="Z55" i="6"/>
  <c r="U55" i="6"/>
  <c r="P55" i="6"/>
  <c r="K55" i="6"/>
  <c r="BM54" i="6"/>
  <c r="BL54" i="6"/>
  <c r="BK54" i="6"/>
  <c r="BJ54" i="6"/>
  <c r="BH54" i="6"/>
  <c r="BG54" i="6"/>
  <c r="BF54" i="6"/>
  <c r="BE54" i="6"/>
  <c r="BC54" i="6"/>
  <c r="BB54" i="6"/>
  <c r="BA54" i="6"/>
  <c r="AZ54" i="6"/>
  <c r="AX54" i="6"/>
  <c r="AW54" i="6"/>
  <c r="AV54" i="6"/>
  <c r="AU54" i="6"/>
  <c r="AS54" i="6"/>
  <c r="AR54" i="6"/>
  <c r="AQ54" i="6"/>
  <c r="AP54" i="6"/>
  <c r="AN54" i="6"/>
  <c r="AM54" i="6"/>
  <c r="AL54" i="6"/>
  <c r="AK54" i="6"/>
  <c r="AI54" i="6"/>
  <c r="AH54" i="6"/>
  <c r="AG54" i="6"/>
  <c r="AD54" i="6"/>
  <c r="AC54" i="6"/>
  <c r="AB54" i="6"/>
  <c r="AA54" i="6"/>
  <c r="Y54" i="6"/>
  <c r="X54" i="6"/>
  <c r="W54" i="6"/>
  <c r="V54" i="6"/>
  <c r="T54" i="6"/>
  <c r="S54" i="6"/>
  <c r="R54" i="6"/>
  <c r="Q54" i="6"/>
  <c r="O54" i="6"/>
  <c r="N54" i="6"/>
  <c r="M54" i="6"/>
  <c r="L54" i="6"/>
  <c r="J54" i="6"/>
  <c r="I54" i="6"/>
  <c r="H54" i="6"/>
  <c r="G54" i="6"/>
  <c r="BR53" i="6"/>
  <c r="BQ53" i="6"/>
  <c r="BP53" i="6"/>
  <c r="BN53" i="6"/>
  <c r="BI53" i="6"/>
  <c r="BD53" i="6"/>
  <c r="AY53" i="6"/>
  <c r="AT53" i="6"/>
  <c r="AO53" i="6"/>
  <c r="AF53" i="6"/>
  <c r="BO53" i="6" s="1"/>
  <c r="AE53" i="6"/>
  <c r="Z53" i="6"/>
  <c r="U53" i="6"/>
  <c r="P53" i="6"/>
  <c r="K53" i="6"/>
  <c r="BR52" i="6"/>
  <c r="BQ52" i="6"/>
  <c r="BP52" i="6"/>
  <c r="BN52" i="6"/>
  <c r="BI52" i="6"/>
  <c r="BD52" i="6"/>
  <c r="AY52" i="6"/>
  <c r="AT52" i="6"/>
  <c r="AO52" i="6"/>
  <c r="AF52" i="6"/>
  <c r="AJ52" i="6" s="1"/>
  <c r="AE52" i="6"/>
  <c r="Z52" i="6"/>
  <c r="U52" i="6"/>
  <c r="P52" i="6"/>
  <c r="K52" i="6"/>
  <c r="BR51" i="6"/>
  <c r="BQ51" i="6"/>
  <c r="BP51" i="6"/>
  <c r="BN51" i="6"/>
  <c r="BI51" i="6"/>
  <c r="BD51" i="6"/>
  <c r="AY51" i="6"/>
  <c r="AT51" i="6"/>
  <c r="AO51" i="6"/>
  <c r="AF51" i="6"/>
  <c r="AE51" i="6"/>
  <c r="Z51" i="6"/>
  <c r="U51" i="6"/>
  <c r="P51" i="6"/>
  <c r="K51" i="6"/>
  <c r="BR50" i="6"/>
  <c r="BQ50" i="6"/>
  <c r="BP50" i="6"/>
  <c r="BO50" i="6"/>
  <c r="BN50" i="6"/>
  <c r="BI50" i="6"/>
  <c r="BD50" i="6"/>
  <c r="AY50" i="6"/>
  <c r="AT50" i="6"/>
  <c r="AO50" i="6"/>
  <c r="AJ50" i="6"/>
  <c r="AE50" i="6"/>
  <c r="Z50" i="6"/>
  <c r="U50" i="6"/>
  <c r="P50" i="6"/>
  <c r="K50" i="6"/>
  <c r="BR49" i="6"/>
  <c r="BQ49" i="6"/>
  <c r="BP49" i="6"/>
  <c r="BN49" i="6"/>
  <c r="BI49" i="6"/>
  <c r="BD49" i="6"/>
  <c r="AY49" i="6"/>
  <c r="AT49" i="6"/>
  <c r="AO49" i="6"/>
  <c r="AF49" i="6"/>
  <c r="AE49" i="6"/>
  <c r="Z49" i="6"/>
  <c r="U49" i="6"/>
  <c r="P49" i="6"/>
  <c r="K49" i="6"/>
  <c r="BR48" i="6"/>
  <c r="BQ48" i="6"/>
  <c r="BP48" i="6"/>
  <c r="BO48" i="6"/>
  <c r="BN48" i="6"/>
  <c r="BI48" i="6"/>
  <c r="BD48" i="6"/>
  <c r="AY48" i="6"/>
  <c r="AT48" i="6"/>
  <c r="AO48" i="6"/>
  <c r="AJ48" i="6"/>
  <c r="AE48" i="6"/>
  <c r="Z48" i="6"/>
  <c r="U48" i="6"/>
  <c r="P48" i="6"/>
  <c r="K48" i="6"/>
  <c r="BR47" i="6"/>
  <c r="BQ47" i="6"/>
  <c r="BP47" i="6"/>
  <c r="BN47" i="6"/>
  <c r="BI47" i="6"/>
  <c r="BD47" i="6"/>
  <c r="AY47" i="6"/>
  <c r="AT47" i="6"/>
  <c r="AO47" i="6"/>
  <c r="AF47" i="6"/>
  <c r="AE47" i="6"/>
  <c r="Z47" i="6"/>
  <c r="U47" i="6"/>
  <c r="P47" i="6"/>
  <c r="K47" i="6"/>
  <c r="BR46" i="6"/>
  <c r="BQ46" i="6"/>
  <c r="BP46" i="6"/>
  <c r="BN46" i="6"/>
  <c r="BI46" i="6"/>
  <c r="BD46" i="6"/>
  <c r="AY46" i="6"/>
  <c r="AT46" i="6"/>
  <c r="AO46" i="6"/>
  <c r="AF46" i="6"/>
  <c r="AJ46" i="6" s="1"/>
  <c r="AE46" i="6"/>
  <c r="Z46" i="6"/>
  <c r="U46" i="6"/>
  <c r="P46" i="6"/>
  <c r="K46" i="6"/>
  <c r="BR45" i="6"/>
  <c r="BQ45" i="6"/>
  <c r="BP45" i="6"/>
  <c r="BN45" i="6"/>
  <c r="BI45" i="6"/>
  <c r="BD45" i="6"/>
  <c r="AY45" i="6"/>
  <c r="AT45" i="6"/>
  <c r="AO45" i="6"/>
  <c r="AF45" i="6"/>
  <c r="BO45" i="6" s="1"/>
  <c r="AE45" i="6"/>
  <c r="Z45" i="6"/>
  <c r="U45" i="6"/>
  <c r="P45" i="6"/>
  <c r="K45" i="6"/>
  <c r="BR44" i="6"/>
  <c r="BQ44" i="6"/>
  <c r="BP44" i="6"/>
  <c r="BN44" i="6"/>
  <c r="BI44" i="6"/>
  <c r="BD44" i="6"/>
  <c r="AY44" i="6"/>
  <c r="AT44" i="6"/>
  <c r="AO44" i="6"/>
  <c r="AF44" i="6"/>
  <c r="AE44" i="6"/>
  <c r="Z44" i="6"/>
  <c r="U44" i="6"/>
  <c r="P44" i="6"/>
  <c r="K44" i="6"/>
  <c r="BR43" i="6"/>
  <c r="BQ43" i="6"/>
  <c r="BP43" i="6"/>
  <c r="BN43" i="6"/>
  <c r="BI43" i="6"/>
  <c r="BD43" i="6"/>
  <c r="AY43" i="6"/>
  <c r="AT43" i="6"/>
  <c r="AO43" i="6"/>
  <c r="AF43" i="6"/>
  <c r="AE43" i="6"/>
  <c r="Z43" i="6"/>
  <c r="U43" i="6"/>
  <c r="P43" i="6"/>
  <c r="K43" i="6"/>
  <c r="BR42" i="6"/>
  <c r="BQ42" i="6"/>
  <c r="BP42" i="6"/>
  <c r="BN42" i="6"/>
  <c r="BI42" i="6"/>
  <c r="BD42" i="6"/>
  <c r="AY42" i="6"/>
  <c r="AT42" i="6"/>
  <c r="AO42" i="6"/>
  <c r="AF42" i="6"/>
  <c r="AJ42" i="6" s="1"/>
  <c r="AE42" i="6"/>
  <c r="Z42" i="6"/>
  <c r="U42" i="6"/>
  <c r="P42" i="6"/>
  <c r="K42" i="6"/>
  <c r="BR41" i="6"/>
  <c r="BQ41" i="6"/>
  <c r="BP41" i="6"/>
  <c r="BN41" i="6"/>
  <c r="BI41" i="6"/>
  <c r="BD41" i="6"/>
  <c r="AY41" i="6"/>
  <c r="AT41" i="6"/>
  <c r="AO41" i="6"/>
  <c r="AF41" i="6"/>
  <c r="BO41" i="6" s="1"/>
  <c r="AE41" i="6"/>
  <c r="Z41" i="6"/>
  <c r="U41" i="6"/>
  <c r="P41" i="6"/>
  <c r="K41" i="6"/>
  <c r="BR40" i="6"/>
  <c r="BQ40" i="6"/>
  <c r="BP40" i="6"/>
  <c r="BO40" i="6"/>
  <c r="BN40" i="6"/>
  <c r="BI40" i="6"/>
  <c r="BD40" i="6"/>
  <c r="AY40" i="6"/>
  <c r="AT40" i="6"/>
  <c r="AO40" i="6"/>
  <c r="AJ40" i="6"/>
  <c r="AE40" i="6"/>
  <c r="Z40" i="6"/>
  <c r="U40" i="6"/>
  <c r="P40" i="6"/>
  <c r="K40" i="6"/>
  <c r="BR39" i="6"/>
  <c r="BQ39" i="6"/>
  <c r="BP39" i="6"/>
  <c r="BN39" i="6"/>
  <c r="BI39" i="6"/>
  <c r="BD39" i="6"/>
  <c r="AY39" i="6"/>
  <c r="AT39" i="6"/>
  <c r="AO39" i="6"/>
  <c r="AF39" i="6"/>
  <c r="BO39" i="6" s="1"/>
  <c r="AE39" i="6"/>
  <c r="Z39" i="6"/>
  <c r="U39" i="6"/>
  <c r="P39" i="6"/>
  <c r="K39" i="6"/>
  <c r="BR38" i="6"/>
  <c r="BQ38" i="6"/>
  <c r="BP38" i="6"/>
  <c r="BN38" i="6"/>
  <c r="BI38" i="6"/>
  <c r="BD38" i="6"/>
  <c r="AY38" i="6"/>
  <c r="AT38" i="6"/>
  <c r="AO38" i="6"/>
  <c r="AF38" i="6"/>
  <c r="AE38" i="6"/>
  <c r="Z38" i="6"/>
  <c r="U38" i="6"/>
  <c r="P38" i="6"/>
  <c r="K38" i="6"/>
  <c r="BR37" i="6"/>
  <c r="BQ37" i="6"/>
  <c r="BP37" i="6"/>
  <c r="BO37" i="6"/>
  <c r="BN37" i="6"/>
  <c r="BI37" i="6"/>
  <c r="BD37" i="6"/>
  <c r="AY37" i="6"/>
  <c r="AT37" i="6"/>
  <c r="AO37" i="6"/>
  <c r="AJ37" i="6"/>
  <c r="AE37" i="6"/>
  <c r="Z37" i="6"/>
  <c r="U37" i="6"/>
  <c r="P37" i="6"/>
  <c r="K37" i="6"/>
  <c r="BR36" i="6"/>
  <c r="BQ36" i="6"/>
  <c r="BP36" i="6"/>
  <c r="BO36" i="6"/>
  <c r="BN36" i="6"/>
  <c r="BI36" i="6"/>
  <c r="BD36" i="6"/>
  <c r="AY36" i="6"/>
  <c r="AT36" i="6"/>
  <c r="AO36" i="6"/>
  <c r="AJ36" i="6"/>
  <c r="AE36" i="6"/>
  <c r="Z36" i="6"/>
  <c r="U36" i="6"/>
  <c r="P36" i="6"/>
  <c r="K36" i="6"/>
  <c r="BR35" i="6"/>
  <c r="BQ35" i="6"/>
  <c r="BP35" i="6"/>
  <c r="BO35" i="6"/>
  <c r="BN35" i="6"/>
  <c r="BI35" i="6"/>
  <c r="BD35" i="6"/>
  <c r="AY35" i="6"/>
  <c r="AT35" i="6"/>
  <c r="AO35" i="6"/>
  <c r="AJ35" i="6"/>
  <c r="AE35" i="6"/>
  <c r="Z35" i="6"/>
  <c r="U35" i="6"/>
  <c r="P35" i="6"/>
  <c r="K35" i="6"/>
  <c r="BR34" i="6"/>
  <c r="BQ34" i="6"/>
  <c r="BP34" i="6"/>
  <c r="BO34" i="6"/>
  <c r="BN34" i="6"/>
  <c r="BI34" i="6"/>
  <c r="BD34" i="6"/>
  <c r="AY34" i="6"/>
  <c r="AT34" i="6"/>
  <c r="AO34" i="6"/>
  <c r="AJ34" i="6"/>
  <c r="AE34" i="6"/>
  <c r="Z34" i="6"/>
  <c r="U34" i="6"/>
  <c r="P34" i="6"/>
  <c r="K34" i="6"/>
  <c r="BR33" i="6"/>
  <c r="BQ33" i="6"/>
  <c r="BP33" i="6"/>
  <c r="BO33" i="6"/>
  <c r="BN33" i="6"/>
  <c r="BI33" i="6"/>
  <c r="BD33" i="6"/>
  <c r="AY33" i="6"/>
  <c r="AT33" i="6"/>
  <c r="AO33" i="6"/>
  <c r="AJ33" i="6"/>
  <c r="AE33" i="6"/>
  <c r="Z33" i="6"/>
  <c r="U33" i="6"/>
  <c r="P33" i="6"/>
  <c r="K33" i="6"/>
  <c r="BR32" i="6"/>
  <c r="BQ32" i="6"/>
  <c r="BP32" i="6"/>
  <c r="BO32" i="6"/>
  <c r="BN32" i="6"/>
  <c r="BI32" i="6"/>
  <c r="BD32" i="6"/>
  <c r="AY32" i="6"/>
  <c r="AT32" i="6"/>
  <c r="AO32" i="6"/>
  <c r="AJ32" i="6"/>
  <c r="AE32" i="6"/>
  <c r="Z32" i="6"/>
  <c r="U32" i="6"/>
  <c r="P32" i="6"/>
  <c r="K32" i="6"/>
  <c r="BM31" i="6"/>
  <c r="BL31" i="6"/>
  <c r="BK31" i="6"/>
  <c r="BJ31" i="6"/>
  <c r="BH31" i="6"/>
  <c r="BG31" i="6"/>
  <c r="BF31" i="6"/>
  <c r="BE31" i="6"/>
  <c r="BC31" i="6"/>
  <c r="BB31" i="6"/>
  <c r="BA31" i="6"/>
  <c r="AZ31" i="6"/>
  <c r="AX31" i="6"/>
  <c r="AW31" i="6"/>
  <c r="AV31" i="6"/>
  <c r="AU31" i="6"/>
  <c r="AS31" i="6"/>
  <c r="AR31" i="6"/>
  <c r="AQ31" i="6"/>
  <c r="AP31" i="6"/>
  <c r="AN31" i="6"/>
  <c r="AM31" i="6"/>
  <c r="AL31" i="6"/>
  <c r="AK31" i="6"/>
  <c r="AI31" i="6"/>
  <c r="AH31" i="6"/>
  <c r="AG31" i="6"/>
  <c r="AF31" i="6"/>
  <c r="AD31" i="6"/>
  <c r="AC31" i="6"/>
  <c r="AB31" i="6"/>
  <c r="AA31" i="6"/>
  <c r="Y31" i="6"/>
  <c r="X31" i="6"/>
  <c r="W31" i="6"/>
  <c r="V31" i="6"/>
  <c r="T31" i="6"/>
  <c r="S31" i="6"/>
  <c r="R31" i="6"/>
  <c r="Q31" i="6"/>
  <c r="O31" i="6"/>
  <c r="N31" i="6"/>
  <c r="M31" i="6"/>
  <c r="L31" i="6"/>
  <c r="J31" i="6"/>
  <c r="I31" i="6"/>
  <c r="H31" i="6"/>
  <c r="G31" i="6"/>
  <c r="BR30" i="6"/>
  <c r="BQ30" i="6"/>
  <c r="BP30" i="6"/>
  <c r="BO30" i="6"/>
  <c r="BN30" i="6"/>
  <c r="BI30" i="6"/>
  <c r="BD30" i="6"/>
  <c r="AY30" i="6"/>
  <c r="AT30" i="6"/>
  <c r="AO30" i="6"/>
  <c r="AJ30" i="6"/>
  <c r="AE30" i="6"/>
  <c r="Z30" i="6"/>
  <c r="U30" i="6"/>
  <c r="P30" i="6"/>
  <c r="K30" i="6"/>
  <c r="BR29" i="6"/>
  <c r="BQ29" i="6"/>
  <c r="BP29" i="6"/>
  <c r="BO29" i="6"/>
  <c r="BN29" i="6"/>
  <c r="BI29" i="6"/>
  <c r="BD29" i="6"/>
  <c r="AY29" i="6"/>
  <c r="AT29" i="6"/>
  <c r="AO29" i="6"/>
  <c r="AJ29" i="6"/>
  <c r="AE29" i="6"/>
  <c r="Z29" i="6"/>
  <c r="U29" i="6"/>
  <c r="P29" i="6"/>
  <c r="K29" i="6"/>
  <c r="BR28" i="6"/>
  <c r="BQ28" i="6"/>
  <c r="BP28" i="6"/>
  <c r="BO28" i="6"/>
  <c r="BN28" i="6"/>
  <c r="BI28" i="6"/>
  <c r="BD28" i="6"/>
  <c r="AY28" i="6"/>
  <c r="AT28" i="6"/>
  <c r="AO28" i="6"/>
  <c r="AJ28" i="6"/>
  <c r="AE28" i="6"/>
  <c r="Z28" i="6"/>
  <c r="U28" i="6"/>
  <c r="P28" i="6"/>
  <c r="K28" i="6"/>
  <c r="BR27" i="6"/>
  <c r="BQ27" i="6"/>
  <c r="BP27" i="6"/>
  <c r="BO27" i="6"/>
  <c r="BN27" i="6"/>
  <c r="BI27" i="6"/>
  <c r="BD27" i="6"/>
  <c r="AY27" i="6"/>
  <c r="AT27" i="6"/>
  <c r="AO27" i="6"/>
  <c r="AJ27" i="6"/>
  <c r="AE27" i="6"/>
  <c r="Z27" i="6"/>
  <c r="U27" i="6"/>
  <c r="P27" i="6"/>
  <c r="K27" i="6"/>
  <c r="BR26" i="6"/>
  <c r="BQ26" i="6"/>
  <c r="BP26" i="6"/>
  <c r="BO26" i="6"/>
  <c r="BN26" i="6"/>
  <c r="BI26" i="6"/>
  <c r="BD26" i="6"/>
  <c r="AY26" i="6"/>
  <c r="AT26" i="6"/>
  <c r="AO26" i="6"/>
  <c r="AJ26" i="6"/>
  <c r="AE26" i="6"/>
  <c r="Z26" i="6"/>
  <c r="U26" i="6"/>
  <c r="P26" i="6"/>
  <c r="K26" i="6"/>
  <c r="BR25" i="6"/>
  <c r="BQ25" i="6"/>
  <c r="BP25" i="6"/>
  <c r="BO25" i="6"/>
  <c r="BN25" i="6"/>
  <c r="BI25" i="6"/>
  <c r="BD25" i="6"/>
  <c r="AY25" i="6"/>
  <c r="AT25" i="6"/>
  <c r="AO25" i="6"/>
  <c r="AJ25" i="6"/>
  <c r="AE25" i="6"/>
  <c r="Z25" i="6"/>
  <c r="U25" i="6"/>
  <c r="P25" i="6"/>
  <c r="K25" i="6"/>
  <c r="BR24" i="6"/>
  <c r="BQ24" i="6"/>
  <c r="BP24" i="6"/>
  <c r="BO24" i="6"/>
  <c r="BN24" i="6"/>
  <c r="BI24" i="6"/>
  <c r="BD24" i="6"/>
  <c r="AY24" i="6"/>
  <c r="AT24" i="6"/>
  <c r="AO24" i="6"/>
  <c r="AJ24" i="6"/>
  <c r="AE24" i="6"/>
  <c r="Z24" i="6"/>
  <c r="U24" i="6"/>
  <c r="P24" i="6"/>
  <c r="K24" i="6"/>
  <c r="BR23" i="6"/>
  <c r="BQ23" i="6"/>
  <c r="BP23" i="6"/>
  <c r="BO23" i="6"/>
  <c r="BN23" i="6"/>
  <c r="BI23" i="6"/>
  <c r="BD23" i="6"/>
  <c r="AY23" i="6"/>
  <c r="AT23" i="6"/>
  <c r="AO23" i="6"/>
  <c r="AJ23" i="6"/>
  <c r="AE23" i="6"/>
  <c r="Z23" i="6"/>
  <c r="U23" i="6"/>
  <c r="P23" i="6"/>
  <c r="K23" i="6"/>
  <c r="BR22" i="6"/>
  <c r="BQ22" i="6"/>
  <c r="BP22" i="6"/>
  <c r="BO22" i="6"/>
  <c r="BN22" i="6"/>
  <c r="BI22" i="6"/>
  <c r="BD22" i="6"/>
  <c r="AY22" i="6"/>
  <c r="AT22" i="6"/>
  <c r="AO22" i="6"/>
  <c r="AJ22" i="6"/>
  <c r="AE22" i="6"/>
  <c r="Z22" i="6"/>
  <c r="U22" i="6"/>
  <c r="P22" i="6"/>
  <c r="K22" i="6"/>
  <c r="BR21" i="6"/>
  <c r="BQ21" i="6"/>
  <c r="BP21" i="6"/>
  <c r="BO21" i="6"/>
  <c r="BN21" i="6"/>
  <c r="BI21" i="6"/>
  <c r="BD21" i="6"/>
  <c r="AY21" i="6"/>
  <c r="AT21" i="6"/>
  <c r="AO21" i="6"/>
  <c r="AJ21" i="6"/>
  <c r="AE21" i="6"/>
  <c r="Z21" i="6"/>
  <c r="U21" i="6"/>
  <c r="P21" i="6"/>
  <c r="K21" i="6"/>
  <c r="BR20" i="6"/>
  <c r="BQ20" i="6"/>
  <c r="BP20" i="6"/>
  <c r="BO20" i="6"/>
  <c r="BN20" i="6"/>
  <c r="BI20" i="6"/>
  <c r="BD20" i="6"/>
  <c r="AY20" i="6"/>
  <c r="AT20" i="6"/>
  <c r="AO20" i="6"/>
  <c r="AJ20" i="6"/>
  <c r="AE20" i="6"/>
  <c r="Z20" i="6"/>
  <c r="U20" i="6"/>
  <c r="P20" i="6"/>
  <c r="K20" i="6"/>
  <c r="BR19" i="6"/>
  <c r="BQ19" i="6"/>
  <c r="BP19" i="6"/>
  <c r="BO19" i="6"/>
  <c r="BN19" i="6"/>
  <c r="BI19" i="6"/>
  <c r="BD19" i="6"/>
  <c r="AY19" i="6"/>
  <c r="AT19" i="6"/>
  <c r="AO19" i="6"/>
  <c r="AJ19" i="6"/>
  <c r="AE19" i="6"/>
  <c r="Z19" i="6"/>
  <c r="U19" i="6"/>
  <c r="P19" i="6"/>
  <c r="K19" i="6"/>
  <c r="BR18" i="6"/>
  <c r="BQ18" i="6"/>
  <c r="BP18" i="6"/>
  <c r="BO18" i="6"/>
  <c r="BN18" i="6"/>
  <c r="BI18" i="6"/>
  <c r="BD18" i="6"/>
  <c r="AY18" i="6"/>
  <c r="AT18" i="6"/>
  <c r="AO18" i="6"/>
  <c r="AJ18" i="6"/>
  <c r="AE18" i="6"/>
  <c r="Z18" i="6"/>
  <c r="U18" i="6"/>
  <c r="P18" i="6"/>
  <c r="K18" i="6"/>
  <c r="BR17" i="6"/>
  <c r="BQ17" i="6"/>
  <c r="BP17" i="6"/>
  <c r="BO17" i="6"/>
  <c r="BN17" i="6"/>
  <c r="BI17" i="6"/>
  <c r="BD17" i="6"/>
  <c r="AY17" i="6"/>
  <c r="AT17" i="6"/>
  <c r="AO17" i="6"/>
  <c r="AJ17" i="6"/>
  <c r="AE17" i="6"/>
  <c r="Z17" i="6"/>
  <c r="U17" i="6"/>
  <c r="P17" i="6"/>
  <c r="K17" i="6"/>
  <c r="BR16" i="6"/>
  <c r="BQ16" i="6"/>
  <c r="BP16" i="6"/>
  <c r="BO16" i="6"/>
  <c r="BN16" i="6"/>
  <c r="BI16" i="6"/>
  <c r="BD16" i="6"/>
  <c r="AY16" i="6"/>
  <c r="AT16" i="6"/>
  <c r="AO16" i="6"/>
  <c r="AJ16" i="6"/>
  <c r="AE16" i="6"/>
  <c r="Z16" i="6"/>
  <c r="U16" i="6"/>
  <c r="P16" i="6"/>
  <c r="K16" i="6"/>
  <c r="BR15" i="6"/>
  <c r="BQ15" i="6"/>
  <c r="BP15" i="6"/>
  <c r="BO15" i="6"/>
  <c r="BN15" i="6"/>
  <c r="BI15" i="6"/>
  <c r="BD15" i="6"/>
  <c r="AY15" i="6"/>
  <c r="AT15" i="6"/>
  <c r="AO15" i="6"/>
  <c r="AJ15" i="6"/>
  <c r="AE15" i="6"/>
  <c r="Z15" i="6"/>
  <c r="U15" i="6"/>
  <c r="P15" i="6"/>
  <c r="K15" i="6"/>
  <c r="BR14" i="6"/>
  <c r="BQ14" i="6"/>
  <c r="BP14" i="6"/>
  <c r="BO14" i="6"/>
  <c r="BN14" i="6"/>
  <c r="BI14" i="6"/>
  <c r="BD14" i="6"/>
  <c r="AY14" i="6"/>
  <c r="AT14" i="6"/>
  <c r="AO14" i="6"/>
  <c r="AJ14" i="6"/>
  <c r="AE14" i="6"/>
  <c r="Z14" i="6"/>
  <c r="U14" i="6"/>
  <c r="P14" i="6"/>
  <c r="K14" i="6"/>
  <c r="BR13" i="6"/>
  <c r="BQ13" i="6"/>
  <c r="BP13" i="6"/>
  <c r="BO13" i="6"/>
  <c r="BN13" i="6"/>
  <c r="BI13" i="6"/>
  <c r="BD13" i="6"/>
  <c r="AY13" i="6"/>
  <c r="AT13" i="6"/>
  <c r="AO13" i="6"/>
  <c r="AJ13" i="6"/>
  <c r="AE13" i="6"/>
  <c r="Z13" i="6"/>
  <c r="U13" i="6"/>
  <c r="P13" i="6"/>
  <c r="K13" i="6"/>
  <c r="BR12" i="6"/>
  <c r="BQ12" i="6"/>
  <c r="BP12" i="6"/>
  <c r="BO12" i="6"/>
  <c r="BN12" i="6"/>
  <c r="BI12" i="6"/>
  <c r="BD12" i="6"/>
  <c r="AY12" i="6"/>
  <c r="AT12" i="6"/>
  <c r="AO12" i="6"/>
  <c r="AJ12" i="6"/>
  <c r="AE12" i="6"/>
  <c r="Z12" i="6"/>
  <c r="U12" i="6"/>
  <c r="P12" i="6"/>
  <c r="K12" i="6"/>
  <c r="BR11" i="6"/>
  <c r="BQ11" i="6"/>
  <c r="BP11" i="6"/>
  <c r="BO11" i="6"/>
  <c r="BN11" i="6"/>
  <c r="BI11" i="6"/>
  <c r="BD11" i="6"/>
  <c r="AY11" i="6"/>
  <c r="AT11" i="6"/>
  <c r="AO11" i="6"/>
  <c r="AJ11" i="6"/>
  <c r="AE11" i="6"/>
  <c r="Z11" i="6"/>
  <c r="U11" i="6"/>
  <c r="P11" i="6"/>
  <c r="K11" i="6"/>
  <c r="BR10" i="6"/>
  <c r="BQ10" i="6"/>
  <c r="BP10" i="6"/>
  <c r="BO10" i="6"/>
  <c r="BN10" i="6"/>
  <c r="BI10" i="6"/>
  <c r="BD10" i="6"/>
  <c r="AY10" i="6"/>
  <c r="AT10" i="6"/>
  <c r="AO10" i="6"/>
  <c r="AJ10" i="6"/>
  <c r="AE10" i="6"/>
  <c r="Z10" i="6"/>
  <c r="U10" i="6"/>
  <c r="P10" i="6"/>
  <c r="K10" i="6"/>
  <c r="BR9" i="6"/>
  <c r="BQ9" i="6"/>
  <c r="BP9" i="6"/>
  <c r="BO9" i="6"/>
  <c r="BN9" i="6"/>
  <c r="BI9" i="6"/>
  <c r="BD9" i="6"/>
  <c r="AY9" i="6"/>
  <c r="AT9" i="6"/>
  <c r="AO9" i="6"/>
  <c r="AJ9" i="6"/>
  <c r="AE9" i="6"/>
  <c r="Z9" i="6"/>
  <c r="U9" i="6"/>
  <c r="P9" i="6"/>
  <c r="K9" i="6"/>
  <c r="BM8" i="6"/>
  <c r="BL8" i="6"/>
  <c r="BK8" i="6"/>
  <c r="BJ8" i="6"/>
  <c r="BH8" i="6"/>
  <c r="BG8" i="6"/>
  <c r="BF8" i="6"/>
  <c r="BE8" i="6"/>
  <c r="BC8" i="6"/>
  <c r="BB8" i="6"/>
  <c r="BA8" i="6"/>
  <c r="AZ8" i="6"/>
  <c r="AX8" i="6"/>
  <c r="AW8" i="6"/>
  <c r="AV8" i="6"/>
  <c r="AU8" i="6"/>
  <c r="AS8" i="6"/>
  <c r="AR8" i="6"/>
  <c r="AQ8" i="6"/>
  <c r="AP8" i="6"/>
  <c r="AN8" i="6"/>
  <c r="AM8" i="6"/>
  <c r="AL8" i="6"/>
  <c r="AK8" i="6"/>
  <c r="AI8" i="6"/>
  <c r="AH8" i="6"/>
  <c r="AG8" i="6"/>
  <c r="AF8" i="6"/>
  <c r="AD8" i="6"/>
  <c r="AC8" i="6"/>
  <c r="AB8" i="6"/>
  <c r="AA8" i="6"/>
  <c r="Y8" i="6"/>
  <c r="X8" i="6"/>
  <c r="W8" i="6"/>
  <c r="V8" i="6"/>
  <c r="T8" i="6"/>
  <c r="S8" i="6"/>
  <c r="R8" i="6"/>
  <c r="Q8" i="6"/>
  <c r="O8" i="6"/>
  <c r="N8" i="6"/>
  <c r="M8" i="6"/>
  <c r="L8" i="6"/>
  <c r="J8" i="6"/>
  <c r="I8" i="6"/>
  <c r="H8" i="6"/>
  <c r="G8" i="6"/>
  <c r="BR7" i="6"/>
  <c r="BQ7" i="6"/>
  <c r="BP7" i="6"/>
  <c r="BO7" i="6"/>
  <c r="BN7" i="6"/>
  <c r="BI7" i="6"/>
  <c r="BD7" i="6"/>
  <c r="AY7" i="6"/>
  <c r="AT7" i="6"/>
  <c r="AO7" i="6"/>
  <c r="AJ7" i="6"/>
  <c r="AE7" i="6"/>
  <c r="Z7" i="6"/>
  <c r="U7" i="6"/>
  <c r="P7" i="6"/>
  <c r="K7" i="6"/>
  <c r="BR6" i="6"/>
  <c r="BQ6" i="6"/>
  <c r="BP6" i="6"/>
  <c r="BO6" i="6"/>
  <c r="BN6" i="6"/>
  <c r="BI6" i="6"/>
  <c r="BD6" i="6"/>
  <c r="AY6" i="6"/>
  <c r="AT6" i="6"/>
  <c r="AO6" i="6"/>
  <c r="AJ6" i="6"/>
  <c r="AE6" i="6"/>
  <c r="Z6" i="6"/>
  <c r="U6" i="6"/>
  <c r="P6" i="6"/>
  <c r="K6" i="6"/>
  <c r="K517" i="6" l="1"/>
  <c r="AR503" i="6"/>
  <c r="AW503" i="6"/>
  <c r="AW508" i="6" s="1"/>
  <c r="BB503" i="6"/>
  <c r="J503" i="6"/>
  <c r="J508" i="6" s="1"/>
  <c r="Q503" i="6"/>
  <c r="V503" i="6"/>
  <c r="V508" i="6" s="1"/>
  <c r="AA503" i="6"/>
  <c r="AP503" i="6"/>
  <c r="AU503" i="6"/>
  <c r="AZ503" i="6"/>
  <c r="AZ508" i="6" s="1"/>
  <c r="L503" i="6"/>
  <c r="L508" i="6" s="1"/>
  <c r="AP180" i="6"/>
  <c r="AP181" i="6" s="1"/>
  <c r="BH180" i="6"/>
  <c r="BH181" i="6" s="1"/>
  <c r="BP394" i="6"/>
  <c r="BS394" i="6" s="1"/>
  <c r="BP129" i="6"/>
  <c r="I503" i="6"/>
  <c r="I508" i="6" s="1"/>
  <c r="O503" i="6"/>
  <c r="T503" i="6"/>
  <c r="T508" i="6" s="1"/>
  <c r="Y503" i="6"/>
  <c r="Y508" i="6" s="1"/>
  <c r="AD503" i="6"/>
  <c r="AD508" i="6" s="1"/>
  <c r="AI503" i="6"/>
  <c r="AN503" i="6"/>
  <c r="AN508" i="6" s="1"/>
  <c r="BL503" i="6"/>
  <c r="BL508" i="6" s="1"/>
  <c r="BO298" i="6"/>
  <c r="BS298" i="6" s="1"/>
  <c r="AE298" i="6"/>
  <c r="BS83" i="6"/>
  <c r="AH180" i="6"/>
  <c r="AH181" i="6" s="1"/>
  <c r="BS250" i="6"/>
  <c r="BR8" i="6"/>
  <c r="AU434" i="6"/>
  <c r="W503" i="6"/>
  <c r="W508" i="6" s="1"/>
  <c r="AG503" i="6"/>
  <c r="AG508" i="6" s="1"/>
  <c r="AL503" i="6"/>
  <c r="AL508" i="6" s="1"/>
  <c r="BS481" i="6"/>
  <c r="AG434" i="6"/>
  <c r="BS471" i="6"/>
  <c r="BS373" i="6"/>
  <c r="Q434" i="6"/>
  <c r="AM434" i="6"/>
  <c r="BG503" i="6"/>
  <c r="BG508" i="6" s="1"/>
  <c r="BS13" i="6"/>
  <c r="AY54" i="6"/>
  <c r="BS70" i="6"/>
  <c r="BS109" i="6"/>
  <c r="BO117" i="6"/>
  <c r="BO139" i="6"/>
  <c r="BS139" i="6" s="1"/>
  <c r="BO140" i="6"/>
  <c r="AN147" i="6"/>
  <c r="AN148" i="6" s="1"/>
  <c r="AE166" i="6"/>
  <c r="AM180" i="6"/>
  <c r="AM181" i="6" s="1"/>
  <c r="BS171" i="6"/>
  <c r="AR434" i="6"/>
  <c r="J408" i="6"/>
  <c r="J434" i="6" s="1"/>
  <c r="BS374" i="6"/>
  <c r="H434" i="6"/>
  <c r="M434" i="6"/>
  <c r="R434" i="6"/>
  <c r="AR508" i="6"/>
  <c r="AU508" i="6"/>
  <c r="O508" i="6"/>
  <c r="H503" i="6"/>
  <c r="H508" i="6" s="1"/>
  <c r="BM503" i="6"/>
  <c r="BM508" i="6" s="1"/>
  <c r="AE505" i="6"/>
  <c r="BD423" i="6"/>
  <c r="BP438" i="6"/>
  <c r="BS443" i="6"/>
  <c r="N503" i="6"/>
  <c r="N508" i="6" s="1"/>
  <c r="S503" i="6"/>
  <c r="S508" i="6" s="1"/>
  <c r="X503" i="6"/>
  <c r="X508" i="6" s="1"/>
  <c r="AC503" i="6"/>
  <c r="AC508" i="6" s="1"/>
  <c r="AH503" i="6"/>
  <c r="AH508" i="6" s="1"/>
  <c r="AM503" i="6"/>
  <c r="AM508" i="6" s="1"/>
  <c r="AQ503" i="6"/>
  <c r="AQ508" i="6" s="1"/>
  <c r="AV503" i="6"/>
  <c r="AV508" i="6" s="1"/>
  <c r="BA503" i="6"/>
  <c r="BA508" i="6" s="1"/>
  <c r="BF503" i="6"/>
  <c r="BF508" i="6" s="1"/>
  <c r="BE502" i="6"/>
  <c r="BE503" i="6" s="1"/>
  <c r="BK396" i="6"/>
  <c r="BK434" i="6" s="1"/>
  <c r="BN386" i="6"/>
  <c r="BP31" i="6"/>
  <c r="BS28" i="6"/>
  <c r="AB147" i="6"/>
  <c r="AB148" i="6" s="1"/>
  <c r="AG147" i="6"/>
  <c r="AG148" i="6" s="1"/>
  <c r="AU147" i="6"/>
  <c r="AU148" i="6" s="1"/>
  <c r="BH147" i="6"/>
  <c r="BH148" i="6" s="1"/>
  <c r="BH369" i="6" s="1"/>
  <c r="U54" i="6"/>
  <c r="BS87" i="6"/>
  <c r="BO95" i="6"/>
  <c r="AY8" i="6"/>
  <c r="BS20" i="6"/>
  <c r="BQ8" i="6"/>
  <c r="BS16" i="6"/>
  <c r="BS27" i="6"/>
  <c r="N147" i="6"/>
  <c r="N148" i="6" s="1"/>
  <c r="S147" i="6"/>
  <c r="S148" i="6" s="1"/>
  <c r="X147" i="6"/>
  <c r="X148" i="6" s="1"/>
  <c r="AV147" i="6"/>
  <c r="AV148" i="6" s="1"/>
  <c r="BS36" i="6"/>
  <c r="BS66" i="6"/>
  <c r="Z73" i="6"/>
  <c r="BN88" i="6"/>
  <c r="U110" i="6"/>
  <c r="BI124" i="6"/>
  <c r="U146" i="6"/>
  <c r="BS7" i="6"/>
  <c r="BS11" i="6"/>
  <c r="T147" i="6"/>
  <c r="T148" i="6" s="1"/>
  <c r="AR147" i="6"/>
  <c r="AR148" i="6" s="1"/>
  <c r="BO42" i="6"/>
  <c r="BG147" i="6"/>
  <c r="BG148" i="6" s="1"/>
  <c r="AE95" i="6"/>
  <c r="BS101" i="6"/>
  <c r="AY110" i="6"/>
  <c r="U124" i="6"/>
  <c r="AG180" i="6"/>
  <c r="AG181" i="6" s="1"/>
  <c r="AX180" i="6"/>
  <c r="AX181" i="6" s="1"/>
  <c r="BF180" i="6"/>
  <c r="BF181" i="6" s="1"/>
  <c r="BS161" i="6"/>
  <c r="K168" i="6"/>
  <c r="BS175" i="6"/>
  <c r="BS176" i="6"/>
  <c r="BB180" i="6"/>
  <c r="BB181" i="6" s="1"/>
  <c r="BS202" i="6"/>
  <c r="BO319" i="6"/>
  <c r="BS319" i="6" s="1"/>
  <c r="AE319" i="6"/>
  <c r="BS157" i="6"/>
  <c r="J180" i="6"/>
  <c r="J181" i="6" s="1"/>
  <c r="AL180" i="6"/>
  <c r="AL181" i="6" s="1"/>
  <c r="BG180" i="6"/>
  <c r="BG181" i="6" s="1"/>
  <c r="BG369" i="6" s="1"/>
  <c r="BQ168" i="6"/>
  <c r="BS241" i="6"/>
  <c r="BS151" i="6"/>
  <c r="Z159" i="6"/>
  <c r="BA180" i="6"/>
  <c r="BA181" i="6" s="1"/>
  <c r="BO166" i="6"/>
  <c r="BO168" i="6" s="1"/>
  <c r="AO179" i="6"/>
  <c r="BS189" i="6"/>
  <c r="BS206" i="6"/>
  <c r="BS266" i="6"/>
  <c r="K279" i="6"/>
  <c r="P278" i="6"/>
  <c r="L279" i="6"/>
  <c r="P279" i="6" s="1"/>
  <c r="BS376" i="6"/>
  <c r="BS258" i="6"/>
  <c r="BS261" i="6"/>
  <c r="AE351" i="6"/>
  <c r="BQ351" i="6"/>
  <c r="BS351" i="6" s="1"/>
  <c r="BP377" i="6"/>
  <c r="BS232" i="6"/>
  <c r="BS248" i="6"/>
  <c r="BS356" i="6"/>
  <c r="AE387" i="6"/>
  <c r="BS320" i="6"/>
  <c r="Z330" i="6"/>
  <c r="BS365" i="6"/>
  <c r="BL434" i="6"/>
  <c r="AE312" i="6"/>
  <c r="AQ434" i="6"/>
  <c r="BS411" i="6"/>
  <c r="G434" i="6"/>
  <c r="I434" i="6"/>
  <c r="AD434" i="6"/>
  <c r="AI434" i="6"/>
  <c r="AN434" i="6"/>
  <c r="AS434" i="6"/>
  <c r="BH434" i="6"/>
  <c r="BM434" i="6"/>
  <c r="Z423" i="6"/>
  <c r="BS367" i="6"/>
  <c r="U368" i="6"/>
  <c r="K370" i="6"/>
  <c r="AE371" i="6"/>
  <c r="T434" i="6"/>
  <c r="AF434" i="6"/>
  <c r="AX434" i="6"/>
  <c r="BD394" i="6"/>
  <c r="K396" i="6"/>
  <c r="K397" i="6"/>
  <c r="BS407" i="6"/>
  <c r="BS416" i="6"/>
  <c r="AJ423" i="6"/>
  <c r="P433" i="6"/>
  <c r="AO433" i="6"/>
  <c r="BS442" i="6"/>
  <c r="BK503" i="6"/>
  <c r="BK508" i="6" s="1"/>
  <c r="BS446" i="6"/>
  <c r="AF503" i="6"/>
  <c r="AJ503" i="6" s="1"/>
  <c r="AK503" i="6"/>
  <c r="AS503" i="6"/>
  <c r="BS401" i="6"/>
  <c r="BP433" i="6"/>
  <c r="BI433" i="6"/>
  <c r="AS508" i="6"/>
  <c r="BS464" i="6"/>
  <c r="AB503" i="6"/>
  <c r="AB508" i="6" s="1"/>
  <c r="AX503" i="6"/>
  <c r="AX508" i="6" s="1"/>
  <c r="BC503" i="6"/>
  <c r="BC508" i="6" s="1"/>
  <c r="BH503" i="6"/>
  <c r="BH508" i="6" s="1"/>
  <c r="BS474" i="6"/>
  <c r="BS477" i="6"/>
  <c r="BS497" i="6"/>
  <c r="AY505" i="6"/>
  <c r="G503" i="6"/>
  <c r="G508" i="6" s="1"/>
  <c r="P472" i="6"/>
  <c r="BS476" i="6"/>
  <c r="BS489" i="6"/>
  <c r="BI498" i="6"/>
  <c r="BS504" i="6"/>
  <c r="BS507" i="6"/>
  <c r="K507" i="6"/>
  <c r="M503" i="6"/>
  <c r="M508" i="6" s="1"/>
  <c r="R503" i="6"/>
  <c r="R508" i="6" s="1"/>
  <c r="BR95" i="6"/>
  <c r="BS19" i="6"/>
  <c r="BS23" i="6"/>
  <c r="BR54" i="6"/>
  <c r="X180" i="6"/>
  <c r="X181" i="6" s="1"/>
  <c r="BO8" i="6"/>
  <c r="AJ8" i="6"/>
  <c r="BS12" i="6"/>
  <c r="BS14" i="6"/>
  <c r="BS17" i="6"/>
  <c r="K8" i="6"/>
  <c r="BR31" i="6"/>
  <c r="BS10" i="6"/>
  <c r="BP8" i="6"/>
  <c r="BS9" i="6"/>
  <c r="BS15" i="6"/>
  <c r="BS26" i="6"/>
  <c r="BA147" i="6"/>
  <c r="BA148" i="6" s="1"/>
  <c r="BM147" i="6"/>
  <c r="BM148" i="6" s="1"/>
  <c r="BS33" i="6"/>
  <c r="BS39" i="6"/>
  <c r="BS40" i="6"/>
  <c r="BO46" i="6"/>
  <c r="BS46" i="6" s="1"/>
  <c r="BS48" i="6"/>
  <c r="Z54" i="6"/>
  <c r="BD54" i="6"/>
  <c r="BR73" i="6"/>
  <c r="BS62" i="6"/>
  <c r="BS65" i="6"/>
  <c r="BS82" i="6"/>
  <c r="K88" i="6"/>
  <c r="BS108" i="6"/>
  <c r="BS128" i="6"/>
  <c r="AY129" i="6"/>
  <c r="BS144" i="6"/>
  <c r="AD180" i="6"/>
  <c r="AD181" i="6" s="1"/>
  <c r="U168" i="6"/>
  <c r="BS177" i="6"/>
  <c r="BS22" i="6"/>
  <c r="BS25" i="6"/>
  <c r="AH147" i="6"/>
  <c r="AH148" i="6" s="1"/>
  <c r="BF147" i="6"/>
  <c r="BF148" i="6" s="1"/>
  <c r="BJ147" i="6"/>
  <c r="BJ148" i="6" s="1"/>
  <c r="BS35" i="6"/>
  <c r="AJ44" i="6"/>
  <c r="BO44" i="6"/>
  <c r="BS44" i="6" s="1"/>
  <c r="BO52" i="6"/>
  <c r="BS52" i="6" s="1"/>
  <c r="AE54" i="6"/>
  <c r="AO54" i="6"/>
  <c r="BO73" i="6"/>
  <c r="BS58" i="6"/>
  <c r="BS64" i="6"/>
  <c r="BS67" i="6"/>
  <c r="AT88" i="6"/>
  <c r="BP95" i="6"/>
  <c r="AY95" i="6"/>
  <c r="BI117" i="6"/>
  <c r="BS121" i="6"/>
  <c r="BN129" i="6"/>
  <c r="BS138" i="6"/>
  <c r="Z146" i="6"/>
  <c r="G180" i="6"/>
  <c r="G181" i="6" s="1"/>
  <c r="L180" i="6"/>
  <c r="L181" i="6" s="1"/>
  <c r="S180" i="6"/>
  <c r="S181" i="6" s="1"/>
  <c r="S369" i="6" s="1"/>
  <c r="AF180" i="6"/>
  <c r="AF181" i="6" s="1"/>
  <c r="AZ180" i="6"/>
  <c r="AZ181" i="6" s="1"/>
  <c r="BL180" i="6"/>
  <c r="BL181" i="6" s="1"/>
  <c r="BI168" i="6"/>
  <c r="BS18" i="6"/>
  <c r="BS21" i="6"/>
  <c r="BS24" i="6"/>
  <c r="H147" i="6"/>
  <c r="H148" i="6" s="1"/>
  <c r="M147" i="6"/>
  <c r="M148" i="6" s="1"/>
  <c r="R147" i="6"/>
  <c r="R148" i="6" s="1"/>
  <c r="V147" i="6"/>
  <c r="V148" i="6" s="1"/>
  <c r="AM147" i="6"/>
  <c r="AM148" i="6" s="1"/>
  <c r="AP147" i="6"/>
  <c r="AP148" i="6" s="1"/>
  <c r="BS34" i="6"/>
  <c r="AF54" i="6"/>
  <c r="AJ54" i="6" s="1"/>
  <c r="BS50" i="6"/>
  <c r="K54" i="6"/>
  <c r="BN54" i="6"/>
  <c r="BS60" i="6"/>
  <c r="BS69" i="6"/>
  <c r="BQ88" i="6"/>
  <c r="BS76" i="6"/>
  <c r="BI88" i="6"/>
  <c r="BS92" i="6"/>
  <c r="BN95" i="6"/>
  <c r="BS104" i="6"/>
  <c r="BS133" i="6"/>
  <c r="K138" i="6"/>
  <c r="AO146" i="6"/>
  <c r="BS156" i="6"/>
  <c r="H180" i="6"/>
  <c r="H181" i="6" s="1"/>
  <c r="M180" i="6"/>
  <c r="M181" i="6" s="1"/>
  <c r="T180" i="6"/>
  <c r="T181" i="6" s="1"/>
  <c r="T369" i="6" s="1"/>
  <c r="AN180" i="6"/>
  <c r="AN181" i="6" s="1"/>
  <c r="BP168" i="6"/>
  <c r="BS163" i="6"/>
  <c r="BR179" i="6"/>
  <c r="BS222" i="6"/>
  <c r="BS234" i="6"/>
  <c r="BD372" i="6"/>
  <c r="BO372" i="6"/>
  <c r="BS372" i="6" s="1"/>
  <c r="K73" i="6"/>
  <c r="P73" i="6"/>
  <c r="AJ73" i="6"/>
  <c r="BD73" i="6"/>
  <c r="BS78" i="6"/>
  <c r="BS81" i="6"/>
  <c r="BS85" i="6"/>
  <c r="Q88" i="6"/>
  <c r="U88" i="6" s="1"/>
  <c r="AE88" i="6"/>
  <c r="AY88" i="6"/>
  <c r="BQ95" i="6"/>
  <c r="BS90" i="6"/>
  <c r="P95" i="6"/>
  <c r="AJ95" i="6"/>
  <c r="BD95" i="6"/>
  <c r="BR110" i="6"/>
  <c r="BS97" i="6"/>
  <c r="BQ110" i="6"/>
  <c r="BS100" i="6"/>
  <c r="BS107" i="6"/>
  <c r="BD110" i="6"/>
  <c r="BN110" i="6"/>
  <c r="BQ117" i="6"/>
  <c r="AE117" i="6"/>
  <c r="BP124" i="6"/>
  <c r="AE124" i="6"/>
  <c r="AY124" i="6"/>
  <c r="P129" i="6"/>
  <c r="AJ129" i="6"/>
  <c r="BQ146" i="6"/>
  <c r="AY146" i="6"/>
  <c r="BQ159" i="6"/>
  <c r="BS153" i="6"/>
  <c r="BS158" i="6"/>
  <c r="N180" i="6"/>
  <c r="N181" i="6" s="1"/>
  <c r="AR180" i="6"/>
  <c r="AR181" i="6" s="1"/>
  <c r="BM180" i="6"/>
  <c r="BM181" i="6" s="1"/>
  <c r="BR168" i="6"/>
  <c r="BS164" i="6"/>
  <c r="Z168" i="6"/>
  <c r="AO168" i="6"/>
  <c r="BI179" i="6"/>
  <c r="BS190" i="6"/>
  <c r="BS218" i="6"/>
  <c r="BS71" i="6"/>
  <c r="AO73" i="6"/>
  <c r="BI73" i="6"/>
  <c r="BS74" i="6"/>
  <c r="U85" i="6"/>
  <c r="AJ88" i="6"/>
  <c r="U95" i="6"/>
  <c r="BO110" i="6"/>
  <c r="BS99" i="6"/>
  <c r="BS114" i="6"/>
  <c r="BS116" i="6"/>
  <c r="K117" i="6"/>
  <c r="U117" i="6"/>
  <c r="AT117" i="6"/>
  <c r="AY117" i="6"/>
  <c r="BQ124" i="6"/>
  <c r="P124" i="6"/>
  <c r="AJ124" i="6"/>
  <c r="BR129" i="6"/>
  <c r="BS126" i="6"/>
  <c r="BS137" i="6"/>
  <c r="BS142" i="6"/>
  <c r="BR159" i="6"/>
  <c r="BS152" i="6"/>
  <c r="R180" i="6"/>
  <c r="R181" i="6" s="1"/>
  <c r="Y180" i="6"/>
  <c r="Y181" i="6" s="1"/>
  <c r="AB180" i="6"/>
  <c r="AB181" i="6" s="1"/>
  <c r="AS180" i="6"/>
  <c r="AS181" i="6" s="1"/>
  <c r="AV180" i="6"/>
  <c r="AV181" i="6" s="1"/>
  <c r="BN159" i="6"/>
  <c r="AY168" i="6"/>
  <c r="BQ179" i="6"/>
  <c r="BS170" i="6"/>
  <c r="BS225" i="6"/>
  <c r="BO306" i="6"/>
  <c r="BS306" i="6" s="1"/>
  <c r="K306" i="6"/>
  <c r="BO310" i="6"/>
  <c r="BS310" i="6" s="1"/>
  <c r="AE310" i="6"/>
  <c r="BS165" i="6"/>
  <c r="AE168" i="6"/>
  <c r="BS167" i="6"/>
  <c r="AT168" i="6"/>
  <c r="BN168" i="6"/>
  <c r="BS172" i="6"/>
  <c r="K179" i="6"/>
  <c r="P179" i="6"/>
  <c r="U179" i="6"/>
  <c r="AT179" i="6"/>
  <c r="BD179" i="6"/>
  <c r="BS185" i="6"/>
  <c r="BS192" i="6"/>
  <c r="BS201" i="6"/>
  <c r="BS208" i="6"/>
  <c r="BS224" i="6"/>
  <c r="BS233" i="6"/>
  <c r="BS240" i="6"/>
  <c r="AO279" i="6"/>
  <c r="BS311" i="6"/>
  <c r="BO316" i="6"/>
  <c r="BS316" i="6" s="1"/>
  <c r="AE316" i="6"/>
  <c r="BS186" i="6"/>
  <c r="BS197" i="6"/>
  <c r="BS204" i="6"/>
  <c r="BS213" i="6"/>
  <c r="BS220" i="6"/>
  <c r="BS229" i="6"/>
  <c r="BS242" i="6"/>
  <c r="BS245" i="6"/>
  <c r="U278" i="6"/>
  <c r="BS280" i="6"/>
  <c r="BS291" i="6"/>
  <c r="BO296" i="6"/>
  <c r="BS296" i="6" s="1"/>
  <c r="BS303" i="6"/>
  <c r="BS307" i="6"/>
  <c r="BO308" i="6"/>
  <c r="BS312" i="6"/>
  <c r="BS314" i="6"/>
  <c r="BS322" i="6"/>
  <c r="BO345" i="6"/>
  <c r="AE345" i="6"/>
  <c r="O408" i="6"/>
  <c r="P408" i="6" s="1"/>
  <c r="P397" i="6"/>
  <c r="BR397" i="6"/>
  <c r="BS397" i="6" s="1"/>
  <c r="BS270" i="6"/>
  <c r="BS274" i="6"/>
  <c r="G330" i="6"/>
  <c r="K330" i="6" s="1"/>
  <c r="BS249" i="6"/>
  <c r="BS256" i="6"/>
  <c r="BS269" i="6"/>
  <c r="BS271" i="6"/>
  <c r="AY279" i="6"/>
  <c r="BS281" i="6"/>
  <c r="K284" i="6"/>
  <c r="AE284" i="6"/>
  <c r="BS288" i="6"/>
  <c r="BS290" i="6"/>
  <c r="BS302" i="6"/>
  <c r="BS309" i="6"/>
  <c r="BS317" i="6"/>
  <c r="BS341" i="6"/>
  <c r="BS354" i="6"/>
  <c r="BS362" i="6"/>
  <c r="Z387" i="6"/>
  <c r="W396" i="6"/>
  <c r="W434" i="6" s="1"/>
  <c r="BS327" i="6"/>
  <c r="BS334" i="6"/>
  <c r="BS359" i="6"/>
  <c r="BJ434" i="6"/>
  <c r="X396" i="6"/>
  <c r="X434" i="6" s="1"/>
  <c r="Z382" i="6"/>
  <c r="U330" i="6"/>
  <c r="AY330" i="6"/>
  <c r="AE343" i="6"/>
  <c r="AE348" i="6"/>
  <c r="BO348" i="6"/>
  <c r="BS348" i="6" s="1"/>
  <c r="BS353" i="6"/>
  <c r="AE354" i="6"/>
  <c r="AE356" i="6"/>
  <c r="BR377" i="6"/>
  <c r="BQ379" i="6"/>
  <c r="BS379" i="6" s="1"/>
  <c r="BI379" i="6"/>
  <c r="BD368" i="6"/>
  <c r="BN368" i="6"/>
  <c r="BO370" i="6"/>
  <c r="BO371" i="6"/>
  <c r="BS371" i="6" s="1"/>
  <c r="S434" i="6"/>
  <c r="BE434" i="6"/>
  <c r="BA396" i="6"/>
  <c r="AC396" i="6"/>
  <c r="AC434" i="6" s="1"/>
  <c r="AV434" i="6"/>
  <c r="BS380" i="6"/>
  <c r="BS390" i="6"/>
  <c r="BS403" i="6"/>
  <c r="AO368" i="6"/>
  <c r="BI368" i="6"/>
  <c r="N434" i="6"/>
  <c r="AL434" i="6"/>
  <c r="AP434" i="6"/>
  <c r="BS393" i="6"/>
  <c r="BS395" i="6"/>
  <c r="AY396" i="6"/>
  <c r="AJ408" i="6"/>
  <c r="AT408" i="6"/>
  <c r="BQ423" i="6"/>
  <c r="BS413" i="6"/>
  <c r="BS421" i="6"/>
  <c r="K423" i="6"/>
  <c r="BQ433" i="6"/>
  <c r="BS428" i="6"/>
  <c r="BS431" i="6"/>
  <c r="U433" i="6"/>
  <c r="Z433" i="6"/>
  <c r="BQ438" i="6"/>
  <c r="BB508" i="6"/>
  <c r="BS441" i="6"/>
  <c r="BP408" i="6"/>
  <c r="K403" i="6"/>
  <c r="U408" i="6"/>
  <c r="BS415" i="6"/>
  <c r="BS418" i="6"/>
  <c r="BS420" i="6"/>
  <c r="P421" i="6"/>
  <c r="U423" i="6"/>
  <c r="AE423" i="6"/>
  <c r="AO423" i="6"/>
  <c r="AY423" i="6"/>
  <c r="BR433" i="6"/>
  <c r="BS427" i="6"/>
  <c r="BS432" i="6"/>
  <c r="AT433" i="6"/>
  <c r="AT396" i="6"/>
  <c r="AE408" i="6"/>
  <c r="AO408" i="6"/>
  <c r="AY408" i="6"/>
  <c r="BS409" i="6"/>
  <c r="BS417" i="6"/>
  <c r="BS426" i="6"/>
  <c r="AY433" i="6"/>
  <c r="BP465" i="6"/>
  <c r="BS445" i="6"/>
  <c r="BS452" i="6"/>
  <c r="BS455" i="6"/>
  <c r="BS457" i="6"/>
  <c r="BS459" i="6"/>
  <c r="BS463" i="6"/>
  <c r="BQ502" i="6"/>
  <c r="BS469" i="6"/>
  <c r="BS451" i="6"/>
  <c r="BS460" i="6"/>
  <c r="BS473" i="6"/>
  <c r="BS440" i="6"/>
  <c r="BS447" i="6"/>
  <c r="BS450" i="6"/>
  <c r="BS468" i="6"/>
  <c r="BS475" i="6"/>
  <c r="BS478" i="6"/>
  <c r="BS480" i="6"/>
  <c r="BS486" i="6"/>
  <c r="BS485" i="6"/>
  <c r="BS467" i="6"/>
  <c r="P502" i="6"/>
  <c r="BO472" i="6"/>
  <c r="BS472" i="6" s="1"/>
  <c r="BS482" i="6"/>
  <c r="BS487" i="6"/>
  <c r="BS491" i="6"/>
  <c r="BS494" i="6"/>
  <c r="U502" i="6"/>
  <c r="AJ502" i="6"/>
  <c r="K505" i="6"/>
  <c r="P505" i="6"/>
  <c r="AJ505" i="6"/>
  <c r="BD505" i="6"/>
  <c r="Z507" i="6"/>
  <c r="AT507" i="6"/>
  <c r="BS493" i="6"/>
  <c r="BO498" i="6"/>
  <c r="BS500" i="6"/>
  <c r="K502" i="6"/>
  <c r="Z502" i="6"/>
  <c r="AY502" i="6"/>
  <c r="U505" i="6"/>
  <c r="AO505" i="6"/>
  <c r="BI505" i="6"/>
  <c r="AE502" i="6"/>
  <c r="BD502" i="6"/>
  <c r="Z505" i="6"/>
  <c r="AT505" i="6"/>
  <c r="BN505" i="6"/>
  <c r="BD507" i="6"/>
  <c r="AJ31" i="6"/>
  <c r="AY31" i="6"/>
  <c r="BO88" i="6"/>
  <c r="BS119" i="6"/>
  <c r="BS6" i="6"/>
  <c r="U8" i="6"/>
  <c r="AO8" i="6"/>
  <c r="BI8" i="6"/>
  <c r="BS29" i="6"/>
  <c r="L147" i="6"/>
  <c r="P31" i="6"/>
  <c r="AA147" i="6"/>
  <c r="AE31" i="6"/>
  <c r="AL147" i="6"/>
  <c r="AL148" i="6" s="1"/>
  <c r="AT31" i="6"/>
  <c r="AX147" i="6"/>
  <c r="AX148" i="6" s="1"/>
  <c r="BB147" i="6"/>
  <c r="BB148" i="6" s="1"/>
  <c r="BQ54" i="6"/>
  <c r="AJ43" i="6"/>
  <c r="BO43" i="6"/>
  <c r="BS43" i="6" s="1"/>
  <c r="AJ47" i="6"/>
  <c r="BO47" i="6"/>
  <c r="BS47" i="6" s="1"/>
  <c r="BS53" i="6"/>
  <c r="P54" i="6"/>
  <c r="BS59" i="6"/>
  <c r="AT73" i="6"/>
  <c r="BP88" i="6"/>
  <c r="BS75" i="6"/>
  <c r="BS80" i="6"/>
  <c r="BD88" i="6"/>
  <c r="BS94" i="6"/>
  <c r="AO95" i="6"/>
  <c r="BS105" i="6"/>
  <c r="BS106" i="6"/>
  <c r="K110" i="6"/>
  <c r="Z110" i="6"/>
  <c r="AO110" i="6"/>
  <c r="BS113" i="6"/>
  <c r="BQ129" i="6"/>
  <c r="P8" i="6"/>
  <c r="BD8" i="6"/>
  <c r="AJ49" i="6"/>
  <c r="BO49" i="6"/>
  <c r="BS49" i="6" s="1"/>
  <c r="BS143" i="6"/>
  <c r="BS30" i="6"/>
  <c r="J147" i="6"/>
  <c r="J148" i="6" s="1"/>
  <c r="J369" i="6" s="1"/>
  <c r="Y147" i="6"/>
  <c r="Y148" i="6" s="1"/>
  <c r="AZ147" i="6"/>
  <c r="BD31" i="6"/>
  <c r="BO31" i="6"/>
  <c r="BS32" i="6"/>
  <c r="BS37" i="6"/>
  <c r="AJ38" i="6"/>
  <c r="BO38" i="6"/>
  <c r="AJ51" i="6"/>
  <c r="BO51" i="6"/>
  <c r="BS51" i="6" s="1"/>
  <c r="AT54" i="6"/>
  <c r="BP73" i="6"/>
  <c r="BS56" i="6"/>
  <c r="BS61" i="6"/>
  <c r="BS72" i="6"/>
  <c r="AY73" i="6"/>
  <c r="BR88" i="6"/>
  <c r="BS77" i="6"/>
  <c r="Z88" i="6"/>
  <c r="BS91" i="6"/>
  <c r="K95" i="6"/>
  <c r="AT95" i="6"/>
  <c r="BP110" i="6"/>
  <c r="BS102" i="6"/>
  <c r="AJ110" i="6"/>
  <c r="BR117" i="6"/>
  <c r="AO117" i="6"/>
  <c r="BS123" i="6"/>
  <c r="AO129" i="6"/>
  <c r="BN31" i="6"/>
  <c r="BS96" i="6"/>
  <c r="AE8" i="6"/>
  <c r="Z8" i="6"/>
  <c r="AT8" i="6"/>
  <c r="BN8" i="6"/>
  <c r="BQ31" i="6"/>
  <c r="K31" i="6"/>
  <c r="Z31" i="6"/>
  <c r="AD147" i="6"/>
  <c r="AD148" i="6" s="1"/>
  <c r="AS147" i="6"/>
  <c r="AS148" i="6" s="1"/>
  <c r="AS369" i="6" s="1"/>
  <c r="BL147" i="6"/>
  <c r="BL148" i="6" s="1"/>
  <c r="BP54" i="6"/>
  <c r="BS41" i="6"/>
  <c r="BS45" i="6"/>
  <c r="BI54" i="6"/>
  <c r="BQ73" i="6"/>
  <c r="BS57" i="6"/>
  <c r="BS63" i="6"/>
  <c r="BS68" i="6"/>
  <c r="U73" i="6"/>
  <c r="AE73" i="6"/>
  <c r="BN73" i="6"/>
  <c r="BS79" i="6"/>
  <c r="BS84" i="6"/>
  <c r="BS86" i="6"/>
  <c r="P88" i="6"/>
  <c r="AO88" i="6"/>
  <c r="BS93" i="6"/>
  <c r="Z95" i="6"/>
  <c r="BI95" i="6"/>
  <c r="BS98" i="6"/>
  <c r="BS103" i="6"/>
  <c r="P110" i="6"/>
  <c r="AE110" i="6"/>
  <c r="AT110" i="6"/>
  <c r="BI110" i="6"/>
  <c r="BS112" i="6"/>
  <c r="BS115" i="6"/>
  <c r="I147" i="6"/>
  <c r="I148" i="6" s="1"/>
  <c r="O147" i="6"/>
  <c r="O148" i="6" s="1"/>
  <c r="U31" i="6"/>
  <c r="W147" i="6"/>
  <c r="W148" i="6" s="1"/>
  <c r="AC147" i="6"/>
  <c r="AC148" i="6" s="1"/>
  <c r="AI147" i="6"/>
  <c r="AI148" i="6" s="1"/>
  <c r="AK147" i="6"/>
  <c r="AO31" i="6"/>
  <c r="AQ147" i="6"/>
  <c r="AQ148" i="6" s="1"/>
  <c r="AW147" i="6"/>
  <c r="AW148" i="6" s="1"/>
  <c r="BC147" i="6"/>
  <c r="BC148" i="6" s="1"/>
  <c r="BE147" i="6"/>
  <c r="BI31" i="6"/>
  <c r="BK147" i="6"/>
  <c r="BK148" i="6" s="1"/>
  <c r="AJ39" i="6"/>
  <c r="AJ41" i="6"/>
  <c r="AJ45" i="6"/>
  <c r="AJ53" i="6"/>
  <c r="BS55" i="6"/>
  <c r="BS89" i="6"/>
  <c r="P117" i="6"/>
  <c r="BD117" i="6"/>
  <c r="BO124" i="6"/>
  <c r="Z124" i="6"/>
  <c r="BS127" i="6"/>
  <c r="Z129" i="6"/>
  <c r="BI129" i="6"/>
  <c r="BP146" i="6"/>
  <c r="BS132" i="6"/>
  <c r="P146" i="6"/>
  <c r="BI146" i="6"/>
  <c r="BR146" i="6"/>
  <c r="BD159" i="6"/>
  <c r="BS235" i="6"/>
  <c r="BS111" i="6"/>
  <c r="AJ117" i="6"/>
  <c r="BS122" i="6"/>
  <c r="AO124" i="6"/>
  <c r="BN124" i="6"/>
  <c r="U129" i="6"/>
  <c r="AE129" i="6"/>
  <c r="BS134" i="6"/>
  <c r="BS135" i="6"/>
  <c r="AE146" i="6"/>
  <c r="BD146" i="6"/>
  <c r="BN146" i="6"/>
  <c r="BP117" i="6"/>
  <c r="Z117" i="6"/>
  <c r="BN117" i="6"/>
  <c r="BR124" i="6"/>
  <c r="BS120" i="6"/>
  <c r="K124" i="6"/>
  <c r="AT124" i="6"/>
  <c r="BD124" i="6"/>
  <c r="BO129" i="6"/>
  <c r="K129" i="6"/>
  <c r="AT129" i="6"/>
  <c r="BD129" i="6"/>
  <c r="BS131" i="6"/>
  <c r="BS136" i="6"/>
  <c r="BO141" i="6"/>
  <c r="BS141" i="6" s="1"/>
  <c r="K141" i="6"/>
  <c r="BS145" i="6"/>
  <c r="AJ146" i="6"/>
  <c r="AT146" i="6"/>
  <c r="AE179" i="6"/>
  <c r="BS118" i="6"/>
  <c r="BS130" i="6"/>
  <c r="G146" i="6"/>
  <c r="K146" i="6" s="1"/>
  <c r="AJ159" i="6"/>
  <c r="BS160" i="6"/>
  <c r="BS187" i="6"/>
  <c r="BS219" i="6"/>
  <c r="BS125" i="6"/>
  <c r="BO159" i="6"/>
  <c r="BS154" i="6"/>
  <c r="P159" i="6"/>
  <c r="AY159" i="6"/>
  <c r="P168" i="6"/>
  <c r="BD168" i="6"/>
  <c r="BO179" i="6"/>
  <c r="AJ179" i="6"/>
  <c r="BS203" i="6"/>
  <c r="BP159" i="6"/>
  <c r="BS150" i="6"/>
  <c r="BS155" i="6"/>
  <c r="AA180" i="6"/>
  <c r="AT159" i="6"/>
  <c r="BS162" i="6"/>
  <c r="AJ168" i="6"/>
  <c r="BS173" i="6"/>
  <c r="BP278" i="6"/>
  <c r="BP279" i="6" s="1"/>
  <c r="BS184" i="6"/>
  <c r="BS251" i="6"/>
  <c r="BS149" i="6"/>
  <c r="I180" i="6"/>
  <c r="I181" i="6" s="1"/>
  <c r="O180" i="6"/>
  <c r="O181" i="6" s="1"/>
  <c r="Q180" i="6"/>
  <c r="U159" i="6"/>
  <c r="W180" i="6"/>
  <c r="W181" i="6" s="1"/>
  <c r="AC180" i="6"/>
  <c r="AC181" i="6" s="1"/>
  <c r="AI180" i="6"/>
  <c r="AI181" i="6" s="1"/>
  <c r="AK180" i="6"/>
  <c r="AO159" i="6"/>
  <c r="AQ180" i="6"/>
  <c r="AQ181" i="6" s="1"/>
  <c r="AW180" i="6"/>
  <c r="AW181" i="6" s="1"/>
  <c r="BC180" i="6"/>
  <c r="BC181" i="6" s="1"/>
  <c r="BE180" i="6"/>
  <c r="BI159" i="6"/>
  <c r="BK180" i="6"/>
  <c r="BK181" i="6" s="1"/>
  <c r="Z179" i="6"/>
  <c r="V180" i="6"/>
  <c r="AU180" i="6"/>
  <c r="BO278" i="6"/>
  <c r="BS191" i="6"/>
  <c r="BS196" i="6"/>
  <c r="BS207" i="6"/>
  <c r="BS212" i="6"/>
  <c r="BS217" i="6"/>
  <c r="BS223" i="6"/>
  <c r="BS228" i="6"/>
  <c r="BS238" i="6"/>
  <c r="BS239" i="6"/>
  <c r="BS244" i="6"/>
  <c r="BS254" i="6"/>
  <c r="BS255" i="6"/>
  <c r="BS260" i="6"/>
  <c r="AJ279" i="6"/>
  <c r="K159" i="6"/>
  <c r="AE159" i="6"/>
  <c r="BS169" i="6"/>
  <c r="BS174" i="6"/>
  <c r="AY179" i="6"/>
  <c r="BN179" i="6"/>
  <c r="BJ180" i="6"/>
  <c r="BQ278" i="6"/>
  <c r="BQ279" i="6" s="1"/>
  <c r="BS183" i="6"/>
  <c r="BS193" i="6"/>
  <c r="BS198" i="6"/>
  <c r="BS199" i="6"/>
  <c r="BS209" i="6"/>
  <c r="BS214" i="6"/>
  <c r="BS215" i="6"/>
  <c r="BS230" i="6"/>
  <c r="BS231" i="6"/>
  <c r="BS236" i="6"/>
  <c r="BS246" i="6"/>
  <c r="BS247" i="6"/>
  <c r="BS252" i="6"/>
  <c r="BS257" i="6"/>
  <c r="BS262" i="6"/>
  <c r="BS263" i="6"/>
  <c r="BS267" i="6"/>
  <c r="K278" i="6"/>
  <c r="BP179" i="6"/>
  <c r="BS178" i="6"/>
  <c r="BR278" i="6"/>
  <c r="BR279" i="6" s="1"/>
  <c r="BS188" i="6"/>
  <c r="BS194" i="6"/>
  <c r="BS195" i="6"/>
  <c r="BS200" i="6"/>
  <c r="BS205" i="6"/>
  <c r="BS210" i="6"/>
  <c r="BS211" i="6"/>
  <c r="BS216" i="6"/>
  <c r="BS221" i="6"/>
  <c r="BS226" i="6"/>
  <c r="BS227" i="6"/>
  <c r="BS237" i="6"/>
  <c r="BS243" i="6"/>
  <c r="BS253" i="6"/>
  <c r="BS259" i="6"/>
  <c r="BS265" i="6"/>
  <c r="BS264" i="6"/>
  <c r="BS272" i="6"/>
  <c r="BS276" i="6"/>
  <c r="AY278" i="6"/>
  <c r="BO328" i="6"/>
  <c r="BS328" i="6" s="1"/>
  <c r="AT328" i="6"/>
  <c r="AP330" i="6"/>
  <c r="BS268" i="6"/>
  <c r="BS273" i="6"/>
  <c r="BS277" i="6"/>
  <c r="AE279" i="6"/>
  <c r="AE278" i="6"/>
  <c r="AO278" i="6"/>
  <c r="BS182" i="6"/>
  <c r="BS275" i="6"/>
  <c r="AE293" i="6"/>
  <c r="BO293" i="6"/>
  <c r="BS313" i="6"/>
  <c r="AJ278" i="6"/>
  <c r="BD279" i="6"/>
  <c r="BD278" i="6"/>
  <c r="Q279" i="6"/>
  <c r="U279" i="6" s="1"/>
  <c r="P284" i="6"/>
  <c r="L330" i="6"/>
  <c r="P330" i="6" s="1"/>
  <c r="BS285" i="6"/>
  <c r="BS286" i="6"/>
  <c r="BS289" i="6"/>
  <c r="AJ296" i="6"/>
  <c r="AF330" i="6"/>
  <c r="AJ330" i="6" s="1"/>
  <c r="BS297" i="6"/>
  <c r="BS300" i="6"/>
  <c r="BS301" i="6"/>
  <c r="BE330" i="6"/>
  <c r="BI330" i="6" s="1"/>
  <c r="BI311" i="6"/>
  <c r="BS326" i="6"/>
  <c r="BS329" i="6"/>
  <c r="BD330" i="6"/>
  <c r="Z279" i="6"/>
  <c r="Z278" i="6"/>
  <c r="AT279" i="6"/>
  <c r="AT278" i="6"/>
  <c r="BN279" i="6"/>
  <c r="BN278" i="6"/>
  <c r="BP330" i="6"/>
  <c r="BS287" i="6"/>
  <c r="BS294" i="6"/>
  <c r="BS295" i="6"/>
  <c r="BS318" i="6"/>
  <c r="BS323" i="6"/>
  <c r="BS324" i="6"/>
  <c r="AE352" i="6"/>
  <c r="BO352" i="6"/>
  <c r="BS352" i="6" s="1"/>
  <c r="BI279" i="6"/>
  <c r="BI278" i="6"/>
  <c r="BS282" i="6"/>
  <c r="BS283" i="6"/>
  <c r="BS292" i="6"/>
  <c r="BS299" i="6"/>
  <c r="BS304" i="6"/>
  <c r="BS305" i="6"/>
  <c r="BS315" i="6"/>
  <c r="BQ357" i="6"/>
  <c r="BR330" i="6"/>
  <c r="BS325" i="6"/>
  <c r="AA330" i="6"/>
  <c r="AE330" i="6" s="1"/>
  <c r="BS331" i="6"/>
  <c r="BS332" i="6"/>
  <c r="BS335" i="6"/>
  <c r="BS339" i="6"/>
  <c r="BS343" i="6"/>
  <c r="BS346" i="6"/>
  <c r="BS350" i="6"/>
  <c r="BS360" i="6"/>
  <c r="K368" i="6"/>
  <c r="V434" i="6"/>
  <c r="Z377" i="6"/>
  <c r="P286" i="6"/>
  <c r="P288" i="6"/>
  <c r="BP368" i="6"/>
  <c r="BS336" i="6"/>
  <c r="BS337" i="6"/>
  <c r="BS340" i="6"/>
  <c r="AC368" i="6"/>
  <c r="BS344" i="6"/>
  <c r="BS355" i="6"/>
  <c r="AE357" i="6"/>
  <c r="BS361" i="6"/>
  <c r="BS366" i="6"/>
  <c r="Z368" i="6"/>
  <c r="AT368" i="6"/>
  <c r="AH434" i="6"/>
  <c r="BS384" i="6"/>
  <c r="BQ330" i="6"/>
  <c r="BO284" i="6"/>
  <c r="BS284" i="6" s="1"/>
  <c r="BS321" i="6"/>
  <c r="AO330" i="6"/>
  <c r="BN330" i="6"/>
  <c r="BR368" i="6"/>
  <c r="BS333" i="6"/>
  <c r="BS338" i="6"/>
  <c r="BS342" i="6"/>
  <c r="BS347" i="6"/>
  <c r="BS349" i="6"/>
  <c r="BS358" i="6"/>
  <c r="BS363" i="6"/>
  <c r="BS364" i="6"/>
  <c r="P368" i="6"/>
  <c r="AA368" i="6"/>
  <c r="AJ368" i="6"/>
  <c r="AY368" i="6"/>
  <c r="AA434" i="6"/>
  <c r="AE377" i="6"/>
  <c r="K377" i="6"/>
  <c r="AB434" i="6"/>
  <c r="AJ377" i="6"/>
  <c r="AY377" i="6"/>
  <c r="BN377" i="6"/>
  <c r="BF396" i="6"/>
  <c r="BF434" i="6" s="1"/>
  <c r="BI386" i="6"/>
  <c r="BP386" i="6"/>
  <c r="BS388" i="6"/>
  <c r="BS402" i="6"/>
  <c r="BS404" i="6"/>
  <c r="BO357" i="6"/>
  <c r="AZ377" i="6"/>
  <c r="BO396" i="6"/>
  <c r="BS378" i="6"/>
  <c r="BS389" i="6"/>
  <c r="BS398" i="6"/>
  <c r="BS400" i="6"/>
  <c r="BQ377" i="6"/>
  <c r="BS375" i="6"/>
  <c r="P377" i="6"/>
  <c r="AT377" i="6"/>
  <c r="BS381" i="6"/>
  <c r="BS383" i="6"/>
  <c r="BS385" i="6"/>
  <c r="BS391" i="6"/>
  <c r="AO396" i="6"/>
  <c r="BR406" i="6"/>
  <c r="BS406" i="6" s="1"/>
  <c r="BD406" i="6"/>
  <c r="BC408" i="6"/>
  <c r="BD408" i="6" s="1"/>
  <c r="BQ382" i="6"/>
  <c r="BP387" i="6"/>
  <c r="BS387" i="6" s="1"/>
  <c r="U396" i="6"/>
  <c r="BB396" i="6"/>
  <c r="BB434" i="6" s="1"/>
  <c r="BG396" i="6"/>
  <c r="BG434" i="6" s="1"/>
  <c r="BI408" i="6"/>
  <c r="BP423" i="6"/>
  <c r="BS410" i="6"/>
  <c r="BO423" i="6"/>
  <c r="BD383" i="6"/>
  <c r="BP392" i="6"/>
  <c r="BS392" i="6" s="1"/>
  <c r="AJ396" i="6"/>
  <c r="BS399" i="6"/>
  <c r="BS430" i="6"/>
  <c r="AJ433" i="6"/>
  <c r="BO436" i="6"/>
  <c r="AE436" i="6"/>
  <c r="AA438" i="6"/>
  <c r="BR423" i="6"/>
  <c r="BS412" i="6"/>
  <c r="BS422" i="6"/>
  <c r="BN423" i="6"/>
  <c r="BN433" i="6"/>
  <c r="BO437" i="6"/>
  <c r="BS437" i="6" s="1"/>
  <c r="AJ437" i="6"/>
  <c r="U377" i="6"/>
  <c r="AK434" i="6"/>
  <c r="AO377" i="6"/>
  <c r="AW434" i="6"/>
  <c r="BI377" i="6"/>
  <c r="BR396" i="6"/>
  <c r="P396" i="6"/>
  <c r="BQ408" i="6"/>
  <c r="Z399" i="6"/>
  <c r="Y408" i="6"/>
  <c r="Y434" i="6" s="1"/>
  <c r="BS405" i="6"/>
  <c r="BN408" i="6"/>
  <c r="BS414" i="6"/>
  <c r="BS419" i="6"/>
  <c r="AT423" i="6"/>
  <c r="BI423" i="6"/>
  <c r="BS425" i="6"/>
  <c r="K438" i="6"/>
  <c r="L423" i="6"/>
  <c r="P423" i="6" s="1"/>
  <c r="BO433" i="6"/>
  <c r="BS424" i="6"/>
  <c r="AE433" i="6"/>
  <c r="AF438" i="6"/>
  <c r="U465" i="6"/>
  <c r="BO408" i="6"/>
  <c r="BD433" i="6"/>
  <c r="BR438" i="6"/>
  <c r="AP438" i="6"/>
  <c r="AT437" i="6"/>
  <c r="BS448" i="6"/>
  <c r="BS429" i="6"/>
  <c r="K433" i="6"/>
  <c r="BS435" i="6"/>
  <c r="AY438" i="6"/>
  <c r="BS444" i="6"/>
  <c r="BS449" i="6"/>
  <c r="BS456" i="6"/>
  <c r="Z438" i="6"/>
  <c r="BN438" i="6"/>
  <c r="BQ465" i="6"/>
  <c r="BS454" i="6"/>
  <c r="AJ436" i="6"/>
  <c r="Q508" i="6"/>
  <c r="U438" i="6"/>
  <c r="AI508" i="6"/>
  <c r="AO438" i="6"/>
  <c r="BE438" i="6"/>
  <c r="BR465" i="6"/>
  <c r="BS461" i="6"/>
  <c r="P438" i="6"/>
  <c r="BD438" i="6"/>
  <c r="BO465" i="6"/>
  <c r="BS439" i="6"/>
  <c r="BS453" i="6"/>
  <c r="BS458" i="6"/>
  <c r="BS462" i="6"/>
  <c r="AO465" i="6"/>
  <c r="Z465" i="6"/>
  <c r="AT465" i="6"/>
  <c r="BN465" i="6"/>
  <c r="BI465" i="6"/>
  <c r="BR502" i="6"/>
  <c r="BS470" i="6"/>
  <c r="BS492" i="6"/>
  <c r="P465" i="6"/>
  <c r="AJ465" i="6"/>
  <c r="BD465" i="6"/>
  <c r="BS466" i="6"/>
  <c r="BS483" i="6"/>
  <c r="BS488" i="6"/>
  <c r="K465" i="6"/>
  <c r="AE465" i="6"/>
  <c r="AY465" i="6"/>
  <c r="BP502" i="6"/>
  <c r="BS479" i="6"/>
  <c r="BS484" i="6"/>
  <c r="BS490" i="6"/>
  <c r="BS495" i="6"/>
  <c r="BS496" i="6"/>
  <c r="BJ502" i="6"/>
  <c r="BN498" i="6"/>
  <c r="BO499" i="6"/>
  <c r="BS499" i="6" s="1"/>
  <c r="BS501" i="6"/>
  <c r="AO502" i="6"/>
  <c r="AT502" i="6"/>
  <c r="P507" i="6"/>
  <c r="BS506" i="6"/>
  <c r="U507" i="6"/>
  <c r="AJ507" i="6"/>
  <c r="BI507" i="6"/>
  <c r="BO505" i="6"/>
  <c r="BS505" i="6" s="1"/>
  <c r="AO507" i="6"/>
  <c r="AY507" i="6"/>
  <c r="AE507" i="6"/>
  <c r="BN507" i="6"/>
  <c r="K408" i="6" l="1"/>
  <c r="BB369" i="6"/>
  <c r="BB509" i="6" s="1"/>
  <c r="BD503" i="6"/>
  <c r="BM369" i="6"/>
  <c r="BM509" i="6" s="1"/>
  <c r="AN369" i="6"/>
  <c r="AN509" i="6" s="1"/>
  <c r="T509" i="6"/>
  <c r="BA369" i="6"/>
  <c r="AM369" i="6"/>
  <c r="AM509" i="6" s="1"/>
  <c r="BS42" i="6"/>
  <c r="BS498" i="6"/>
  <c r="BS345" i="6"/>
  <c r="Z503" i="6"/>
  <c r="BS166" i="6"/>
  <c r="BQ503" i="6"/>
  <c r="BQ508" i="6" s="1"/>
  <c r="BN396" i="6"/>
  <c r="Q147" i="6"/>
  <c r="Q148" i="6" s="1"/>
  <c r="AS509" i="6"/>
  <c r="AX369" i="6"/>
  <c r="AX509" i="6" s="1"/>
  <c r="AL369" i="6"/>
  <c r="AG369" i="6"/>
  <c r="AG509" i="6" s="1"/>
  <c r="BQ396" i="6"/>
  <c r="AE396" i="6"/>
  <c r="BL369" i="6"/>
  <c r="BL509" i="6" s="1"/>
  <c r="AO434" i="6"/>
  <c r="BS129" i="6"/>
  <c r="AR369" i="6"/>
  <c r="AR509" i="6" s="1"/>
  <c r="BP503" i="6"/>
  <c r="BP508" i="6" s="1"/>
  <c r="AD369" i="6"/>
  <c r="AD509" i="6" s="1"/>
  <c r="BS8" i="6"/>
  <c r="AT434" i="6"/>
  <c r="BI502" i="6"/>
  <c r="BR180" i="6"/>
  <c r="BR181" i="6" s="1"/>
  <c r="Y369" i="6"/>
  <c r="BF369" i="6"/>
  <c r="BF509" i="6" s="1"/>
  <c r="X369" i="6"/>
  <c r="X509" i="6" s="1"/>
  <c r="AJ434" i="6"/>
  <c r="AB369" i="6"/>
  <c r="AB509" i="6" s="1"/>
  <c r="BS308" i="6"/>
  <c r="AY503" i="6"/>
  <c r="P503" i="6"/>
  <c r="AT503" i="6"/>
  <c r="AY434" i="6"/>
  <c r="BQ368" i="6"/>
  <c r="K503" i="6"/>
  <c r="AE368" i="6"/>
  <c r="BA434" i="6"/>
  <c r="BO377" i="6"/>
  <c r="BO434" i="6" s="1"/>
  <c r="U434" i="6"/>
  <c r="BS168" i="6"/>
  <c r="BS433" i="6"/>
  <c r="BS370" i="6"/>
  <c r="BS140" i="6"/>
  <c r="M369" i="6"/>
  <c r="M509" i="6" s="1"/>
  <c r="AJ181" i="6"/>
  <c r="BS95" i="6"/>
  <c r="AH369" i="6"/>
  <c r="AH509" i="6" s="1"/>
  <c r="AE503" i="6"/>
  <c r="O434" i="6"/>
  <c r="J509" i="6"/>
  <c r="AV369" i="6"/>
  <c r="AV509" i="6" s="1"/>
  <c r="N369" i="6"/>
  <c r="N509" i="6" s="1"/>
  <c r="BI503" i="6"/>
  <c r="AY508" i="6"/>
  <c r="BC434" i="6"/>
  <c r="BS73" i="6"/>
  <c r="P508" i="6"/>
  <c r="BS110" i="6"/>
  <c r="R369" i="6"/>
  <c r="R509" i="6" s="1"/>
  <c r="U503" i="6"/>
  <c r="K508" i="6"/>
  <c r="AO503" i="6"/>
  <c r="BD508" i="6"/>
  <c r="P181" i="6"/>
  <c r="H369" i="6"/>
  <c r="H509" i="6" s="1"/>
  <c r="U508" i="6"/>
  <c r="Z396" i="6"/>
  <c r="S509" i="6"/>
  <c r="K434" i="6"/>
  <c r="AP369" i="6"/>
  <c r="AK508" i="6"/>
  <c r="BR503" i="6"/>
  <c r="BD396" i="6"/>
  <c r="BQ147" i="6"/>
  <c r="BQ148" i="6" s="1"/>
  <c r="BH509" i="6"/>
  <c r="BK369" i="6"/>
  <c r="BK509" i="6" s="1"/>
  <c r="W369" i="6"/>
  <c r="W509" i="6" s="1"/>
  <c r="BN148" i="6"/>
  <c r="Z408" i="6"/>
  <c r="BS357" i="6"/>
  <c r="AJ180" i="6"/>
  <c r="BC369" i="6"/>
  <c r="AC369" i="6"/>
  <c r="AC509" i="6" s="1"/>
  <c r="O369" i="6"/>
  <c r="BR147" i="6"/>
  <c r="BR148" i="6" s="1"/>
  <c r="BQ180" i="6"/>
  <c r="BQ181" i="6" s="1"/>
  <c r="BQ369" i="6" s="1"/>
  <c r="BO330" i="6"/>
  <c r="BS330" i="6" s="1"/>
  <c r="AQ369" i="6"/>
  <c r="AQ509" i="6" s="1"/>
  <c r="I369" i="6"/>
  <c r="I509" i="6" s="1"/>
  <c r="Z147" i="6"/>
  <c r="BP147" i="6"/>
  <c r="BP148" i="6" s="1"/>
  <c r="AL509" i="6"/>
  <c r="AY148" i="6"/>
  <c r="BP180" i="6"/>
  <c r="BP181" i="6" s="1"/>
  <c r="BD180" i="6"/>
  <c r="AW369" i="6"/>
  <c r="AW509" i="6" s="1"/>
  <c r="AI369" i="6"/>
  <c r="AI509" i="6" s="1"/>
  <c r="AF147" i="6"/>
  <c r="BI434" i="6"/>
  <c r="BO502" i="6"/>
  <c r="BS502" i="6" s="1"/>
  <c r="AZ434" i="6"/>
  <c r="BD377" i="6"/>
  <c r="BJ181" i="6"/>
  <c r="BN180" i="6"/>
  <c r="BE508" i="6"/>
  <c r="BI508" i="6" s="1"/>
  <c r="BI438" i="6"/>
  <c r="Z508" i="6"/>
  <c r="AP508" i="6"/>
  <c r="AT508" i="6" s="1"/>
  <c r="AT438" i="6"/>
  <c r="BR508" i="6"/>
  <c r="BO368" i="6"/>
  <c r="BS386" i="6"/>
  <c r="Z434" i="6"/>
  <c r="BS293" i="6"/>
  <c r="BO279" i="6"/>
  <c r="BS279" i="6" s="1"/>
  <c r="BS278" i="6"/>
  <c r="AO180" i="6"/>
  <c r="AK181" i="6"/>
  <c r="AO181" i="6" s="1"/>
  <c r="AE180" i="6"/>
  <c r="AA181" i="6"/>
  <c r="AE181" i="6" s="1"/>
  <c r="P180" i="6"/>
  <c r="BS38" i="6"/>
  <c r="BG509" i="6"/>
  <c r="BN147" i="6"/>
  <c r="AY147" i="6"/>
  <c r="BN502" i="6"/>
  <c r="BJ503" i="6"/>
  <c r="BS465" i="6"/>
  <c r="BS436" i="6"/>
  <c r="BO438" i="6"/>
  <c r="BS382" i="6"/>
  <c r="BR408" i="6"/>
  <c r="BR434" i="6" s="1"/>
  <c r="BN434" i="6"/>
  <c r="AT330" i="6"/>
  <c r="AY180" i="6"/>
  <c r="AU181" i="6"/>
  <c r="AY181" i="6" s="1"/>
  <c r="BI180" i="6"/>
  <c r="BE181" i="6"/>
  <c r="BI181" i="6" s="1"/>
  <c r="U180" i="6"/>
  <c r="Q181" i="6"/>
  <c r="U181" i="6" s="1"/>
  <c r="AT180" i="6"/>
  <c r="BS179" i="6"/>
  <c r="BS159" i="6"/>
  <c r="BO180" i="6"/>
  <c r="BO146" i="6"/>
  <c r="BS146" i="6" s="1"/>
  <c r="BD181" i="6"/>
  <c r="K180" i="6"/>
  <c r="Z148" i="6"/>
  <c r="Y509" i="6"/>
  <c r="BS31" i="6"/>
  <c r="AZ148" i="6"/>
  <c r="BD147" i="6"/>
  <c r="AT147" i="6"/>
  <c r="BO54" i="6"/>
  <c r="BS54" i="6" s="1"/>
  <c r="AK148" i="6"/>
  <c r="AO147" i="6"/>
  <c r="AA148" i="6"/>
  <c r="AE147" i="6"/>
  <c r="AF508" i="6"/>
  <c r="AJ508" i="6" s="1"/>
  <c r="AJ438" i="6"/>
  <c r="AA508" i="6"/>
  <c r="AE508" i="6" s="1"/>
  <c r="AE438" i="6"/>
  <c r="BS423" i="6"/>
  <c r="L434" i="6"/>
  <c r="BI396" i="6"/>
  <c r="AE434" i="6"/>
  <c r="BP396" i="6"/>
  <c r="BP434" i="6" s="1"/>
  <c r="Z180" i="6"/>
  <c r="V181" i="6"/>
  <c r="Z181" i="6" s="1"/>
  <c r="AT181" i="6"/>
  <c r="BS124" i="6"/>
  <c r="BE148" i="6"/>
  <c r="BI147" i="6"/>
  <c r="K181" i="6"/>
  <c r="BS117" i="6"/>
  <c r="G147" i="6"/>
  <c r="AT148" i="6"/>
  <c r="L148" i="6"/>
  <c r="P147" i="6"/>
  <c r="BS88" i="6"/>
  <c r="U147" i="6" l="1"/>
  <c r="BD434" i="6"/>
  <c r="BS368" i="6"/>
  <c r="BR369" i="6"/>
  <c r="BR509" i="6" s="1"/>
  <c r="AP509" i="6"/>
  <c r="AT509" i="6" s="1"/>
  <c r="AU369" i="6"/>
  <c r="AY369" i="6" s="1"/>
  <c r="O509" i="6"/>
  <c r="AT369" i="6"/>
  <c r="BS377" i="6"/>
  <c r="BQ434" i="6"/>
  <c r="BS434" i="6" s="1"/>
  <c r="BA509" i="6"/>
  <c r="BC509" i="6"/>
  <c r="BP369" i="6"/>
  <c r="BP509" i="6" s="1"/>
  <c r="AO508" i="6"/>
  <c r="BS408" i="6"/>
  <c r="AF148" i="6"/>
  <c r="AJ147" i="6"/>
  <c r="AE148" i="6"/>
  <c r="AA369" i="6"/>
  <c r="P148" i="6"/>
  <c r="L369" i="6"/>
  <c r="P434" i="6"/>
  <c r="V369" i="6"/>
  <c r="BN503" i="6"/>
  <c r="BJ508" i="6"/>
  <c r="BN181" i="6"/>
  <c r="BJ369" i="6"/>
  <c r="U148" i="6"/>
  <c r="Q369" i="6"/>
  <c r="BS396" i="6"/>
  <c r="G148" i="6"/>
  <c r="K147" i="6"/>
  <c r="BI148" i="6"/>
  <c r="BE369" i="6"/>
  <c r="AO148" i="6"/>
  <c r="AK369" i="6"/>
  <c r="BD148" i="6"/>
  <c r="AZ369" i="6"/>
  <c r="BO147" i="6"/>
  <c r="BO181" i="6"/>
  <c r="BS181" i="6" s="1"/>
  <c r="BS180" i="6"/>
  <c r="BS438" i="6"/>
  <c r="BO503" i="6"/>
  <c r="BS503" i="6" s="1"/>
  <c r="BQ509" i="6" l="1"/>
  <c r="AU509" i="6"/>
  <c r="AY509" i="6" s="1"/>
  <c r="AJ148" i="6"/>
  <c r="AF369" i="6"/>
  <c r="BS147" i="6"/>
  <c r="BO148" i="6"/>
  <c r="BE509" i="6"/>
  <c r="BI509" i="6" s="1"/>
  <c r="BI369" i="6"/>
  <c r="Q509" i="6"/>
  <c r="U509" i="6" s="1"/>
  <c r="U369" i="6"/>
  <c r="BN508" i="6"/>
  <c r="L509" i="6"/>
  <c r="P509" i="6" s="1"/>
  <c r="P369" i="6"/>
  <c r="AA509" i="6"/>
  <c r="AE509" i="6" s="1"/>
  <c r="AE369" i="6"/>
  <c r="AZ509" i="6"/>
  <c r="BD509" i="6" s="1"/>
  <c r="BD369" i="6"/>
  <c r="BO508" i="6"/>
  <c r="BS508" i="6" s="1"/>
  <c r="AK509" i="6"/>
  <c r="AO509" i="6" s="1"/>
  <c r="AO369" i="6"/>
  <c r="K148" i="6"/>
  <c r="G369" i="6"/>
  <c r="BJ509" i="6"/>
  <c r="BN509" i="6" s="1"/>
  <c r="BN369" i="6"/>
  <c r="V509" i="6"/>
  <c r="Z509" i="6" s="1"/>
  <c r="Z369" i="6"/>
  <c r="AF509" i="6" l="1"/>
  <c r="AJ509" i="6" s="1"/>
  <c r="AJ369" i="6"/>
  <c r="BS148" i="6"/>
  <c r="BO369" i="6"/>
  <c r="G509" i="6"/>
  <c r="K509" i="6" s="1"/>
  <c r="K369" i="6"/>
  <c r="BO509" i="6" l="1"/>
  <c r="BS509" i="6" s="1"/>
  <c r="BS369" i="6"/>
  <c r="BS490" i="5" l="1"/>
  <c r="BS489" i="5"/>
  <c r="BS488" i="5"/>
  <c r="BS487" i="5"/>
  <c r="BS491" i="5" s="1"/>
  <c r="BN490" i="5"/>
  <c r="BN489" i="5"/>
  <c r="BN488" i="5"/>
  <c r="BN487" i="5"/>
  <c r="BN491" i="5" s="1"/>
  <c r="BI490" i="5"/>
  <c r="BI489" i="5"/>
  <c r="BI488" i="5"/>
  <c r="BI487" i="5"/>
  <c r="BI491" i="5" s="1"/>
  <c r="BD490" i="5"/>
  <c r="BD489" i="5"/>
  <c r="BD488" i="5"/>
  <c r="BD487" i="5"/>
  <c r="BD491" i="5" s="1"/>
  <c r="AY490" i="5"/>
  <c r="AY489" i="5"/>
  <c r="AY488" i="5"/>
  <c r="AY487" i="5"/>
  <c r="AY491" i="5" s="1"/>
  <c r="AT490" i="5"/>
  <c r="AT489" i="5"/>
  <c r="AT488" i="5"/>
  <c r="AT487" i="5"/>
  <c r="AT491" i="5" s="1"/>
  <c r="AO490" i="5"/>
  <c r="AO489" i="5"/>
  <c r="AO488" i="5"/>
  <c r="AO487" i="5"/>
  <c r="AO491" i="5" s="1"/>
  <c r="AJ490" i="5"/>
  <c r="AJ489" i="5"/>
  <c r="AJ488" i="5"/>
  <c r="AJ487" i="5"/>
  <c r="AJ491" i="5" s="1"/>
  <c r="AE490" i="5"/>
  <c r="AE489" i="5"/>
  <c r="AE488" i="5"/>
  <c r="AE487" i="5"/>
  <c r="AE491" i="5" s="1"/>
  <c r="Z490" i="5"/>
  <c r="Z489" i="5"/>
  <c r="Z488" i="5"/>
  <c r="Z487" i="5"/>
  <c r="Z491" i="5" s="1"/>
  <c r="U490" i="5"/>
  <c r="U489" i="5"/>
  <c r="U488" i="5"/>
  <c r="U487" i="5"/>
  <c r="U491" i="5" s="1"/>
  <c r="P490" i="5"/>
  <c r="P489" i="5"/>
  <c r="P488" i="5"/>
  <c r="P487" i="5"/>
  <c r="P491" i="5" s="1"/>
  <c r="K490" i="5"/>
  <c r="K489" i="5"/>
  <c r="K488" i="5"/>
  <c r="K487" i="5"/>
  <c r="BS440" i="4"/>
  <c r="BN440" i="4"/>
  <c r="BI440" i="4"/>
  <c r="BI444" i="4" s="1"/>
  <c r="BD440" i="4"/>
  <c r="BD444" i="4" s="1"/>
  <c r="AY440" i="4"/>
  <c r="AT440" i="4"/>
  <c r="AO440" i="4"/>
  <c r="AJ440" i="4"/>
  <c r="AJ444" i="4" s="1"/>
  <c r="AE440" i="4"/>
  <c r="Z440" i="4"/>
  <c r="U440" i="4"/>
  <c r="U444" i="4" s="1"/>
  <c r="P440" i="4"/>
  <c r="K440" i="4"/>
  <c r="K444" i="4" s="1"/>
  <c r="BS443" i="4"/>
  <c r="BS442" i="4"/>
  <c r="BS441" i="4"/>
  <c r="BS444" i="4"/>
  <c r="BN443" i="4"/>
  <c r="BN442" i="4"/>
  <c r="BN441" i="4"/>
  <c r="BN444" i="4"/>
  <c r="BI443" i="4"/>
  <c r="BI442" i="4"/>
  <c r="BI441" i="4"/>
  <c r="BD443" i="4"/>
  <c r="BD442" i="4"/>
  <c r="BD441" i="4"/>
  <c r="AY443" i="4"/>
  <c r="AY442" i="4"/>
  <c r="AY441" i="4"/>
  <c r="AY444" i="4"/>
  <c r="AT443" i="4"/>
  <c r="AT442" i="4"/>
  <c r="AT441" i="4"/>
  <c r="AT444" i="4"/>
  <c r="AO443" i="4"/>
  <c r="AO442" i="4"/>
  <c r="AO441" i="4"/>
  <c r="AO444" i="4"/>
  <c r="AJ443" i="4"/>
  <c r="AJ442" i="4"/>
  <c r="AJ441" i="4"/>
  <c r="AE443" i="4"/>
  <c r="AE442" i="4"/>
  <c r="AE441" i="4"/>
  <c r="AE444" i="4"/>
  <c r="Z443" i="4"/>
  <c r="Z442" i="4"/>
  <c r="Z441" i="4"/>
  <c r="Z444" i="4"/>
  <c r="U443" i="4"/>
  <c r="U442" i="4"/>
  <c r="U441" i="4"/>
  <c r="P443" i="4"/>
  <c r="P442" i="4"/>
  <c r="P441" i="4"/>
  <c r="P444" i="4"/>
  <c r="K443" i="4"/>
  <c r="K442" i="4"/>
  <c r="K441" i="4"/>
  <c r="BM482" i="5"/>
  <c r="BL482" i="5"/>
  <c r="BK482" i="5"/>
  <c r="BJ482" i="5"/>
  <c r="BH482" i="5"/>
  <c r="BG482" i="5"/>
  <c r="BF482" i="5"/>
  <c r="BE482" i="5"/>
  <c r="BC482" i="5"/>
  <c r="BB482" i="5"/>
  <c r="BA482" i="5"/>
  <c r="AZ482" i="5"/>
  <c r="AX482" i="5"/>
  <c r="AW482" i="5"/>
  <c r="AV482" i="5"/>
  <c r="AU482" i="5"/>
  <c r="AS482" i="5"/>
  <c r="AR482" i="5"/>
  <c r="AQ482" i="5"/>
  <c r="AP482" i="5"/>
  <c r="AN482" i="5"/>
  <c r="AM482" i="5"/>
  <c r="AL482" i="5"/>
  <c r="AK482" i="5"/>
  <c r="AI482" i="5"/>
  <c r="AH482" i="5"/>
  <c r="AG482" i="5"/>
  <c r="AF482" i="5"/>
  <c r="AD482" i="5"/>
  <c r="AC482" i="5"/>
  <c r="AB482" i="5"/>
  <c r="AA482" i="5"/>
  <c r="Y482" i="5"/>
  <c r="X482" i="5"/>
  <c r="W482" i="5"/>
  <c r="V482" i="5"/>
  <c r="T482" i="5"/>
  <c r="S482" i="5"/>
  <c r="R482" i="5"/>
  <c r="Q482" i="5"/>
  <c r="O482" i="5"/>
  <c r="N482" i="5"/>
  <c r="M482" i="5"/>
  <c r="L482" i="5"/>
  <c r="J482" i="5"/>
  <c r="I482" i="5"/>
  <c r="H482" i="5"/>
  <c r="G482" i="5"/>
  <c r="BR481" i="5"/>
  <c r="BR482" i="5" s="1"/>
  <c r="BQ481" i="5"/>
  <c r="BP481" i="5"/>
  <c r="BP482" i="5" s="1"/>
  <c r="BO481" i="5"/>
  <c r="BO482" i="5" s="1"/>
  <c r="BN481" i="5"/>
  <c r="BI481" i="5"/>
  <c r="BD481" i="5"/>
  <c r="AY481" i="5"/>
  <c r="AT481" i="5"/>
  <c r="AO481" i="5"/>
  <c r="AJ481" i="5"/>
  <c r="AE481" i="5"/>
  <c r="Z481" i="5"/>
  <c r="U481" i="5"/>
  <c r="P481" i="5"/>
  <c r="K481" i="5"/>
  <c r="BM480" i="5"/>
  <c r="BL480" i="5"/>
  <c r="BK480" i="5"/>
  <c r="BJ480" i="5"/>
  <c r="BH480" i="5"/>
  <c r="BG480" i="5"/>
  <c r="BF480" i="5"/>
  <c r="BE480" i="5"/>
  <c r="BC480" i="5"/>
  <c r="BB480" i="5"/>
  <c r="BA480" i="5"/>
  <c r="AZ480" i="5"/>
  <c r="AX480" i="5"/>
  <c r="AW480" i="5"/>
  <c r="AV480" i="5"/>
  <c r="AU480" i="5"/>
  <c r="AS480" i="5"/>
  <c r="AR480" i="5"/>
  <c r="AQ480" i="5"/>
  <c r="AP480" i="5"/>
  <c r="AN480" i="5"/>
  <c r="AM480" i="5"/>
  <c r="AL480" i="5"/>
  <c r="AK480" i="5"/>
  <c r="AI480" i="5"/>
  <c r="AH480" i="5"/>
  <c r="AG480" i="5"/>
  <c r="AF480" i="5"/>
  <c r="AD480" i="5"/>
  <c r="AC480" i="5"/>
  <c r="AB480" i="5"/>
  <c r="AA480" i="5"/>
  <c r="Y480" i="5"/>
  <c r="X480" i="5"/>
  <c r="W480" i="5"/>
  <c r="V480" i="5"/>
  <c r="T480" i="5"/>
  <c r="S480" i="5"/>
  <c r="R480" i="5"/>
  <c r="Q480" i="5"/>
  <c r="O480" i="5"/>
  <c r="N480" i="5"/>
  <c r="M480" i="5"/>
  <c r="L480" i="5"/>
  <c r="J480" i="5"/>
  <c r="I480" i="5"/>
  <c r="H480" i="5"/>
  <c r="G480" i="5"/>
  <c r="BR479" i="5"/>
  <c r="BQ479" i="5"/>
  <c r="BP479" i="5"/>
  <c r="BO479" i="5"/>
  <c r="BN479" i="5"/>
  <c r="BI479" i="5"/>
  <c r="BD479" i="5"/>
  <c r="AY479" i="5"/>
  <c r="AT479" i="5"/>
  <c r="AO479" i="5"/>
  <c r="AJ479" i="5"/>
  <c r="AE479" i="5"/>
  <c r="Z479" i="5"/>
  <c r="U479" i="5"/>
  <c r="P479" i="5"/>
  <c r="K479" i="5"/>
  <c r="BR478" i="5"/>
  <c r="BQ478" i="5"/>
  <c r="BP478" i="5"/>
  <c r="BO478" i="5"/>
  <c r="BN478" i="5"/>
  <c r="BI478" i="5"/>
  <c r="BD478" i="5"/>
  <c r="AY478" i="5"/>
  <c r="AT478" i="5"/>
  <c r="AO478" i="5"/>
  <c r="AJ478" i="5"/>
  <c r="AE478" i="5"/>
  <c r="Z478" i="5"/>
  <c r="U478" i="5"/>
  <c r="P478" i="5"/>
  <c r="K478" i="5"/>
  <c r="BM476" i="5"/>
  <c r="BL476" i="5"/>
  <c r="BK476" i="5"/>
  <c r="BJ476" i="5"/>
  <c r="BH476" i="5"/>
  <c r="BG476" i="5"/>
  <c r="BF476" i="5"/>
  <c r="BE476" i="5"/>
  <c r="BC476" i="5"/>
  <c r="BB476" i="5"/>
  <c r="BA476" i="5"/>
  <c r="AX476" i="5"/>
  <c r="AW476" i="5"/>
  <c r="AV476" i="5"/>
  <c r="AU476" i="5"/>
  <c r="AS476" i="5"/>
  <c r="AR476" i="5"/>
  <c r="AQ476" i="5"/>
  <c r="AP476" i="5"/>
  <c r="AN476" i="5"/>
  <c r="AM476" i="5"/>
  <c r="AL476" i="5"/>
  <c r="AK476" i="5"/>
  <c r="AI476" i="5"/>
  <c r="AH476" i="5"/>
  <c r="AG476" i="5"/>
  <c r="AF476" i="5"/>
  <c r="AD476" i="5"/>
  <c r="AC476" i="5"/>
  <c r="AB476" i="5"/>
  <c r="AA476" i="5"/>
  <c r="Y476" i="5"/>
  <c r="X476" i="5"/>
  <c r="W476" i="5"/>
  <c r="V476" i="5"/>
  <c r="T476" i="5"/>
  <c r="S476" i="5"/>
  <c r="R476" i="5"/>
  <c r="O476" i="5"/>
  <c r="N476" i="5"/>
  <c r="M476" i="5"/>
  <c r="J476" i="5"/>
  <c r="I476" i="5"/>
  <c r="H476" i="5"/>
  <c r="G476" i="5"/>
  <c r="BR475" i="5"/>
  <c r="BQ475" i="5"/>
  <c r="BP475" i="5"/>
  <c r="BO475" i="5"/>
  <c r="BN475" i="5"/>
  <c r="BI475" i="5"/>
  <c r="BD475" i="5"/>
  <c r="AY475" i="5"/>
  <c r="AT475" i="5"/>
  <c r="AO475" i="5"/>
  <c r="AJ475" i="5"/>
  <c r="AE475" i="5"/>
  <c r="Z475" i="5"/>
  <c r="U475" i="5"/>
  <c r="P475" i="5"/>
  <c r="K475" i="5"/>
  <c r="BR474" i="5"/>
  <c r="BQ474" i="5"/>
  <c r="BP474" i="5"/>
  <c r="BO474" i="5"/>
  <c r="BN474" i="5"/>
  <c r="BI474" i="5"/>
  <c r="BD474" i="5"/>
  <c r="AY474" i="5"/>
  <c r="AT474" i="5"/>
  <c r="AO474" i="5"/>
  <c r="AJ474" i="5"/>
  <c r="AE474" i="5"/>
  <c r="Z474" i="5"/>
  <c r="U474" i="5"/>
  <c r="P474" i="5"/>
  <c r="K474" i="5"/>
  <c r="BR473" i="5"/>
  <c r="BQ473" i="5"/>
  <c r="BP473" i="5"/>
  <c r="BO473" i="5"/>
  <c r="BN473" i="5"/>
  <c r="BI473" i="5"/>
  <c r="BD473" i="5"/>
  <c r="AY473" i="5"/>
  <c r="AT473" i="5"/>
  <c r="AO473" i="5"/>
  <c r="AJ473" i="5"/>
  <c r="AE473" i="5"/>
  <c r="Z473" i="5"/>
  <c r="U473" i="5"/>
  <c r="P473" i="5"/>
  <c r="K473" i="5"/>
  <c r="BR472" i="5"/>
  <c r="BQ472" i="5"/>
  <c r="BP472" i="5"/>
  <c r="BO472" i="5"/>
  <c r="BN472" i="5"/>
  <c r="BI472" i="5"/>
  <c r="BD472" i="5"/>
  <c r="AY472" i="5"/>
  <c r="AT472" i="5"/>
  <c r="AO472" i="5"/>
  <c r="AJ472" i="5"/>
  <c r="AE472" i="5"/>
  <c r="Z472" i="5"/>
  <c r="U472" i="5"/>
  <c r="P472" i="5"/>
  <c r="K472" i="5"/>
  <c r="BR471" i="5"/>
  <c r="BQ471" i="5"/>
  <c r="BP471" i="5"/>
  <c r="BO471" i="5"/>
  <c r="BN471" i="5"/>
  <c r="BI471" i="5"/>
  <c r="BD471" i="5"/>
  <c r="AY471" i="5"/>
  <c r="AT471" i="5"/>
  <c r="AO471" i="5"/>
  <c r="AJ471" i="5"/>
  <c r="AE471" i="5"/>
  <c r="Z471" i="5"/>
  <c r="U471" i="5"/>
  <c r="P471" i="5"/>
  <c r="K471" i="5"/>
  <c r="BR470" i="5"/>
  <c r="BQ470" i="5"/>
  <c r="BP470" i="5"/>
  <c r="BO470" i="5"/>
  <c r="BN470" i="5"/>
  <c r="BI470" i="5"/>
  <c r="BD470" i="5"/>
  <c r="AY470" i="5"/>
  <c r="AT470" i="5"/>
  <c r="AO470" i="5"/>
  <c r="AJ470" i="5"/>
  <c r="AE470" i="5"/>
  <c r="Z470" i="5"/>
  <c r="U470" i="5"/>
  <c r="P470" i="5"/>
  <c r="K470" i="5"/>
  <c r="BR469" i="5"/>
  <c r="BQ469" i="5"/>
  <c r="BP469" i="5"/>
  <c r="BO469" i="5"/>
  <c r="BN469" i="5"/>
  <c r="BI469" i="5"/>
  <c r="BD469" i="5"/>
  <c r="AY469" i="5"/>
  <c r="AT469" i="5"/>
  <c r="AO469" i="5"/>
  <c r="AJ469" i="5"/>
  <c r="AE469" i="5"/>
  <c r="Z469" i="5"/>
  <c r="U469" i="5"/>
  <c r="P469" i="5"/>
  <c r="K469" i="5"/>
  <c r="BR468" i="5"/>
  <c r="BQ468" i="5"/>
  <c r="BP468" i="5"/>
  <c r="BO468" i="5"/>
  <c r="BN468" i="5"/>
  <c r="BI468" i="5"/>
  <c r="BD468" i="5"/>
  <c r="AY468" i="5"/>
  <c r="AT468" i="5"/>
  <c r="AO468" i="5"/>
  <c r="AJ468" i="5"/>
  <c r="AE468" i="5"/>
  <c r="Z468" i="5"/>
  <c r="U468" i="5"/>
  <c r="P468" i="5"/>
  <c r="K468" i="5"/>
  <c r="BR467" i="5"/>
  <c r="BQ467" i="5"/>
  <c r="BP467" i="5"/>
  <c r="BO467" i="5"/>
  <c r="BN467" i="5"/>
  <c r="BI467" i="5"/>
  <c r="BD467" i="5"/>
  <c r="AY467" i="5"/>
  <c r="AT467" i="5"/>
  <c r="AO467" i="5"/>
  <c r="AJ467" i="5"/>
  <c r="AE467" i="5"/>
  <c r="Z467" i="5"/>
  <c r="U467" i="5"/>
  <c r="P467" i="5"/>
  <c r="K467" i="5"/>
  <c r="BR466" i="5"/>
  <c r="BQ466" i="5"/>
  <c r="BP466" i="5"/>
  <c r="BN466" i="5"/>
  <c r="BI466" i="5"/>
  <c r="AZ466" i="5"/>
  <c r="BO466" i="5" s="1"/>
  <c r="AY466" i="5"/>
  <c r="AT466" i="5"/>
  <c r="AO466" i="5"/>
  <c r="AJ466" i="5"/>
  <c r="AE466" i="5"/>
  <c r="Z466" i="5"/>
  <c r="U466" i="5"/>
  <c r="P466" i="5"/>
  <c r="K466" i="5"/>
  <c r="BR465" i="5"/>
  <c r="BQ465" i="5"/>
  <c r="BP465" i="5"/>
  <c r="BO465" i="5"/>
  <c r="BN465" i="5"/>
  <c r="BI465" i="5"/>
  <c r="BD465" i="5"/>
  <c r="AY465" i="5"/>
  <c r="AT465" i="5"/>
  <c r="AO465" i="5"/>
  <c r="AJ465" i="5"/>
  <c r="AE465" i="5"/>
  <c r="Z465" i="5"/>
  <c r="U465" i="5"/>
  <c r="P465" i="5"/>
  <c r="K465" i="5"/>
  <c r="BR464" i="5"/>
  <c r="BQ464" i="5"/>
  <c r="BP464" i="5"/>
  <c r="BO464" i="5"/>
  <c r="BN464" i="5"/>
  <c r="BI464" i="5"/>
  <c r="BD464" i="5"/>
  <c r="AY464" i="5"/>
  <c r="AT464" i="5"/>
  <c r="AO464" i="5"/>
  <c r="AJ464" i="5"/>
  <c r="AE464" i="5"/>
  <c r="Z464" i="5"/>
  <c r="U464" i="5"/>
  <c r="P464" i="5"/>
  <c r="K464" i="5"/>
  <c r="BR463" i="5"/>
  <c r="BQ463" i="5"/>
  <c r="BP463" i="5"/>
  <c r="BO463" i="5"/>
  <c r="BN463" i="5"/>
  <c r="BI463" i="5"/>
  <c r="BD463" i="5"/>
  <c r="AY463" i="5"/>
  <c r="AT463" i="5"/>
  <c r="AO463" i="5"/>
  <c r="AJ463" i="5"/>
  <c r="AE463" i="5"/>
  <c r="Z463" i="5"/>
  <c r="U463" i="5"/>
  <c r="P463" i="5"/>
  <c r="K463" i="5"/>
  <c r="BR462" i="5"/>
  <c r="BQ462" i="5"/>
  <c r="BP462" i="5"/>
  <c r="BO462" i="5"/>
  <c r="BN462" i="5"/>
  <c r="BI462" i="5"/>
  <c r="BD462" i="5"/>
  <c r="AY462" i="5"/>
  <c r="AT462" i="5"/>
  <c r="AO462" i="5"/>
  <c r="AJ462" i="5"/>
  <c r="AE462" i="5"/>
  <c r="Z462" i="5"/>
  <c r="U462" i="5"/>
  <c r="P462" i="5"/>
  <c r="K462" i="5"/>
  <c r="BR461" i="5"/>
  <c r="BQ461" i="5"/>
  <c r="BP461" i="5"/>
  <c r="BO461" i="5"/>
  <c r="BN461" i="5"/>
  <c r="BI461" i="5"/>
  <c r="BD461" i="5"/>
  <c r="AY461" i="5"/>
  <c r="AT461" i="5"/>
  <c r="AO461" i="5"/>
  <c r="AJ461" i="5"/>
  <c r="AE461" i="5"/>
  <c r="Z461" i="5"/>
  <c r="U461" i="5"/>
  <c r="P461" i="5"/>
  <c r="K461" i="5"/>
  <c r="BR460" i="5"/>
  <c r="BQ460" i="5"/>
  <c r="BP460" i="5"/>
  <c r="BO460" i="5"/>
  <c r="BN460" i="5"/>
  <c r="BI460" i="5"/>
  <c r="BD460" i="5"/>
  <c r="AY460" i="5"/>
  <c r="AT460" i="5"/>
  <c r="AO460" i="5"/>
  <c r="AJ460" i="5"/>
  <c r="AE460" i="5"/>
  <c r="Z460" i="5"/>
  <c r="U460" i="5"/>
  <c r="P460" i="5"/>
  <c r="K460" i="5"/>
  <c r="BR459" i="5"/>
  <c r="BQ459" i="5"/>
  <c r="BP459" i="5"/>
  <c r="BO459" i="5"/>
  <c r="BN459" i="5"/>
  <c r="BI459" i="5"/>
  <c r="BD459" i="5"/>
  <c r="AY459" i="5"/>
  <c r="AT459" i="5"/>
  <c r="AO459" i="5"/>
  <c r="AJ459" i="5"/>
  <c r="AE459" i="5"/>
  <c r="Z459" i="5"/>
  <c r="U459" i="5"/>
  <c r="P459" i="5"/>
  <c r="K459" i="5"/>
  <c r="BR458" i="5"/>
  <c r="BQ458" i="5"/>
  <c r="BP458" i="5"/>
  <c r="BO458" i="5"/>
  <c r="BN458" i="5"/>
  <c r="BI458" i="5"/>
  <c r="BD458" i="5"/>
  <c r="AY458" i="5"/>
  <c r="AT458" i="5"/>
  <c r="AO458" i="5"/>
  <c r="AJ458" i="5"/>
  <c r="AE458" i="5"/>
  <c r="Z458" i="5"/>
  <c r="U458" i="5"/>
  <c r="P458" i="5"/>
  <c r="K458" i="5"/>
  <c r="BR457" i="5"/>
  <c r="BQ457" i="5"/>
  <c r="BP457" i="5"/>
  <c r="BO457" i="5"/>
  <c r="BN457" i="5"/>
  <c r="BI457" i="5"/>
  <c r="BD457" i="5"/>
  <c r="AY457" i="5"/>
  <c r="AT457" i="5"/>
  <c r="AO457" i="5"/>
  <c r="AJ457" i="5"/>
  <c r="AE457" i="5"/>
  <c r="Z457" i="5"/>
  <c r="U457" i="5"/>
  <c r="P457" i="5"/>
  <c r="K457" i="5"/>
  <c r="BR456" i="5"/>
  <c r="BQ456" i="5"/>
  <c r="BP456" i="5"/>
  <c r="BO456" i="5"/>
  <c r="BN456" i="5"/>
  <c r="BI456" i="5"/>
  <c r="BD456" i="5"/>
  <c r="AY456" i="5"/>
  <c r="AT456" i="5"/>
  <c r="AO456" i="5"/>
  <c r="AJ456" i="5"/>
  <c r="AE456" i="5"/>
  <c r="Z456" i="5"/>
  <c r="U456" i="5"/>
  <c r="P456" i="5"/>
  <c r="K456" i="5"/>
  <c r="BR455" i="5"/>
  <c r="BQ455" i="5"/>
  <c r="BP455" i="5"/>
  <c r="BO455" i="5"/>
  <c r="BN455" i="5"/>
  <c r="BI455" i="5"/>
  <c r="BD455" i="5"/>
  <c r="AY455" i="5"/>
  <c r="AT455" i="5"/>
  <c r="AO455" i="5"/>
  <c r="AJ455" i="5"/>
  <c r="AE455" i="5"/>
  <c r="Z455" i="5"/>
  <c r="U455" i="5"/>
  <c r="P455" i="5"/>
  <c r="K455" i="5"/>
  <c r="BR454" i="5"/>
  <c r="BQ454" i="5"/>
  <c r="BP454" i="5"/>
  <c r="BO454" i="5"/>
  <c r="BN454" i="5"/>
  <c r="BI454" i="5"/>
  <c r="BD454" i="5"/>
  <c r="AY454" i="5"/>
  <c r="AT454" i="5"/>
  <c r="AO454" i="5"/>
  <c r="AJ454" i="5"/>
  <c r="AE454" i="5"/>
  <c r="Z454" i="5"/>
  <c r="U454" i="5"/>
  <c r="P454" i="5"/>
  <c r="K454" i="5"/>
  <c r="BR453" i="5"/>
  <c r="BQ453" i="5"/>
  <c r="BP453" i="5"/>
  <c r="BO453" i="5"/>
  <c r="BN453" i="5"/>
  <c r="BI453" i="5"/>
  <c r="BD453" i="5"/>
  <c r="AY453" i="5"/>
  <c r="AT453" i="5"/>
  <c r="AO453" i="5"/>
  <c r="AJ453" i="5"/>
  <c r="AE453" i="5"/>
  <c r="Z453" i="5"/>
  <c r="U453" i="5"/>
  <c r="P453" i="5"/>
  <c r="K453" i="5"/>
  <c r="BR452" i="5"/>
  <c r="BQ452" i="5"/>
  <c r="BP452" i="5"/>
  <c r="BO452" i="5"/>
  <c r="BN452" i="5"/>
  <c r="BI452" i="5"/>
  <c r="BD452" i="5"/>
  <c r="AY452" i="5"/>
  <c r="AT452" i="5"/>
  <c r="AO452" i="5"/>
  <c r="AJ452" i="5"/>
  <c r="AE452" i="5"/>
  <c r="Z452" i="5"/>
  <c r="U452" i="5"/>
  <c r="P452" i="5"/>
  <c r="K452" i="5"/>
  <c r="BR451" i="5"/>
  <c r="BQ451" i="5"/>
  <c r="BP451" i="5"/>
  <c r="BO451" i="5"/>
  <c r="BN451" i="5"/>
  <c r="BI451" i="5"/>
  <c r="BD451" i="5"/>
  <c r="AY451" i="5"/>
  <c r="AT451" i="5"/>
  <c r="AO451" i="5"/>
  <c r="AJ451" i="5"/>
  <c r="AE451" i="5"/>
  <c r="Z451" i="5"/>
  <c r="U451" i="5"/>
  <c r="P451" i="5"/>
  <c r="K451" i="5"/>
  <c r="BR450" i="5"/>
  <c r="BQ450" i="5"/>
  <c r="BP450" i="5"/>
  <c r="BO450" i="5"/>
  <c r="BN450" i="5"/>
  <c r="BI450" i="5"/>
  <c r="BD450" i="5"/>
  <c r="AY450" i="5"/>
  <c r="AT450" i="5"/>
  <c r="AO450" i="5"/>
  <c r="AJ450" i="5"/>
  <c r="AE450" i="5"/>
  <c r="Z450" i="5"/>
  <c r="U450" i="5"/>
  <c r="P450" i="5"/>
  <c r="K450" i="5"/>
  <c r="BR449" i="5"/>
  <c r="BQ449" i="5"/>
  <c r="BP449" i="5"/>
  <c r="BO449" i="5"/>
  <c r="BN449" i="5"/>
  <c r="BI449" i="5"/>
  <c r="BD449" i="5"/>
  <c r="AY449" i="5"/>
  <c r="AT449" i="5"/>
  <c r="AO449" i="5"/>
  <c r="AJ449" i="5"/>
  <c r="AE449" i="5"/>
  <c r="Z449" i="5"/>
  <c r="U449" i="5"/>
  <c r="P449" i="5"/>
  <c r="K449" i="5"/>
  <c r="BR448" i="5"/>
  <c r="BQ448" i="5"/>
  <c r="BP448" i="5"/>
  <c r="BO448" i="5"/>
  <c r="BN448" i="5"/>
  <c r="BI448" i="5"/>
  <c r="BD448" i="5"/>
  <c r="AY448" i="5"/>
  <c r="AT448" i="5"/>
  <c r="AO448" i="5"/>
  <c r="AJ448" i="5"/>
  <c r="AE448" i="5"/>
  <c r="Z448" i="5"/>
  <c r="U448" i="5"/>
  <c r="P448" i="5"/>
  <c r="K448" i="5"/>
  <c r="BR447" i="5"/>
  <c r="BQ447" i="5"/>
  <c r="BP447" i="5"/>
  <c r="BO447" i="5"/>
  <c r="BN447" i="5"/>
  <c r="BI447" i="5"/>
  <c r="BD447" i="5"/>
  <c r="AY447" i="5"/>
  <c r="AT447" i="5"/>
  <c r="AO447" i="5"/>
  <c r="AJ447" i="5"/>
  <c r="AE447" i="5"/>
  <c r="Z447" i="5"/>
  <c r="U447" i="5"/>
  <c r="P447" i="5"/>
  <c r="K447" i="5"/>
  <c r="BR446" i="5"/>
  <c r="BQ446" i="5"/>
  <c r="BP446" i="5"/>
  <c r="BO446" i="5"/>
  <c r="BN446" i="5"/>
  <c r="BI446" i="5"/>
  <c r="BD446" i="5"/>
  <c r="AY446" i="5"/>
  <c r="AT446" i="5"/>
  <c r="AO446" i="5"/>
  <c r="AJ446" i="5"/>
  <c r="AE446" i="5"/>
  <c r="Z446" i="5"/>
  <c r="U446" i="5"/>
  <c r="P446" i="5"/>
  <c r="K446" i="5"/>
  <c r="BR445" i="5"/>
  <c r="BQ445" i="5"/>
  <c r="BP445" i="5"/>
  <c r="BO445" i="5"/>
  <c r="BN445" i="5"/>
  <c r="BI445" i="5"/>
  <c r="BD445" i="5"/>
  <c r="AY445" i="5"/>
  <c r="AT445" i="5"/>
  <c r="AO445" i="5"/>
  <c r="AJ445" i="5"/>
  <c r="AE445" i="5"/>
  <c r="Z445" i="5"/>
  <c r="U445" i="5"/>
  <c r="P445" i="5"/>
  <c r="K445" i="5"/>
  <c r="BR444" i="5"/>
  <c r="BQ444" i="5"/>
  <c r="BP444" i="5"/>
  <c r="BO444" i="5"/>
  <c r="BN444" i="5"/>
  <c r="BI444" i="5"/>
  <c r="BD444" i="5"/>
  <c r="AY444" i="5"/>
  <c r="AT444" i="5"/>
  <c r="AO444" i="5"/>
  <c r="AJ444" i="5"/>
  <c r="AE444" i="5"/>
  <c r="Z444" i="5"/>
  <c r="U444" i="5"/>
  <c r="P444" i="5"/>
  <c r="K444" i="5"/>
  <c r="BR443" i="5"/>
  <c r="BQ443" i="5"/>
  <c r="BP443" i="5"/>
  <c r="BO443" i="5"/>
  <c r="BN443" i="5"/>
  <c r="BI443" i="5"/>
  <c r="BD443" i="5"/>
  <c r="AY443" i="5"/>
  <c r="AT443" i="5"/>
  <c r="AO443" i="5"/>
  <c r="AJ443" i="5"/>
  <c r="AE443" i="5"/>
  <c r="Z443" i="5"/>
  <c r="U443" i="5"/>
  <c r="P443" i="5"/>
  <c r="K443" i="5"/>
  <c r="BR442" i="5"/>
  <c r="BQ442" i="5"/>
  <c r="BP442" i="5"/>
  <c r="BO442" i="5"/>
  <c r="BN442" i="5"/>
  <c r="BI442" i="5"/>
  <c r="BD442" i="5"/>
  <c r="AY442" i="5"/>
  <c r="AT442" i="5"/>
  <c r="AO442" i="5"/>
  <c r="AJ442" i="5"/>
  <c r="AE442" i="5"/>
  <c r="Z442" i="5"/>
  <c r="U442" i="5"/>
  <c r="P442" i="5"/>
  <c r="K442" i="5"/>
  <c r="BR441" i="5"/>
  <c r="BQ441" i="5"/>
  <c r="BP441" i="5"/>
  <c r="BO441" i="5"/>
  <c r="BN441" i="5"/>
  <c r="BI441" i="5"/>
  <c r="BD441" i="5"/>
  <c r="AY441" i="5"/>
  <c r="AT441" i="5"/>
  <c r="AO441" i="5"/>
  <c r="AJ441" i="5"/>
  <c r="AE441" i="5"/>
  <c r="Z441" i="5"/>
  <c r="U441" i="5"/>
  <c r="P441" i="5"/>
  <c r="K441" i="5"/>
  <c r="BR440" i="5"/>
  <c r="BQ440" i="5"/>
  <c r="BP440" i="5"/>
  <c r="BO440" i="5"/>
  <c r="BN440" i="5"/>
  <c r="BI440" i="5"/>
  <c r="BD440" i="5"/>
  <c r="AY440" i="5"/>
  <c r="AT440" i="5"/>
  <c r="AO440" i="5"/>
  <c r="AJ440" i="5"/>
  <c r="AE440" i="5"/>
  <c r="Z440" i="5"/>
  <c r="U440" i="5"/>
  <c r="P440" i="5"/>
  <c r="K440" i="5"/>
  <c r="BR439" i="5"/>
  <c r="BQ439" i="5"/>
  <c r="BP439" i="5"/>
  <c r="BO439" i="5"/>
  <c r="BN439" i="5"/>
  <c r="BI439" i="5"/>
  <c r="BD439" i="5"/>
  <c r="AY439" i="5"/>
  <c r="AT439" i="5"/>
  <c r="AO439" i="5"/>
  <c r="AJ439" i="5"/>
  <c r="AE439" i="5"/>
  <c r="Z439" i="5"/>
  <c r="U439" i="5"/>
  <c r="P439" i="5"/>
  <c r="K439" i="5"/>
  <c r="BR438" i="5"/>
  <c r="BQ438" i="5"/>
  <c r="BP438" i="5"/>
  <c r="BO438" i="5"/>
  <c r="BN438" i="5"/>
  <c r="BI438" i="5"/>
  <c r="BD438" i="5"/>
  <c r="AY438" i="5"/>
  <c r="AT438" i="5"/>
  <c r="AO438" i="5"/>
  <c r="AJ438" i="5"/>
  <c r="AE438" i="5"/>
  <c r="Z438" i="5"/>
  <c r="U438" i="5"/>
  <c r="P438" i="5"/>
  <c r="K438" i="5"/>
  <c r="BR437" i="5"/>
  <c r="BQ437" i="5"/>
  <c r="BP437" i="5"/>
  <c r="BO437" i="5"/>
  <c r="BN437" i="5"/>
  <c r="BI437" i="5"/>
  <c r="BD437" i="5"/>
  <c r="AY437" i="5"/>
  <c r="AT437" i="5"/>
  <c r="AO437" i="5"/>
  <c r="AJ437" i="5"/>
  <c r="AE437" i="5"/>
  <c r="Z437" i="5"/>
  <c r="U437" i="5"/>
  <c r="P437" i="5"/>
  <c r="K437" i="5"/>
  <c r="BR436" i="5"/>
  <c r="BQ436" i="5"/>
  <c r="BP436" i="5"/>
  <c r="BN436" i="5"/>
  <c r="BI436" i="5"/>
  <c r="BD436" i="5"/>
  <c r="AY436" i="5"/>
  <c r="AT436" i="5"/>
  <c r="AO436" i="5"/>
  <c r="AJ436" i="5"/>
  <c r="AE436" i="5"/>
  <c r="Z436" i="5"/>
  <c r="U436" i="5"/>
  <c r="L436" i="5"/>
  <c r="K436" i="5"/>
  <c r="BR435" i="5"/>
  <c r="BQ435" i="5"/>
  <c r="BP435" i="5"/>
  <c r="BN435" i="5"/>
  <c r="BI435" i="5"/>
  <c r="BD435" i="5"/>
  <c r="AY435" i="5"/>
  <c r="AT435" i="5"/>
  <c r="AO435" i="5"/>
  <c r="AJ435" i="5"/>
  <c r="AE435" i="5"/>
  <c r="Z435" i="5"/>
  <c r="Q435" i="5"/>
  <c r="L435" i="5"/>
  <c r="K435" i="5"/>
  <c r="BR434" i="5"/>
  <c r="BQ434" i="5"/>
  <c r="BP434" i="5"/>
  <c r="BO434" i="5"/>
  <c r="BN434" i="5"/>
  <c r="BI434" i="5"/>
  <c r="BD434" i="5"/>
  <c r="AY434" i="5"/>
  <c r="AT434" i="5"/>
  <c r="AO434" i="5"/>
  <c r="AJ434" i="5"/>
  <c r="AE434" i="5"/>
  <c r="Z434" i="5"/>
  <c r="U434" i="5"/>
  <c r="P434" i="5"/>
  <c r="K434" i="5"/>
  <c r="BR433" i="5"/>
  <c r="BQ433" i="5"/>
  <c r="BP433" i="5"/>
  <c r="BO433" i="5"/>
  <c r="BN433" i="5"/>
  <c r="BI433" i="5"/>
  <c r="BD433" i="5"/>
  <c r="AY433" i="5"/>
  <c r="AT433" i="5"/>
  <c r="AO433" i="5"/>
  <c r="AJ433" i="5"/>
  <c r="AE433" i="5"/>
  <c r="Z433" i="5"/>
  <c r="U433" i="5"/>
  <c r="P433" i="5"/>
  <c r="K433" i="5"/>
  <c r="BR432" i="5"/>
  <c r="BQ432" i="5"/>
  <c r="BP432" i="5"/>
  <c r="BO432" i="5"/>
  <c r="BN432" i="5"/>
  <c r="BI432" i="5"/>
  <c r="BD432" i="5"/>
  <c r="AY432" i="5"/>
  <c r="AT432" i="5"/>
  <c r="AO432" i="5"/>
  <c r="AJ432" i="5"/>
  <c r="AE432" i="5"/>
  <c r="Z432" i="5"/>
  <c r="U432" i="5"/>
  <c r="P432" i="5"/>
  <c r="K432" i="5"/>
  <c r="BR431" i="5"/>
  <c r="BQ431" i="5"/>
  <c r="BP431" i="5"/>
  <c r="BO431" i="5"/>
  <c r="BN431" i="5"/>
  <c r="BI431" i="5"/>
  <c r="BD431" i="5"/>
  <c r="AY431" i="5"/>
  <c r="AT431" i="5"/>
  <c r="AO431" i="5"/>
  <c r="AJ431" i="5"/>
  <c r="AE431" i="5"/>
  <c r="Z431" i="5"/>
  <c r="U431" i="5"/>
  <c r="P431" i="5"/>
  <c r="K431" i="5"/>
  <c r="BM430" i="5"/>
  <c r="BL430" i="5"/>
  <c r="BK430" i="5"/>
  <c r="BJ430" i="5"/>
  <c r="BH430" i="5"/>
  <c r="BG430" i="5"/>
  <c r="BF430" i="5"/>
  <c r="BE430" i="5"/>
  <c r="BC430" i="5"/>
  <c r="BB430" i="5"/>
  <c r="BA430" i="5"/>
  <c r="AZ430" i="5"/>
  <c r="AX430" i="5"/>
  <c r="AW430" i="5"/>
  <c r="AV430" i="5"/>
  <c r="AU430" i="5"/>
  <c r="AS430" i="5"/>
  <c r="AR430" i="5"/>
  <c r="AQ430" i="5"/>
  <c r="AP430" i="5"/>
  <c r="AN430" i="5"/>
  <c r="AM430" i="5"/>
  <c r="AL430" i="5"/>
  <c r="AK430" i="5"/>
  <c r="AI430" i="5"/>
  <c r="AH430" i="5"/>
  <c r="AG430" i="5"/>
  <c r="AF430" i="5"/>
  <c r="AD430" i="5"/>
  <c r="AC430" i="5"/>
  <c r="AB430" i="5"/>
  <c r="AA430" i="5"/>
  <c r="Y430" i="5"/>
  <c r="X430" i="5"/>
  <c r="W430" i="5"/>
  <c r="V430" i="5"/>
  <c r="T430" i="5"/>
  <c r="S430" i="5"/>
  <c r="R430" i="5"/>
  <c r="Q430" i="5"/>
  <c r="O430" i="5"/>
  <c r="N430" i="5"/>
  <c r="M430" i="5"/>
  <c r="L430" i="5"/>
  <c r="J430" i="5"/>
  <c r="I430" i="5"/>
  <c r="H430" i="5"/>
  <c r="G430" i="5"/>
  <c r="BR429" i="5"/>
  <c r="BQ429" i="5"/>
  <c r="BP429" i="5"/>
  <c r="BO429" i="5"/>
  <c r="BN429" i="5"/>
  <c r="BI429" i="5"/>
  <c r="BD429" i="5"/>
  <c r="AY429" i="5"/>
  <c r="AT429" i="5"/>
  <c r="AO429" i="5"/>
  <c r="AJ429" i="5"/>
  <c r="AE429" i="5"/>
  <c r="Z429" i="5"/>
  <c r="U429" i="5"/>
  <c r="P429" i="5"/>
  <c r="K429" i="5"/>
  <c r="BR428" i="5"/>
  <c r="BQ428" i="5"/>
  <c r="BP428" i="5"/>
  <c r="BO428" i="5"/>
  <c r="BN428" i="5"/>
  <c r="BI428" i="5"/>
  <c r="BD428" i="5"/>
  <c r="AY428" i="5"/>
  <c r="AT428" i="5"/>
  <c r="AO428" i="5"/>
  <c r="AJ428" i="5"/>
  <c r="AE428" i="5"/>
  <c r="Z428" i="5"/>
  <c r="U428" i="5"/>
  <c r="P428" i="5"/>
  <c r="K428" i="5"/>
  <c r="BR427" i="5"/>
  <c r="BQ427" i="5"/>
  <c r="BP427" i="5"/>
  <c r="BO427" i="5"/>
  <c r="BN427" i="5"/>
  <c r="BI427" i="5"/>
  <c r="BD427" i="5"/>
  <c r="AY427" i="5"/>
  <c r="AT427" i="5"/>
  <c r="AO427" i="5"/>
  <c r="AJ427" i="5"/>
  <c r="AE427" i="5"/>
  <c r="Z427" i="5"/>
  <c r="U427" i="5"/>
  <c r="P427" i="5"/>
  <c r="K427" i="5"/>
  <c r="BR426" i="5"/>
  <c r="BQ426" i="5"/>
  <c r="BP426" i="5"/>
  <c r="BO426" i="5"/>
  <c r="BN426" i="5"/>
  <c r="BI426" i="5"/>
  <c r="BD426" i="5"/>
  <c r="AY426" i="5"/>
  <c r="AT426" i="5"/>
  <c r="AO426" i="5"/>
  <c r="AJ426" i="5"/>
  <c r="AE426" i="5"/>
  <c r="Z426" i="5"/>
  <c r="U426" i="5"/>
  <c r="P426" i="5"/>
  <c r="K426" i="5"/>
  <c r="BR425" i="5"/>
  <c r="BQ425" i="5"/>
  <c r="BP425" i="5"/>
  <c r="BO425" i="5"/>
  <c r="BN425" i="5"/>
  <c r="BI425" i="5"/>
  <c r="BD425" i="5"/>
  <c r="AY425" i="5"/>
  <c r="AT425" i="5"/>
  <c r="AO425" i="5"/>
  <c r="AJ425" i="5"/>
  <c r="AE425" i="5"/>
  <c r="Z425" i="5"/>
  <c r="U425" i="5"/>
  <c r="P425" i="5"/>
  <c r="K425" i="5"/>
  <c r="BR424" i="5"/>
  <c r="BQ424" i="5"/>
  <c r="BP424" i="5"/>
  <c r="BO424" i="5"/>
  <c r="BN424" i="5"/>
  <c r="BI424" i="5"/>
  <c r="BD424" i="5"/>
  <c r="AY424" i="5"/>
  <c r="AT424" i="5"/>
  <c r="AO424" i="5"/>
  <c r="AJ424" i="5"/>
  <c r="AE424" i="5"/>
  <c r="Z424" i="5"/>
  <c r="U424" i="5"/>
  <c r="P424" i="5"/>
  <c r="K424" i="5"/>
  <c r="BR423" i="5"/>
  <c r="BQ423" i="5"/>
  <c r="BP423" i="5"/>
  <c r="BO423" i="5"/>
  <c r="BN423" i="5"/>
  <c r="BI423" i="5"/>
  <c r="BD423" i="5"/>
  <c r="AY423" i="5"/>
  <c r="AT423" i="5"/>
  <c r="AO423" i="5"/>
  <c r="AJ423" i="5"/>
  <c r="AE423" i="5"/>
  <c r="Z423" i="5"/>
  <c r="U423" i="5"/>
  <c r="P423" i="5"/>
  <c r="K423" i="5"/>
  <c r="BR422" i="5"/>
  <c r="BQ422" i="5"/>
  <c r="BP422" i="5"/>
  <c r="BO422" i="5"/>
  <c r="BN422" i="5"/>
  <c r="BI422" i="5"/>
  <c r="BD422" i="5"/>
  <c r="AY422" i="5"/>
  <c r="AT422" i="5"/>
  <c r="AO422" i="5"/>
  <c r="AJ422" i="5"/>
  <c r="AE422" i="5"/>
  <c r="Z422" i="5"/>
  <c r="U422" i="5"/>
  <c r="P422" i="5"/>
  <c r="K422" i="5"/>
  <c r="BR421" i="5"/>
  <c r="BQ421" i="5"/>
  <c r="BP421" i="5"/>
  <c r="BO421" i="5"/>
  <c r="BN421" i="5"/>
  <c r="BI421" i="5"/>
  <c r="BD421" i="5"/>
  <c r="AY421" i="5"/>
  <c r="AT421" i="5"/>
  <c r="AO421" i="5"/>
  <c r="AJ421" i="5"/>
  <c r="AE421" i="5"/>
  <c r="Z421" i="5"/>
  <c r="U421" i="5"/>
  <c r="P421" i="5"/>
  <c r="K421" i="5"/>
  <c r="BR420" i="5"/>
  <c r="BQ420" i="5"/>
  <c r="BP420" i="5"/>
  <c r="BO420" i="5"/>
  <c r="BN420" i="5"/>
  <c r="BI420" i="5"/>
  <c r="BD420" i="5"/>
  <c r="AY420" i="5"/>
  <c r="AT420" i="5"/>
  <c r="AO420" i="5"/>
  <c r="AJ420" i="5"/>
  <c r="AE420" i="5"/>
  <c r="Z420" i="5"/>
  <c r="U420" i="5"/>
  <c r="P420" i="5"/>
  <c r="K420" i="5"/>
  <c r="BR419" i="5"/>
  <c r="BQ419" i="5"/>
  <c r="BP419" i="5"/>
  <c r="BO419" i="5"/>
  <c r="BN419" i="5"/>
  <c r="BI419" i="5"/>
  <c r="BD419" i="5"/>
  <c r="AY419" i="5"/>
  <c r="AT419" i="5"/>
  <c r="AO419" i="5"/>
  <c r="AJ419" i="5"/>
  <c r="AE419" i="5"/>
  <c r="Z419" i="5"/>
  <c r="U419" i="5"/>
  <c r="P419" i="5"/>
  <c r="K419" i="5"/>
  <c r="BR418" i="5"/>
  <c r="BQ418" i="5"/>
  <c r="BP418" i="5"/>
  <c r="BO418" i="5"/>
  <c r="BN418" i="5"/>
  <c r="BI418" i="5"/>
  <c r="BD418" i="5"/>
  <c r="AY418" i="5"/>
  <c r="AT418" i="5"/>
  <c r="AO418" i="5"/>
  <c r="AJ418" i="5"/>
  <c r="AE418" i="5"/>
  <c r="Z418" i="5"/>
  <c r="U418" i="5"/>
  <c r="P418" i="5"/>
  <c r="K418" i="5"/>
  <c r="BR417" i="5"/>
  <c r="BQ417" i="5"/>
  <c r="BP417" i="5"/>
  <c r="BO417" i="5"/>
  <c r="BN417" i="5"/>
  <c r="BI417" i="5"/>
  <c r="BD417" i="5"/>
  <c r="AY417" i="5"/>
  <c r="AT417" i="5"/>
  <c r="AO417" i="5"/>
  <c r="AJ417" i="5"/>
  <c r="AE417" i="5"/>
  <c r="Z417" i="5"/>
  <c r="U417" i="5"/>
  <c r="P417" i="5"/>
  <c r="K417" i="5"/>
  <c r="BR416" i="5"/>
  <c r="BQ416" i="5"/>
  <c r="BP416" i="5"/>
  <c r="BO416" i="5"/>
  <c r="BN416" i="5"/>
  <c r="BI416" i="5"/>
  <c r="BD416" i="5"/>
  <c r="AY416" i="5"/>
  <c r="AT416" i="5"/>
  <c r="AO416" i="5"/>
  <c r="AJ416" i="5"/>
  <c r="AE416" i="5"/>
  <c r="Z416" i="5"/>
  <c r="U416" i="5"/>
  <c r="P416" i="5"/>
  <c r="K416" i="5"/>
  <c r="BR415" i="5"/>
  <c r="BQ415" i="5"/>
  <c r="BP415" i="5"/>
  <c r="BO415" i="5"/>
  <c r="BN415" i="5"/>
  <c r="BI415" i="5"/>
  <c r="BD415" i="5"/>
  <c r="AY415" i="5"/>
  <c r="AT415" i="5"/>
  <c r="AO415" i="5"/>
  <c r="AJ415" i="5"/>
  <c r="AE415" i="5"/>
  <c r="Z415" i="5"/>
  <c r="U415" i="5"/>
  <c r="P415" i="5"/>
  <c r="K415" i="5"/>
  <c r="BR414" i="5"/>
  <c r="BQ414" i="5"/>
  <c r="BP414" i="5"/>
  <c r="BO414" i="5"/>
  <c r="BN414" i="5"/>
  <c r="BI414" i="5"/>
  <c r="BD414" i="5"/>
  <c r="AY414" i="5"/>
  <c r="AT414" i="5"/>
  <c r="AO414" i="5"/>
  <c r="AJ414" i="5"/>
  <c r="AE414" i="5"/>
  <c r="Z414" i="5"/>
  <c r="U414" i="5"/>
  <c r="P414" i="5"/>
  <c r="K414" i="5"/>
  <c r="BR413" i="5"/>
  <c r="BQ413" i="5"/>
  <c r="BP413" i="5"/>
  <c r="BO413" i="5"/>
  <c r="BN413" i="5"/>
  <c r="BI413" i="5"/>
  <c r="BD413" i="5"/>
  <c r="AY413" i="5"/>
  <c r="AT413" i="5"/>
  <c r="AO413" i="5"/>
  <c r="AJ413" i="5"/>
  <c r="AE413" i="5"/>
  <c r="Z413" i="5"/>
  <c r="U413" i="5"/>
  <c r="P413" i="5"/>
  <c r="K413" i="5"/>
  <c r="BR412" i="5"/>
  <c r="BQ412" i="5"/>
  <c r="BP412" i="5"/>
  <c r="BO412" i="5"/>
  <c r="BN412" i="5"/>
  <c r="BI412" i="5"/>
  <c r="BD412" i="5"/>
  <c r="AY412" i="5"/>
  <c r="AT412" i="5"/>
  <c r="AO412" i="5"/>
  <c r="AJ412" i="5"/>
  <c r="AE412" i="5"/>
  <c r="Z412" i="5"/>
  <c r="U412" i="5"/>
  <c r="P412" i="5"/>
  <c r="K412" i="5"/>
  <c r="BR411" i="5"/>
  <c r="BQ411" i="5"/>
  <c r="BP411" i="5"/>
  <c r="BO411" i="5"/>
  <c r="BN411" i="5"/>
  <c r="BI411" i="5"/>
  <c r="BD411" i="5"/>
  <c r="AY411" i="5"/>
  <c r="AT411" i="5"/>
  <c r="AO411" i="5"/>
  <c r="AJ411" i="5"/>
  <c r="AE411" i="5"/>
  <c r="Z411" i="5"/>
  <c r="U411" i="5"/>
  <c r="P411" i="5"/>
  <c r="K411" i="5"/>
  <c r="BR410" i="5"/>
  <c r="BQ410" i="5"/>
  <c r="BP410" i="5"/>
  <c r="BO410" i="5"/>
  <c r="BN410" i="5"/>
  <c r="BI410" i="5"/>
  <c r="BD410" i="5"/>
  <c r="AY410" i="5"/>
  <c r="AT410" i="5"/>
  <c r="AO410" i="5"/>
  <c r="AJ410" i="5"/>
  <c r="AE410" i="5"/>
  <c r="Z410" i="5"/>
  <c r="U410" i="5"/>
  <c r="P410" i="5"/>
  <c r="K410" i="5"/>
  <c r="BR409" i="5"/>
  <c r="BQ409" i="5"/>
  <c r="BP409" i="5"/>
  <c r="BO409" i="5"/>
  <c r="BN409" i="5"/>
  <c r="BI409" i="5"/>
  <c r="BD409" i="5"/>
  <c r="AY409" i="5"/>
  <c r="AT409" i="5"/>
  <c r="AO409" i="5"/>
  <c r="AJ409" i="5"/>
  <c r="AE409" i="5"/>
  <c r="Z409" i="5"/>
  <c r="U409" i="5"/>
  <c r="P409" i="5"/>
  <c r="K409" i="5"/>
  <c r="BR408" i="5"/>
  <c r="BQ408" i="5"/>
  <c r="BP408" i="5"/>
  <c r="BO408" i="5"/>
  <c r="BN408" i="5"/>
  <c r="BI408" i="5"/>
  <c r="BD408" i="5"/>
  <c r="AY408" i="5"/>
  <c r="AT408" i="5"/>
  <c r="AO408" i="5"/>
  <c r="AJ408" i="5"/>
  <c r="AE408" i="5"/>
  <c r="Z408" i="5"/>
  <c r="U408" i="5"/>
  <c r="P408" i="5"/>
  <c r="K408" i="5"/>
  <c r="BR407" i="5"/>
  <c r="BQ407" i="5"/>
  <c r="BP407" i="5"/>
  <c r="BO407" i="5"/>
  <c r="BN407" i="5"/>
  <c r="BI407" i="5"/>
  <c r="BD407" i="5"/>
  <c r="AY407" i="5"/>
  <c r="AT407" i="5"/>
  <c r="AO407" i="5"/>
  <c r="AJ407" i="5"/>
  <c r="AE407" i="5"/>
  <c r="Z407" i="5"/>
  <c r="U407" i="5"/>
  <c r="P407" i="5"/>
  <c r="K407" i="5"/>
  <c r="BR406" i="5"/>
  <c r="BQ406" i="5"/>
  <c r="BP406" i="5"/>
  <c r="BO406" i="5"/>
  <c r="BN406" i="5"/>
  <c r="BI406" i="5"/>
  <c r="BD406" i="5"/>
  <c r="AY406" i="5"/>
  <c r="AT406" i="5"/>
  <c r="AO406" i="5"/>
  <c r="AJ406" i="5"/>
  <c r="AE406" i="5"/>
  <c r="Z406" i="5"/>
  <c r="U406" i="5"/>
  <c r="P406" i="5"/>
  <c r="K406" i="5"/>
  <c r="BR405" i="5"/>
  <c r="BQ405" i="5"/>
  <c r="BP405" i="5"/>
  <c r="BO405" i="5"/>
  <c r="BN405" i="5"/>
  <c r="BI405" i="5"/>
  <c r="BD405" i="5"/>
  <c r="AY405" i="5"/>
  <c r="AT405" i="5"/>
  <c r="AO405" i="5"/>
  <c r="AJ405" i="5"/>
  <c r="AE405" i="5"/>
  <c r="Z405" i="5"/>
  <c r="U405" i="5"/>
  <c r="P405" i="5"/>
  <c r="K405" i="5"/>
  <c r="BR404" i="5"/>
  <c r="BQ404" i="5"/>
  <c r="BP404" i="5"/>
  <c r="BO404" i="5"/>
  <c r="BN404" i="5"/>
  <c r="BI404" i="5"/>
  <c r="BD404" i="5"/>
  <c r="AY404" i="5"/>
  <c r="AT404" i="5"/>
  <c r="AO404" i="5"/>
  <c r="AJ404" i="5"/>
  <c r="AE404" i="5"/>
  <c r="Z404" i="5"/>
  <c r="U404" i="5"/>
  <c r="P404" i="5"/>
  <c r="K404" i="5"/>
  <c r="BR403" i="5"/>
  <c r="BQ403" i="5"/>
  <c r="BP403" i="5"/>
  <c r="BO403" i="5"/>
  <c r="BN403" i="5"/>
  <c r="BI403" i="5"/>
  <c r="BD403" i="5"/>
  <c r="AY403" i="5"/>
  <c r="AT403" i="5"/>
  <c r="AO403" i="5"/>
  <c r="AJ403" i="5"/>
  <c r="AE403" i="5"/>
  <c r="Z403" i="5"/>
  <c r="U403" i="5"/>
  <c r="P403" i="5"/>
  <c r="K403" i="5"/>
  <c r="BR402" i="5"/>
  <c r="BQ402" i="5"/>
  <c r="BP402" i="5"/>
  <c r="BO402" i="5"/>
  <c r="BN402" i="5"/>
  <c r="BI402" i="5"/>
  <c r="BD402" i="5"/>
  <c r="AY402" i="5"/>
  <c r="AT402" i="5"/>
  <c r="AO402" i="5"/>
  <c r="AJ402" i="5"/>
  <c r="AE402" i="5"/>
  <c r="Z402" i="5"/>
  <c r="U402" i="5"/>
  <c r="P402" i="5"/>
  <c r="K402" i="5"/>
  <c r="BR401" i="5"/>
  <c r="BQ401" i="5"/>
  <c r="BP401" i="5"/>
  <c r="BO401" i="5"/>
  <c r="BN401" i="5"/>
  <c r="BI401" i="5"/>
  <c r="BD401" i="5"/>
  <c r="AY401" i="5"/>
  <c r="AT401" i="5"/>
  <c r="AO401" i="5"/>
  <c r="AJ401" i="5"/>
  <c r="AE401" i="5"/>
  <c r="Z401" i="5"/>
  <c r="U401" i="5"/>
  <c r="P401" i="5"/>
  <c r="K401" i="5"/>
  <c r="BR400" i="5"/>
  <c r="BQ400" i="5"/>
  <c r="BP400" i="5"/>
  <c r="BO400" i="5"/>
  <c r="BN400" i="5"/>
  <c r="BI400" i="5"/>
  <c r="BD400" i="5"/>
  <c r="AY400" i="5"/>
  <c r="AT400" i="5"/>
  <c r="AO400" i="5"/>
  <c r="AJ400" i="5"/>
  <c r="AE400" i="5"/>
  <c r="Z400" i="5"/>
  <c r="U400" i="5"/>
  <c r="P400" i="5"/>
  <c r="K400" i="5"/>
  <c r="BM399" i="5"/>
  <c r="BL399" i="5"/>
  <c r="BK399" i="5"/>
  <c r="BJ399" i="5"/>
  <c r="BH399" i="5"/>
  <c r="BG399" i="5"/>
  <c r="BF399" i="5"/>
  <c r="BE399" i="5"/>
  <c r="BC399" i="5"/>
  <c r="BB399" i="5"/>
  <c r="BA399" i="5"/>
  <c r="AX399" i="5"/>
  <c r="AW399" i="5"/>
  <c r="AV399" i="5"/>
  <c r="AU399" i="5"/>
  <c r="AS399" i="5"/>
  <c r="AR399" i="5"/>
  <c r="AQ399" i="5"/>
  <c r="AN399" i="5"/>
  <c r="AM399" i="5"/>
  <c r="AL399" i="5"/>
  <c r="AK399" i="5"/>
  <c r="AI399" i="5"/>
  <c r="AH399" i="5"/>
  <c r="AG399" i="5"/>
  <c r="AD399" i="5"/>
  <c r="AC399" i="5"/>
  <c r="AB399" i="5"/>
  <c r="AA399" i="5"/>
  <c r="Y399" i="5"/>
  <c r="X399" i="5"/>
  <c r="W399" i="5"/>
  <c r="V399" i="5"/>
  <c r="T399" i="5"/>
  <c r="S399" i="5"/>
  <c r="R399" i="5"/>
  <c r="Q399" i="5"/>
  <c r="O399" i="5"/>
  <c r="N399" i="5"/>
  <c r="M399" i="5"/>
  <c r="L399" i="5"/>
  <c r="J399" i="5"/>
  <c r="I399" i="5"/>
  <c r="H399" i="5"/>
  <c r="G399" i="5"/>
  <c r="BR398" i="5"/>
  <c r="BQ398" i="5"/>
  <c r="BP398" i="5"/>
  <c r="BN398" i="5"/>
  <c r="BI398" i="5"/>
  <c r="BD398" i="5"/>
  <c r="AY398" i="5"/>
  <c r="AP398" i="5"/>
  <c r="AP399" i="5" s="1"/>
  <c r="AO398" i="5"/>
  <c r="AF398" i="5"/>
  <c r="AF399" i="5" s="1"/>
  <c r="AE398" i="5"/>
  <c r="Z398" i="5"/>
  <c r="U398" i="5"/>
  <c r="P398" i="5"/>
  <c r="K398" i="5"/>
  <c r="BR397" i="5"/>
  <c r="BQ397" i="5"/>
  <c r="BP397" i="5"/>
  <c r="BN397" i="5"/>
  <c r="BI397" i="5"/>
  <c r="AZ397" i="5"/>
  <c r="AZ399" i="5" s="1"/>
  <c r="AY397" i="5"/>
  <c r="AT397" i="5"/>
  <c r="AO397" i="5"/>
  <c r="AJ397" i="5"/>
  <c r="AE397" i="5"/>
  <c r="Z397" i="5"/>
  <c r="U397" i="5"/>
  <c r="P397" i="5"/>
  <c r="K397" i="5"/>
  <c r="BR396" i="5"/>
  <c r="BQ396" i="5"/>
  <c r="BP396" i="5"/>
  <c r="BO396" i="5"/>
  <c r="BN396" i="5"/>
  <c r="BI396" i="5"/>
  <c r="BD396" i="5"/>
  <c r="AY396" i="5"/>
  <c r="AT396" i="5"/>
  <c r="AO396" i="5"/>
  <c r="AJ396" i="5"/>
  <c r="AE396" i="5"/>
  <c r="Z396" i="5"/>
  <c r="U396" i="5"/>
  <c r="P396" i="5"/>
  <c r="K396" i="5"/>
  <c r="BR395" i="5"/>
  <c r="BQ395" i="5"/>
  <c r="BP395" i="5"/>
  <c r="BO395" i="5"/>
  <c r="BN395" i="5"/>
  <c r="BI395" i="5"/>
  <c r="BD395" i="5"/>
  <c r="AY395" i="5"/>
  <c r="AT395" i="5"/>
  <c r="AO395" i="5"/>
  <c r="AJ395" i="5"/>
  <c r="AE395" i="5"/>
  <c r="Z395" i="5"/>
  <c r="U395" i="5"/>
  <c r="P395" i="5"/>
  <c r="K395" i="5"/>
  <c r="BM393" i="5"/>
  <c r="BL393" i="5"/>
  <c r="BK393" i="5"/>
  <c r="BJ393" i="5"/>
  <c r="BH393" i="5"/>
  <c r="BG393" i="5"/>
  <c r="BF393" i="5"/>
  <c r="BE393" i="5"/>
  <c r="BC393" i="5"/>
  <c r="BB393" i="5"/>
  <c r="BA393" i="5"/>
  <c r="AZ393" i="5"/>
  <c r="AX393" i="5"/>
  <c r="AW393" i="5"/>
  <c r="AV393" i="5"/>
  <c r="AU393" i="5"/>
  <c r="AS393" i="5"/>
  <c r="AR393" i="5"/>
  <c r="AQ393" i="5"/>
  <c r="AP393" i="5"/>
  <c r="AN393" i="5"/>
  <c r="AM393" i="5"/>
  <c r="AL393" i="5"/>
  <c r="AK393" i="5"/>
  <c r="AI393" i="5"/>
  <c r="AH393" i="5"/>
  <c r="AG393" i="5"/>
  <c r="AF393" i="5"/>
  <c r="AD393" i="5"/>
  <c r="AC393" i="5"/>
  <c r="AB393" i="5"/>
  <c r="AA393" i="5"/>
  <c r="Y393" i="5"/>
  <c r="X393" i="5"/>
  <c r="W393" i="5"/>
  <c r="V393" i="5"/>
  <c r="T393" i="5"/>
  <c r="S393" i="5"/>
  <c r="R393" i="5"/>
  <c r="Q393" i="5"/>
  <c r="O393" i="5"/>
  <c r="N393" i="5"/>
  <c r="M393" i="5"/>
  <c r="L393" i="5"/>
  <c r="J393" i="5"/>
  <c r="I393" i="5"/>
  <c r="H393" i="5"/>
  <c r="G393" i="5"/>
  <c r="BR392" i="5"/>
  <c r="BQ392" i="5"/>
  <c r="BP392" i="5"/>
  <c r="BO392" i="5"/>
  <c r="BN392" i="5"/>
  <c r="BI392" i="5"/>
  <c r="BD392" i="5"/>
  <c r="AY392" i="5"/>
  <c r="AT392" i="5"/>
  <c r="AO392" i="5"/>
  <c r="AJ392" i="5"/>
  <c r="AE392" i="5"/>
  <c r="Z392" i="5"/>
  <c r="U392" i="5"/>
  <c r="P392" i="5"/>
  <c r="K392" i="5"/>
  <c r="BR391" i="5"/>
  <c r="BQ391" i="5"/>
  <c r="BP391" i="5"/>
  <c r="BO391" i="5"/>
  <c r="BN391" i="5"/>
  <c r="BI391" i="5"/>
  <c r="BD391" i="5"/>
  <c r="AY391" i="5"/>
  <c r="AT391" i="5"/>
  <c r="AO391" i="5"/>
  <c r="AJ391" i="5"/>
  <c r="AE391" i="5"/>
  <c r="Z391" i="5"/>
  <c r="U391" i="5"/>
  <c r="P391" i="5"/>
  <c r="K391" i="5"/>
  <c r="BR390" i="5"/>
  <c r="BQ390" i="5"/>
  <c r="BP390" i="5"/>
  <c r="BO390" i="5"/>
  <c r="BN390" i="5"/>
  <c r="BI390" i="5"/>
  <c r="BD390" i="5"/>
  <c r="AY390" i="5"/>
  <c r="AT390" i="5"/>
  <c r="AO390" i="5"/>
  <c r="AJ390" i="5"/>
  <c r="AE390" i="5"/>
  <c r="Z390" i="5"/>
  <c r="U390" i="5"/>
  <c r="P390" i="5"/>
  <c r="K390" i="5"/>
  <c r="BR389" i="5"/>
  <c r="BQ389" i="5"/>
  <c r="BP389" i="5"/>
  <c r="BO389" i="5"/>
  <c r="BN389" i="5"/>
  <c r="BI389" i="5"/>
  <c r="BD389" i="5"/>
  <c r="AY389" i="5"/>
  <c r="AT389" i="5"/>
  <c r="AO389" i="5"/>
  <c r="AJ389" i="5"/>
  <c r="AE389" i="5"/>
  <c r="Z389" i="5"/>
  <c r="U389" i="5"/>
  <c r="P389" i="5"/>
  <c r="K389" i="5"/>
  <c r="BR388" i="5"/>
  <c r="BQ388" i="5"/>
  <c r="BP388" i="5"/>
  <c r="BO388" i="5"/>
  <c r="BN388" i="5"/>
  <c r="BI388" i="5"/>
  <c r="BD388" i="5"/>
  <c r="AY388" i="5"/>
  <c r="AT388" i="5"/>
  <c r="AO388" i="5"/>
  <c r="AJ388" i="5"/>
  <c r="AE388" i="5"/>
  <c r="Z388" i="5"/>
  <c r="U388" i="5"/>
  <c r="P388" i="5"/>
  <c r="K388" i="5"/>
  <c r="BR387" i="5"/>
  <c r="BQ387" i="5"/>
  <c r="BP387" i="5"/>
  <c r="BO387" i="5"/>
  <c r="BN387" i="5"/>
  <c r="BI387" i="5"/>
  <c r="BD387" i="5"/>
  <c r="AY387" i="5"/>
  <c r="AT387" i="5"/>
  <c r="AO387" i="5"/>
  <c r="AJ387" i="5"/>
  <c r="AE387" i="5"/>
  <c r="Z387" i="5"/>
  <c r="U387" i="5"/>
  <c r="P387" i="5"/>
  <c r="K387" i="5"/>
  <c r="BR386" i="5"/>
  <c r="BQ386" i="5"/>
  <c r="BP386" i="5"/>
  <c r="BO386" i="5"/>
  <c r="BN386" i="5"/>
  <c r="BI386" i="5"/>
  <c r="BD386" i="5"/>
  <c r="AY386" i="5"/>
  <c r="AT386" i="5"/>
  <c r="AO386" i="5"/>
  <c r="AJ386" i="5"/>
  <c r="AE386" i="5"/>
  <c r="Z386" i="5"/>
  <c r="U386" i="5"/>
  <c r="P386" i="5"/>
  <c r="K386" i="5"/>
  <c r="BM385" i="5"/>
  <c r="BL385" i="5"/>
  <c r="BK385" i="5"/>
  <c r="BJ385" i="5"/>
  <c r="BH385" i="5"/>
  <c r="BG385" i="5"/>
  <c r="BF385" i="5"/>
  <c r="BE385" i="5"/>
  <c r="BC385" i="5"/>
  <c r="BB385" i="5"/>
  <c r="BA385" i="5"/>
  <c r="AZ385" i="5"/>
  <c r="AX385" i="5"/>
  <c r="AW385" i="5"/>
  <c r="AV385" i="5"/>
  <c r="AU385" i="5"/>
  <c r="AS385" i="5"/>
  <c r="AR385" i="5"/>
  <c r="AQ385" i="5"/>
  <c r="AP385" i="5"/>
  <c r="AN385" i="5"/>
  <c r="AM385" i="5"/>
  <c r="AL385" i="5"/>
  <c r="AK385" i="5"/>
  <c r="AI385" i="5"/>
  <c r="AH385" i="5"/>
  <c r="AG385" i="5"/>
  <c r="AF385" i="5"/>
  <c r="AD385" i="5"/>
  <c r="AC385" i="5"/>
  <c r="AB385" i="5"/>
  <c r="AA385" i="5"/>
  <c r="Y385" i="5"/>
  <c r="X385" i="5"/>
  <c r="W385" i="5"/>
  <c r="V385" i="5"/>
  <c r="T385" i="5"/>
  <c r="S385" i="5"/>
  <c r="R385" i="5"/>
  <c r="Q385" i="5"/>
  <c r="O385" i="5"/>
  <c r="N385" i="5"/>
  <c r="M385" i="5"/>
  <c r="L385" i="5"/>
  <c r="J385" i="5"/>
  <c r="I385" i="5"/>
  <c r="H385" i="5"/>
  <c r="G385" i="5"/>
  <c r="BR384" i="5"/>
  <c r="BQ384" i="5"/>
  <c r="BP384" i="5"/>
  <c r="BO384" i="5"/>
  <c r="BN384" i="5"/>
  <c r="BI384" i="5"/>
  <c r="BD384" i="5"/>
  <c r="AY384" i="5"/>
  <c r="AT384" i="5"/>
  <c r="AO384" i="5"/>
  <c r="AJ384" i="5"/>
  <c r="AE384" i="5"/>
  <c r="Z384" i="5"/>
  <c r="U384" i="5"/>
  <c r="P384" i="5"/>
  <c r="K384" i="5"/>
  <c r="BR383" i="5"/>
  <c r="BQ383" i="5"/>
  <c r="BP383" i="5"/>
  <c r="BO383" i="5"/>
  <c r="BN383" i="5"/>
  <c r="BI383" i="5"/>
  <c r="BD383" i="5"/>
  <c r="AY383" i="5"/>
  <c r="AT383" i="5"/>
  <c r="AO383" i="5"/>
  <c r="AJ383" i="5"/>
  <c r="AE383" i="5"/>
  <c r="Z383" i="5"/>
  <c r="U383" i="5"/>
  <c r="P383" i="5"/>
  <c r="K383" i="5"/>
  <c r="BR382" i="5"/>
  <c r="BQ382" i="5"/>
  <c r="BP382" i="5"/>
  <c r="BO382" i="5"/>
  <c r="BN382" i="5"/>
  <c r="BI382" i="5"/>
  <c r="BD382" i="5"/>
  <c r="AY382" i="5"/>
  <c r="AT382" i="5"/>
  <c r="AO382" i="5"/>
  <c r="AJ382" i="5"/>
  <c r="AE382" i="5"/>
  <c r="Z382" i="5"/>
  <c r="U382" i="5"/>
  <c r="P382" i="5"/>
  <c r="K382" i="5"/>
  <c r="BR381" i="5"/>
  <c r="BQ381" i="5"/>
  <c r="BP381" i="5"/>
  <c r="BO381" i="5"/>
  <c r="BN381" i="5"/>
  <c r="BI381" i="5"/>
  <c r="BD381" i="5"/>
  <c r="AY381" i="5"/>
  <c r="AT381" i="5"/>
  <c r="AO381" i="5"/>
  <c r="AJ381" i="5"/>
  <c r="AE381" i="5"/>
  <c r="Z381" i="5"/>
  <c r="U381" i="5"/>
  <c r="P381" i="5"/>
  <c r="K381" i="5"/>
  <c r="BR380" i="5"/>
  <c r="BQ380" i="5"/>
  <c r="BP380" i="5"/>
  <c r="BO380" i="5"/>
  <c r="BN380" i="5"/>
  <c r="BI380" i="5"/>
  <c r="BD380" i="5"/>
  <c r="AY380" i="5"/>
  <c r="AT380" i="5"/>
  <c r="AO380" i="5"/>
  <c r="AJ380" i="5"/>
  <c r="AE380" i="5"/>
  <c r="Z380" i="5"/>
  <c r="U380" i="5"/>
  <c r="P380" i="5"/>
  <c r="K380" i="5"/>
  <c r="BR379" i="5"/>
  <c r="BQ379" i="5"/>
  <c r="BP379" i="5"/>
  <c r="BO379" i="5"/>
  <c r="BN379" i="5"/>
  <c r="BI379" i="5"/>
  <c r="BD379" i="5"/>
  <c r="AY379" i="5"/>
  <c r="AT379" i="5"/>
  <c r="AO379" i="5"/>
  <c r="AJ379" i="5"/>
  <c r="AE379" i="5"/>
  <c r="Z379" i="5"/>
  <c r="U379" i="5"/>
  <c r="P379" i="5"/>
  <c r="K379" i="5"/>
  <c r="BR378" i="5"/>
  <c r="BQ378" i="5"/>
  <c r="BP378" i="5"/>
  <c r="BO378" i="5"/>
  <c r="BN378" i="5"/>
  <c r="BI378" i="5"/>
  <c r="BD378" i="5"/>
  <c r="AY378" i="5"/>
  <c r="AT378" i="5"/>
  <c r="AO378" i="5"/>
  <c r="AJ378" i="5"/>
  <c r="AE378" i="5"/>
  <c r="Z378" i="5"/>
  <c r="U378" i="5"/>
  <c r="P378" i="5"/>
  <c r="K378" i="5"/>
  <c r="BR377" i="5"/>
  <c r="BQ377" i="5"/>
  <c r="BP377" i="5"/>
  <c r="BO377" i="5"/>
  <c r="BN377" i="5"/>
  <c r="BI377" i="5"/>
  <c r="BD377" i="5"/>
  <c r="AY377" i="5"/>
  <c r="AT377" i="5"/>
  <c r="AO377" i="5"/>
  <c r="AJ377" i="5"/>
  <c r="AE377" i="5"/>
  <c r="Z377" i="5"/>
  <c r="U377" i="5"/>
  <c r="P377" i="5"/>
  <c r="K377" i="5"/>
  <c r="BR376" i="5"/>
  <c r="BQ376" i="5"/>
  <c r="BP376" i="5"/>
  <c r="BO376" i="5"/>
  <c r="BN376" i="5"/>
  <c r="BI376" i="5"/>
  <c r="BD376" i="5"/>
  <c r="AY376" i="5"/>
  <c r="AT376" i="5"/>
  <c r="AO376" i="5"/>
  <c r="AJ376" i="5"/>
  <c r="AE376" i="5"/>
  <c r="Z376" i="5"/>
  <c r="U376" i="5"/>
  <c r="P376" i="5"/>
  <c r="K376" i="5"/>
  <c r="BR375" i="5"/>
  <c r="BQ375" i="5"/>
  <c r="BP375" i="5"/>
  <c r="BO375" i="5"/>
  <c r="BN375" i="5"/>
  <c r="BI375" i="5"/>
  <c r="BD375" i="5"/>
  <c r="AY375" i="5"/>
  <c r="AT375" i="5"/>
  <c r="AO375" i="5"/>
  <c r="AJ375" i="5"/>
  <c r="AE375" i="5"/>
  <c r="Z375" i="5"/>
  <c r="U375" i="5"/>
  <c r="P375" i="5"/>
  <c r="K375" i="5"/>
  <c r="BR374" i="5"/>
  <c r="BQ374" i="5"/>
  <c r="BP374" i="5"/>
  <c r="BO374" i="5"/>
  <c r="BN374" i="5"/>
  <c r="BI374" i="5"/>
  <c r="BD374" i="5"/>
  <c r="AY374" i="5"/>
  <c r="AT374" i="5"/>
  <c r="AO374" i="5"/>
  <c r="AJ374" i="5"/>
  <c r="AE374" i="5"/>
  <c r="Z374" i="5"/>
  <c r="U374" i="5"/>
  <c r="P374" i="5"/>
  <c r="K374" i="5"/>
  <c r="BR373" i="5"/>
  <c r="BQ373" i="5"/>
  <c r="BP373" i="5"/>
  <c r="BO373" i="5"/>
  <c r="BN373" i="5"/>
  <c r="BI373" i="5"/>
  <c r="BD373" i="5"/>
  <c r="AY373" i="5"/>
  <c r="AT373" i="5"/>
  <c r="AO373" i="5"/>
  <c r="AJ373" i="5"/>
  <c r="AE373" i="5"/>
  <c r="Z373" i="5"/>
  <c r="U373" i="5"/>
  <c r="P373" i="5"/>
  <c r="K373" i="5"/>
  <c r="BR372" i="5"/>
  <c r="BQ372" i="5"/>
  <c r="BP372" i="5"/>
  <c r="BO372" i="5"/>
  <c r="BN372" i="5"/>
  <c r="BI372" i="5"/>
  <c r="BD372" i="5"/>
  <c r="AY372" i="5"/>
  <c r="AT372" i="5"/>
  <c r="AO372" i="5"/>
  <c r="AJ372" i="5"/>
  <c r="AE372" i="5"/>
  <c r="Z372" i="5"/>
  <c r="U372" i="5"/>
  <c r="P372" i="5"/>
  <c r="K372" i="5"/>
  <c r="BR371" i="5"/>
  <c r="BQ371" i="5"/>
  <c r="BP371" i="5"/>
  <c r="BO371" i="5"/>
  <c r="BN371" i="5"/>
  <c r="BI371" i="5"/>
  <c r="BD371" i="5"/>
  <c r="AY371" i="5"/>
  <c r="AT371" i="5"/>
  <c r="AO371" i="5"/>
  <c r="AJ371" i="5"/>
  <c r="AE371" i="5"/>
  <c r="Z371" i="5"/>
  <c r="U371" i="5"/>
  <c r="P371" i="5"/>
  <c r="K371" i="5"/>
  <c r="BR370" i="5"/>
  <c r="BQ370" i="5"/>
  <c r="BP370" i="5"/>
  <c r="BO370" i="5"/>
  <c r="BN370" i="5"/>
  <c r="BI370" i="5"/>
  <c r="BD370" i="5"/>
  <c r="AY370" i="5"/>
  <c r="AT370" i="5"/>
  <c r="AO370" i="5"/>
  <c r="AJ370" i="5"/>
  <c r="AE370" i="5"/>
  <c r="Z370" i="5"/>
  <c r="U370" i="5"/>
  <c r="P370" i="5"/>
  <c r="K370" i="5"/>
  <c r="BR369" i="5"/>
  <c r="BQ369" i="5"/>
  <c r="BP369" i="5"/>
  <c r="BO369" i="5"/>
  <c r="BN369" i="5"/>
  <c r="BI369" i="5"/>
  <c r="BD369" i="5"/>
  <c r="AY369" i="5"/>
  <c r="AT369" i="5"/>
  <c r="AO369" i="5"/>
  <c r="AJ369" i="5"/>
  <c r="AE369" i="5"/>
  <c r="Z369" i="5"/>
  <c r="U369" i="5"/>
  <c r="P369" i="5"/>
  <c r="K369" i="5"/>
  <c r="BR368" i="5"/>
  <c r="BQ368" i="5"/>
  <c r="BP368" i="5"/>
  <c r="BO368" i="5"/>
  <c r="BN368" i="5"/>
  <c r="BI368" i="5"/>
  <c r="BD368" i="5"/>
  <c r="AY368" i="5"/>
  <c r="AT368" i="5"/>
  <c r="AO368" i="5"/>
  <c r="AJ368" i="5"/>
  <c r="AE368" i="5"/>
  <c r="Z368" i="5"/>
  <c r="U368" i="5"/>
  <c r="P368" i="5"/>
  <c r="K368" i="5"/>
  <c r="BR367" i="5"/>
  <c r="BQ367" i="5"/>
  <c r="BP367" i="5"/>
  <c r="BO367" i="5"/>
  <c r="BN367" i="5"/>
  <c r="BI367" i="5"/>
  <c r="BD367" i="5"/>
  <c r="AY367" i="5"/>
  <c r="AT367" i="5"/>
  <c r="AO367" i="5"/>
  <c r="AJ367" i="5"/>
  <c r="AE367" i="5"/>
  <c r="Z367" i="5"/>
  <c r="U367" i="5"/>
  <c r="P367" i="5"/>
  <c r="K367" i="5"/>
  <c r="BM366" i="5"/>
  <c r="BL366" i="5"/>
  <c r="BK366" i="5"/>
  <c r="BJ366" i="5"/>
  <c r="BH366" i="5"/>
  <c r="BG366" i="5"/>
  <c r="BF366" i="5"/>
  <c r="BE366" i="5"/>
  <c r="BC366" i="5"/>
  <c r="BB366" i="5"/>
  <c r="BA366" i="5"/>
  <c r="AZ366" i="5"/>
  <c r="AX366" i="5"/>
  <c r="AW366" i="5"/>
  <c r="AV366" i="5"/>
  <c r="AU366" i="5"/>
  <c r="AS366" i="5"/>
  <c r="AR366" i="5"/>
  <c r="AQ366" i="5"/>
  <c r="AP366" i="5"/>
  <c r="AN366" i="5"/>
  <c r="AM366" i="5"/>
  <c r="AL366" i="5"/>
  <c r="AK366" i="5"/>
  <c r="AI366" i="5"/>
  <c r="AH366" i="5"/>
  <c r="AG366" i="5"/>
  <c r="AF366" i="5"/>
  <c r="AD366" i="5"/>
  <c r="AC366" i="5"/>
  <c r="AB366" i="5"/>
  <c r="AA366" i="5"/>
  <c r="Y366" i="5"/>
  <c r="X366" i="5"/>
  <c r="W366" i="5"/>
  <c r="V366" i="5"/>
  <c r="T366" i="5"/>
  <c r="S366" i="5"/>
  <c r="R366" i="5"/>
  <c r="Q366" i="5"/>
  <c r="O366" i="5"/>
  <c r="N366" i="5"/>
  <c r="M366" i="5"/>
  <c r="L366" i="5"/>
  <c r="J366" i="5"/>
  <c r="I366" i="5"/>
  <c r="H366" i="5"/>
  <c r="G366" i="5"/>
  <c r="BR365" i="5"/>
  <c r="BQ365" i="5"/>
  <c r="BP365" i="5"/>
  <c r="BO365" i="5"/>
  <c r="BN365" i="5"/>
  <c r="BI365" i="5"/>
  <c r="BD365" i="5"/>
  <c r="AY365" i="5"/>
  <c r="AT365" i="5"/>
  <c r="AO365" i="5"/>
  <c r="AJ365" i="5"/>
  <c r="AE365" i="5"/>
  <c r="Z365" i="5"/>
  <c r="U365" i="5"/>
  <c r="P365" i="5"/>
  <c r="K365" i="5"/>
  <c r="BR364" i="5"/>
  <c r="BQ364" i="5"/>
  <c r="BP364" i="5"/>
  <c r="BO364" i="5"/>
  <c r="BN364" i="5"/>
  <c r="BI364" i="5"/>
  <c r="BD364" i="5"/>
  <c r="AY364" i="5"/>
  <c r="AT364" i="5"/>
  <c r="AO364" i="5"/>
  <c r="AJ364" i="5"/>
  <c r="AE364" i="5"/>
  <c r="Z364" i="5"/>
  <c r="U364" i="5"/>
  <c r="P364" i="5"/>
  <c r="K364" i="5"/>
  <c r="BR363" i="5"/>
  <c r="BQ363" i="5"/>
  <c r="BP363" i="5"/>
  <c r="BO363" i="5"/>
  <c r="BN363" i="5"/>
  <c r="BI363" i="5"/>
  <c r="BD363" i="5"/>
  <c r="AY363" i="5"/>
  <c r="AT363" i="5"/>
  <c r="AO363" i="5"/>
  <c r="AJ363" i="5"/>
  <c r="AE363" i="5"/>
  <c r="Z363" i="5"/>
  <c r="U363" i="5"/>
  <c r="P363" i="5"/>
  <c r="K363" i="5"/>
  <c r="BR362" i="5"/>
  <c r="BQ362" i="5"/>
  <c r="BP362" i="5"/>
  <c r="BO362" i="5"/>
  <c r="BN362" i="5"/>
  <c r="BI362" i="5"/>
  <c r="BD362" i="5"/>
  <c r="AY362" i="5"/>
  <c r="AT362" i="5"/>
  <c r="AO362" i="5"/>
  <c r="AJ362" i="5"/>
  <c r="AE362" i="5"/>
  <c r="Z362" i="5"/>
  <c r="U362" i="5"/>
  <c r="P362" i="5"/>
  <c r="K362" i="5"/>
  <c r="BR361" i="5"/>
  <c r="BQ361" i="5"/>
  <c r="BP361" i="5"/>
  <c r="BO361" i="5"/>
  <c r="BN361" i="5"/>
  <c r="BI361" i="5"/>
  <c r="BD361" i="5"/>
  <c r="AY361" i="5"/>
  <c r="AT361" i="5"/>
  <c r="AO361" i="5"/>
  <c r="AJ361" i="5"/>
  <c r="AE361" i="5"/>
  <c r="Z361" i="5"/>
  <c r="U361" i="5"/>
  <c r="P361" i="5"/>
  <c r="K361" i="5"/>
  <c r="BR360" i="5"/>
  <c r="BQ360" i="5"/>
  <c r="BP360" i="5"/>
  <c r="BO360" i="5"/>
  <c r="BN360" i="5"/>
  <c r="BI360" i="5"/>
  <c r="BD360" i="5"/>
  <c r="AY360" i="5"/>
  <c r="AT360" i="5"/>
  <c r="AO360" i="5"/>
  <c r="AJ360" i="5"/>
  <c r="AE360" i="5"/>
  <c r="Z360" i="5"/>
  <c r="U360" i="5"/>
  <c r="P360" i="5"/>
  <c r="K360" i="5"/>
  <c r="BR359" i="5"/>
  <c r="BQ359" i="5"/>
  <c r="BP359" i="5"/>
  <c r="BO359" i="5"/>
  <c r="BN359" i="5"/>
  <c r="BI359" i="5"/>
  <c r="BD359" i="5"/>
  <c r="AY359" i="5"/>
  <c r="AT359" i="5"/>
  <c r="AO359" i="5"/>
  <c r="AJ359" i="5"/>
  <c r="AE359" i="5"/>
  <c r="Z359" i="5"/>
  <c r="U359" i="5"/>
  <c r="P359" i="5"/>
  <c r="K359" i="5"/>
  <c r="BR358" i="5"/>
  <c r="BQ358" i="5"/>
  <c r="BP358" i="5"/>
  <c r="BO358" i="5"/>
  <c r="BN358" i="5"/>
  <c r="BI358" i="5"/>
  <c r="BD358" i="5"/>
  <c r="AY358" i="5"/>
  <c r="AT358" i="5"/>
  <c r="AO358" i="5"/>
  <c r="AJ358" i="5"/>
  <c r="AE358" i="5"/>
  <c r="Z358" i="5"/>
  <c r="U358" i="5"/>
  <c r="P358" i="5"/>
  <c r="K358" i="5"/>
  <c r="BR357" i="5"/>
  <c r="BQ357" i="5"/>
  <c r="BP357" i="5"/>
  <c r="BO357" i="5"/>
  <c r="BN357" i="5"/>
  <c r="BI357" i="5"/>
  <c r="BD357" i="5"/>
  <c r="AY357" i="5"/>
  <c r="AT357" i="5"/>
  <c r="AO357" i="5"/>
  <c r="AJ357" i="5"/>
  <c r="AE357" i="5"/>
  <c r="Z357" i="5"/>
  <c r="U357" i="5"/>
  <c r="P357" i="5"/>
  <c r="K357" i="5"/>
  <c r="BM356" i="5"/>
  <c r="BL356" i="5"/>
  <c r="BK356" i="5"/>
  <c r="BJ356" i="5"/>
  <c r="BH356" i="5"/>
  <c r="BG356" i="5"/>
  <c r="BE356" i="5"/>
  <c r="BC356" i="5"/>
  <c r="BB356" i="5"/>
  <c r="BA356" i="5"/>
  <c r="AZ356" i="5"/>
  <c r="AX356" i="5"/>
  <c r="AW356" i="5"/>
  <c r="AV356" i="5"/>
  <c r="AU356" i="5"/>
  <c r="AS356" i="5"/>
  <c r="AR356" i="5"/>
  <c r="AQ356" i="5"/>
  <c r="AP356" i="5"/>
  <c r="AN356" i="5"/>
  <c r="AM356" i="5"/>
  <c r="AL356" i="5"/>
  <c r="AK356" i="5"/>
  <c r="AI356" i="5"/>
  <c r="AH356" i="5"/>
  <c r="AG356" i="5"/>
  <c r="AF356" i="5"/>
  <c r="AD356" i="5"/>
  <c r="AC356" i="5"/>
  <c r="AB356" i="5"/>
  <c r="AA356" i="5"/>
  <c r="Y356" i="5"/>
  <c r="X356" i="5"/>
  <c r="W356" i="5"/>
  <c r="V356" i="5"/>
  <c r="T356" i="5"/>
  <c r="S356" i="5"/>
  <c r="R356" i="5"/>
  <c r="Q356" i="5"/>
  <c r="O356" i="5"/>
  <c r="N356" i="5"/>
  <c r="M356" i="5"/>
  <c r="L356" i="5"/>
  <c r="J356" i="5"/>
  <c r="I356" i="5"/>
  <c r="H356" i="5"/>
  <c r="G356" i="5"/>
  <c r="BR355" i="5"/>
  <c r="BQ355" i="5"/>
  <c r="BP355" i="5"/>
  <c r="BO355" i="5"/>
  <c r="BN355" i="5"/>
  <c r="BI355" i="5"/>
  <c r="BD355" i="5"/>
  <c r="AY355" i="5"/>
  <c r="AT355" i="5"/>
  <c r="AO355" i="5"/>
  <c r="AJ355" i="5"/>
  <c r="AE355" i="5"/>
  <c r="Z355" i="5"/>
  <c r="U355" i="5"/>
  <c r="P355" i="5"/>
  <c r="K355" i="5"/>
  <c r="BR354" i="5"/>
  <c r="BQ354" i="5"/>
  <c r="BP354" i="5"/>
  <c r="BO354" i="5"/>
  <c r="BN354" i="5"/>
  <c r="BI354" i="5"/>
  <c r="BD354" i="5"/>
  <c r="AY354" i="5"/>
  <c r="AT354" i="5"/>
  <c r="AO354" i="5"/>
  <c r="AJ354" i="5"/>
  <c r="AE354" i="5"/>
  <c r="Z354" i="5"/>
  <c r="U354" i="5"/>
  <c r="P354" i="5"/>
  <c r="K354" i="5"/>
  <c r="BR353" i="5"/>
  <c r="BQ353" i="5"/>
  <c r="BP353" i="5"/>
  <c r="BO353" i="5"/>
  <c r="BN353" i="5"/>
  <c r="BI353" i="5"/>
  <c r="BD353" i="5"/>
  <c r="AY353" i="5"/>
  <c r="AT353" i="5"/>
  <c r="AO353" i="5"/>
  <c r="AJ353" i="5"/>
  <c r="AE353" i="5"/>
  <c r="Z353" i="5"/>
  <c r="U353" i="5"/>
  <c r="P353" i="5"/>
  <c r="K353" i="5"/>
  <c r="BR352" i="5"/>
  <c r="BQ352" i="5"/>
  <c r="BP352" i="5"/>
  <c r="BO352" i="5"/>
  <c r="BN352" i="5"/>
  <c r="BI352" i="5"/>
  <c r="BD352" i="5"/>
  <c r="AY352" i="5"/>
  <c r="AT352" i="5"/>
  <c r="AO352" i="5"/>
  <c r="AJ352" i="5"/>
  <c r="AE352" i="5"/>
  <c r="Z352" i="5"/>
  <c r="U352" i="5"/>
  <c r="P352" i="5"/>
  <c r="K352" i="5"/>
  <c r="BR351" i="5"/>
  <c r="BQ351" i="5"/>
  <c r="BP351" i="5"/>
  <c r="BO351" i="5"/>
  <c r="BN351" i="5"/>
  <c r="BI351" i="5"/>
  <c r="BD351" i="5"/>
  <c r="AY351" i="5"/>
  <c r="AT351" i="5"/>
  <c r="AO351" i="5"/>
  <c r="AJ351" i="5"/>
  <c r="AE351" i="5"/>
  <c r="Z351" i="5"/>
  <c r="U351" i="5"/>
  <c r="P351" i="5"/>
  <c r="K351" i="5"/>
  <c r="BR350" i="5"/>
  <c r="BQ350" i="5"/>
  <c r="BP350" i="5"/>
  <c r="BO350" i="5"/>
  <c r="BN350" i="5"/>
  <c r="BI350" i="5"/>
  <c r="BD350" i="5"/>
  <c r="AY350" i="5"/>
  <c r="AT350" i="5"/>
  <c r="AO350" i="5"/>
  <c r="AJ350" i="5"/>
  <c r="AE350" i="5"/>
  <c r="Z350" i="5"/>
  <c r="U350" i="5"/>
  <c r="P350" i="5"/>
  <c r="K350" i="5"/>
  <c r="BR349" i="5"/>
  <c r="BQ349" i="5"/>
  <c r="BP349" i="5"/>
  <c r="BO349" i="5"/>
  <c r="BN349" i="5"/>
  <c r="BI349" i="5"/>
  <c r="BD349" i="5"/>
  <c r="AY349" i="5"/>
  <c r="AT349" i="5"/>
  <c r="AO349" i="5"/>
  <c r="AJ349" i="5"/>
  <c r="AE349" i="5"/>
  <c r="Z349" i="5"/>
  <c r="U349" i="5"/>
  <c r="P349" i="5"/>
  <c r="K349" i="5"/>
  <c r="BR348" i="5"/>
  <c r="BQ348" i="5"/>
  <c r="BO348" i="5"/>
  <c r="BN348" i="5"/>
  <c r="BF348" i="5"/>
  <c r="BD348" i="5"/>
  <c r="AY348" i="5"/>
  <c r="AT348" i="5"/>
  <c r="AO348" i="5"/>
  <c r="AJ348" i="5"/>
  <c r="AE348" i="5"/>
  <c r="Z348" i="5"/>
  <c r="U348" i="5"/>
  <c r="P348" i="5"/>
  <c r="K348" i="5"/>
  <c r="BR347" i="5"/>
  <c r="BQ347" i="5"/>
  <c r="BP347" i="5"/>
  <c r="BO347" i="5"/>
  <c r="BN347" i="5"/>
  <c r="BI347" i="5"/>
  <c r="BD347" i="5"/>
  <c r="AY347" i="5"/>
  <c r="AT347" i="5"/>
  <c r="AO347" i="5"/>
  <c r="AJ347" i="5"/>
  <c r="AE347" i="5"/>
  <c r="Z347" i="5"/>
  <c r="U347" i="5"/>
  <c r="P347" i="5"/>
  <c r="K347" i="5"/>
  <c r="BR346" i="5"/>
  <c r="BQ346" i="5"/>
  <c r="BP346" i="5"/>
  <c r="BO346" i="5"/>
  <c r="BN346" i="5"/>
  <c r="BI346" i="5"/>
  <c r="BD346" i="5"/>
  <c r="AY346" i="5"/>
  <c r="AT346" i="5"/>
  <c r="AO346" i="5"/>
  <c r="AJ346" i="5"/>
  <c r="AE346" i="5"/>
  <c r="Z346" i="5"/>
  <c r="U346" i="5"/>
  <c r="P346" i="5"/>
  <c r="K346" i="5"/>
  <c r="BR345" i="5"/>
  <c r="BQ345" i="5"/>
  <c r="BP345" i="5"/>
  <c r="BO345" i="5"/>
  <c r="BN345" i="5"/>
  <c r="BI345" i="5"/>
  <c r="BD345" i="5"/>
  <c r="AY345" i="5"/>
  <c r="AT345" i="5"/>
  <c r="AO345" i="5"/>
  <c r="AJ345" i="5"/>
  <c r="AE345" i="5"/>
  <c r="Z345" i="5"/>
  <c r="U345" i="5"/>
  <c r="P345" i="5"/>
  <c r="K345" i="5"/>
  <c r="BR344" i="5"/>
  <c r="BQ344" i="5"/>
  <c r="BP344" i="5"/>
  <c r="BO344" i="5"/>
  <c r="BN344" i="5"/>
  <c r="BI344" i="5"/>
  <c r="BD344" i="5"/>
  <c r="AY344" i="5"/>
  <c r="AT344" i="5"/>
  <c r="AO344" i="5"/>
  <c r="AJ344" i="5"/>
  <c r="AE344" i="5"/>
  <c r="Z344" i="5"/>
  <c r="U344" i="5"/>
  <c r="P344" i="5"/>
  <c r="K344" i="5"/>
  <c r="BR343" i="5"/>
  <c r="BQ343" i="5"/>
  <c r="BP343" i="5"/>
  <c r="BO343" i="5"/>
  <c r="BN343" i="5"/>
  <c r="BI343" i="5"/>
  <c r="BD343" i="5"/>
  <c r="AY343" i="5"/>
  <c r="AT343" i="5"/>
  <c r="AO343" i="5"/>
  <c r="AJ343" i="5"/>
  <c r="AE343" i="5"/>
  <c r="Z343" i="5"/>
  <c r="U343" i="5"/>
  <c r="P343" i="5"/>
  <c r="K343" i="5"/>
  <c r="BR342" i="5"/>
  <c r="BQ342" i="5"/>
  <c r="BP342" i="5"/>
  <c r="BO342" i="5"/>
  <c r="BN342" i="5"/>
  <c r="BI342" i="5"/>
  <c r="BD342" i="5"/>
  <c r="AY342" i="5"/>
  <c r="AT342" i="5"/>
  <c r="AO342" i="5"/>
  <c r="AJ342" i="5"/>
  <c r="AE342" i="5"/>
  <c r="Z342" i="5"/>
  <c r="U342" i="5"/>
  <c r="P342" i="5"/>
  <c r="K342" i="5"/>
  <c r="BR341" i="5"/>
  <c r="BQ341" i="5"/>
  <c r="BP341" i="5"/>
  <c r="BO341" i="5"/>
  <c r="BN341" i="5"/>
  <c r="BI341" i="5"/>
  <c r="BD341" i="5"/>
  <c r="AY341" i="5"/>
  <c r="AT341" i="5"/>
  <c r="AO341" i="5"/>
  <c r="AJ341" i="5"/>
  <c r="AE341" i="5"/>
  <c r="Z341" i="5"/>
  <c r="U341" i="5"/>
  <c r="P341" i="5"/>
  <c r="K341" i="5"/>
  <c r="BR340" i="5"/>
  <c r="BQ340" i="5"/>
  <c r="BP340" i="5"/>
  <c r="BO340" i="5"/>
  <c r="BN340" i="5"/>
  <c r="BI340" i="5"/>
  <c r="BD340" i="5"/>
  <c r="AY340" i="5"/>
  <c r="AT340" i="5"/>
  <c r="AO340" i="5"/>
  <c r="AJ340" i="5"/>
  <c r="AE340" i="5"/>
  <c r="Z340" i="5"/>
  <c r="U340" i="5"/>
  <c r="P340" i="5"/>
  <c r="K340" i="5"/>
  <c r="BR339" i="5"/>
  <c r="BQ339" i="5"/>
  <c r="BP339" i="5"/>
  <c r="BO339" i="5"/>
  <c r="BN339" i="5"/>
  <c r="BI339" i="5"/>
  <c r="BD339" i="5"/>
  <c r="AY339" i="5"/>
  <c r="AT339" i="5"/>
  <c r="AO339" i="5"/>
  <c r="AJ339" i="5"/>
  <c r="AE339" i="5"/>
  <c r="Z339" i="5"/>
  <c r="U339" i="5"/>
  <c r="P339" i="5"/>
  <c r="K339" i="5"/>
  <c r="BM338" i="5"/>
  <c r="BL338" i="5"/>
  <c r="BK338" i="5"/>
  <c r="BJ338" i="5"/>
  <c r="BH338" i="5"/>
  <c r="BG338" i="5"/>
  <c r="BF338" i="5"/>
  <c r="BE338" i="5"/>
  <c r="BC338" i="5"/>
  <c r="BB338" i="5"/>
  <c r="BA338" i="5"/>
  <c r="AZ338" i="5"/>
  <c r="AX338" i="5"/>
  <c r="AW338" i="5"/>
  <c r="AV338" i="5"/>
  <c r="AU338" i="5"/>
  <c r="AS338" i="5"/>
  <c r="AR338" i="5"/>
  <c r="AQ338" i="5"/>
  <c r="AP338" i="5"/>
  <c r="AN338" i="5"/>
  <c r="AM338" i="5"/>
  <c r="AL338" i="5"/>
  <c r="AK338" i="5"/>
  <c r="AI338" i="5"/>
  <c r="AH338" i="5"/>
  <c r="AG338" i="5"/>
  <c r="AF338" i="5"/>
  <c r="AD338" i="5"/>
  <c r="AC338" i="5"/>
  <c r="AB338" i="5"/>
  <c r="AA338" i="5"/>
  <c r="Y338" i="5"/>
  <c r="X338" i="5"/>
  <c r="W338" i="5"/>
  <c r="V338" i="5"/>
  <c r="T338" i="5"/>
  <c r="S338" i="5"/>
  <c r="R338" i="5"/>
  <c r="Q338" i="5"/>
  <c r="O338" i="5"/>
  <c r="N338" i="5"/>
  <c r="M338" i="5"/>
  <c r="L338" i="5"/>
  <c r="J338" i="5"/>
  <c r="I338" i="5"/>
  <c r="H338" i="5"/>
  <c r="G338" i="5"/>
  <c r="BR337" i="5"/>
  <c r="BQ337" i="5"/>
  <c r="BP337" i="5"/>
  <c r="BO337" i="5"/>
  <c r="BN337" i="5"/>
  <c r="BI337" i="5"/>
  <c r="BD337" i="5"/>
  <c r="AY337" i="5"/>
  <c r="AT337" i="5"/>
  <c r="AO337" i="5"/>
  <c r="AJ337" i="5"/>
  <c r="AE337" i="5"/>
  <c r="Z337" i="5"/>
  <c r="U337" i="5"/>
  <c r="P337" i="5"/>
  <c r="K337" i="5"/>
  <c r="BR336" i="5"/>
  <c r="BQ336" i="5"/>
  <c r="BP336" i="5"/>
  <c r="BO336" i="5"/>
  <c r="BN336" i="5"/>
  <c r="BI336" i="5"/>
  <c r="BD336" i="5"/>
  <c r="AY336" i="5"/>
  <c r="AT336" i="5"/>
  <c r="AO336" i="5"/>
  <c r="AJ336" i="5"/>
  <c r="AE336" i="5"/>
  <c r="Z336" i="5"/>
  <c r="U336" i="5"/>
  <c r="P336" i="5"/>
  <c r="K336" i="5"/>
  <c r="BR335" i="5"/>
  <c r="BQ335" i="5"/>
  <c r="BP335" i="5"/>
  <c r="BO335" i="5"/>
  <c r="BN335" i="5"/>
  <c r="BI335" i="5"/>
  <c r="BD335" i="5"/>
  <c r="AY335" i="5"/>
  <c r="AT335" i="5"/>
  <c r="AO335" i="5"/>
  <c r="AJ335" i="5"/>
  <c r="AE335" i="5"/>
  <c r="Z335" i="5"/>
  <c r="U335" i="5"/>
  <c r="P335" i="5"/>
  <c r="K335" i="5"/>
  <c r="BR334" i="5"/>
  <c r="BQ334" i="5"/>
  <c r="BP334" i="5"/>
  <c r="BO334" i="5"/>
  <c r="BN334" i="5"/>
  <c r="BI334" i="5"/>
  <c r="BD334" i="5"/>
  <c r="AY334" i="5"/>
  <c r="AT334" i="5"/>
  <c r="AO334" i="5"/>
  <c r="AJ334" i="5"/>
  <c r="AE334" i="5"/>
  <c r="Z334" i="5"/>
  <c r="U334" i="5"/>
  <c r="P334" i="5"/>
  <c r="K334" i="5"/>
  <c r="BR333" i="5"/>
  <c r="BQ333" i="5"/>
  <c r="BP333" i="5"/>
  <c r="BO333" i="5"/>
  <c r="BN333" i="5"/>
  <c r="BI333" i="5"/>
  <c r="BD333" i="5"/>
  <c r="AY333" i="5"/>
  <c r="AT333" i="5"/>
  <c r="AO333" i="5"/>
  <c r="AJ333" i="5"/>
  <c r="AE333" i="5"/>
  <c r="Z333" i="5"/>
  <c r="U333" i="5"/>
  <c r="P333" i="5"/>
  <c r="K333" i="5"/>
  <c r="BR332" i="5"/>
  <c r="BQ332" i="5"/>
  <c r="BP332" i="5"/>
  <c r="BO332" i="5"/>
  <c r="BN332" i="5"/>
  <c r="BI332" i="5"/>
  <c r="BD332" i="5"/>
  <c r="AY332" i="5"/>
  <c r="AT332" i="5"/>
  <c r="AO332" i="5"/>
  <c r="AJ332" i="5"/>
  <c r="AE332" i="5"/>
  <c r="Z332" i="5"/>
  <c r="U332" i="5"/>
  <c r="P332" i="5"/>
  <c r="K332" i="5"/>
  <c r="BR331" i="5"/>
  <c r="BQ331" i="5"/>
  <c r="BP331" i="5"/>
  <c r="BO331" i="5"/>
  <c r="BN331" i="5"/>
  <c r="BI331" i="5"/>
  <c r="BD331" i="5"/>
  <c r="AY331" i="5"/>
  <c r="AT331" i="5"/>
  <c r="AO331" i="5"/>
  <c r="AJ331" i="5"/>
  <c r="AE331" i="5"/>
  <c r="Z331" i="5"/>
  <c r="U331" i="5"/>
  <c r="P331" i="5"/>
  <c r="K331" i="5"/>
  <c r="BM329" i="5"/>
  <c r="BL329" i="5"/>
  <c r="BK329" i="5"/>
  <c r="BJ329" i="5"/>
  <c r="BH329" i="5"/>
  <c r="BG329" i="5"/>
  <c r="BF329" i="5"/>
  <c r="BE329" i="5"/>
  <c r="BC329" i="5"/>
  <c r="BB329" i="5"/>
  <c r="BA329" i="5"/>
  <c r="AZ329" i="5"/>
  <c r="AX329" i="5"/>
  <c r="AW329" i="5"/>
  <c r="AV329" i="5"/>
  <c r="AU329" i="5"/>
  <c r="AS329" i="5"/>
  <c r="AR329" i="5"/>
  <c r="AQ329" i="5"/>
  <c r="AP329" i="5"/>
  <c r="AN329" i="5"/>
  <c r="AM329" i="5"/>
  <c r="AL329" i="5"/>
  <c r="AK329" i="5"/>
  <c r="AI329" i="5"/>
  <c r="AH329" i="5"/>
  <c r="AG329" i="5"/>
  <c r="AF329" i="5"/>
  <c r="AD329" i="5"/>
  <c r="AC329" i="5"/>
  <c r="AB329" i="5"/>
  <c r="AA329" i="5"/>
  <c r="Y329" i="5"/>
  <c r="X329" i="5"/>
  <c r="W329" i="5"/>
  <c r="V329" i="5"/>
  <c r="T329" i="5"/>
  <c r="S329" i="5"/>
  <c r="R329" i="5"/>
  <c r="O329" i="5"/>
  <c r="M329" i="5"/>
  <c r="J329" i="5"/>
  <c r="H329" i="5"/>
  <c r="BR328" i="5"/>
  <c r="BQ328" i="5"/>
  <c r="BP328" i="5"/>
  <c r="BO328" i="5"/>
  <c r="BN328" i="5"/>
  <c r="BI328" i="5"/>
  <c r="BD328" i="5"/>
  <c r="AY328" i="5"/>
  <c r="AT328" i="5"/>
  <c r="AO328" i="5"/>
  <c r="AJ328" i="5"/>
  <c r="AE328" i="5"/>
  <c r="Z328" i="5"/>
  <c r="U328" i="5"/>
  <c r="P328" i="5"/>
  <c r="K328" i="5"/>
  <c r="BR327" i="5"/>
  <c r="BQ327" i="5"/>
  <c r="BP327" i="5"/>
  <c r="BO327" i="5"/>
  <c r="BN327" i="5"/>
  <c r="BI327" i="5"/>
  <c r="BD327" i="5"/>
  <c r="AY327" i="5"/>
  <c r="AT327" i="5"/>
  <c r="AO327" i="5"/>
  <c r="AJ327" i="5"/>
  <c r="AE327" i="5"/>
  <c r="Z327" i="5"/>
  <c r="U327" i="5"/>
  <c r="P327" i="5"/>
  <c r="K327" i="5"/>
  <c r="BR326" i="5"/>
  <c r="BQ326" i="5"/>
  <c r="BP326" i="5"/>
  <c r="BO326" i="5"/>
  <c r="BN326" i="5"/>
  <c r="BI326" i="5"/>
  <c r="BD326" i="5"/>
  <c r="AY326" i="5"/>
  <c r="AT326" i="5"/>
  <c r="AO326" i="5"/>
  <c r="AJ326" i="5"/>
  <c r="AE326" i="5"/>
  <c r="Z326" i="5"/>
  <c r="U326" i="5"/>
  <c r="P326" i="5"/>
  <c r="K326" i="5"/>
  <c r="BR325" i="5"/>
  <c r="BP325" i="5"/>
  <c r="BN325" i="5"/>
  <c r="BI325" i="5"/>
  <c r="BD325" i="5"/>
  <c r="AY325" i="5"/>
  <c r="AT325" i="5"/>
  <c r="AO325" i="5"/>
  <c r="AJ325" i="5"/>
  <c r="AE325" i="5"/>
  <c r="Z325" i="5"/>
  <c r="U325" i="5"/>
  <c r="N325" i="5"/>
  <c r="N329" i="5" s="1"/>
  <c r="L325" i="5"/>
  <c r="I325" i="5"/>
  <c r="I329" i="5" s="1"/>
  <c r="G325" i="5"/>
  <c r="BR324" i="5"/>
  <c r="BQ324" i="5"/>
  <c r="BP324" i="5"/>
  <c r="BN324" i="5"/>
  <c r="BI324" i="5"/>
  <c r="BD324" i="5"/>
  <c r="AY324" i="5"/>
  <c r="AT324" i="5"/>
  <c r="AO324" i="5"/>
  <c r="AJ324" i="5"/>
  <c r="AE324" i="5"/>
  <c r="Z324" i="5"/>
  <c r="U324" i="5"/>
  <c r="L324" i="5"/>
  <c r="P324" i="5" s="1"/>
  <c r="K324" i="5"/>
  <c r="BR323" i="5"/>
  <c r="BQ323" i="5"/>
  <c r="BP323" i="5"/>
  <c r="BO323" i="5"/>
  <c r="BN323" i="5"/>
  <c r="BI323" i="5"/>
  <c r="BD323" i="5"/>
  <c r="AY323" i="5"/>
  <c r="AT323" i="5"/>
  <c r="AO323" i="5"/>
  <c r="AJ323" i="5"/>
  <c r="AE323" i="5"/>
  <c r="Z323" i="5"/>
  <c r="U323" i="5"/>
  <c r="P323" i="5"/>
  <c r="K323" i="5"/>
  <c r="BR322" i="5"/>
  <c r="BQ322" i="5"/>
  <c r="BP322" i="5"/>
  <c r="BO322" i="5"/>
  <c r="BN322" i="5"/>
  <c r="BI322" i="5"/>
  <c r="BD322" i="5"/>
  <c r="AY322" i="5"/>
  <c r="AT322" i="5"/>
  <c r="AO322" i="5"/>
  <c r="AJ322" i="5"/>
  <c r="AE322" i="5"/>
  <c r="Z322" i="5"/>
  <c r="U322" i="5"/>
  <c r="P322" i="5"/>
  <c r="K322" i="5"/>
  <c r="BR321" i="5"/>
  <c r="BQ321" i="5"/>
  <c r="BP321" i="5"/>
  <c r="BO321" i="5"/>
  <c r="BN321" i="5"/>
  <c r="BI321" i="5"/>
  <c r="BD321" i="5"/>
  <c r="AY321" i="5"/>
  <c r="AT321" i="5"/>
  <c r="AO321" i="5"/>
  <c r="AJ321" i="5"/>
  <c r="AE321" i="5"/>
  <c r="Z321" i="5"/>
  <c r="U321" i="5"/>
  <c r="P321" i="5"/>
  <c r="K321" i="5"/>
  <c r="BR320" i="5"/>
  <c r="BQ320" i="5"/>
  <c r="BP320" i="5"/>
  <c r="BO320" i="5"/>
  <c r="BN320" i="5"/>
  <c r="BI320" i="5"/>
  <c r="BD320" i="5"/>
  <c r="AY320" i="5"/>
  <c r="AT320" i="5"/>
  <c r="AO320" i="5"/>
  <c r="AJ320" i="5"/>
  <c r="AE320" i="5"/>
  <c r="Z320" i="5"/>
  <c r="U320" i="5"/>
  <c r="P320" i="5"/>
  <c r="K320" i="5"/>
  <c r="BR319" i="5"/>
  <c r="BQ319" i="5"/>
  <c r="BP319" i="5"/>
  <c r="BO319" i="5"/>
  <c r="BN319" i="5"/>
  <c r="BI319" i="5"/>
  <c r="BD319" i="5"/>
  <c r="AY319" i="5"/>
  <c r="AT319" i="5"/>
  <c r="AO319" i="5"/>
  <c r="AJ319" i="5"/>
  <c r="AE319" i="5"/>
  <c r="Z319" i="5"/>
  <c r="U319" i="5"/>
  <c r="P319" i="5"/>
  <c r="K319" i="5"/>
  <c r="BR318" i="5"/>
  <c r="BQ318" i="5"/>
  <c r="BP318" i="5"/>
  <c r="BO318" i="5"/>
  <c r="BN318" i="5"/>
  <c r="BI318" i="5"/>
  <c r="BD318" i="5"/>
  <c r="AY318" i="5"/>
  <c r="AT318" i="5"/>
  <c r="AO318" i="5"/>
  <c r="AJ318" i="5"/>
  <c r="AE318" i="5"/>
  <c r="Z318" i="5"/>
  <c r="U318" i="5"/>
  <c r="P318" i="5"/>
  <c r="K318" i="5"/>
  <c r="BR317" i="5"/>
  <c r="BQ317" i="5"/>
  <c r="BP317" i="5"/>
  <c r="BO317" i="5"/>
  <c r="BN317" i="5"/>
  <c r="BI317" i="5"/>
  <c r="BD317" i="5"/>
  <c r="AY317" i="5"/>
  <c r="AT317" i="5"/>
  <c r="AO317" i="5"/>
  <c r="AJ317" i="5"/>
  <c r="AE317" i="5"/>
  <c r="Z317" i="5"/>
  <c r="U317" i="5"/>
  <c r="P317" i="5"/>
  <c r="K317" i="5"/>
  <c r="BR316" i="5"/>
  <c r="BQ316" i="5"/>
  <c r="BP316" i="5"/>
  <c r="BO316" i="5"/>
  <c r="BN316" i="5"/>
  <c r="BI316" i="5"/>
  <c r="BD316" i="5"/>
  <c r="AY316" i="5"/>
  <c r="AT316" i="5"/>
  <c r="AO316" i="5"/>
  <c r="AJ316" i="5"/>
  <c r="AE316" i="5"/>
  <c r="Z316" i="5"/>
  <c r="U316" i="5"/>
  <c r="P316" i="5"/>
  <c r="K316" i="5"/>
  <c r="BR315" i="5"/>
  <c r="BQ315" i="5"/>
  <c r="BP315" i="5"/>
  <c r="BO315" i="5"/>
  <c r="BN315" i="5"/>
  <c r="BI315" i="5"/>
  <c r="BD315" i="5"/>
  <c r="AY315" i="5"/>
  <c r="AT315" i="5"/>
  <c r="AO315" i="5"/>
  <c r="AJ315" i="5"/>
  <c r="AE315" i="5"/>
  <c r="Z315" i="5"/>
  <c r="U315" i="5"/>
  <c r="P315" i="5"/>
  <c r="K315" i="5"/>
  <c r="BR314" i="5"/>
  <c r="BQ314" i="5"/>
  <c r="BP314" i="5"/>
  <c r="BO314" i="5"/>
  <c r="BN314" i="5"/>
  <c r="BI314" i="5"/>
  <c r="BD314" i="5"/>
  <c r="AY314" i="5"/>
  <c r="AT314" i="5"/>
  <c r="AO314" i="5"/>
  <c r="AJ314" i="5"/>
  <c r="AE314" i="5"/>
  <c r="Z314" i="5"/>
  <c r="U314" i="5"/>
  <c r="P314" i="5"/>
  <c r="K314" i="5"/>
  <c r="BR313" i="5"/>
  <c r="BQ313" i="5"/>
  <c r="BP313" i="5"/>
  <c r="BO313" i="5"/>
  <c r="BN313" i="5"/>
  <c r="BI313" i="5"/>
  <c r="BD313" i="5"/>
  <c r="AY313" i="5"/>
  <c r="AT313" i="5"/>
  <c r="AO313" i="5"/>
  <c r="AJ313" i="5"/>
  <c r="AE313" i="5"/>
  <c r="Z313" i="5"/>
  <c r="U313" i="5"/>
  <c r="P313" i="5"/>
  <c r="K313" i="5"/>
  <c r="BR312" i="5"/>
  <c r="BQ312" i="5"/>
  <c r="BP312" i="5"/>
  <c r="BO312" i="5"/>
  <c r="BN312" i="5"/>
  <c r="BI312" i="5"/>
  <c r="BD312" i="5"/>
  <c r="AY312" i="5"/>
  <c r="AT312" i="5"/>
  <c r="AO312" i="5"/>
  <c r="AJ312" i="5"/>
  <c r="AE312" i="5"/>
  <c r="Z312" i="5"/>
  <c r="U312" i="5"/>
  <c r="P312" i="5"/>
  <c r="K312" i="5"/>
  <c r="BR311" i="5"/>
  <c r="BQ311" i="5"/>
  <c r="BP311" i="5"/>
  <c r="BO311" i="5"/>
  <c r="BN311" i="5"/>
  <c r="BI311" i="5"/>
  <c r="BD311" i="5"/>
  <c r="AY311" i="5"/>
  <c r="AT311" i="5"/>
  <c r="AO311" i="5"/>
  <c r="AJ311" i="5"/>
  <c r="AE311" i="5"/>
  <c r="Z311" i="5"/>
  <c r="U311" i="5"/>
  <c r="P311" i="5"/>
  <c r="K311" i="5"/>
  <c r="BR310" i="5"/>
  <c r="BQ310" i="5"/>
  <c r="BP310" i="5"/>
  <c r="BO310" i="5"/>
  <c r="BN310" i="5"/>
  <c r="BI310" i="5"/>
  <c r="BD310" i="5"/>
  <c r="AY310" i="5"/>
  <c r="AT310" i="5"/>
  <c r="AO310" i="5"/>
  <c r="AJ310" i="5"/>
  <c r="AE310" i="5"/>
  <c r="Z310" i="5"/>
  <c r="U310" i="5"/>
  <c r="P310" i="5"/>
  <c r="K310" i="5"/>
  <c r="BR309" i="5"/>
  <c r="BQ309" i="5"/>
  <c r="BP309" i="5"/>
  <c r="BO309" i="5"/>
  <c r="BN309" i="5"/>
  <c r="BI309" i="5"/>
  <c r="BD309" i="5"/>
  <c r="AY309" i="5"/>
  <c r="AT309" i="5"/>
  <c r="AO309" i="5"/>
  <c r="AJ309" i="5"/>
  <c r="AE309" i="5"/>
  <c r="Z309" i="5"/>
  <c r="U309" i="5"/>
  <c r="P309" i="5"/>
  <c r="K309" i="5"/>
  <c r="BR308" i="5"/>
  <c r="BQ308" i="5"/>
  <c r="BP308" i="5"/>
  <c r="BO308" i="5"/>
  <c r="BN308" i="5"/>
  <c r="BI308" i="5"/>
  <c r="BD308" i="5"/>
  <c r="AY308" i="5"/>
  <c r="AT308" i="5"/>
  <c r="AO308" i="5"/>
  <c r="AJ308" i="5"/>
  <c r="AE308" i="5"/>
  <c r="Z308" i="5"/>
  <c r="U308" i="5"/>
  <c r="P308" i="5"/>
  <c r="K308" i="5"/>
  <c r="BR307" i="5"/>
  <c r="BQ307" i="5"/>
  <c r="BP307" i="5"/>
  <c r="BO307" i="5"/>
  <c r="BN307" i="5"/>
  <c r="BI307" i="5"/>
  <c r="BD307" i="5"/>
  <c r="AY307" i="5"/>
  <c r="AT307" i="5"/>
  <c r="AO307" i="5"/>
  <c r="AJ307" i="5"/>
  <c r="AE307" i="5"/>
  <c r="Z307" i="5"/>
  <c r="U307" i="5"/>
  <c r="P307" i="5"/>
  <c r="K307" i="5"/>
  <c r="BR306" i="5"/>
  <c r="BQ306" i="5"/>
  <c r="BP306" i="5"/>
  <c r="BO306" i="5"/>
  <c r="BN306" i="5"/>
  <c r="BI306" i="5"/>
  <c r="BD306" i="5"/>
  <c r="AY306" i="5"/>
  <c r="AT306" i="5"/>
  <c r="AO306" i="5"/>
  <c r="AJ306" i="5"/>
  <c r="AE306" i="5"/>
  <c r="Z306" i="5"/>
  <c r="U306" i="5"/>
  <c r="P306" i="5"/>
  <c r="K306" i="5"/>
  <c r="BR305" i="5"/>
  <c r="BQ305" i="5"/>
  <c r="BP305" i="5"/>
  <c r="BO305" i="5"/>
  <c r="BN305" i="5"/>
  <c r="BI305" i="5"/>
  <c r="BD305" i="5"/>
  <c r="AY305" i="5"/>
  <c r="AT305" i="5"/>
  <c r="AO305" i="5"/>
  <c r="AJ305" i="5"/>
  <c r="AE305" i="5"/>
  <c r="Z305" i="5"/>
  <c r="U305" i="5"/>
  <c r="P305" i="5"/>
  <c r="K305" i="5"/>
  <c r="BR304" i="5"/>
  <c r="BQ304" i="5"/>
  <c r="BP304" i="5"/>
  <c r="BO304" i="5"/>
  <c r="BN304" i="5"/>
  <c r="BI304" i="5"/>
  <c r="BD304" i="5"/>
  <c r="AY304" i="5"/>
  <c r="AT304" i="5"/>
  <c r="AO304" i="5"/>
  <c r="AJ304" i="5"/>
  <c r="AE304" i="5"/>
  <c r="Z304" i="5"/>
  <c r="U304" i="5"/>
  <c r="P304" i="5"/>
  <c r="K304" i="5"/>
  <c r="BR303" i="5"/>
  <c r="BQ303" i="5"/>
  <c r="BP303" i="5"/>
  <c r="BO303" i="5"/>
  <c r="BN303" i="5"/>
  <c r="BI303" i="5"/>
  <c r="BD303" i="5"/>
  <c r="AY303" i="5"/>
  <c r="AT303" i="5"/>
  <c r="AO303" i="5"/>
  <c r="AJ303" i="5"/>
  <c r="AE303" i="5"/>
  <c r="Z303" i="5"/>
  <c r="U303" i="5"/>
  <c r="P303" i="5"/>
  <c r="K303" i="5"/>
  <c r="BR302" i="5"/>
  <c r="BQ302" i="5"/>
  <c r="BP302" i="5"/>
  <c r="BO302" i="5"/>
  <c r="BN302" i="5"/>
  <c r="BI302" i="5"/>
  <c r="BD302" i="5"/>
  <c r="AY302" i="5"/>
  <c r="AT302" i="5"/>
  <c r="AO302" i="5"/>
  <c r="AJ302" i="5"/>
  <c r="AE302" i="5"/>
  <c r="Z302" i="5"/>
  <c r="U302" i="5"/>
  <c r="P302" i="5"/>
  <c r="K302" i="5"/>
  <c r="BR301" i="5"/>
  <c r="BQ301" i="5"/>
  <c r="BP301" i="5"/>
  <c r="BO301" i="5"/>
  <c r="BN301" i="5"/>
  <c r="BI301" i="5"/>
  <c r="BD301" i="5"/>
  <c r="AY301" i="5"/>
  <c r="AT301" i="5"/>
  <c r="AO301" i="5"/>
  <c r="AJ301" i="5"/>
  <c r="AE301" i="5"/>
  <c r="Z301" i="5"/>
  <c r="U301" i="5"/>
  <c r="P301" i="5"/>
  <c r="K301" i="5"/>
  <c r="BR300" i="5"/>
  <c r="BQ300" i="5"/>
  <c r="BP300" i="5"/>
  <c r="BO300" i="5"/>
  <c r="BN300" i="5"/>
  <c r="BI300" i="5"/>
  <c r="BD300" i="5"/>
  <c r="AY300" i="5"/>
  <c r="AT300" i="5"/>
  <c r="AO300" i="5"/>
  <c r="AJ300" i="5"/>
  <c r="AE300" i="5"/>
  <c r="Z300" i="5"/>
  <c r="U300" i="5"/>
  <c r="P300" i="5"/>
  <c r="K300" i="5"/>
  <c r="BR299" i="5"/>
  <c r="BQ299" i="5"/>
  <c r="BP299" i="5"/>
  <c r="BO299" i="5"/>
  <c r="BN299" i="5"/>
  <c r="BI299" i="5"/>
  <c r="BD299" i="5"/>
  <c r="AY299" i="5"/>
  <c r="AT299" i="5"/>
  <c r="AO299" i="5"/>
  <c r="AJ299" i="5"/>
  <c r="AE299" i="5"/>
  <c r="Z299" i="5"/>
  <c r="U299" i="5"/>
  <c r="P299" i="5"/>
  <c r="K299" i="5"/>
  <c r="BR298" i="5"/>
  <c r="BQ298" i="5"/>
  <c r="BP298" i="5"/>
  <c r="BO298" i="5"/>
  <c r="BN298" i="5"/>
  <c r="BI298" i="5"/>
  <c r="BD298" i="5"/>
  <c r="AY298" i="5"/>
  <c r="AT298" i="5"/>
  <c r="AO298" i="5"/>
  <c r="AJ298" i="5"/>
  <c r="AE298" i="5"/>
  <c r="Z298" i="5"/>
  <c r="U298" i="5"/>
  <c r="P298" i="5"/>
  <c r="K298" i="5"/>
  <c r="BR297" i="5"/>
  <c r="BQ297" i="5"/>
  <c r="BP297" i="5"/>
  <c r="BO297" i="5"/>
  <c r="BN297" i="5"/>
  <c r="BI297" i="5"/>
  <c r="BD297" i="5"/>
  <c r="AY297" i="5"/>
  <c r="AT297" i="5"/>
  <c r="AO297" i="5"/>
  <c r="AJ297" i="5"/>
  <c r="AE297" i="5"/>
  <c r="Z297" i="5"/>
  <c r="U297" i="5"/>
  <c r="P297" i="5"/>
  <c r="K297" i="5"/>
  <c r="BR296" i="5"/>
  <c r="BQ296" i="5"/>
  <c r="BP296" i="5"/>
  <c r="BO296" i="5"/>
  <c r="BN296" i="5"/>
  <c r="BI296" i="5"/>
  <c r="BD296" i="5"/>
  <c r="AY296" i="5"/>
  <c r="AT296" i="5"/>
  <c r="AO296" i="5"/>
  <c r="AJ296" i="5"/>
  <c r="AE296" i="5"/>
  <c r="Z296" i="5"/>
  <c r="U296" i="5"/>
  <c r="P296" i="5"/>
  <c r="K296" i="5"/>
  <c r="BR295" i="5"/>
  <c r="BQ295" i="5"/>
  <c r="BP295" i="5"/>
  <c r="BO295" i="5"/>
  <c r="BN295" i="5"/>
  <c r="BI295" i="5"/>
  <c r="BD295" i="5"/>
  <c r="AY295" i="5"/>
  <c r="AT295" i="5"/>
  <c r="AO295" i="5"/>
  <c r="AJ295" i="5"/>
  <c r="AE295" i="5"/>
  <c r="Z295" i="5"/>
  <c r="U295" i="5"/>
  <c r="P295" i="5"/>
  <c r="K295" i="5"/>
  <c r="BR294" i="5"/>
  <c r="BQ294" i="5"/>
  <c r="BP294" i="5"/>
  <c r="BO294" i="5"/>
  <c r="BN294" i="5"/>
  <c r="BI294" i="5"/>
  <c r="BD294" i="5"/>
  <c r="AY294" i="5"/>
  <c r="AT294" i="5"/>
  <c r="AO294" i="5"/>
  <c r="AJ294" i="5"/>
  <c r="AE294" i="5"/>
  <c r="Z294" i="5"/>
  <c r="U294" i="5"/>
  <c r="P294" i="5"/>
  <c r="K294" i="5"/>
  <c r="BR293" i="5"/>
  <c r="BQ293" i="5"/>
  <c r="BP293" i="5"/>
  <c r="BO293" i="5"/>
  <c r="BN293" i="5"/>
  <c r="BI293" i="5"/>
  <c r="BD293" i="5"/>
  <c r="AY293" i="5"/>
  <c r="AT293" i="5"/>
  <c r="AO293" i="5"/>
  <c r="AJ293" i="5"/>
  <c r="AE293" i="5"/>
  <c r="Z293" i="5"/>
  <c r="U293" i="5"/>
  <c r="P293" i="5"/>
  <c r="K293" i="5"/>
  <c r="BR292" i="5"/>
  <c r="BQ292" i="5"/>
  <c r="BP292" i="5"/>
  <c r="BO292" i="5"/>
  <c r="BN292" i="5"/>
  <c r="BI292" i="5"/>
  <c r="BD292" i="5"/>
  <c r="AY292" i="5"/>
  <c r="AT292" i="5"/>
  <c r="AO292" i="5"/>
  <c r="AJ292" i="5"/>
  <c r="AE292" i="5"/>
  <c r="Z292" i="5"/>
  <c r="U292" i="5"/>
  <c r="P292" i="5"/>
  <c r="K292" i="5"/>
  <c r="BR291" i="5"/>
  <c r="BQ291" i="5"/>
  <c r="BP291" i="5"/>
  <c r="BO291" i="5"/>
  <c r="BN291" i="5"/>
  <c r="BI291" i="5"/>
  <c r="BD291" i="5"/>
  <c r="AY291" i="5"/>
  <c r="AT291" i="5"/>
  <c r="AO291" i="5"/>
  <c r="AJ291" i="5"/>
  <c r="AE291" i="5"/>
  <c r="Z291" i="5"/>
  <c r="U291" i="5"/>
  <c r="P291" i="5"/>
  <c r="K291" i="5"/>
  <c r="BR290" i="5"/>
  <c r="BQ290" i="5"/>
  <c r="BP290" i="5"/>
  <c r="BO290" i="5"/>
  <c r="BN290" i="5"/>
  <c r="BI290" i="5"/>
  <c r="BD290" i="5"/>
  <c r="AY290" i="5"/>
  <c r="AT290" i="5"/>
  <c r="AO290" i="5"/>
  <c r="AJ290" i="5"/>
  <c r="AE290" i="5"/>
  <c r="Z290" i="5"/>
  <c r="U290" i="5"/>
  <c r="P290" i="5"/>
  <c r="K290" i="5"/>
  <c r="BR289" i="5"/>
  <c r="BQ289" i="5"/>
  <c r="BP289" i="5"/>
  <c r="BO289" i="5"/>
  <c r="BN289" i="5"/>
  <c r="BI289" i="5"/>
  <c r="BD289" i="5"/>
  <c r="AY289" i="5"/>
  <c r="AT289" i="5"/>
  <c r="AO289" i="5"/>
  <c r="AJ289" i="5"/>
  <c r="AE289" i="5"/>
  <c r="Z289" i="5"/>
  <c r="U289" i="5"/>
  <c r="P289" i="5"/>
  <c r="K289" i="5"/>
  <c r="BR288" i="5"/>
  <c r="BQ288" i="5"/>
  <c r="BP288" i="5"/>
  <c r="BO288" i="5"/>
  <c r="BN288" i="5"/>
  <c r="BI288" i="5"/>
  <c r="BD288" i="5"/>
  <c r="AY288" i="5"/>
  <c r="AT288" i="5"/>
  <c r="AO288" i="5"/>
  <c r="AJ288" i="5"/>
  <c r="AE288" i="5"/>
  <c r="Z288" i="5"/>
  <c r="U288" i="5"/>
  <c r="P288" i="5"/>
  <c r="K288" i="5"/>
  <c r="BR287" i="5"/>
  <c r="BQ287" i="5"/>
  <c r="BP287" i="5"/>
  <c r="BO287" i="5"/>
  <c r="BN287" i="5"/>
  <c r="BI287" i="5"/>
  <c r="BD287" i="5"/>
  <c r="AY287" i="5"/>
  <c r="AT287" i="5"/>
  <c r="AO287" i="5"/>
  <c r="AJ287" i="5"/>
  <c r="AE287" i="5"/>
  <c r="Z287" i="5"/>
  <c r="U287" i="5"/>
  <c r="P287" i="5"/>
  <c r="K287" i="5"/>
  <c r="BR286" i="5"/>
  <c r="BQ286" i="5"/>
  <c r="BP286" i="5"/>
  <c r="BO286" i="5"/>
  <c r="BN286" i="5"/>
  <c r="BI286" i="5"/>
  <c r="BD286" i="5"/>
  <c r="AY286" i="5"/>
  <c r="AT286" i="5"/>
  <c r="AO286" i="5"/>
  <c r="AJ286" i="5"/>
  <c r="AE286" i="5"/>
  <c r="Z286" i="5"/>
  <c r="U286" i="5"/>
  <c r="P286" i="5"/>
  <c r="K286" i="5"/>
  <c r="BR285" i="5"/>
  <c r="BQ285" i="5"/>
  <c r="BP285" i="5"/>
  <c r="BN285" i="5"/>
  <c r="BI285" i="5"/>
  <c r="BD285" i="5"/>
  <c r="AY285" i="5"/>
  <c r="AT285" i="5"/>
  <c r="AO285" i="5"/>
  <c r="AJ285" i="5"/>
  <c r="AE285" i="5"/>
  <c r="Z285" i="5"/>
  <c r="Q285" i="5"/>
  <c r="Q329" i="5" s="1"/>
  <c r="P285" i="5"/>
  <c r="K285" i="5"/>
  <c r="BR284" i="5"/>
  <c r="BQ284" i="5"/>
  <c r="BP284" i="5"/>
  <c r="BO284" i="5"/>
  <c r="BN284" i="5"/>
  <c r="BI284" i="5"/>
  <c r="BD284" i="5"/>
  <c r="AY284" i="5"/>
  <c r="AT284" i="5"/>
  <c r="AO284" i="5"/>
  <c r="AJ284" i="5"/>
  <c r="AE284" i="5"/>
  <c r="Z284" i="5"/>
  <c r="U284" i="5"/>
  <c r="P284" i="5"/>
  <c r="K284" i="5"/>
  <c r="BM283" i="5"/>
  <c r="BL283" i="5"/>
  <c r="BK283" i="5"/>
  <c r="BH283" i="5"/>
  <c r="BG283" i="5"/>
  <c r="BF283" i="5"/>
  <c r="BC283" i="5"/>
  <c r="BB283" i="5"/>
  <c r="BA283" i="5"/>
  <c r="AX283" i="5"/>
  <c r="AW283" i="5"/>
  <c r="AV283" i="5"/>
  <c r="AS283" i="5"/>
  <c r="AR283" i="5"/>
  <c r="AQ283" i="5"/>
  <c r="AP283" i="5"/>
  <c r="AN283" i="5"/>
  <c r="AM283" i="5"/>
  <c r="AL283" i="5"/>
  <c r="AI283" i="5"/>
  <c r="AH283" i="5"/>
  <c r="AG283" i="5"/>
  <c r="AF283" i="5"/>
  <c r="AD283" i="5"/>
  <c r="AC283" i="5"/>
  <c r="AB283" i="5"/>
  <c r="Y283" i="5"/>
  <c r="X283" i="5"/>
  <c r="W283" i="5"/>
  <c r="T283" i="5"/>
  <c r="S283" i="5"/>
  <c r="R283" i="5"/>
  <c r="Q283" i="5"/>
  <c r="O283" i="5"/>
  <c r="N283" i="5"/>
  <c r="M283" i="5"/>
  <c r="J283" i="5"/>
  <c r="I283" i="5"/>
  <c r="H283" i="5"/>
  <c r="BR282" i="5"/>
  <c r="BQ282" i="5"/>
  <c r="BP282" i="5"/>
  <c r="BO282" i="5"/>
  <c r="BN282" i="5"/>
  <c r="BI282" i="5"/>
  <c r="BD282" i="5"/>
  <c r="AY282" i="5"/>
  <c r="AT282" i="5"/>
  <c r="AO282" i="5"/>
  <c r="AJ282" i="5"/>
  <c r="AE282" i="5"/>
  <c r="Z282" i="5"/>
  <c r="U282" i="5"/>
  <c r="P282" i="5"/>
  <c r="K282" i="5"/>
  <c r="BR281" i="5"/>
  <c r="BQ281" i="5"/>
  <c r="BP281" i="5"/>
  <c r="BN281" i="5"/>
  <c r="BI281" i="5"/>
  <c r="BD281" i="5"/>
  <c r="AY281" i="5"/>
  <c r="AT281" i="5"/>
  <c r="AK281" i="5"/>
  <c r="BO281" i="5" s="1"/>
  <c r="AJ281" i="5"/>
  <c r="AE281" i="5"/>
  <c r="Z281" i="5"/>
  <c r="U281" i="5"/>
  <c r="P281" i="5"/>
  <c r="K281" i="5"/>
  <c r="BR280" i="5"/>
  <c r="BQ280" i="5"/>
  <c r="BP280" i="5"/>
  <c r="BN280" i="5"/>
  <c r="BI280" i="5"/>
  <c r="BD280" i="5"/>
  <c r="AY280" i="5"/>
  <c r="AT280" i="5"/>
  <c r="AO280" i="5"/>
  <c r="AJ280" i="5"/>
  <c r="AA280" i="5"/>
  <c r="V280" i="5"/>
  <c r="U280" i="5"/>
  <c r="P280" i="5"/>
  <c r="K280" i="5"/>
  <c r="BR279" i="5"/>
  <c r="BQ279" i="5"/>
  <c r="BP279" i="5"/>
  <c r="BO279" i="5"/>
  <c r="BN279" i="5"/>
  <c r="BI279" i="5"/>
  <c r="BD279" i="5"/>
  <c r="AY279" i="5"/>
  <c r="AT279" i="5"/>
  <c r="AO279" i="5"/>
  <c r="AJ279" i="5"/>
  <c r="AE279" i="5"/>
  <c r="Z279" i="5"/>
  <c r="U279" i="5"/>
  <c r="P279" i="5"/>
  <c r="K279" i="5"/>
  <c r="BR278" i="5"/>
  <c r="BQ278" i="5"/>
  <c r="BP278" i="5"/>
  <c r="BO278" i="5"/>
  <c r="BN278" i="5"/>
  <c r="BI278" i="5"/>
  <c r="BD278" i="5"/>
  <c r="AY278" i="5"/>
  <c r="AT278" i="5"/>
  <c r="AO278" i="5"/>
  <c r="AJ278" i="5"/>
  <c r="AE278" i="5"/>
  <c r="Z278" i="5"/>
  <c r="U278" i="5"/>
  <c r="P278" i="5"/>
  <c r="K278" i="5"/>
  <c r="BR277" i="5"/>
  <c r="BQ277" i="5"/>
  <c r="BP277" i="5"/>
  <c r="BO277" i="5"/>
  <c r="BN277" i="5"/>
  <c r="BI277" i="5"/>
  <c r="BD277" i="5"/>
  <c r="AY277" i="5"/>
  <c r="AT277" i="5"/>
  <c r="AO277" i="5"/>
  <c r="AJ277" i="5"/>
  <c r="AE277" i="5"/>
  <c r="Z277" i="5"/>
  <c r="U277" i="5"/>
  <c r="P277" i="5"/>
  <c r="K277" i="5"/>
  <c r="BR276" i="5"/>
  <c r="BQ276" i="5"/>
  <c r="BP276" i="5"/>
  <c r="BO276" i="5"/>
  <c r="BN276" i="5"/>
  <c r="BI276" i="5"/>
  <c r="BD276" i="5"/>
  <c r="AY276" i="5"/>
  <c r="AT276" i="5"/>
  <c r="AO276" i="5"/>
  <c r="AJ276" i="5"/>
  <c r="AE276" i="5"/>
  <c r="Z276" i="5"/>
  <c r="U276" i="5"/>
  <c r="P276" i="5"/>
  <c r="K276" i="5"/>
  <c r="BR275" i="5"/>
  <c r="BQ275" i="5"/>
  <c r="BP275" i="5"/>
  <c r="BJ275" i="5"/>
  <c r="BN275" i="5" s="1"/>
  <c r="BE275" i="5"/>
  <c r="BI275" i="5" s="1"/>
  <c r="AZ275" i="5"/>
  <c r="BD275" i="5" s="1"/>
  <c r="AU275" i="5"/>
  <c r="AT275" i="5"/>
  <c r="AO275" i="5"/>
  <c r="AJ275" i="5"/>
  <c r="AE275" i="5"/>
  <c r="Z275" i="5"/>
  <c r="U275" i="5"/>
  <c r="P275" i="5"/>
  <c r="K275" i="5"/>
  <c r="BR274" i="5"/>
  <c r="BQ274" i="5"/>
  <c r="BP274" i="5"/>
  <c r="BN274" i="5"/>
  <c r="BI274" i="5"/>
  <c r="BD274" i="5"/>
  <c r="AY274" i="5"/>
  <c r="AT274" i="5"/>
  <c r="AO274" i="5"/>
  <c r="AJ274" i="5"/>
  <c r="AE274" i="5"/>
  <c r="Z274" i="5"/>
  <c r="U274" i="5"/>
  <c r="L274" i="5"/>
  <c r="L283" i="5" s="1"/>
  <c r="G274" i="5"/>
  <c r="BR273" i="5"/>
  <c r="BQ273" i="5"/>
  <c r="BP273" i="5"/>
  <c r="BN273" i="5"/>
  <c r="BI273" i="5"/>
  <c r="BD273" i="5"/>
  <c r="AY273" i="5"/>
  <c r="AT273" i="5"/>
  <c r="AO273" i="5"/>
  <c r="AJ273" i="5"/>
  <c r="AE273" i="5"/>
  <c r="V273" i="5"/>
  <c r="U273" i="5"/>
  <c r="P273" i="5"/>
  <c r="K273" i="5"/>
  <c r="BR272" i="5"/>
  <c r="BQ272" i="5"/>
  <c r="BP272" i="5"/>
  <c r="BO272" i="5"/>
  <c r="BN272" i="5"/>
  <c r="BI272" i="5"/>
  <c r="BD272" i="5"/>
  <c r="AY272" i="5"/>
  <c r="AT272" i="5"/>
  <c r="AO272" i="5"/>
  <c r="AJ272" i="5"/>
  <c r="AE272" i="5"/>
  <c r="Z272" i="5"/>
  <c r="U272" i="5"/>
  <c r="P272" i="5"/>
  <c r="K272" i="5"/>
  <c r="BR271" i="5"/>
  <c r="BQ271" i="5"/>
  <c r="BP271" i="5"/>
  <c r="BJ271" i="5"/>
  <c r="BI271" i="5"/>
  <c r="BD271" i="5"/>
  <c r="AU271" i="5"/>
  <c r="AY271" i="5" s="1"/>
  <c r="AT271" i="5"/>
  <c r="AK271" i="5"/>
  <c r="AO271" i="5" s="1"/>
  <c r="AJ271" i="5"/>
  <c r="AE271" i="5"/>
  <c r="V271" i="5"/>
  <c r="Z271" i="5" s="1"/>
  <c r="U271" i="5"/>
  <c r="P271" i="5"/>
  <c r="K271" i="5"/>
  <c r="BR270" i="5"/>
  <c r="BQ270" i="5"/>
  <c r="BP270" i="5"/>
  <c r="BO270" i="5"/>
  <c r="BN270" i="5"/>
  <c r="BI270" i="5"/>
  <c r="BD270" i="5"/>
  <c r="AY270" i="5"/>
  <c r="AT270" i="5"/>
  <c r="AO270" i="5"/>
  <c r="AJ270" i="5"/>
  <c r="AE270" i="5"/>
  <c r="Z270" i="5"/>
  <c r="U270" i="5"/>
  <c r="P270" i="5"/>
  <c r="K270" i="5"/>
  <c r="BR269" i="5"/>
  <c r="BQ269" i="5"/>
  <c r="BP269" i="5"/>
  <c r="BO269" i="5"/>
  <c r="BN269" i="5"/>
  <c r="BI269" i="5"/>
  <c r="BD269" i="5"/>
  <c r="AY269" i="5"/>
  <c r="AT269" i="5"/>
  <c r="AO269" i="5"/>
  <c r="AJ269" i="5"/>
  <c r="AE269" i="5"/>
  <c r="Z269" i="5"/>
  <c r="U269" i="5"/>
  <c r="P269" i="5"/>
  <c r="K269" i="5"/>
  <c r="BR268" i="5"/>
  <c r="BQ268" i="5"/>
  <c r="BP268" i="5"/>
  <c r="BO268" i="5"/>
  <c r="BN268" i="5"/>
  <c r="BI268" i="5"/>
  <c r="BD268" i="5"/>
  <c r="AY268" i="5"/>
  <c r="AT268" i="5"/>
  <c r="AO268" i="5"/>
  <c r="AJ268" i="5"/>
  <c r="AE268" i="5"/>
  <c r="Z268" i="5"/>
  <c r="U268" i="5"/>
  <c r="P268" i="5"/>
  <c r="K268" i="5"/>
  <c r="BR267" i="5"/>
  <c r="BQ267" i="5"/>
  <c r="BP267" i="5"/>
  <c r="BO267" i="5"/>
  <c r="BN267" i="5"/>
  <c r="BI267" i="5"/>
  <c r="BD267" i="5"/>
  <c r="AY267" i="5"/>
  <c r="AT267" i="5"/>
  <c r="AO267" i="5"/>
  <c r="AJ267" i="5"/>
  <c r="AE267" i="5"/>
  <c r="Z267" i="5"/>
  <c r="U267" i="5"/>
  <c r="P267" i="5"/>
  <c r="K267" i="5"/>
  <c r="BR266" i="5"/>
  <c r="BQ266" i="5"/>
  <c r="BP266" i="5"/>
  <c r="BO266" i="5"/>
  <c r="BN266" i="5"/>
  <c r="BI266" i="5"/>
  <c r="BD266" i="5"/>
  <c r="AY266" i="5"/>
  <c r="AT266" i="5"/>
  <c r="AO266" i="5"/>
  <c r="AJ266" i="5"/>
  <c r="AE266" i="5"/>
  <c r="Z266" i="5"/>
  <c r="U266" i="5"/>
  <c r="P266" i="5"/>
  <c r="K266" i="5"/>
  <c r="BR265" i="5"/>
  <c r="BQ265" i="5"/>
  <c r="BP265" i="5"/>
  <c r="BO265" i="5"/>
  <c r="BN265" i="5"/>
  <c r="BI265" i="5"/>
  <c r="BD265" i="5"/>
  <c r="AY265" i="5"/>
  <c r="AT265" i="5"/>
  <c r="AO265" i="5"/>
  <c r="AJ265" i="5"/>
  <c r="AE265" i="5"/>
  <c r="Z265" i="5"/>
  <c r="U265" i="5"/>
  <c r="P265" i="5"/>
  <c r="K265" i="5"/>
  <c r="BR264" i="5"/>
  <c r="BQ264" i="5"/>
  <c r="BP264" i="5"/>
  <c r="BO264" i="5"/>
  <c r="BN264" i="5"/>
  <c r="BI264" i="5"/>
  <c r="BD264" i="5"/>
  <c r="AY264" i="5"/>
  <c r="AT264" i="5"/>
  <c r="AO264" i="5"/>
  <c r="AJ264" i="5"/>
  <c r="AE264" i="5"/>
  <c r="Z264" i="5"/>
  <c r="U264" i="5"/>
  <c r="P264" i="5"/>
  <c r="K264" i="5"/>
  <c r="BR263" i="5"/>
  <c r="BQ263" i="5"/>
  <c r="BP263" i="5"/>
  <c r="BO263" i="5"/>
  <c r="BN263" i="5"/>
  <c r="BI263" i="5"/>
  <c r="BD263" i="5"/>
  <c r="AY263" i="5"/>
  <c r="AT263" i="5"/>
  <c r="AO263" i="5"/>
  <c r="AJ263" i="5"/>
  <c r="AE263" i="5"/>
  <c r="Z263" i="5"/>
  <c r="U263" i="5"/>
  <c r="P263" i="5"/>
  <c r="K263" i="5"/>
  <c r="BR262" i="5"/>
  <c r="BQ262" i="5"/>
  <c r="BP262" i="5"/>
  <c r="BN262" i="5"/>
  <c r="BI262" i="5"/>
  <c r="BD262" i="5"/>
  <c r="AY262" i="5"/>
  <c r="AT262" i="5"/>
  <c r="AK262" i="5"/>
  <c r="BO262" i="5" s="1"/>
  <c r="AJ262" i="5"/>
  <c r="AE262" i="5"/>
  <c r="Z262" i="5"/>
  <c r="U262" i="5"/>
  <c r="P262" i="5"/>
  <c r="K262" i="5"/>
  <c r="BR261" i="5"/>
  <c r="BQ261" i="5"/>
  <c r="BP261" i="5"/>
  <c r="BN261" i="5"/>
  <c r="BE261" i="5"/>
  <c r="AZ261" i="5"/>
  <c r="BD261" i="5" s="1"/>
  <c r="AU261" i="5"/>
  <c r="AT261" i="5"/>
  <c r="AK261" i="5"/>
  <c r="AJ261" i="5"/>
  <c r="AE261" i="5"/>
  <c r="Z261" i="5"/>
  <c r="U261" i="5"/>
  <c r="P261" i="5"/>
  <c r="K261" i="5"/>
  <c r="BR260" i="5"/>
  <c r="BQ260" i="5"/>
  <c r="BP260" i="5"/>
  <c r="BO260" i="5"/>
  <c r="BN260" i="5"/>
  <c r="BI260" i="5"/>
  <c r="BD260" i="5"/>
  <c r="AY260" i="5"/>
  <c r="AT260" i="5"/>
  <c r="AO260" i="5"/>
  <c r="AJ260" i="5"/>
  <c r="AE260" i="5"/>
  <c r="Z260" i="5"/>
  <c r="U260" i="5"/>
  <c r="P260" i="5"/>
  <c r="K260" i="5"/>
  <c r="BR259" i="5"/>
  <c r="BQ259" i="5"/>
  <c r="BP259" i="5"/>
  <c r="BO259" i="5"/>
  <c r="BN259" i="5"/>
  <c r="BI259" i="5"/>
  <c r="BD259" i="5"/>
  <c r="AY259" i="5"/>
  <c r="AT259" i="5"/>
  <c r="AO259" i="5"/>
  <c r="AJ259" i="5"/>
  <c r="AE259" i="5"/>
  <c r="Z259" i="5"/>
  <c r="U259" i="5"/>
  <c r="P259" i="5"/>
  <c r="K259" i="5"/>
  <c r="BR258" i="5"/>
  <c r="BQ258" i="5"/>
  <c r="BP258" i="5"/>
  <c r="BO258" i="5"/>
  <c r="BN258" i="5"/>
  <c r="BI258" i="5"/>
  <c r="BD258" i="5"/>
  <c r="AY258" i="5"/>
  <c r="AT258" i="5"/>
  <c r="AO258" i="5"/>
  <c r="AJ258" i="5"/>
  <c r="AE258" i="5"/>
  <c r="Z258" i="5"/>
  <c r="U258" i="5"/>
  <c r="P258" i="5"/>
  <c r="K258" i="5"/>
  <c r="BR257" i="5"/>
  <c r="BQ257" i="5"/>
  <c r="BP257" i="5"/>
  <c r="BO257" i="5"/>
  <c r="BN257" i="5"/>
  <c r="BI257" i="5"/>
  <c r="BD257" i="5"/>
  <c r="AY257" i="5"/>
  <c r="AT257" i="5"/>
  <c r="AO257" i="5"/>
  <c r="AJ257" i="5"/>
  <c r="AE257" i="5"/>
  <c r="Z257" i="5"/>
  <c r="U257" i="5"/>
  <c r="P257" i="5"/>
  <c r="K257" i="5"/>
  <c r="BR256" i="5"/>
  <c r="BQ256" i="5"/>
  <c r="BP256" i="5"/>
  <c r="BO256" i="5"/>
  <c r="BN256" i="5"/>
  <c r="BI256" i="5"/>
  <c r="BD256" i="5"/>
  <c r="AY256" i="5"/>
  <c r="AT256" i="5"/>
  <c r="AO256" i="5"/>
  <c r="AJ256" i="5"/>
  <c r="AE256" i="5"/>
  <c r="Z256" i="5"/>
  <c r="U256" i="5"/>
  <c r="P256" i="5"/>
  <c r="K256" i="5"/>
  <c r="BM254" i="5"/>
  <c r="BM255" i="5" s="1"/>
  <c r="BL254" i="5"/>
  <c r="BL255" i="5" s="1"/>
  <c r="BK254" i="5"/>
  <c r="BJ254" i="5"/>
  <c r="BH254" i="5"/>
  <c r="BH255" i="5" s="1"/>
  <c r="BG254" i="5"/>
  <c r="BG255" i="5" s="1"/>
  <c r="BF254" i="5"/>
  <c r="BF255" i="5" s="1"/>
  <c r="BE254" i="5"/>
  <c r="BC254" i="5"/>
  <c r="BB254" i="5"/>
  <c r="BB255" i="5" s="1"/>
  <c r="BA254" i="5"/>
  <c r="BA255" i="5" s="1"/>
  <c r="AX254" i="5"/>
  <c r="AX255" i="5" s="1"/>
  <c r="AW254" i="5"/>
  <c r="AV254" i="5"/>
  <c r="AV255" i="5" s="1"/>
  <c r="AU254" i="5"/>
  <c r="AU255" i="5" s="1"/>
  <c r="AS254" i="5"/>
  <c r="AS255" i="5" s="1"/>
  <c r="AR254" i="5"/>
  <c r="AR255" i="5" s="1"/>
  <c r="AQ254" i="5"/>
  <c r="AP254" i="5"/>
  <c r="AP255" i="5" s="1"/>
  <c r="AN254" i="5"/>
  <c r="AN255" i="5" s="1"/>
  <c r="AL254" i="5"/>
  <c r="AL255" i="5" s="1"/>
  <c r="AI254" i="5"/>
  <c r="AG254" i="5"/>
  <c r="AG255" i="5" s="1"/>
  <c r="AD254" i="5"/>
  <c r="AD255" i="5" s="1"/>
  <c r="AB254" i="5"/>
  <c r="AB255" i="5" s="1"/>
  <c r="Y254" i="5"/>
  <c r="Y255" i="5" s="1"/>
  <c r="W254" i="5"/>
  <c r="T254" i="5"/>
  <c r="T255" i="5" s="1"/>
  <c r="O254" i="5"/>
  <c r="N254" i="5"/>
  <c r="N255" i="5" s="1"/>
  <c r="M254" i="5"/>
  <c r="M255" i="5" s="1"/>
  <c r="L254" i="5"/>
  <c r="J254" i="5"/>
  <c r="J255" i="5" s="1"/>
  <c r="I254" i="5"/>
  <c r="H254" i="5"/>
  <c r="H255" i="5" s="1"/>
  <c r="G254" i="5"/>
  <c r="BR253" i="5"/>
  <c r="BQ253" i="5"/>
  <c r="BP253" i="5"/>
  <c r="BO253" i="5"/>
  <c r="BN253" i="5"/>
  <c r="BI253" i="5"/>
  <c r="BD253" i="5"/>
  <c r="AY253" i="5"/>
  <c r="AT253" i="5"/>
  <c r="AO253" i="5"/>
  <c r="AJ253" i="5"/>
  <c r="AE253" i="5"/>
  <c r="Z253" i="5"/>
  <c r="U253" i="5"/>
  <c r="P253" i="5"/>
  <c r="K253" i="5"/>
  <c r="BR252" i="5"/>
  <c r="BQ252" i="5"/>
  <c r="BP252" i="5"/>
  <c r="BO252" i="5"/>
  <c r="BN252" i="5"/>
  <c r="BI252" i="5"/>
  <c r="BD252" i="5"/>
  <c r="AY252" i="5"/>
  <c r="AT252" i="5"/>
  <c r="AO252" i="5"/>
  <c r="AJ252" i="5"/>
  <c r="AE252" i="5"/>
  <c r="Z252" i="5"/>
  <c r="U252" i="5"/>
  <c r="P252" i="5"/>
  <c r="K252" i="5"/>
  <c r="BR251" i="5"/>
  <c r="BQ251" i="5"/>
  <c r="BP251" i="5"/>
  <c r="BO251" i="5"/>
  <c r="BN251" i="5"/>
  <c r="BI251" i="5"/>
  <c r="BD251" i="5"/>
  <c r="AY251" i="5"/>
  <c r="AT251" i="5"/>
  <c r="AO251" i="5"/>
  <c r="AJ251" i="5"/>
  <c r="AE251" i="5"/>
  <c r="Z251" i="5"/>
  <c r="U251" i="5"/>
  <c r="P251" i="5"/>
  <c r="K251" i="5"/>
  <c r="BR250" i="5"/>
  <c r="BQ250" i="5"/>
  <c r="BP250" i="5"/>
  <c r="BO250" i="5"/>
  <c r="BN250" i="5"/>
  <c r="BI250" i="5"/>
  <c r="BD250" i="5"/>
  <c r="AY250" i="5"/>
  <c r="AT250" i="5"/>
  <c r="AO250" i="5"/>
  <c r="AJ250" i="5"/>
  <c r="AE250" i="5"/>
  <c r="Z250" i="5"/>
  <c r="U250" i="5"/>
  <c r="P250" i="5"/>
  <c r="K250" i="5"/>
  <c r="BR249" i="5"/>
  <c r="BQ249" i="5"/>
  <c r="BP249" i="5"/>
  <c r="BO249" i="5"/>
  <c r="BN249" i="5"/>
  <c r="BI249" i="5"/>
  <c r="BD249" i="5"/>
  <c r="AY249" i="5"/>
  <c r="AT249" i="5"/>
  <c r="AO249" i="5"/>
  <c r="AJ249" i="5"/>
  <c r="AE249" i="5"/>
  <c r="Z249" i="5"/>
  <c r="U249" i="5"/>
  <c r="P249" i="5"/>
  <c r="K249" i="5"/>
  <c r="BR248" i="5"/>
  <c r="BQ248" i="5"/>
  <c r="BP248" i="5"/>
  <c r="BO248" i="5"/>
  <c r="BN248" i="5"/>
  <c r="BI248" i="5"/>
  <c r="BD248" i="5"/>
  <c r="AY248" i="5"/>
  <c r="AT248" i="5"/>
  <c r="AO248" i="5"/>
  <c r="AJ248" i="5"/>
  <c r="AE248" i="5"/>
  <c r="Z248" i="5"/>
  <c r="U248" i="5"/>
  <c r="P248" i="5"/>
  <c r="K248" i="5"/>
  <c r="BR247" i="5"/>
  <c r="BQ247" i="5"/>
  <c r="BP247" i="5"/>
  <c r="BO247" i="5"/>
  <c r="BN247" i="5"/>
  <c r="BI247" i="5"/>
  <c r="BD247" i="5"/>
  <c r="AY247" i="5"/>
  <c r="AT247" i="5"/>
  <c r="AO247" i="5"/>
  <c r="AJ247" i="5"/>
  <c r="AE247" i="5"/>
  <c r="Z247" i="5"/>
  <c r="U247" i="5"/>
  <c r="P247" i="5"/>
  <c r="K247" i="5"/>
  <c r="BR246" i="5"/>
  <c r="BQ246" i="5"/>
  <c r="BP246" i="5"/>
  <c r="BO246" i="5"/>
  <c r="BN246" i="5"/>
  <c r="BI246" i="5"/>
  <c r="BD246" i="5"/>
  <c r="AY246" i="5"/>
  <c r="AT246" i="5"/>
  <c r="AO246" i="5"/>
  <c r="AJ246" i="5"/>
  <c r="AE246" i="5"/>
  <c r="Z246" i="5"/>
  <c r="U246" i="5"/>
  <c r="P246" i="5"/>
  <c r="K246" i="5"/>
  <c r="BR245" i="5"/>
  <c r="BQ245" i="5"/>
  <c r="BP245" i="5"/>
  <c r="BO245" i="5"/>
  <c r="BN245" i="5"/>
  <c r="BI245" i="5"/>
  <c r="BD245" i="5"/>
  <c r="AY245" i="5"/>
  <c r="AT245" i="5"/>
  <c r="AO245" i="5"/>
  <c r="AJ245" i="5"/>
  <c r="AE245" i="5"/>
  <c r="Z245" i="5"/>
  <c r="U245" i="5"/>
  <c r="P245" i="5"/>
  <c r="K245" i="5"/>
  <c r="BR244" i="5"/>
  <c r="BQ244" i="5"/>
  <c r="BP244" i="5"/>
  <c r="BO244" i="5"/>
  <c r="BN244" i="5"/>
  <c r="BI244" i="5"/>
  <c r="BD244" i="5"/>
  <c r="AY244" i="5"/>
  <c r="AT244" i="5"/>
  <c r="AO244" i="5"/>
  <c r="AJ244" i="5"/>
  <c r="AE244" i="5"/>
  <c r="Z244" i="5"/>
  <c r="U244" i="5"/>
  <c r="P244" i="5"/>
  <c r="K244" i="5"/>
  <c r="BR243" i="5"/>
  <c r="BQ243" i="5"/>
  <c r="BP243" i="5"/>
  <c r="BO243" i="5"/>
  <c r="BN243" i="5"/>
  <c r="BI243" i="5"/>
  <c r="BD243" i="5"/>
  <c r="AY243" i="5"/>
  <c r="AT243" i="5"/>
  <c r="AO243" i="5"/>
  <c r="AJ243" i="5"/>
  <c r="AE243" i="5"/>
  <c r="Z243" i="5"/>
  <c r="U243" i="5"/>
  <c r="P243" i="5"/>
  <c r="K243" i="5"/>
  <c r="BR242" i="5"/>
  <c r="BQ242" i="5"/>
  <c r="BP242" i="5"/>
  <c r="BO242" i="5"/>
  <c r="BN242" i="5"/>
  <c r="BI242" i="5"/>
  <c r="BD242" i="5"/>
  <c r="AY242" i="5"/>
  <c r="AT242" i="5"/>
  <c r="AO242" i="5"/>
  <c r="AJ242" i="5"/>
  <c r="AE242" i="5"/>
  <c r="Z242" i="5"/>
  <c r="U242" i="5"/>
  <c r="P242" i="5"/>
  <c r="K242" i="5"/>
  <c r="BR241" i="5"/>
  <c r="BQ241" i="5"/>
  <c r="BP241" i="5"/>
  <c r="BO241" i="5"/>
  <c r="BN241" i="5"/>
  <c r="BI241" i="5"/>
  <c r="BD241" i="5"/>
  <c r="AY241" i="5"/>
  <c r="AT241" i="5"/>
  <c r="AO241" i="5"/>
  <c r="AJ241" i="5"/>
  <c r="AE241" i="5"/>
  <c r="Z241" i="5"/>
  <c r="U241" i="5"/>
  <c r="P241" i="5"/>
  <c r="K241" i="5"/>
  <c r="BR240" i="5"/>
  <c r="BQ240" i="5"/>
  <c r="BP240" i="5"/>
  <c r="BO240" i="5"/>
  <c r="BN240" i="5"/>
  <c r="BI240" i="5"/>
  <c r="BD240" i="5"/>
  <c r="AY240" i="5"/>
  <c r="AT240" i="5"/>
  <c r="AO240" i="5"/>
  <c r="AJ240" i="5"/>
  <c r="AE240" i="5"/>
  <c r="Z240" i="5"/>
  <c r="U240" i="5"/>
  <c r="P240" i="5"/>
  <c r="K240" i="5"/>
  <c r="BR239" i="5"/>
  <c r="BQ239" i="5"/>
  <c r="BP239" i="5"/>
  <c r="BN239" i="5"/>
  <c r="BI239" i="5"/>
  <c r="AZ239" i="5"/>
  <c r="BD239" i="5" s="1"/>
  <c r="AY239" i="5"/>
  <c r="AT239" i="5"/>
  <c r="AO239" i="5"/>
  <c r="AJ239" i="5"/>
  <c r="AE239" i="5"/>
  <c r="Z239" i="5"/>
  <c r="U239" i="5"/>
  <c r="P239" i="5"/>
  <c r="K239" i="5"/>
  <c r="BR238" i="5"/>
  <c r="BQ238" i="5"/>
  <c r="BP238" i="5"/>
  <c r="BO238" i="5"/>
  <c r="BN238" i="5"/>
  <c r="BI238" i="5"/>
  <c r="BD238" i="5"/>
  <c r="AY238" i="5"/>
  <c r="AT238" i="5"/>
  <c r="AO238" i="5"/>
  <c r="AJ238" i="5"/>
  <c r="AE238" i="5"/>
  <c r="Z238" i="5"/>
  <c r="U238" i="5"/>
  <c r="P238" i="5"/>
  <c r="K238" i="5"/>
  <c r="BR237" i="5"/>
  <c r="BQ237" i="5"/>
  <c r="BP237" i="5"/>
  <c r="BO237" i="5"/>
  <c r="BN237" i="5"/>
  <c r="BI237" i="5"/>
  <c r="BD237" i="5"/>
  <c r="AY237" i="5"/>
  <c r="AT237" i="5"/>
  <c r="AO237" i="5"/>
  <c r="AJ237" i="5"/>
  <c r="AE237" i="5"/>
  <c r="Z237" i="5"/>
  <c r="U237" i="5"/>
  <c r="P237" i="5"/>
  <c r="K237" i="5"/>
  <c r="BR236" i="5"/>
  <c r="BQ236" i="5"/>
  <c r="BP236" i="5"/>
  <c r="BO236" i="5"/>
  <c r="BN236" i="5"/>
  <c r="BI236" i="5"/>
  <c r="BD236" i="5"/>
  <c r="AY236" i="5"/>
  <c r="AT236" i="5"/>
  <c r="AO236" i="5"/>
  <c r="AJ236" i="5"/>
  <c r="AE236" i="5"/>
  <c r="Z236" i="5"/>
  <c r="U236" i="5"/>
  <c r="P236" i="5"/>
  <c r="K236" i="5"/>
  <c r="BR235" i="5"/>
  <c r="BQ235" i="5"/>
  <c r="BP235" i="5"/>
  <c r="BO235" i="5"/>
  <c r="BN235" i="5"/>
  <c r="BI235" i="5"/>
  <c r="BD235" i="5"/>
  <c r="AY235" i="5"/>
  <c r="AT235" i="5"/>
  <c r="AO235" i="5"/>
  <c r="AJ235" i="5"/>
  <c r="AE235" i="5"/>
  <c r="Z235" i="5"/>
  <c r="U235" i="5"/>
  <c r="P235" i="5"/>
  <c r="K235" i="5"/>
  <c r="BR234" i="5"/>
  <c r="BQ234" i="5"/>
  <c r="BP234" i="5"/>
  <c r="BO234" i="5"/>
  <c r="BN234" i="5"/>
  <c r="BI234" i="5"/>
  <c r="BD234" i="5"/>
  <c r="AY234" i="5"/>
  <c r="AT234" i="5"/>
  <c r="AO234" i="5"/>
  <c r="AJ234" i="5"/>
  <c r="AE234" i="5"/>
  <c r="Z234" i="5"/>
  <c r="U234" i="5"/>
  <c r="P234" i="5"/>
  <c r="K234" i="5"/>
  <c r="BR233" i="5"/>
  <c r="BQ233" i="5"/>
  <c r="BP233" i="5"/>
  <c r="BO233" i="5"/>
  <c r="BN233" i="5"/>
  <c r="BI233" i="5"/>
  <c r="BD233" i="5"/>
  <c r="AY233" i="5"/>
  <c r="AT233" i="5"/>
  <c r="AO233" i="5"/>
  <c r="AJ233" i="5"/>
  <c r="AE233" i="5"/>
  <c r="Z233" i="5"/>
  <c r="U233" i="5"/>
  <c r="P233" i="5"/>
  <c r="K233" i="5"/>
  <c r="BR232" i="5"/>
  <c r="BQ232" i="5"/>
  <c r="BP232" i="5"/>
  <c r="BO232" i="5"/>
  <c r="BN232" i="5"/>
  <c r="BI232" i="5"/>
  <c r="BD232" i="5"/>
  <c r="AY232" i="5"/>
  <c r="AT232" i="5"/>
  <c r="AO232" i="5"/>
  <c r="AJ232" i="5"/>
  <c r="AE232" i="5"/>
  <c r="Z232" i="5"/>
  <c r="U232" i="5"/>
  <c r="P232" i="5"/>
  <c r="K232" i="5"/>
  <c r="BR231" i="5"/>
  <c r="BQ231" i="5"/>
  <c r="BP231" i="5"/>
  <c r="BO231" i="5"/>
  <c r="BN231" i="5"/>
  <c r="BI231" i="5"/>
  <c r="BD231" i="5"/>
  <c r="AY231" i="5"/>
  <c r="AT231" i="5"/>
  <c r="AO231" i="5"/>
  <c r="AJ231" i="5"/>
  <c r="AE231" i="5"/>
  <c r="Z231" i="5"/>
  <c r="U231" i="5"/>
  <c r="P231" i="5"/>
  <c r="K231" i="5"/>
  <c r="BR230" i="5"/>
  <c r="BQ230" i="5"/>
  <c r="BP230" i="5"/>
  <c r="BO230" i="5"/>
  <c r="BN230" i="5"/>
  <c r="BI230" i="5"/>
  <c r="BD230" i="5"/>
  <c r="AY230" i="5"/>
  <c r="AT230" i="5"/>
  <c r="AO230" i="5"/>
  <c r="AJ230" i="5"/>
  <c r="AE230" i="5"/>
  <c r="Z230" i="5"/>
  <c r="U230" i="5"/>
  <c r="P230" i="5"/>
  <c r="K230" i="5"/>
  <c r="BR229" i="5"/>
  <c r="BQ229" i="5"/>
  <c r="BP229" i="5"/>
  <c r="BO229" i="5"/>
  <c r="BN229" i="5"/>
  <c r="BI229" i="5"/>
  <c r="BD229" i="5"/>
  <c r="AY229" i="5"/>
  <c r="AT229" i="5"/>
  <c r="AO229" i="5"/>
  <c r="AJ229" i="5"/>
  <c r="AE229" i="5"/>
  <c r="Z229" i="5"/>
  <c r="U229" i="5"/>
  <c r="P229" i="5"/>
  <c r="K229" i="5"/>
  <c r="BR228" i="5"/>
  <c r="BQ228" i="5"/>
  <c r="BP228" i="5"/>
  <c r="BO228" i="5"/>
  <c r="BN228" i="5"/>
  <c r="BI228" i="5"/>
  <c r="BD228" i="5"/>
  <c r="AY228" i="5"/>
  <c r="AT228" i="5"/>
  <c r="AO228" i="5"/>
  <c r="AJ228" i="5"/>
  <c r="AE228" i="5"/>
  <c r="Z228" i="5"/>
  <c r="U228" i="5"/>
  <c r="P228" i="5"/>
  <c r="K228" i="5"/>
  <c r="BR227" i="5"/>
  <c r="BP227" i="5"/>
  <c r="BN227" i="5"/>
  <c r="BI227" i="5"/>
  <c r="BD227" i="5"/>
  <c r="AY227" i="5"/>
  <c r="AT227" i="5"/>
  <c r="AM227" i="5"/>
  <c r="AM254" i="5" s="1"/>
  <c r="AM255" i="5" s="1"/>
  <c r="AK227" i="5"/>
  <c r="AH227" i="5"/>
  <c r="AH254" i="5" s="1"/>
  <c r="AH255" i="5" s="1"/>
  <c r="AF227" i="5"/>
  <c r="AC227" i="5"/>
  <c r="AC254" i="5" s="1"/>
  <c r="AC255" i="5" s="1"/>
  <c r="AA227" i="5"/>
  <c r="X227" i="5"/>
  <c r="X254" i="5" s="1"/>
  <c r="X255" i="5" s="1"/>
  <c r="V227" i="5"/>
  <c r="U227" i="5"/>
  <c r="P227" i="5"/>
  <c r="K227" i="5"/>
  <c r="BR226" i="5"/>
  <c r="BQ226" i="5"/>
  <c r="BP226" i="5"/>
  <c r="BO226" i="5"/>
  <c r="BN226" i="5"/>
  <c r="BI226" i="5"/>
  <c r="BD226" i="5"/>
  <c r="AY226" i="5"/>
  <c r="AT226" i="5"/>
  <c r="AO226" i="5"/>
  <c r="AJ226" i="5"/>
  <c r="AE226" i="5"/>
  <c r="Z226" i="5"/>
  <c r="U226" i="5"/>
  <c r="P226" i="5"/>
  <c r="K226" i="5"/>
  <c r="BR225" i="5"/>
  <c r="BQ225" i="5"/>
  <c r="BP225" i="5"/>
  <c r="BO225" i="5"/>
  <c r="BN225" i="5"/>
  <c r="BI225" i="5"/>
  <c r="BD225" i="5"/>
  <c r="AY225" i="5"/>
  <c r="AT225" i="5"/>
  <c r="AO225" i="5"/>
  <c r="AJ225" i="5"/>
  <c r="AE225" i="5"/>
  <c r="Z225" i="5"/>
  <c r="U225" i="5"/>
  <c r="P225" i="5"/>
  <c r="K225" i="5"/>
  <c r="BR224" i="5"/>
  <c r="BQ224" i="5"/>
  <c r="BP224" i="5"/>
  <c r="BO224" i="5"/>
  <c r="BN224" i="5"/>
  <c r="BI224" i="5"/>
  <c r="BD224" i="5"/>
  <c r="AY224" i="5"/>
  <c r="AT224" i="5"/>
  <c r="AO224" i="5"/>
  <c r="AJ224" i="5"/>
  <c r="AE224" i="5"/>
  <c r="Z224" i="5"/>
  <c r="U224" i="5"/>
  <c r="P224" i="5"/>
  <c r="K224" i="5"/>
  <c r="BR223" i="5"/>
  <c r="BQ223" i="5"/>
  <c r="BP223" i="5"/>
  <c r="BO223" i="5"/>
  <c r="BN223" i="5"/>
  <c r="BI223" i="5"/>
  <c r="BD223" i="5"/>
  <c r="AY223" i="5"/>
  <c r="AT223" i="5"/>
  <c r="AO223" i="5"/>
  <c r="AJ223" i="5"/>
  <c r="AE223" i="5"/>
  <c r="Z223" i="5"/>
  <c r="U223" i="5"/>
  <c r="P223" i="5"/>
  <c r="K223" i="5"/>
  <c r="BR222" i="5"/>
  <c r="BQ222" i="5"/>
  <c r="BP222" i="5"/>
  <c r="BO222" i="5"/>
  <c r="BN222" i="5"/>
  <c r="BI222" i="5"/>
  <c r="BD222" i="5"/>
  <c r="AY222" i="5"/>
  <c r="AT222" i="5"/>
  <c r="AO222" i="5"/>
  <c r="AJ222" i="5"/>
  <c r="AE222" i="5"/>
  <c r="Z222" i="5"/>
  <c r="U222" i="5"/>
  <c r="P222" i="5"/>
  <c r="K222" i="5"/>
  <c r="BR221" i="5"/>
  <c r="BQ221" i="5"/>
  <c r="BP221" i="5"/>
  <c r="BO221" i="5"/>
  <c r="BN221" i="5"/>
  <c r="BI221" i="5"/>
  <c r="BD221" i="5"/>
  <c r="AY221" i="5"/>
  <c r="AT221" i="5"/>
  <c r="AO221" i="5"/>
  <c r="AJ221" i="5"/>
  <c r="AE221" i="5"/>
  <c r="Z221" i="5"/>
  <c r="U221" i="5"/>
  <c r="P221" i="5"/>
  <c r="K221" i="5"/>
  <c r="BR220" i="5"/>
  <c r="BQ220" i="5"/>
  <c r="BP220" i="5"/>
  <c r="BO220" i="5"/>
  <c r="BN220" i="5"/>
  <c r="BI220" i="5"/>
  <c r="BD220" i="5"/>
  <c r="AY220" i="5"/>
  <c r="AT220" i="5"/>
  <c r="AO220" i="5"/>
  <c r="AJ220" i="5"/>
  <c r="AE220" i="5"/>
  <c r="Z220" i="5"/>
  <c r="U220" i="5"/>
  <c r="P220" i="5"/>
  <c r="K220" i="5"/>
  <c r="BR219" i="5"/>
  <c r="BQ219" i="5"/>
  <c r="BP219" i="5"/>
  <c r="BO219" i="5"/>
  <c r="BN219" i="5"/>
  <c r="BI219" i="5"/>
  <c r="BD219" i="5"/>
  <c r="AY219" i="5"/>
  <c r="AT219" i="5"/>
  <c r="AO219" i="5"/>
  <c r="AJ219" i="5"/>
  <c r="AE219" i="5"/>
  <c r="Z219" i="5"/>
  <c r="U219" i="5"/>
  <c r="P219" i="5"/>
  <c r="K219" i="5"/>
  <c r="BR218" i="5"/>
  <c r="BQ218" i="5"/>
  <c r="BP218" i="5"/>
  <c r="BO218" i="5"/>
  <c r="BN218" i="5"/>
  <c r="BI218" i="5"/>
  <c r="BD218" i="5"/>
  <c r="AY218" i="5"/>
  <c r="AT218" i="5"/>
  <c r="AO218" i="5"/>
  <c r="AJ218" i="5"/>
  <c r="AE218" i="5"/>
  <c r="Z218" i="5"/>
  <c r="U218" i="5"/>
  <c r="P218" i="5"/>
  <c r="K218" i="5"/>
  <c r="BR217" i="5"/>
  <c r="BQ217" i="5"/>
  <c r="BP217" i="5"/>
  <c r="BN217" i="5"/>
  <c r="BI217" i="5"/>
  <c r="BD217" i="5"/>
  <c r="AY217" i="5"/>
  <c r="AT217" i="5"/>
  <c r="AO217" i="5"/>
  <c r="AJ217" i="5"/>
  <c r="AA217" i="5"/>
  <c r="BO217" i="5" s="1"/>
  <c r="Z217" i="5"/>
  <c r="U217" i="5"/>
  <c r="P217" i="5"/>
  <c r="K217" i="5"/>
  <c r="BR216" i="5"/>
  <c r="BQ216" i="5"/>
  <c r="BP216" i="5"/>
  <c r="BN216" i="5"/>
  <c r="BI216" i="5"/>
  <c r="BD216" i="5"/>
  <c r="AY216" i="5"/>
  <c r="AT216" i="5"/>
  <c r="AO216" i="5"/>
  <c r="AJ216" i="5"/>
  <c r="AA216" i="5"/>
  <c r="BO216" i="5" s="1"/>
  <c r="Z216" i="5"/>
  <c r="U216" i="5"/>
  <c r="P216" i="5"/>
  <c r="K216" i="5"/>
  <c r="BR215" i="5"/>
  <c r="BQ215" i="5"/>
  <c r="BP215" i="5"/>
  <c r="BO215" i="5"/>
  <c r="BN215" i="5"/>
  <c r="BI215" i="5"/>
  <c r="BD215" i="5"/>
  <c r="AY215" i="5"/>
  <c r="AT215" i="5"/>
  <c r="AO215" i="5"/>
  <c r="AJ215" i="5"/>
  <c r="AE215" i="5"/>
  <c r="Z215" i="5"/>
  <c r="U215" i="5"/>
  <c r="P215" i="5"/>
  <c r="K215" i="5"/>
  <c r="BR214" i="5"/>
  <c r="BQ214" i="5"/>
  <c r="BP214" i="5"/>
  <c r="BO214" i="5"/>
  <c r="BN214" i="5"/>
  <c r="BI214" i="5"/>
  <c r="BD214" i="5"/>
  <c r="AY214" i="5"/>
  <c r="AT214" i="5"/>
  <c r="AO214" i="5"/>
  <c r="AJ214" i="5"/>
  <c r="AE214" i="5"/>
  <c r="Z214" i="5"/>
  <c r="U214" i="5"/>
  <c r="P214" i="5"/>
  <c r="K214" i="5"/>
  <c r="BR213" i="5"/>
  <c r="BQ213" i="5"/>
  <c r="BP213" i="5"/>
  <c r="BO213" i="5"/>
  <c r="BN213" i="5"/>
  <c r="BI213" i="5"/>
  <c r="BD213" i="5"/>
  <c r="AY213" i="5"/>
  <c r="AT213" i="5"/>
  <c r="AO213" i="5"/>
  <c r="AJ213" i="5"/>
  <c r="AE213" i="5"/>
  <c r="Z213" i="5"/>
  <c r="U213" i="5"/>
  <c r="P213" i="5"/>
  <c r="K213" i="5"/>
  <c r="BR212" i="5"/>
  <c r="BQ212" i="5"/>
  <c r="BP212" i="5"/>
  <c r="BO212" i="5"/>
  <c r="BN212" i="5"/>
  <c r="BI212" i="5"/>
  <c r="BD212" i="5"/>
  <c r="AY212" i="5"/>
  <c r="AT212" i="5"/>
  <c r="AO212" i="5"/>
  <c r="AJ212" i="5"/>
  <c r="AE212" i="5"/>
  <c r="Z212" i="5"/>
  <c r="U212" i="5"/>
  <c r="P212" i="5"/>
  <c r="K212" i="5"/>
  <c r="BR211" i="5"/>
  <c r="BQ211" i="5"/>
  <c r="BP211" i="5"/>
  <c r="BO211" i="5"/>
  <c r="BN211" i="5"/>
  <c r="BI211" i="5"/>
  <c r="BD211" i="5"/>
  <c r="AY211" i="5"/>
  <c r="AT211" i="5"/>
  <c r="AO211" i="5"/>
  <c r="AJ211" i="5"/>
  <c r="AE211" i="5"/>
  <c r="Z211" i="5"/>
  <c r="U211" i="5"/>
  <c r="P211" i="5"/>
  <c r="K211" i="5"/>
  <c r="BR210" i="5"/>
  <c r="BQ210" i="5"/>
  <c r="BP210" i="5"/>
  <c r="BO210" i="5"/>
  <c r="BN210" i="5"/>
  <c r="BI210" i="5"/>
  <c r="BD210" i="5"/>
  <c r="AY210" i="5"/>
  <c r="AT210" i="5"/>
  <c r="AO210" i="5"/>
  <c r="AJ210" i="5"/>
  <c r="AE210" i="5"/>
  <c r="Z210" i="5"/>
  <c r="U210" i="5"/>
  <c r="P210" i="5"/>
  <c r="K210" i="5"/>
  <c r="BR209" i="5"/>
  <c r="BQ209" i="5"/>
  <c r="BP209" i="5"/>
  <c r="BO209" i="5"/>
  <c r="BN209" i="5"/>
  <c r="BI209" i="5"/>
  <c r="BD209" i="5"/>
  <c r="AY209" i="5"/>
  <c r="AT209" i="5"/>
  <c r="AO209" i="5"/>
  <c r="AJ209" i="5"/>
  <c r="AE209" i="5"/>
  <c r="Z209" i="5"/>
  <c r="U209" i="5"/>
  <c r="P209" i="5"/>
  <c r="K209" i="5"/>
  <c r="BR208" i="5"/>
  <c r="BQ208" i="5"/>
  <c r="BP208" i="5"/>
  <c r="BO208" i="5"/>
  <c r="BN208" i="5"/>
  <c r="BI208" i="5"/>
  <c r="BD208" i="5"/>
  <c r="AY208" i="5"/>
  <c r="AT208" i="5"/>
  <c r="AO208" i="5"/>
  <c r="AJ208" i="5"/>
  <c r="AE208" i="5"/>
  <c r="Z208" i="5"/>
  <c r="U208" i="5"/>
  <c r="P208" i="5"/>
  <c r="K208" i="5"/>
  <c r="BR207" i="5"/>
  <c r="BQ207" i="5"/>
  <c r="BP207" i="5"/>
  <c r="BO207" i="5"/>
  <c r="BN207" i="5"/>
  <c r="BI207" i="5"/>
  <c r="BD207" i="5"/>
  <c r="AY207" i="5"/>
  <c r="AT207" i="5"/>
  <c r="AO207" i="5"/>
  <c r="AJ207" i="5"/>
  <c r="AE207" i="5"/>
  <c r="Z207" i="5"/>
  <c r="U207" i="5"/>
  <c r="P207" i="5"/>
  <c r="K207" i="5"/>
  <c r="BR206" i="5"/>
  <c r="BQ206" i="5"/>
  <c r="BP206" i="5"/>
  <c r="BO206" i="5"/>
  <c r="BN206" i="5"/>
  <c r="BI206" i="5"/>
  <c r="BD206" i="5"/>
  <c r="AY206" i="5"/>
  <c r="AT206" i="5"/>
  <c r="AO206" i="5"/>
  <c r="AJ206" i="5"/>
  <c r="AE206" i="5"/>
  <c r="Z206" i="5"/>
  <c r="U206" i="5"/>
  <c r="P206" i="5"/>
  <c r="K206" i="5"/>
  <c r="BR205" i="5"/>
  <c r="BQ205" i="5"/>
  <c r="BP205" i="5"/>
  <c r="BO205" i="5"/>
  <c r="BN205" i="5"/>
  <c r="BI205" i="5"/>
  <c r="BD205" i="5"/>
  <c r="AY205" i="5"/>
  <c r="AT205" i="5"/>
  <c r="AO205" i="5"/>
  <c r="AJ205" i="5"/>
  <c r="AE205" i="5"/>
  <c r="Z205" i="5"/>
  <c r="U205" i="5"/>
  <c r="P205" i="5"/>
  <c r="K205" i="5"/>
  <c r="BR204" i="5"/>
  <c r="BQ204" i="5"/>
  <c r="BP204" i="5"/>
  <c r="BO204" i="5"/>
  <c r="BN204" i="5"/>
  <c r="BI204" i="5"/>
  <c r="BD204" i="5"/>
  <c r="AY204" i="5"/>
  <c r="AT204" i="5"/>
  <c r="AO204" i="5"/>
  <c r="AJ204" i="5"/>
  <c r="AE204" i="5"/>
  <c r="Z204" i="5"/>
  <c r="U204" i="5"/>
  <c r="P204" i="5"/>
  <c r="K204" i="5"/>
  <c r="BR203" i="5"/>
  <c r="BQ203" i="5"/>
  <c r="BP203" i="5"/>
  <c r="BO203" i="5"/>
  <c r="BN203" i="5"/>
  <c r="BI203" i="5"/>
  <c r="BD203" i="5"/>
  <c r="AY203" i="5"/>
  <c r="AT203" i="5"/>
  <c r="AO203" i="5"/>
  <c r="AJ203" i="5"/>
  <c r="AE203" i="5"/>
  <c r="Z203" i="5"/>
  <c r="U203" i="5"/>
  <c r="P203" i="5"/>
  <c r="K203" i="5"/>
  <c r="BR202" i="5"/>
  <c r="BQ202" i="5"/>
  <c r="BP202" i="5"/>
  <c r="BO202" i="5"/>
  <c r="BN202" i="5"/>
  <c r="BI202" i="5"/>
  <c r="BD202" i="5"/>
  <c r="AY202" i="5"/>
  <c r="AT202" i="5"/>
  <c r="AO202" i="5"/>
  <c r="AJ202" i="5"/>
  <c r="AE202" i="5"/>
  <c r="Z202" i="5"/>
  <c r="U202" i="5"/>
  <c r="P202" i="5"/>
  <c r="K202" i="5"/>
  <c r="BR201" i="5"/>
  <c r="BQ201" i="5"/>
  <c r="BP201" i="5"/>
  <c r="BO201" i="5"/>
  <c r="BN201" i="5"/>
  <c r="BI201" i="5"/>
  <c r="BD201" i="5"/>
  <c r="AY201" i="5"/>
  <c r="AT201" i="5"/>
  <c r="AO201" i="5"/>
  <c r="AJ201" i="5"/>
  <c r="AE201" i="5"/>
  <c r="Z201" i="5"/>
  <c r="U201" i="5"/>
  <c r="P201" i="5"/>
  <c r="K201" i="5"/>
  <c r="BR200" i="5"/>
  <c r="BQ200" i="5"/>
  <c r="BP200" i="5"/>
  <c r="BO200" i="5"/>
  <c r="BN200" i="5"/>
  <c r="BI200" i="5"/>
  <c r="BD200" i="5"/>
  <c r="AY200" i="5"/>
  <c r="AT200" i="5"/>
  <c r="AO200" i="5"/>
  <c r="AJ200" i="5"/>
  <c r="AE200" i="5"/>
  <c r="Z200" i="5"/>
  <c r="U200" i="5"/>
  <c r="P200" i="5"/>
  <c r="K200" i="5"/>
  <c r="BR199" i="5"/>
  <c r="BQ199" i="5"/>
  <c r="BP199" i="5"/>
  <c r="BO199" i="5"/>
  <c r="BN199" i="5"/>
  <c r="BI199" i="5"/>
  <c r="BD199" i="5"/>
  <c r="AY199" i="5"/>
  <c r="AT199" i="5"/>
  <c r="AO199" i="5"/>
  <c r="AJ199" i="5"/>
  <c r="AE199" i="5"/>
  <c r="Z199" i="5"/>
  <c r="U199" i="5"/>
  <c r="P199" i="5"/>
  <c r="K199" i="5"/>
  <c r="BR198" i="5"/>
  <c r="BQ198" i="5"/>
  <c r="BP198" i="5"/>
  <c r="BO198" i="5"/>
  <c r="BN198" i="5"/>
  <c r="BI198" i="5"/>
  <c r="BD198" i="5"/>
  <c r="AY198" i="5"/>
  <c r="AT198" i="5"/>
  <c r="AO198" i="5"/>
  <c r="AJ198" i="5"/>
  <c r="AE198" i="5"/>
  <c r="Z198" i="5"/>
  <c r="U198" i="5"/>
  <c r="P198" i="5"/>
  <c r="K198" i="5"/>
  <c r="BR197" i="5"/>
  <c r="BQ197" i="5"/>
  <c r="BP197" i="5"/>
  <c r="BO197" i="5"/>
  <c r="BN197" i="5"/>
  <c r="BI197" i="5"/>
  <c r="BD197" i="5"/>
  <c r="AY197" i="5"/>
  <c r="AT197" i="5"/>
  <c r="AO197" i="5"/>
  <c r="AJ197" i="5"/>
  <c r="AE197" i="5"/>
  <c r="Z197" i="5"/>
  <c r="U197" i="5"/>
  <c r="P197" i="5"/>
  <c r="K197" i="5"/>
  <c r="BR196" i="5"/>
  <c r="BQ196" i="5"/>
  <c r="BP196" i="5"/>
  <c r="BO196" i="5"/>
  <c r="BN196" i="5"/>
  <c r="BI196" i="5"/>
  <c r="BD196" i="5"/>
  <c r="AY196" i="5"/>
  <c r="AT196" i="5"/>
  <c r="AO196" i="5"/>
  <c r="AJ196" i="5"/>
  <c r="AE196" i="5"/>
  <c r="Z196" i="5"/>
  <c r="U196" i="5"/>
  <c r="P196" i="5"/>
  <c r="K196" i="5"/>
  <c r="BR195" i="5"/>
  <c r="BQ195" i="5"/>
  <c r="BP195" i="5"/>
  <c r="BO195" i="5"/>
  <c r="BN195" i="5"/>
  <c r="BI195" i="5"/>
  <c r="BD195" i="5"/>
  <c r="AY195" i="5"/>
  <c r="AT195" i="5"/>
  <c r="AO195" i="5"/>
  <c r="AJ195" i="5"/>
  <c r="AE195" i="5"/>
  <c r="Z195" i="5"/>
  <c r="U195" i="5"/>
  <c r="P195" i="5"/>
  <c r="K195" i="5"/>
  <c r="BR194" i="5"/>
  <c r="BQ194" i="5"/>
  <c r="BP194" i="5"/>
  <c r="BN194" i="5"/>
  <c r="BI194" i="5"/>
  <c r="BD194" i="5"/>
  <c r="AY194" i="5"/>
  <c r="AT194" i="5"/>
  <c r="AO194" i="5"/>
  <c r="AJ194" i="5"/>
  <c r="AE194" i="5"/>
  <c r="Z194" i="5"/>
  <c r="Q194" i="5"/>
  <c r="BO194" i="5" s="1"/>
  <c r="P194" i="5"/>
  <c r="K194" i="5"/>
  <c r="BR193" i="5"/>
  <c r="BQ193" i="5"/>
  <c r="BP193" i="5"/>
  <c r="BN193" i="5"/>
  <c r="BI193" i="5"/>
  <c r="BD193" i="5"/>
  <c r="AY193" i="5"/>
  <c r="AT193" i="5"/>
  <c r="AO193" i="5"/>
  <c r="AJ193" i="5"/>
  <c r="AE193" i="5"/>
  <c r="Z193" i="5"/>
  <c r="Q193" i="5"/>
  <c r="P193" i="5"/>
  <c r="K193" i="5"/>
  <c r="BR192" i="5"/>
  <c r="BQ192" i="5"/>
  <c r="BN192" i="5"/>
  <c r="BI192" i="5"/>
  <c r="BD192" i="5"/>
  <c r="AY192" i="5"/>
  <c r="AT192" i="5"/>
  <c r="AO192" i="5"/>
  <c r="AJ192" i="5"/>
  <c r="AE192" i="5"/>
  <c r="Z192" i="5"/>
  <c r="R192" i="5"/>
  <c r="Q192" i="5"/>
  <c r="BO192" i="5" s="1"/>
  <c r="P192" i="5"/>
  <c r="K192" i="5"/>
  <c r="BR191" i="5"/>
  <c r="BQ191" i="5"/>
  <c r="BP191" i="5"/>
  <c r="BO191" i="5"/>
  <c r="BN191" i="5"/>
  <c r="BI191" i="5"/>
  <c r="BD191" i="5"/>
  <c r="AY191" i="5"/>
  <c r="AT191" i="5"/>
  <c r="AO191" i="5"/>
  <c r="AJ191" i="5"/>
  <c r="AE191" i="5"/>
  <c r="Z191" i="5"/>
  <c r="U191" i="5"/>
  <c r="P191" i="5"/>
  <c r="K191" i="5"/>
  <c r="BR190" i="5"/>
  <c r="BQ190" i="5"/>
  <c r="BP190" i="5"/>
  <c r="BO190" i="5"/>
  <c r="BN190" i="5"/>
  <c r="BI190" i="5"/>
  <c r="BD190" i="5"/>
  <c r="AY190" i="5"/>
  <c r="AT190" i="5"/>
  <c r="AO190" i="5"/>
  <c r="AJ190" i="5"/>
  <c r="AE190" i="5"/>
  <c r="Z190" i="5"/>
  <c r="U190" i="5"/>
  <c r="P190" i="5"/>
  <c r="K190" i="5"/>
  <c r="BR189" i="5"/>
  <c r="BQ189" i="5"/>
  <c r="BP189" i="5"/>
  <c r="BO189" i="5"/>
  <c r="BN189" i="5"/>
  <c r="BI189" i="5"/>
  <c r="BD189" i="5"/>
  <c r="AY189" i="5"/>
  <c r="AT189" i="5"/>
  <c r="AO189" i="5"/>
  <c r="AJ189" i="5"/>
  <c r="AE189" i="5"/>
  <c r="Z189" i="5"/>
  <c r="U189" i="5"/>
  <c r="P189" i="5"/>
  <c r="K189" i="5"/>
  <c r="BR188" i="5"/>
  <c r="BQ188" i="5"/>
  <c r="BP188" i="5"/>
  <c r="BO188" i="5"/>
  <c r="BN188" i="5"/>
  <c r="BI188" i="5"/>
  <c r="BD188" i="5"/>
  <c r="AY188" i="5"/>
  <c r="AT188" i="5"/>
  <c r="AO188" i="5"/>
  <c r="AJ188" i="5"/>
  <c r="AE188" i="5"/>
  <c r="Z188" i="5"/>
  <c r="U188" i="5"/>
  <c r="P188" i="5"/>
  <c r="K188" i="5"/>
  <c r="BR187" i="5"/>
  <c r="BQ187" i="5"/>
  <c r="BN187" i="5"/>
  <c r="BI187" i="5"/>
  <c r="BD187" i="5"/>
  <c r="AY187" i="5"/>
  <c r="AT187" i="5"/>
  <c r="AO187" i="5"/>
  <c r="AJ187" i="5"/>
  <c r="AE187" i="5"/>
  <c r="Z187" i="5"/>
  <c r="R187" i="5"/>
  <c r="BP187" i="5" s="1"/>
  <c r="Q187" i="5"/>
  <c r="P187" i="5"/>
  <c r="K187" i="5"/>
  <c r="BR186" i="5"/>
  <c r="BQ186" i="5"/>
  <c r="BP186" i="5"/>
  <c r="BN186" i="5"/>
  <c r="BI186" i="5"/>
  <c r="BD186" i="5"/>
  <c r="AY186" i="5"/>
  <c r="AT186" i="5"/>
  <c r="AO186" i="5"/>
  <c r="AJ186" i="5"/>
  <c r="AE186" i="5"/>
  <c r="Z186" i="5"/>
  <c r="Q186" i="5"/>
  <c r="U186" i="5" s="1"/>
  <c r="P186" i="5"/>
  <c r="K186" i="5"/>
  <c r="BR185" i="5"/>
  <c r="BQ185" i="5"/>
  <c r="BP185" i="5"/>
  <c r="BN185" i="5"/>
  <c r="BI185" i="5"/>
  <c r="BD185" i="5"/>
  <c r="AY185" i="5"/>
  <c r="AT185" i="5"/>
  <c r="AO185" i="5"/>
  <c r="AJ185" i="5"/>
  <c r="AE185" i="5"/>
  <c r="Z185" i="5"/>
  <c r="Q185" i="5"/>
  <c r="BO185" i="5" s="1"/>
  <c r="P185" i="5"/>
  <c r="K185" i="5"/>
  <c r="BR184" i="5"/>
  <c r="BQ184" i="5"/>
  <c r="BN184" i="5"/>
  <c r="BI184" i="5"/>
  <c r="BD184" i="5"/>
  <c r="AY184" i="5"/>
  <c r="AT184" i="5"/>
  <c r="AO184" i="5"/>
  <c r="AJ184" i="5"/>
  <c r="AE184" i="5"/>
  <c r="Z184" i="5"/>
  <c r="R184" i="5"/>
  <c r="BP184" i="5" s="1"/>
  <c r="Q184" i="5"/>
  <c r="P184" i="5"/>
  <c r="K184" i="5"/>
  <c r="BR183" i="5"/>
  <c r="BQ183" i="5"/>
  <c r="BP183" i="5"/>
  <c r="BO183" i="5"/>
  <c r="BN183" i="5"/>
  <c r="BI183" i="5"/>
  <c r="BD183" i="5"/>
  <c r="AY183" i="5"/>
  <c r="AT183" i="5"/>
  <c r="AO183" i="5"/>
  <c r="AJ183" i="5"/>
  <c r="AE183" i="5"/>
  <c r="Z183" i="5"/>
  <c r="U183" i="5"/>
  <c r="P183" i="5"/>
  <c r="K183" i="5"/>
  <c r="BR182" i="5"/>
  <c r="BQ182" i="5"/>
  <c r="BP182" i="5"/>
  <c r="BO182" i="5"/>
  <c r="BN182" i="5"/>
  <c r="BI182" i="5"/>
  <c r="BD182" i="5"/>
  <c r="AY182" i="5"/>
  <c r="AT182" i="5"/>
  <c r="AO182" i="5"/>
  <c r="AJ182" i="5"/>
  <c r="AE182" i="5"/>
  <c r="Z182" i="5"/>
  <c r="U182" i="5"/>
  <c r="P182" i="5"/>
  <c r="K182" i="5"/>
  <c r="BR181" i="5"/>
  <c r="BQ181" i="5"/>
  <c r="BP181" i="5"/>
  <c r="BO181" i="5"/>
  <c r="BN181" i="5"/>
  <c r="BI181" i="5"/>
  <c r="BD181" i="5"/>
  <c r="AY181" i="5"/>
  <c r="AT181" i="5"/>
  <c r="AO181" i="5"/>
  <c r="AJ181" i="5"/>
  <c r="AE181" i="5"/>
  <c r="Z181" i="5"/>
  <c r="U181" i="5"/>
  <c r="P181" i="5"/>
  <c r="K181" i="5"/>
  <c r="BR180" i="5"/>
  <c r="BQ180" i="5"/>
  <c r="BP180" i="5"/>
  <c r="BO180" i="5"/>
  <c r="BN180" i="5"/>
  <c r="BI180" i="5"/>
  <c r="BD180" i="5"/>
  <c r="AY180" i="5"/>
  <c r="AT180" i="5"/>
  <c r="AO180" i="5"/>
  <c r="AJ180" i="5"/>
  <c r="AE180" i="5"/>
  <c r="Z180" i="5"/>
  <c r="U180" i="5"/>
  <c r="P180" i="5"/>
  <c r="K180" i="5"/>
  <c r="BR179" i="5"/>
  <c r="BQ179" i="5"/>
  <c r="BP179" i="5"/>
  <c r="BO179" i="5"/>
  <c r="BN179" i="5"/>
  <c r="BI179" i="5"/>
  <c r="BD179" i="5"/>
  <c r="AY179" i="5"/>
  <c r="AT179" i="5"/>
  <c r="AO179" i="5"/>
  <c r="AJ179" i="5"/>
  <c r="AE179" i="5"/>
  <c r="Z179" i="5"/>
  <c r="U179" i="5"/>
  <c r="P179" i="5"/>
  <c r="K179" i="5"/>
  <c r="BR178" i="5"/>
  <c r="BQ178" i="5"/>
  <c r="BP178" i="5"/>
  <c r="BO178" i="5"/>
  <c r="BN178" i="5"/>
  <c r="BI178" i="5"/>
  <c r="BD178" i="5"/>
  <c r="AY178" i="5"/>
  <c r="AT178" i="5"/>
  <c r="AO178" i="5"/>
  <c r="AJ178" i="5"/>
  <c r="AE178" i="5"/>
  <c r="Z178" i="5"/>
  <c r="U178" i="5"/>
  <c r="P178" i="5"/>
  <c r="K178" i="5"/>
  <c r="BR177" i="5"/>
  <c r="BQ177" i="5"/>
  <c r="BP177" i="5"/>
  <c r="BO177" i="5"/>
  <c r="BN177" i="5"/>
  <c r="BI177" i="5"/>
  <c r="BD177" i="5"/>
  <c r="AY177" i="5"/>
  <c r="AT177" i="5"/>
  <c r="AO177" i="5"/>
  <c r="AJ177" i="5"/>
  <c r="AE177" i="5"/>
  <c r="Z177" i="5"/>
  <c r="U177" i="5"/>
  <c r="P177" i="5"/>
  <c r="K177" i="5"/>
  <c r="BR176" i="5"/>
  <c r="BP176" i="5"/>
  <c r="BN176" i="5"/>
  <c r="BI176" i="5"/>
  <c r="BD176" i="5"/>
  <c r="AY176" i="5"/>
  <c r="AT176" i="5"/>
  <c r="AK176" i="5"/>
  <c r="AJ176" i="5"/>
  <c r="AE176" i="5"/>
  <c r="Z176" i="5"/>
  <c r="S176" i="5"/>
  <c r="S254" i="5" s="1"/>
  <c r="S255" i="5" s="1"/>
  <c r="Q176" i="5"/>
  <c r="P176" i="5"/>
  <c r="K176" i="5"/>
  <c r="BR175" i="5"/>
  <c r="BQ175" i="5"/>
  <c r="BP175" i="5"/>
  <c r="BO175" i="5"/>
  <c r="BN175" i="5"/>
  <c r="BI175" i="5"/>
  <c r="BD175" i="5"/>
  <c r="AY175" i="5"/>
  <c r="AT175" i="5"/>
  <c r="AO175" i="5"/>
  <c r="AJ175" i="5"/>
  <c r="AE175" i="5"/>
  <c r="Z175" i="5"/>
  <c r="U175" i="5"/>
  <c r="P175" i="5"/>
  <c r="K175" i="5"/>
  <c r="BR174" i="5"/>
  <c r="BQ174" i="5"/>
  <c r="BP174" i="5"/>
  <c r="BO174" i="5"/>
  <c r="BN174" i="5"/>
  <c r="BI174" i="5"/>
  <c r="BD174" i="5"/>
  <c r="AY174" i="5"/>
  <c r="AT174" i="5"/>
  <c r="AO174" i="5"/>
  <c r="AJ174" i="5"/>
  <c r="AE174" i="5"/>
  <c r="Z174" i="5"/>
  <c r="U174" i="5"/>
  <c r="P174" i="5"/>
  <c r="K174" i="5"/>
  <c r="BR173" i="5"/>
  <c r="BQ173" i="5"/>
  <c r="BP173" i="5"/>
  <c r="BO173" i="5"/>
  <c r="BN173" i="5"/>
  <c r="BI173" i="5"/>
  <c r="BD173" i="5"/>
  <c r="AY173" i="5"/>
  <c r="AT173" i="5"/>
  <c r="AO173" i="5"/>
  <c r="AJ173" i="5"/>
  <c r="AE173" i="5"/>
  <c r="Z173" i="5"/>
  <c r="U173" i="5"/>
  <c r="P173" i="5"/>
  <c r="K173" i="5"/>
  <c r="BR172" i="5"/>
  <c r="BQ172" i="5"/>
  <c r="BP172" i="5"/>
  <c r="BN172" i="5"/>
  <c r="BI172" i="5"/>
  <c r="BD172" i="5"/>
  <c r="AY172" i="5"/>
  <c r="AT172" i="5"/>
  <c r="AK172" i="5"/>
  <c r="AJ172" i="5"/>
  <c r="AE172" i="5"/>
  <c r="Z172" i="5"/>
  <c r="Q172" i="5"/>
  <c r="P172" i="5"/>
  <c r="K172" i="5"/>
  <c r="BR171" i="5"/>
  <c r="BQ171" i="5"/>
  <c r="BP171" i="5"/>
  <c r="BN171" i="5"/>
  <c r="BI171" i="5"/>
  <c r="BD171" i="5"/>
  <c r="AY171" i="5"/>
  <c r="AT171" i="5"/>
  <c r="AO171" i="5"/>
  <c r="AJ171" i="5"/>
  <c r="AE171" i="5"/>
  <c r="Z171" i="5"/>
  <c r="Q171" i="5"/>
  <c r="BO171" i="5" s="1"/>
  <c r="P171" i="5"/>
  <c r="K171" i="5"/>
  <c r="BR170" i="5"/>
  <c r="BQ170" i="5"/>
  <c r="BP170" i="5"/>
  <c r="BN170" i="5"/>
  <c r="BI170" i="5"/>
  <c r="BD170" i="5"/>
  <c r="AY170" i="5"/>
  <c r="AT170" i="5"/>
  <c r="AO170" i="5"/>
  <c r="AJ170" i="5"/>
  <c r="AE170" i="5"/>
  <c r="Z170" i="5"/>
  <c r="Q170" i="5"/>
  <c r="U170" i="5" s="1"/>
  <c r="P170" i="5"/>
  <c r="K170" i="5"/>
  <c r="BR169" i="5"/>
  <c r="BQ169" i="5"/>
  <c r="BP169" i="5"/>
  <c r="BO169" i="5"/>
  <c r="BN169" i="5"/>
  <c r="BI169" i="5"/>
  <c r="BD169" i="5"/>
  <c r="AY169" i="5"/>
  <c r="AT169" i="5"/>
  <c r="AO169" i="5"/>
  <c r="AJ169" i="5"/>
  <c r="AE169" i="5"/>
  <c r="Z169" i="5"/>
  <c r="U169" i="5"/>
  <c r="P169" i="5"/>
  <c r="K169" i="5"/>
  <c r="BR168" i="5"/>
  <c r="BQ168" i="5"/>
  <c r="BP168" i="5"/>
  <c r="BO168" i="5"/>
  <c r="BN168" i="5"/>
  <c r="BI168" i="5"/>
  <c r="BD168" i="5"/>
  <c r="AY168" i="5"/>
  <c r="AT168" i="5"/>
  <c r="AO168" i="5"/>
  <c r="AJ168" i="5"/>
  <c r="AE168" i="5"/>
  <c r="Z168" i="5"/>
  <c r="U168" i="5"/>
  <c r="P168" i="5"/>
  <c r="K168" i="5"/>
  <c r="BM165" i="5"/>
  <c r="BL165" i="5"/>
  <c r="BK165" i="5"/>
  <c r="BJ165" i="5"/>
  <c r="BH165" i="5"/>
  <c r="BG165" i="5"/>
  <c r="BF165" i="5"/>
  <c r="BE165" i="5"/>
  <c r="BC165" i="5"/>
  <c r="BB165" i="5"/>
  <c r="BA165" i="5"/>
  <c r="AZ165" i="5"/>
  <c r="AX165" i="5"/>
  <c r="AW165" i="5"/>
  <c r="AV165" i="5"/>
  <c r="AU165" i="5"/>
  <c r="AS165" i="5"/>
  <c r="AR165" i="5"/>
  <c r="AQ165" i="5"/>
  <c r="AP165" i="5"/>
  <c r="AN165" i="5"/>
  <c r="AM165" i="5"/>
  <c r="AL165" i="5"/>
  <c r="AK165" i="5"/>
  <c r="AI165" i="5"/>
  <c r="AH165" i="5"/>
  <c r="AG165" i="5"/>
  <c r="AF165" i="5"/>
  <c r="AD165" i="5"/>
  <c r="AC165" i="5"/>
  <c r="AB165" i="5"/>
  <c r="AA165" i="5"/>
  <c r="Y165" i="5"/>
  <c r="X165" i="5"/>
  <c r="W165" i="5"/>
  <c r="V165" i="5"/>
  <c r="T165" i="5"/>
  <c r="S165" i="5"/>
  <c r="R165" i="5"/>
  <c r="Q165" i="5"/>
  <c r="O165" i="5"/>
  <c r="N165" i="5"/>
  <c r="M165" i="5"/>
  <c r="L165" i="5"/>
  <c r="J165" i="5"/>
  <c r="I165" i="5"/>
  <c r="H165" i="5"/>
  <c r="G165" i="5"/>
  <c r="BR164" i="5"/>
  <c r="BQ164" i="5"/>
  <c r="BP164" i="5"/>
  <c r="BO164" i="5"/>
  <c r="BN164" i="5"/>
  <c r="BI164" i="5"/>
  <c r="BD164" i="5"/>
  <c r="AY164" i="5"/>
  <c r="AT164" i="5"/>
  <c r="AO164" i="5"/>
  <c r="AJ164" i="5"/>
  <c r="AE164" i="5"/>
  <c r="Z164" i="5"/>
  <c r="U164" i="5"/>
  <c r="P164" i="5"/>
  <c r="K164" i="5"/>
  <c r="BR163" i="5"/>
  <c r="BQ163" i="5"/>
  <c r="BP163" i="5"/>
  <c r="BO163" i="5"/>
  <c r="BN163" i="5"/>
  <c r="BI163" i="5"/>
  <c r="BD163" i="5"/>
  <c r="AY163" i="5"/>
  <c r="AT163" i="5"/>
  <c r="AO163" i="5"/>
  <c r="AJ163" i="5"/>
  <c r="AE163" i="5"/>
  <c r="Z163" i="5"/>
  <c r="U163" i="5"/>
  <c r="P163" i="5"/>
  <c r="K163" i="5"/>
  <c r="BR162" i="5"/>
  <c r="BQ162" i="5"/>
  <c r="BP162" i="5"/>
  <c r="BO162" i="5"/>
  <c r="BN162" i="5"/>
  <c r="BI162" i="5"/>
  <c r="BD162" i="5"/>
  <c r="AY162" i="5"/>
  <c r="AT162" i="5"/>
  <c r="AO162" i="5"/>
  <c r="AJ162" i="5"/>
  <c r="AE162" i="5"/>
  <c r="Z162" i="5"/>
  <c r="U162" i="5"/>
  <c r="P162" i="5"/>
  <c r="K162" i="5"/>
  <c r="BR161" i="5"/>
  <c r="BQ161" i="5"/>
  <c r="BP161" i="5"/>
  <c r="BO161" i="5"/>
  <c r="BN161" i="5"/>
  <c r="BI161" i="5"/>
  <c r="BD161" i="5"/>
  <c r="AY161" i="5"/>
  <c r="AT161" i="5"/>
  <c r="AO161" i="5"/>
  <c r="AJ161" i="5"/>
  <c r="AE161" i="5"/>
  <c r="Z161" i="5"/>
  <c r="U161" i="5"/>
  <c r="P161" i="5"/>
  <c r="K161" i="5"/>
  <c r="BR160" i="5"/>
  <c r="BQ160" i="5"/>
  <c r="BP160" i="5"/>
  <c r="BO160" i="5"/>
  <c r="BN160" i="5"/>
  <c r="BI160" i="5"/>
  <c r="BD160" i="5"/>
  <c r="AY160" i="5"/>
  <c r="AT160" i="5"/>
  <c r="AO160" i="5"/>
  <c r="AJ160" i="5"/>
  <c r="AE160" i="5"/>
  <c r="Z160" i="5"/>
  <c r="U160" i="5"/>
  <c r="P160" i="5"/>
  <c r="K160" i="5"/>
  <c r="BR159" i="5"/>
  <c r="BQ159" i="5"/>
  <c r="BP159" i="5"/>
  <c r="BO159" i="5"/>
  <c r="BN159" i="5"/>
  <c r="BI159" i="5"/>
  <c r="BD159" i="5"/>
  <c r="AY159" i="5"/>
  <c r="AT159" i="5"/>
  <c r="AO159" i="5"/>
  <c r="AJ159" i="5"/>
  <c r="AE159" i="5"/>
  <c r="Z159" i="5"/>
  <c r="U159" i="5"/>
  <c r="P159" i="5"/>
  <c r="K159" i="5"/>
  <c r="BR158" i="5"/>
  <c r="BQ158" i="5"/>
  <c r="BP158" i="5"/>
  <c r="BO158" i="5"/>
  <c r="BN158" i="5"/>
  <c r="BI158" i="5"/>
  <c r="BD158" i="5"/>
  <c r="AY158" i="5"/>
  <c r="AT158" i="5"/>
  <c r="AO158" i="5"/>
  <c r="AJ158" i="5"/>
  <c r="AE158" i="5"/>
  <c r="Z158" i="5"/>
  <c r="U158" i="5"/>
  <c r="P158" i="5"/>
  <c r="K158" i="5"/>
  <c r="BR157" i="5"/>
  <c r="BQ157" i="5"/>
  <c r="BP157" i="5"/>
  <c r="BO157" i="5"/>
  <c r="BN157" i="5"/>
  <c r="BI157" i="5"/>
  <c r="BD157" i="5"/>
  <c r="AY157" i="5"/>
  <c r="AT157" i="5"/>
  <c r="AO157" i="5"/>
  <c r="AJ157" i="5"/>
  <c r="AE157" i="5"/>
  <c r="Z157" i="5"/>
  <c r="U157" i="5"/>
  <c r="P157" i="5"/>
  <c r="K157" i="5"/>
  <c r="BR156" i="5"/>
  <c r="BQ156" i="5"/>
  <c r="BP156" i="5"/>
  <c r="BO156" i="5"/>
  <c r="BN156" i="5"/>
  <c r="BI156" i="5"/>
  <c r="BD156" i="5"/>
  <c r="AY156" i="5"/>
  <c r="AT156" i="5"/>
  <c r="AO156" i="5"/>
  <c r="AJ156" i="5"/>
  <c r="AE156" i="5"/>
  <c r="Z156" i="5"/>
  <c r="U156" i="5"/>
  <c r="P156" i="5"/>
  <c r="K156" i="5"/>
  <c r="BR155" i="5"/>
  <c r="BQ155" i="5"/>
  <c r="BP155" i="5"/>
  <c r="BO155" i="5"/>
  <c r="BN155" i="5"/>
  <c r="BI155" i="5"/>
  <c r="BD155" i="5"/>
  <c r="AY155" i="5"/>
  <c r="AT155" i="5"/>
  <c r="AO155" i="5"/>
  <c r="AJ155" i="5"/>
  <c r="AE155" i="5"/>
  <c r="Z155" i="5"/>
  <c r="U155" i="5"/>
  <c r="P155" i="5"/>
  <c r="K155" i="5"/>
  <c r="BR154" i="5"/>
  <c r="BQ154" i="5"/>
  <c r="BP154" i="5"/>
  <c r="BO154" i="5"/>
  <c r="BN154" i="5"/>
  <c r="BI154" i="5"/>
  <c r="BD154" i="5"/>
  <c r="AY154" i="5"/>
  <c r="AT154" i="5"/>
  <c r="AO154" i="5"/>
  <c r="AJ154" i="5"/>
  <c r="AE154" i="5"/>
  <c r="Z154" i="5"/>
  <c r="U154" i="5"/>
  <c r="P154" i="5"/>
  <c r="K154" i="5"/>
  <c r="BR153" i="5"/>
  <c r="BQ153" i="5"/>
  <c r="BP153" i="5"/>
  <c r="BO153" i="5"/>
  <c r="BN153" i="5"/>
  <c r="BI153" i="5"/>
  <c r="BD153" i="5"/>
  <c r="AY153" i="5"/>
  <c r="AT153" i="5"/>
  <c r="AO153" i="5"/>
  <c r="AJ153" i="5"/>
  <c r="AE153" i="5"/>
  <c r="Z153" i="5"/>
  <c r="U153" i="5"/>
  <c r="P153" i="5"/>
  <c r="K153" i="5"/>
  <c r="BR152" i="5"/>
  <c r="BQ152" i="5"/>
  <c r="BP152" i="5"/>
  <c r="BO152" i="5"/>
  <c r="BN152" i="5"/>
  <c r="BI152" i="5"/>
  <c r="BD152" i="5"/>
  <c r="AY152" i="5"/>
  <c r="AT152" i="5"/>
  <c r="AO152" i="5"/>
  <c r="AJ152" i="5"/>
  <c r="AE152" i="5"/>
  <c r="Z152" i="5"/>
  <c r="U152" i="5"/>
  <c r="P152" i="5"/>
  <c r="K152" i="5"/>
  <c r="BR151" i="5"/>
  <c r="BQ151" i="5"/>
  <c r="BP151" i="5"/>
  <c r="BO151" i="5"/>
  <c r="BN151" i="5"/>
  <c r="BI151" i="5"/>
  <c r="BD151" i="5"/>
  <c r="AY151" i="5"/>
  <c r="AT151" i="5"/>
  <c r="AO151" i="5"/>
  <c r="AJ151" i="5"/>
  <c r="AE151" i="5"/>
  <c r="Z151" i="5"/>
  <c r="U151" i="5"/>
  <c r="P151" i="5"/>
  <c r="K151" i="5"/>
  <c r="BR150" i="5"/>
  <c r="BQ150" i="5"/>
  <c r="BP150" i="5"/>
  <c r="BO150" i="5"/>
  <c r="BN150" i="5"/>
  <c r="BI150" i="5"/>
  <c r="BD150" i="5"/>
  <c r="AY150" i="5"/>
  <c r="AT150" i="5"/>
  <c r="AO150" i="5"/>
  <c r="AJ150" i="5"/>
  <c r="AE150" i="5"/>
  <c r="Z150" i="5"/>
  <c r="U150" i="5"/>
  <c r="P150" i="5"/>
  <c r="K150" i="5"/>
  <c r="BR149" i="5"/>
  <c r="BQ149" i="5"/>
  <c r="BP149" i="5"/>
  <c r="BO149" i="5"/>
  <c r="BN149" i="5"/>
  <c r="BI149" i="5"/>
  <c r="BD149" i="5"/>
  <c r="AY149" i="5"/>
  <c r="AT149" i="5"/>
  <c r="AO149" i="5"/>
  <c r="AJ149" i="5"/>
  <c r="AE149" i="5"/>
  <c r="Z149" i="5"/>
  <c r="U149" i="5"/>
  <c r="P149" i="5"/>
  <c r="K149" i="5"/>
  <c r="BR148" i="5"/>
  <c r="BQ148" i="5"/>
  <c r="BP148" i="5"/>
  <c r="BO148" i="5"/>
  <c r="BN148" i="5"/>
  <c r="BI148" i="5"/>
  <c r="BD148" i="5"/>
  <c r="AY148" i="5"/>
  <c r="AT148" i="5"/>
  <c r="AO148" i="5"/>
  <c r="AJ148" i="5"/>
  <c r="AE148" i="5"/>
  <c r="Z148" i="5"/>
  <c r="U148" i="5"/>
  <c r="P148" i="5"/>
  <c r="K148" i="5"/>
  <c r="BR147" i="5"/>
  <c r="BQ147" i="5"/>
  <c r="BP147" i="5"/>
  <c r="BO147" i="5"/>
  <c r="BN147" i="5"/>
  <c r="BI147" i="5"/>
  <c r="BD147" i="5"/>
  <c r="AY147" i="5"/>
  <c r="AT147" i="5"/>
  <c r="AO147" i="5"/>
  <c r="AJ147" i="5"/>
  <c r="AE147" i="5"/>
  <c r="Z147" i="5"/>
  <c r="U147" i="5"/>
  <c r="P147" i="5"/>
  <c r="K147" i="5"/>
  <c r="BM146" i="5"/>
  <c r="BL146" i="5"/>
  <c r="BK146" i="5"/>
  <c r="BJ146" i="5"/>
  <c r="BH146" i="5"/>
  <c r="BG146" i="5"/>
  <c r="BF146" i="5"/>
  <c r="BE146" i="5"/>
  <c r="BC146" i="5"/>
  <c r="BB146" i="5"/>
  <c r="BA146" i="5"/>
  <c r="AZ146" i="5"/>
  <c r="AX146" i="5"/>
  <c r="AW146" i="5"/>
  <c r="AV146" i="5"/>
  <c r="AU146" i="5"/>
  <c r="AS146" i="5"/>
  <c r="AR146" i="5"/>
  <c r="AQ146" i="5"/>
  <c r="AP146" i="5"/>
  <c r="AN146" i="5"/>
  <c r="AM146" i="5"/>
  <c r="AL146" i="5"/>
  <c r="AK146" i="5"/>
  <c r="AI146" i="5"/>
  <c r="AH146" i="5"/>
  <c r="AG146" i="5"/>
  <c r="AF146" i="5"/>
  <c r="AD146" i="5"/>
  <c r="AC146" i="5"/>
  <c r="AB146" i="5"/>
  <c r="AA146" i="5"/>
  <c r="Y146" i="5"/>
  <c r="X146" i="5"/>
  <c r="W146" i="5"/>
  <c r="V146" i="5"/>
  <c r="T146" i="5"/>
  <c r="S146" i="5"/>
  <c r="R146" i="5"/>
  <c r="Q146" i="5"/>
  <c r="O146" i="5"/>
  <c r="N146" i="5"/>
  <c r="M146" i="5"/>
  <c r="L146" i="5"/>
  <c r="J146" i="5"/>
  <c r="I146" i="5"/>
  <c r="H146" i="5"/>
  <c r="G146" i="5"/>
  <c r="BR145" i="5"/>
  <c r="BQ145" i="5"/>
  <c r="BP145" i="5"/>
  <c r="BO145" i="5"/>
  <c r="BN145" i="5"/>
  <c r="BI145" i="5"/>
  <c r="BD145" i="5"/>
  <c r="AY145" i="5"/>
  <c r="AT145" i="5"/>
  <c r="AO145" i="5"/>
  <c r="AJ145" i="5"/>
  <c r="AE145" i="5"/>
  <c r="Z145" i="5"/>
  <c r="U145" i="5"/>
  <c r="P145" i="5"/>
  <c r="K145" i="5"/>
  <c r="BR144" i="5"/>
  <c r="BQ144" i="5"/>
  <c r="BP144" i="5"/>
  <c r="BO144" i="5"/>
  <c r="BN144" i="5"/>
  <c r="BI144" i="5"/>
  <c r="BD144" i="5"/>
  <c r="AY144" i="5"/>
  <c r="AT144" i="5"/>
  <c r="AO144" i="5"/>
  <c r="AJ144" i="5"/>
  <c r="AE144" i="5"/>
  <c r="Z144" i="5"/>
  <c r="U144" i="5"/>
  <c r="P144" i="5"/>
  <c r="K144" i="5"/>
  <c r="BR143" i="5"/>
  <c r="BQ143" i="5"/>
  <c r="BP143" i="5"/>
  <c r="BO143" i="5"/>
  <c r="BN143" i="5"/>
  <c r="BI143" i="5"/>
  <c r="BD143" i="5"/>
  <c r="AY143" i="5"/>
  <c r="AT143" i="5"/>
  <c r="AO143" i="5"/>
  <c r="AJ143" i="5"/>
  <c r="AE143" i="5"/>
  <c r="Z143" i="5"/>
  <c r="U143" i="5"/>
  <c r="P143" i="5"/>
  <c r="K143" i="5"/>
  <c r="BR142" i="5"/>
  <c r="BQ142" i="5"/>
  <c r="BP142" i="5"/>
  <c r="BO142" i="5"/>
  <c r="BN142" i="5"/>
  <c r="BI142" i="5"/>
  <c r="BD142" i="5"/>
  <c r="AY142" i="5"/>
  <c r="AT142" i="5"/>
  <c r="AO142" i="5"/>
  <c r="AJ142" i="5"/>
  <c r="AE142" i="5"/>
  <c r="Z142" i="5"/>
  <c r="U142" i="5"/>
  <c r="P142" i="5"/>
  <c r="K142" i="5"/>
  <c r="BR141" i="5"/>
  <c r="BQ141" i="5"/>
  <c r="BP141" i="5"/>
  <c r="BO141" i="5"/>
  <c r="BN141" i="5"/>
  <c r="BI141" i="5"/>
  <c r="BD141" i="5"/>
  <c r="AY141" i="5"/>
  <c r="AT141" i="5"/>
  <c r="AO141" i="5"/>
  <c r="AJ141" i="5"/>
  <c r="AE141" i="5"/>
  <c r="Z141" i="5"/>
  <c r="U141" i="5"/>
  <c r="P141" i="5"/>
  <c r="K141" i="5"/>
  <c r="BR140" i="5"/>
  <c r="BQ140" i="5"/>
  <c r="BP140" i="5"/>
  <c r="BO140" i="5"/>
  <c r="BN140" i="5"/>
  <c r="BI140" i="5"/>
  <c r="BD140" i="5"/>
  <c r="AY140" i="5"/>
  <c r="AT140" i="5"/>
  <c r="AO140" i="5"/>
  <c r="AJ140" i="5"/>
  <c r="AE140" i="5"/>
  <c r="Z140" i="5"/>
  <c r="U140" i="5"/>
  <c r="P140" i="5"/>
  <c r="K140" i="5"/>
  <c r="BR139" i="5"/>
  <c r="BQ139" i="5"/>
  <c r="BP139" i="5"/>
  <c r="BO139" i="5"/>
  <c r="BN139" i="5"/>
  <c r="BI139" i="5"/>
  <c r="BD139" i="5"/>
  <c r="AY139" i="5"/>
  <c r="AT139" i="5"/>
  <c r="AO139" i="5"/>
  <c r="AJ139" i="5"/>
  <c r="AE139" i="5"/>
  <c r="Z139" i="5"/>
  <c r="U139" i="5"/>
  <c r="P139" i="5"/>
  <c r="K139" i="5"/>
  <c r="BR138" i="5"/>
  <c r="BQ138" i="5"/>
  <c r="BP138" i="5"/>
  <c r="BO138" i="5"/>
  <c r="BN138" i="5"/>
  <c r="BI138" i="5"/>
  <c r="BD138" i="5"/>
  <c r="AY138" i="5"/>
  <c r="AT138" i="5"/>
  <c r="AO138" i="5"/>
  <c r="AJ138" i="5"/>
  <c r="AE138" i="5"/>
  <c r="Z138" i="5"/>
  <c r="U138" i="5"/>
  <c r="P138" i="5"/>
  <c r="K138" i="5"/>
  <c r="BM137" i="5"/>
  <c r="BL137" i="5"/>
  <c r="BK137" i="5"/>
  <c r="BJ137" i="5"/>
  <c r="BH137" i="5"/>
  <c r="BG137" i="5"/>
  <c r="BF137" i="5"/>
  <c r="BE137" i="5"/>
  <c r="BC137" i="5"/>
  <c r="BB137" i="5"/>
  <c r="BA137" i="5"/>
  <c r="AZ137" i="5"/>
  <c r="AX137" i="5"/>
  <c r="AW137" i="5"/>
  <c r="AV137" i="5"/>
  <c r="AU137" i="5"/>
  <c r="AS137" i="5"/>
  <c r="AR137" i="5"/>
  <c r="AQ137" i="5"/>
  <c r="AP137" i="5"/>
  <c r="AN137" i="5"/>
  <c r="AM137" i="5"/>
  <c r="AL137" i="5"/>
  <c r="AK137" i="5"/>
  <c r="AI137" i="5"/>
  <c r="AH137" i="5"/>
  <c r="AG137" i="5"/>
  <c r="AF137" i="5"/>
  <c r="AD137" i="5"/>
  <c r="AC137" i="5"/>
  <c r="AB137" i="5"/>
  <c r="AA137" i="5"/>
  <c r="Y137" i="5"/>
  <c r="X137" i="5"/>
  <c r="W137" i="5"/>
  <c r="V137" i="5"/>
  <c r="T137" i="5"/>
  <c r="R137" i="5"/>
  <c r="O137" i="5"/>
  <c r="N137" i="5"/>
  <c r="M137" i="5"/>
  <c r="L137" i="5"/>
  <c r="J137" i="5"/>
  <c r="I137" i="5"/>
  <c r="H137" i="5"/>
  <c r="G137" i="5"/>
  <c r="BR136" i="5"/>
  <c r="BQ136" i="5"/>
  <c r="BP136" i="5"/>
  <c r="BO136" i="5"/>
  <c r="BN136" i="5"/>
  <c r="BI136" i="5"/>
  <c r="BD136" i="5"/>
  <c r="AY136" i="5"/>
  <c r="AT136" i="5"/>
  <c r="AO136" i="5"/>
  <c r="AJ136" i="5"/>
  <c r="AE136" i="5"/>
  <c r="Z136" i="5"/>
  <c r="U136" i="5"/>
  <c r="P136" i="5"/>
  <c r="K136" i="5"/>
  <c r="BR135" i="5"/>
  <c r="BQ135" i="5"/>
  <c r="BP135" i="5"/>
  <c r="BO135" i="5"/>
  <c r="BN135" i="5"/>
  <c r="BI135" i="5"/>
  <c r="BD135" i="5"/>
  <c r="AY135" i="5"/>
  <c r="AT135" i="5"/>
  <c r="AO135" i="5"/>
  <c r="AJ135" i="5"/>
  <c r="AE135" i="5"/>
  <c r="Z135" i="5"/>
  <c r="U135" i="5"/>
  <c r="P135" i="5"/>
  <c r="K135" i="5"/>
  <c r="BR134" i="5"/>
  <c r="BQ134" i="5"/>
  <c r="BP134" i="5"/>
  <c r="BO134" i="5"/>
  <c r="BN134" i="5"/>
  <c r="BI134" i="5"/>
  <c r="BD134" i="5"/>
  <c r="AY134" i="5"/>
  <c r="AT134" i="5"/>
  <c r="AO134" i="5"/>
  <c r="AJ134" i="5"/>
  <c r="AE134" i="5"/>
  <c r="Z134" i="5"/>
  <c r="U134" i="5"/>
  <c r="P134" i="5"/>
  <c r="K134" i="5"/>
  <c r="BR133" i="5"/>
  <c r="BQ133" i="5"/>
  <c r="BP133" i="5"/>
  <c r="BO133" i="5"/>
  <c r="BN133" i="5"/>
  <c r="BI133" i="5"/>
  <c r="BD133" i="5"/>
  <c r="AY133" i="5"/>
  <c r="AT133" i="5"/>
  <c r="AO133" i="5"/>
  <c r="AJ133" i="5"/>
  <c r="AE133" i="5"/>
  <c r="Z133" i="5"/>
  <c r="U133" i="5"/>
  <c r="P133" i="5"/>
  <c r="K133" i="5"/>
  <c r="BR132" i="5"/>
  <c r="BQ132" i="5"/>
  <c r="BP132" i="5"/>
  <c r="BO132" i="5"/>
  <c r="BN132" i="5"/>
  <c r="BI132" i="5"/>
  <c r="BD132" i="5"/>
  <c r="AY132" i="5"/>
  <c r="AT132" i="5"/>
  <c r="AO132" i="5"/>
  <c r="AJ132" i="5"/>
  <c r="AE132" i="5"/>
  <c r="Z132" i="5"/>
  <c r="U132" i="5"/>
  <c r="P132" i="5"/>
  <c r="K132" i="5"/>
  <c r="BR131" i="5"/>
  <c r="BQ131" i="5"/>
  <c r="BP131" i="5"/>
  <c r="BO131" i="5"/>
  <c r="BN131" i="5"/>
  <c r="BI131" i="5"/>
  <c r="BD131" i="5"/>
  <c r="AY131" i="5"/>
  <c r="AT131" i="5"/>
  <c r="AO131" i="5"/>
  <c r="AJ131" i="5"/>
  <c r="AE131" i="5"/>
  <c r="Z131" i="5"/>
  <c r="U131" i="5"/>
  <c r="P131" i="5"/>
  <c r="K131" i="5"/>
  <c r="BR130" i="5"/>
  <c r="BQ130" i="5"/>
  <c r="BP130" i="5"/>
  <c r="BO130" i="5"/>
  <c r="BN130" i="5"/>
  <c r="BI130" i="5"/>
  <c r="BD130" i="5"/>
  <c r="AY130" i="5"/>
  <c r="AT130" i="5"/>
  <c r="AO130" i="5"/>
  <c r="AJ130" i="5"/>
  <c r="AE130" i="5"/>
  <c r="Z130" i="5"/>
  <c r="U130" i="5"/>
  <c r="P130" i="5"/>
  <c r="K130" i="5"/>
  <c r="BR129" i="5"/>
  <c r="BQ129" i="5"/>
  <c r="BP129" i="5"/>
  <c r="BO129" i="5"/>
  <c r="BN129" i="5"/>
  <c r="BI129" i="5"/>
  <c r="BD129" i="5"/>
  <c r="AY129" i="5"/>
  <c r="AT129" i="5"/>
  <c r="AO129" i="5"/>
  <c r="AJ129" i="5"/>
  <c r="AE129" i="5"/>
  <c r="Z129" i="5"/>
  <c r="U129" i="5"/>
  <c r="P129" i="5"/>
  <c r="K129" i="5"/>
  <c r="BR128" i="5"/>
  <c r="BQ128" i="5"/>
  <c r="BP128" i="5"/>
  <c r="BO128" i="5"/>
  <c r="BN128" i="5"/>
  <c r="BI128" i="5"/>
  <c r="BD128" i="5"/>
  <c r="AY128" i="5"/>
  <c r="AT128" i="5"/>
  <c r="AO128" i="5"/>
  <c r="AJ128" i="5"/>
  <c r="AE128" i="5"/>
  <c r="Z128" i="5"/>
  <c r="U128" i="5"/>
  <c r="P128" i="5"/>
  <c r="K128" i="5"/>
  <c r="BR127" i="5"/>
  <c r="BP127" i="5"/>
  <c r="BN127" i="5"/>
  <c r="BI127" i="5"/>
  <c r="BD127" i="5"/>
  <c r="AY127" i="5"/>
  <c r="AT127" i="5"/>
  <c r="AO127" i="5"/>
  <c r="AJ127" i="5"/>
  <c r="AE127" i="5"/>
  <c r="Z127" i="5"/>
  <c r="S127" i="5"/>
  <c r="Q127" i="5"/>
  <c r="Q137" i="5" s="1"/>
  <c r="P127" i="5"/>
  <c r="K127" i="5"/>
  <c r="BM124" i="5"/>
  <c r="BL124" i="5"/>
  <c r="BK124" i="5"/>
  <c r="BJ124" i="5"/>
  <c r="BH124" i="5"/>
  <c r="BG124" i="5"/>
  <c r="BF124" i="5"/>
  <c r="BE124" i="5"/>
  <c r="BC124" i="5"/>
  <c r="BB124" i="5"/>
  <c r="BA124" i="5"/>
  <c r="AZ124" i="5"/>
  <c r="AX124" i="5"/>
  <c r="AW124" i="5"/>
  <c r="AV124" i="5"/>
  <c r="AU124" i="5"/>
  <c r="AS124" i="5"/>
  <c r="AR124" i="5"/>
  <c r="AQ124" i="5"/>
  <c r="AP124" i="5"/>
  <c r="AN124" i="5"/>
  <c r="AM124" i="5"/>
  <c r="AL124" i="5"/>
  <c r="AK124" i="5"/>
  <c r="AI124" i="5"/>
  <c r="AH124" i="5"/>
  <c r="AG124" i="5"/>
  <c r="AF124" i="5"/>
  <c r="AD124" i="5"/>
  <c r="AC124" i="5"/>
  <c r="AB124" i="5"/>
  <c r="AA124" i="5"/>
  <c r="Y124" i="5"/>
  <c r="X124" i="5"/>
  <c r="W124" i="5"/>
  <c r="V124" i="5"/>
  <c r="T124" i="5"/>
  <c r="S124" i="5"/>
  <c r="R124" i="5"/>
  <c r="Q124" i="5"/>
  <c r="O124" i="5"/>
  <c r="N124" i="5"/>
  <c r="M124" i="5"/>
  <c r="L124" i="5"/>
  <c r="J124" i="5"/>
  <c r="I124" i="5"/>
  <c r="H124" i="5"/>
  <c r="G124" i="5"/>
  <c r="BR123" i="5"/>
  <c r="BQ123" i="5"/>
  <c r="BP123" i="5"/>
  <c r="BO123" i="5"/>
  <c r="BN123" i="5"/>
  <c r="BI123" i="5"/>
  <c r="BD123" i="5"/>
  <c r="AY123" i="5"/>
  <c r="AT123" i="5"/>
  <c r="AO123" i="5"/>
  <c r="AJ123" i="5"/>
  <c r="AE123" i="5"/>
  <c r="Z123" i="5"/>
  <c r="U123" i="5"/>
  <c r="P123" i="5"/>
  <c r="K123" i="5"/>
  <c r="BR122" i="5"/>
  <c r="BQ122" i="5"/>
  <c r="BP122" i="5"/>
  <c r="BO122" i="5"/>
  <c r="BN122" i="5"/>
  <c r="BI122" i="5"/>
  <c r="BD122" i="5"/>
  <c r="AY122" i="5"/>
  <c r="AT122" i="5"/>
  <c r="AO122" i="5"/>
  <c r="AJ122" i="5"/>
  <c r="AE122" i="5"/>
  <c r="Z122" i="5"/>
  <c r="U122" i="5"/>
  <c r="P122" i="5"/>
  <c r="K122" i="5"/>
  <c r="BR121" i="5"/>
  <c r="BQ121" i="5"/>
  <c r="BP121" i="5"/>
  <c r="BO121" i="5"/>
  <c r="BN121" i="5"/>
  <c r="BI121" i="5"/>
  <c r="BD121" i="5"/>
  <c r="AY121" i="5"/>
  <c r="AT121" i="5"/>
  <c r="AO121" i="5"/>
  <c r="AJ121" i="5"/>
  <c r="AE121" i="5"/>
  <c r="Z121" i="5"/>
  <c r="U121" i="5"/>
  <c r="P121" i="5"/>
  <c r="K121" i="5"/>
  <c r="BR120" i="5"/>
  <c r="BQ120" i="5"/>
  <c r="BP120" i="5"/>
  <c r="BO120" i="5"/>
  <c r="BN120" i="5"/>
  <c r="BI120" i="5"/>
  <c r="BD120" i="5"/>
  <c r="AY120" i="5"/>
  <c r="AT120" i="5"/>
  <c r="AO120" i="5"/>
  <c r="AJ120" i="5"/>
  <c r="AE120" i="5"/>
  <c r="Z120" i="5"/>
  <c r="U120" i="5"/>
  <c r="P120" i="5"/>
  <c r="K120" i="5"/>
  <c r="BR119" i="5"/>
  <c r="BQ119" i="5"/>
  <c r="BP119" i="5"/>
  <c r="BO119" i="5"/>
  <c r="BN119" i="5"/>
  <c r="BI119" i="5"/>
  <c r="BD119" i="5"/>
  <c r="AY119" i="5"/>
  <c r="AT119" i="5"/>
  <c r="AO119" i="5"/>
  <c r="AJ119" i="5"/>
  <c r="AE119" i="5"/>
  <c r="Z119" i="5"/>
  <c r="U119" i="5"/>
  <c r="P119" i="5"/>
  <c r="K119" i="5"/>
  <c r="BR118" i="5"/>
  <c r="BQ118" i="5"/>
  <c r="BP118" i="5"/>
  <c r="BO118" i="5"/>
  <c r="BN118" i="5"/>
  <c r="BI118" i="5"/>
  <c r="BD118" i="5"/>
  <c r="AY118" i="5"/>
  <c r="AT118" i="5"/>
  <c r="AO118" i="5"/>
  <c r="AJ118" i="5"/>
  <c r="AE118" i="5"/>
  <c r="Z118" i="5"/>
  <c r="U118" i="5"/>
  <c r="P118" i="5"/>
  <c r="K118" i="5"/>
  <c r="BR117" i="5"/>
  <c r="BQ117" i="5"/>
  <c r="BP117" i="5"/>
  <c r="BO117" i="5"/>
  <c r="BN117" i="5"/>
  <c r="BI117" i="5"/>
  <c r="BD117" i="5"/>
  <c r="AY117" i="5"/>
  <c r="AT117" i="5"/>
  <c r="AO117" i="5"/>
  <c r="AJ117" i="5"/>
  <c r="AE117" i="5"/>
  <c r="Z117" i="5"/>
  <c r="U117" i="5"/>
  <c r="P117" i="5"/>
  <c r="K117" i="5"/>
  <c r="BR116" i="5"/>
  <c r="BQ116" i="5"/>
  <c r="BP116" i="5"/>
  <c r="BO116" i="5"/>
  <c r="BN116" i="5"/>
  <c r="BI116" i="5"/>
  <c r="BD116" i="5"/>
  <c r="AY116" i="5"/>
  <c r="AT116" i="5"/>
  <c r="AO116" i="5"/>
  <c r="AJ116" i="5"/>
  <c r="AE116" i="5"/>
  <c r="Z116" i="5"/>
  <c r="U116" i="5"/>
  <c r="P116" i="5"/>
  <c r="K116" i="5"/>
  <c r="BR115" i="5"/>
  <c r="BQ115" i="5"/>
  <c r="BP115" i="5"/>
  <c r="BO115" i="5"/>
  <c r="BN115" i="5"/>
  <c r="BI115" i="5"/>
  <c r="BD115" i="5"/>
  <c r="AY115" i="5"/>
  <c r="AT115" i="5"/>
  <c r="AO115" i="5"/>
  <c r="AJ115" i="5"/>
  <c r="AE115" i="5"/>
  <c r="Z115" i="5"/>
  <c r="U115" i="5"/>
  <c r="P115" i="5"/>
  <c r="K115" i="5"/>
  <c r="BR114" i="5"/>
  <c r="BQ114" i="5"/>
  <c r="BP114" i="5"/>
  <c r="BO114" i="5"/>
  <c r="BN114" i="5"/>
  <c r="BI114" i="5"/>
  <c r="BD114" i="5"/>
  <c r="AY114" i="5"/>
  <c r="AT114" i="5"/>
  <c r="AO114" i="5"/>
  <c r="AJ114" i="5"/>
  <c r="AE114" i="5"/>
  <c r="Z114" i="5"/>
  <c r="U114" i="5"/>
  <c r="P114" i="5"/>
  <c r="K114" i="5"/>
  <c r="BR113" i="5"/>
  <c r="BQ113" i="5"/>
  <c r="BP113" i="5"/>
  <c r="BO113" i="5"/>
  <c r="BN113" i="5"/>
  <c r="BI113" i="5"/>
  <c r="BD113" i="5"/>
  <c r="AY113" i="5"/>
  <c r="AT113" i="5"/>
  <c r="AO113" i="5"/>
  <c r="AJ113" i="5"/>
  <c r="AE113" i="5"/>
  <c r="Z113" i="5"/>
  <c r="U113" i="5"/>
  <c r="P113" i="5"/>
  <c r="K113" i="5"/>
  <c r="BR112" i="5"/>
  <c r="BQ112" i="5"/>
  <c r="BP112" i="5"/>
  <c r="BO112" i="5"/>
  <c r="BN112" i="5"/>
  <c r="BI112" i="5"/>
  <c r="BD112" i="5"/>
  <c r="AY112" i="5"/>
  <c r="AT112" i="5"/>
  <c r="AO112" i="5"/>
  <c r="AJ112" i="5"/>
  <c r="AE112" i="5"/>
  <c r="Z112" i="5"/>
  <c r="U112" i="5"/>
  <c r="P112" i="5"/>
  <c r="K112" i="5"/>
  <c r="BR111" i="5"/>
  <c r="BQ111" i="5"/>
  <c r="BP111" i="5"/>
  <c r="BO111" i="5"/>
  <c r="BN111" i="5"/>
  <c r="BI111" i="5"/>
  <c r="BD111" i="5"/>
  <c r="AY111" i="5"/>
  <c r="AT111" i="5"/>
  <c r="AO111" i="5"/>
  <c r="AJ111" i="5"/>
  <c r="AE111" i="5"/>
  <c r="Z111" i="5"/>
  <c r="U111" i="5"/>
  <c r="P111" i="5"/>
  <c r="K111" i="5"/>
  <c r="BR110" i="5"/>
  <c r="BQ110" i="5"/>
  <c r="BP110" i="5"/>
  <c r="BO110" i="5"/>
  <c r="BN110" i="5"/>
  <c r="BI110" i="5"/>
  <c r="BD110" i="5"/>
  <c r="AY110" i="5"/>
  <c r="AT110" i="5"/>
  <c r="AO110" i="5"/>
  <c r="AJ110" i="5"/>
  <c r="AE110" i="5"/>
  <c r="Z110" i="5"/>
  <c r="U110" i="5"/>
  <c r="P110" i="5"/>
  <c r="K110" i="5"/>
  <c r="BR109" i="5"/>
  <c r="BQ109" i="5"/>
  <c r="BP109" i="5"/>
  <c r="BO109" i="5"/>
  <c r="BN109" i="5"/>
  <c r="BI109" i="5"/>
  <c r="BD109" i="5"/>
  <c r="AY109" i="5"/>
  <c r="AT109" i="5"/>
  <c r="AO109" i="5"/>
  <c r="AJ109" i="5"/>
  <c r="AE109" i="5"/>
  <c r="Z109" i="5"/>
  <c r="U109" i="5"/>
  <c r="P109" i="5"/>
  <c r="K109" i="5"/>
  <c r="BR108" i="5"/>
  <c r="BQ108" i="5"/>
  <c r="BP108" i="5"/>
  <c r="BO108" i="5"/>
  <c r="BN108" i="5"/>
  <c r="BI108" i="5"/>
  <c r="BD108" i="5"/>
  <c r="AY108" i="5"/>
  <c r="AT108" i="5"/>
  <c r="AO108" i="5"/>
  <c r="AJ108" i="5"/>
  <c r="AE108" i="5"/>
  <c r="Z108" i="5"/>
  <c r="U108" i="5"/>
  <c r="P108" i="5"/>
  <c r="K108" i="5"/>
  <c r="BR107" i="5"/>
  <c r="BQ107" i="5"/>
  <c r="BP107" i="5"/>
  <c r="BO107" i="5"/>
  <c r="BN107" i="5"/>
  <c r="BI107" i="5"/>
  <c r="BD107" i="5"/>
  <c r="AY107" i="5"/>
  <c r="AT107" i="5"/>
  <c r="AO107" i="5"/>
  <c r="AJ107" i="5"/>
  <c r="AE107" i="5"/>
  <c r="Z107" i="5"/>
  <c r="U107" i="5"/>
  <c r="P107" i="5"/>
  <c r="K107" i="5"/>
  <c r="BR106" i="5"/>
  <c r="BQ106" i="5"/>
  <c r="BP106" i="5"/>
  <c r="BO106" i="5"/>
  <c r="BN106" i="5"/>
  <c r="BI106" i="5"/>
  <c r="BD106" i="5"/>
  <c r="AY106" i="5"/>
  <c r="AT106" i="5"/>
  <c r="AO106" i="5"/>
  <c r="AJ106" i="5"/>
  <c r="AE106" i="5"/>
  <c r="Z106" i="5"/>
  <c r="U106" i="5"/>
  <c r="P106" i="5"/>
  <c r="K106" i="5"/>
  <c r="BM105" i="5"/>
  <c r="BL105" i="5"/>
  <c r="BK105" i="5"/>
  <c r="BJ105" i="5"/>
  <c r="BH105" i="5"/>
  <c r="BG105" i="5"/>
  <c r="BF105" i="5"/>
  <c r="BE105" i="5"/>
  <c r="BC105" i="5"/>
  <c r="BB105" i="5"/>
  <c r="BA105" i="5"/>
  <c r="AZ105" i="5"/>
  <c r="AX105" i="5"/>
  <c r="AW105" i="5"/>
  <c r="AV105" i="5"/>
  <c r="AU105" i="5"/>
  <c r="AS105" i="5"/>
  <c r="AR105" i="5"/>
  <c r="AQ105" i="5"/>
  <c r="AP105" i="5"/>
  <c r="AN105" i="5"/>
  <c r="AM105" i="5"/>
  <c r="AL105" i="5"/>
  <c r="AK105" i="5"/>
  <c r="AI105" i="5"/>
  <c r="AH105" i="5"/>
  <c r="AG105" i="5"/>
  <c r="AF105" i="5"/>
  <c r="AD105" i="5"/>
  <c r="AC105" i="5"/>
  <c r="AB105" i="5"/>
  <c r="AA105" i="5"/>
  <c r="Y105" i="5"/>
  <c r="X105" i="5"/>
  <c r="W105" i="5"/>
  <c r="V105" i="5"/>
  <c r="T105" i="5"/>
  <c r="S105" i="5"/>
  <c r="R105" i="5"/>
  <c r="Q105" i="5"/>
  <c r="O105" i="5"/>
  <c r="N105" i="5"/>
  <c r="M105" i="5"/>
  <c r="L105" i="5"/>
  <c r="J105" i="5"/>
  <c r="I105" i="5"/>
  <c r="H105" i="5"/>
  <c r="G105" i="5"/>
  <c r="BR104" i="5"/>
  <c r="BQ104" i="5"/>
  <c r="BP104" i="5"/>
  <c r="BO104" i="5"/>
  <c r="BN104" i="5"/>
  <c r="BI104" i="5"/>
  <c r="BD104" i="5"/>
  <c r="AY104" i="5"/>
  <c r="AT104" i="5"/>
  <c r="AO104" i="5"/>
  <c r="AJ104" i="5"/>
  <c r="AE104" i="5"/>
  <c r="Z104" i="5"/>
  <c r="U104" i="5"/>
  <c r="P104" i="5"/>
  <c r="K104" i="5"/>
  <c r="BR103" i="5"/>
  <c r="BQ103" i="5"/>
  <c r="BP103" i="5"/>
  <c r="BO103" i="5"/>
  <c r="BN103" i="5"/>
  <c r="BI103" i="5"/>
  <c r="BD103" i="5"/>
  <c r="AY103" i="5"/>
  <c r="AT103" i="5"/>
  <c r="AO103" i="5"/>
  <c r="AJ103" i="5"/>
  <c r="AE103" i="5"/>
  <c r="Z103" i="5"/>
  <c r="U103" i="5"/>
  <c r="P103" i="5"/>
  <c r="K103" i="5"/>
  <c r="BR102" i="5"/>
  <c r="BQ102" i="5"/>
  <c r="BP102" i="5"/>
  <c r="BO102" i="5"/>
  <c r="BN102" i="5"/>
  <c r="BI102" i="5"/>
  <c r="BD102" i="5"/>
  <c r="AY102" i="5"/>
  <c r="AT102" i="5"/>
  <c r="AO102" i="5"/>
  <c r="AJ102" i="5"/>
  <c r="AE102" i="5"/>
  <c r="Z102" i="5"/>
  <c r="U102" i="5"/>
  <c r="P102" i="5"/>
  <c r="K102" i="5"/>
  <c r="BR101" i="5"/>
  <c r="BQ101" i="5"/>
  <c r="BP101" i="5"/>
  <c r="BO101" i="5"/>
  <c r="BN101" i="5"/>
  <c r="BI101" i="5"/>
  <c r="BD101" i="5"/>
  <c r="AY101" i="5"/>
  <c r="AT101" i="5"/>
  <c r="AO101" i="5"/>
  <c r="AJ101" i="5"/>
  <c r="AE101" i="5"/>
  <c r="Z101" i="5"/>
  <c r="U101" i="5"/>
  <c r="P101" i="5"/>
  <c r="K101" i="5"/>
  <c r="BM100" i="5"/>
  <c r="BL100" i="5"/>
  <c r="BK100" i="5"/>
  <c r="BJ100" i="5"/>
  <c r="BH100" i="5"/>
  <c r="BG100" i="5"/>
  <c r="BF100" i="5"/>
  <c r="BE100" i="5"/>
  <c r="BC100" i="5"/>
  <c r="BB100" i="5"/>
  <c r="BA100" i="5"/>
  <c r="AZ100" i="5"/>
  <c r="AX100" i="5"/>
  <c r="AW100" i="5"/>
  <c r="AV100" i="5"/>
  <c r="AU100" i="5"/>
  <c r="AS100" i="5"/>
  <c r="AR100" i="5"/>
  <c r="AQ100" i="5"/>
  <c r="AP100" i="5"/>
  <c r="AN100" i="5"/>
  <c r="AM100" i="5"/>
  <c r="AL100" i="5"/>
  <c r="AK100" i="5"/>
  <c r="AI100" i="5"/>
  <c r="AH100" i="5"/>
  <c r="AG100" i="5"/>
  <c r="AF100" i="5"/>
  <c r="AD100" i="5"/>
  <c r="AC100" i="5"/>
  <c r="AB100" i="5"/>
  <c r="AA100" i="5"/>
  <c r="Y100" i="5"/>
  <c r="X100" i="5"/>
  <c r="W100" i="5"/>
  <c r="V100" i="5"/>
  <c r="T100" i="5"/>
  <c r="S100" i="5"/>
  <c r="R100" i="5"/>
  <c r="Q100" i="5"/>
  <c r="O100" i="5"/>
  <c r="N100" i="5"/>
  <c r="M100" i="5"/>
  <c r="L100" i="5"/>
  <c r="J100" i="5"/>
  <c r="I100" i="5"/>
  <c r="H100" i="5"/>
  <c r="G100" i="5"/>
  <c r="BR99" i="5"/>
  <c r="BQ99" i="5"/>
  <c r="BP99" i="5"/>
  <c r="BO99" i="5"/>
  <c r="BN99" i="5"/>
  <c r="BI99" i="5"/>
  <c r="BD99" i="5"/>
  <c r="AY99" i="5"/>
  <c r="AT99" i="5"/>
  <c r="AO99" i="5"/>
  <c r="AJ99" i="5"/>
  <c r="AE99" i="5"/>
  <c r="Z99" i="5"/>
  <c r="U99" i="5"/>
  <c r="P99" i="5"/>
  <c r="K99" i="5"/>
  <c r="BR98" i="5"/>
  <c r="BQ98" i="5"/>
  <c r="BP98" i="5"/>
  <c r="BO98" i="5"/>
  <c r="BN98" i="5"/>
  <c r="BI98" i="5"/>
  <c r="BD98" i="5"/>
  <c r="AY98" i="5"/>
  <c r="AT98" i="5"/>
  <c r="AO98" i="5"/>
  <c r="AJ98" i="5"/>
  <c r="AE98" i="5"/>
  <c r="Z98" i="5"/>
  <c r="U98" i="5"/>
  <c r="P98" i="5"/>
  <c r="K98" i="5"/>
  <c r="BR97" i="5"/>
  <c r="BQ97" i="5"/>
  <c r="BP97" i="5"/>
  <c r="BO97" i="5"/>
  <c r="BN97" i="5"/>
  <c r="BI97" i="5"/>
  <c r="BD97" i="5"/>
  <c r="AY97" i="5"/>
  <c r="AT97" i="5"/>
  <c r="AO97" i="5"/>
  <c r="AJ97" i="5"/>
  <c r="AE97" i="5"/>
  <c r="Z97" i="5"/>
  <c r="U97" i="5"/>
  <c r="P97" i="5"/>
  <c r="K97" i="5"/>
  <c r="BR96" i="5"/>
  <c r="BQ96" i="5"/>
  <c r="BP96" i="5"/>
  <c r="BO96" i="5"/>
  <c r="BN96" i="5"/>
  <c r="BI96" i="5"/>
  <c r="BD96" i="5"/>
  <c r="AY96" i="5"/>
  <c r="AT96" i="5"/>
  <c r="AO96" i="5"/>
  <c r="AJ96" i="5"/>
  <c r="AE96" i="5"/>
  <c r="Z96" i="5"/>
  <c r="U96" i="5"/>
  <c r="P96" i="5"/>
  <c r="K96" i="5"/>
  <c r="BM95" i="5"/>
  <c r="BL95" i="5"/>
  <c r="BK95" i="5"/>
  <c r="BJ95" i="5"/>
  <c r="BH95" i="5"/>
  <c r="BG95" i="5"/>
  <c r="BF95" i="5"/>
  <c r="BE95" i="5"/>
  <c r="BC95" i="5"/>
  <c r="BB95" i="5"/>
  <c r="BA95" i="5"/>
  <c r="AZ95" i="5"/>
  <c r="AX95" i="5"/>
  <c r="AW95" i="5"/>
  <c r="AV95" i="5"/>
  <c r="AU95" i="5"/>
  <c r="AS95" i="5"/>
  <c r="AR95" i="5"/>
  <c r="AQ95" i="5"/>
  <c r="AP95" i="5"/>
  <c r="AN95" i="5"/>
  <c r="AM95" i="5"/>
  <c r="AL95" i="5"/>
  <c r="AK95" i="5"/>
  <c r="AI95" i="5"/>
  <c r="AH95" i="5"/>
  <c r="AG95" i="5"/>
  <c r="AF95" i="5"/>
  <c r="AD95" i="5"/>
  <c r="AC95" i="5"/>
  <c r="AB95" i="5"/>
  <c r="AA95" i="5"/>
  <c r="Y95" i="5"/>
  <c r="X95" i="5"/>
  <c r="W95" i="5"/>
  <c r="V95" i="5"/>
  <c r="T95" i="5"/>
  <c r="S95" i="5"/>
  <c r="R95" i="5"/>
  <c r="O95" i="5"/>
  <c r="N95" i="5"/>
  <c r="M95" i="5"/>
  <c r="L95" i="5"/>
  <c r="J95" i="5"/>
  <c r="I95" i="5"/>
  <c r="H95" i="5"/>
  <c r="G95" i="5"/>
  <c r="BR94" i="5"/>
  <c r="BQ94" i="5"/>
  <c r="BP94" i="5"/>
  <c r="BN94" i="5"/>
  <c r="BI94" i="5"/>
  <c r="BD94" i="5"/>
  <c r="AY94" i="5"/>
  <c r="AT94" i="5"/>
  <c r="AO94" i="5"/>
  <c r="AJ94" i="5"/>
  <c r="AE94" i="5"/>
  <c r="Z94" i="5"/>
  <c r="Q94" i="5"/>
  <c r="P94" i="5"/>
  <c r="K94" i="5"/>
  <c r="BR93" i="5"/>
  <c r="BQ93" i="5"/>
  <c r="BP93" i="5"/>
  <c r="BN93" i="5"/>
  <c r="BI93" i="5"/>
  <c r="BD93" i="5"/>
  <c r="AY93" i="5"/>
  <c r="AT93" i="5"/>
  <c r="AO93" i="5"/>
  <c r="AJ93" i="5"/>
  <c r="AE93" i="5"/>
  <c r="Z93" i="5"/>
  <c r="Q93" i="5"/>
  <c r="P93" i="5"/>
  <c r="K93" i="5"/>
  <c r="BR92" i="5"/>
  <c r="BQ92" i="5"/>
  <c r="BP92" i="5"/>
  <c r="BO92" i="5"/>
  <c r="BN92" i="5"/>
  <c r="BI92" i="5"/>
  <c r="BD92" i="5"/>
  <c r="AY92" i="5"/>
  <c r="AT92" i="5"/>
  <c r="AO92" i="5"/>
  <c r="AJ92" i="5"/>
  <c r="AE92" i="5"/>
  <c r="Z92" i="5"/>
  <c r="U92" i="5"/>
  <c r="P92" i="5"/>
  <c r="K92" i="5"/>
  <c r="BR91" i="5"/>
  <c r="BQ91" i="5"/>
  <c r="BP91" i="5"/>
  <c r="BO91" i="5"/>
  <c r="BN91" i="5"/>
  <c r="BI91" i="5"/>
  <c r="BD91" i="5"/>
  <c r="AY91" i="5"/>
  <c r="AT91" i="5"/>
  <c r="AO91" i="5"/>
  <c r="AJ91" i="5"/>
  <c r="AE91" i="5"/>
  <c r="Z91" i="5"/>
  <c r="U91" i="5"/>
  <c r="P91" i="5"/>
  <c r="K91" i="5"/>
  <c r="BR90" i="5"/>
  <c r="BQ90" i="5"/>
  <c r="BP90" i="5"/>
  <c r="BO90" i="5"/>
  <c r="BN90" i="5"/>
  <c r="BI90" i="5"/>
  <c r="BD90" i="5"/>
  <c r="AY90" i="5"/>
  <c r="AT90" i="5"/>
  <c r="AO90" i="5"/>
  <c r="AJ90" i="5"/>
  <c r="AE90" i="5"/>
  <c r="Z90" i="5"/>
  <c r="U90" i="5"/>
  <c r="P90" i="5"/>
  <c r="K90" i="5"/>
  <c r="BR89" i="5"/>
  <c r="BQ89" i="5"/>
  <c r="BP89" i="5"/>
  <c r="BO89" i="5"/>
  <c r="BN89" i="5"/>
  <c r="BI89" i="5"/>
  <c r="BD89" i="5"/>
  <c r="AY89" i="5"/>
  <c r="AT89" i="5"/>
  <c r="AO89" i="5"/>
  <c r="AJ89" i="5"/>
  <c r="AE89" i="5"/>
  <c r="Z89" i="5"/>
  <c r="U89" i="5"/>
  <c r="P89" i="5"/>
  <c r="K89" i="5"/>
  <c r="BM88" i="5"/>
  <c r="BL88" i="5"/>
  <c r="BK88" i="5"/>
  <c r="BJ88" i="5"/>
  <c r="BH88" i="5"/>
  <c r="BG88" i="5"/>
  <c r="BF88" i="5"/>
  <c r="BE88" i="5"/>
  <c r="BC88" i="5"/>
  <c r="BB88" i="5"/>
  <c r="BA88" i="5"/>
  <c r="AZ88" i="5"/>
  <c r="AX88" i="5"/>
  <c r="AW88" i="5"/>
  <c r="AV88" i="5"/>
  <c r="AU88" i="5"/>
  <c r="AS88" i="5"/>
  <c r="AR88" i="5"/>
  <c r="AQ88" i="5"/>
  <c r="AP88" i="5"/>
  <c r="AN88" i="5"/>
  <c r="AM88" i="5"/>
  <c r="AL88" i="5"/>
  <c r="AK88" i="5"/>
  <c r="AI88" i="5"/>
  <c r="AH88" i="5"/>
  <c r="AG88" i="5"/>
  <c r="AF88" i="5"/>
  <c r="AD88" i="5"/>
  <c r="AC88" i="5"/>
  <c r="AB88" i="5"/>
  <c r="AA88" i="5"/>
  <c r="Y88" i="5"/>
  <c r="X88" i="5"/>
  <c r="W88" i="5"/>
  <c r="V88" i="5"/>
  <c r="T88" i="5"/>
  <c r="S88" i="5"/>
  <c r="R88" i="5"/>
  <c r="O88" i="5"/>
  <c r="N88" i="5"/>
  <c r="M88" i="5"/>
  <c r="L88" i="5"/>
  <c r="J88" i="5"/>
  <c r="I88" i="5"/>
  <c r="H88" i="5"/>
  <c r="G88" i="5"/>
  <c r="BR87" i="5"/>
  <c r="BQ87" i="5"/>
  <c r="BP87" i="5"/>
  <c r="BN87" i="5"/>
  <c r="BI87" i="5"/>
  <c r="BD87" i="5"/>
  <c r="AY87" i="5"/>
  <c r="AT87" i="5"/>
  <c r="AO87" i="5"/>
  <c r="AJ87" i="5"/>
  <c r="AE87" i="5"/>
  <c r="Z87" i="5"/>
  <c r="Q87" i="5"/>
  <c r="U87" i="5" s="1"/>
  <c r="P87" i="5"/>
  <c r="K87" i="5"/>
  <c r="BR86" i="5"/>
  <c r="BQ86" i="5"/>
  <c r="BP86" i="5"/>
  <c r="BN86" i="5"/>
  <c r="BI86" i="5"/>
  <c r="BD86" i="5"/>
  <c r="AY86" i="5"/>
  <c r="AT86" i="5"/>
  <c r="AO86" i="5"/>
  <c r="AJ86" i="5"/>
  <c r="AE86" i="5"/>
  <c r="Z86" i="5"/>
  <c r="Q86" i="5"/>
  <c r="BO86" i="5" s="1"/>
  <c r="P86" i="5"/>
  <c r="K86" i="5"/>
  <c r="BR85" i="5"/>
  <c r="BQ85" i="5"/>
  <c r="BP85" i="5"/>
  <c r="BO85" i="5"/>
  <c r="BN85" i="5"/>
  <c r="BI85" i="5"/>
  <c r="BD85" i="5"/>
  <c r="AY85" i="5"/>
  <c r="AT85" i="5"/>
  <c r="AO85" i="5"/>
  <c r="AJ85" i="5"/>
  <c r="AE85" i="5"/>
  <c r="Z85" i="5"/>
  <c r="U85" i="5"/>
  <c r="P85" i="5"/>
  <c r="K85" i="5"/>
  <c r="BR84" i="5"/>
  <c r="BQ84" i="5"/>
  <c r="BP84" i="5"/>
  <c r="BO84" i="5"/>
  <c r="BN84" i="5"/>
  <c r="BI84" i="5"/>
  <c r="BD84" i="5"/>
  <c r="AY84" i="5"/>
  <c r="AT84" i="5"/>
  <c r="AO84" i="5"/>
  <c r="AJ84" i="5"/>
  <c r="AE84" i="5"/>
  <c r="Z84" i="5"/>
  <c r="U84" i="5"/>
  <c r="P84" i="5"/>
  <c r="K84" i="5"/>
  <c r="BR83" i="5"/>
  <c r="BQ83" i="5"/>
  <c r="BP83" i="5"/>
  <c r="BO83" i="5"/>
  <c r="BN83" i="5"/>
  <c r="BI83" i="5"/>
  <c r="BD83" i="5"/>
  <c r="AY83" i="5"/>
  <c r="AT83" i="5"/>
  <c r="AO83" i="5"/>
  <c r="AJ83" i="5"/>
  <c r="AE83" i="5"/>
  <c r="Z83" i="5"/>
  <c r="U83" i="5"/>
  <c r="P83" i="5"/>
  <c r="K83" i="5"/>
  <c r="BR82" i="5"/>
  <c r="BQ82" i="5"/>
  <c r="BP82" i="5"/>
  <c r="BO82" i="5"/>
  <c r="BN82" i="5"/>
  <c r="BI82" i="5"/>
  <c r="BD82" i="5"/>
  <c r="AY82" i="5"/>
  <c r="AT82" i="5"/>
  <c r="AO82" i="5"/>
  <c r="AJ82" i="5"/>
  <c r="AE82" i="5"/>
  <c r="Z82" i="5"/>
  <c r="U82" i="5"/>
  <c r="P82" i="5"/>
  <c r="K82" i="5"/>
  <c r="BM81" i="5"/>
  <c r="BL81" i="5"/>
  <c r="BK81" i="5"/>
  <c r="BJ81" i="5"/>
  <c r="BH81" i="5"/>
  <c r="BG81" i="5"/>
  <c r="BF81" i="5"/>
  <c r="BE81" i="5"/>
  <c r="BC81" i="5"/>
  <c r="BB81" i="5"/>
  <c r="BA81" i="5"/>
  <c r="AZ81" i="5"/>
  <c r="AX81" i="5"/>
  <c r="AW81" i="5"/>
  <c r="AV81" i="5"/>
  <c r="AU81" i="5"/>
  <c r="AS81" i="5"/>
  <c r="AR81" i="5"/>
  <c r="AQ81" i="5"/>
  <c r="AP81" i="5"/>
  <c r="AN81" i="5"/>
  <c r="AM81" i="5"/>
  <c r="AL81" i="5"/>
  <c r="AK81" i="5"/>
  <c r="AI81" i="5"/>
  <c r="AH81" i="5"/>
  <c r="AG81" i="5"/>
  <c r="AF81" i="5"/>
  <c r="AD81" i="5"/>
  <c r="AC81" i="5"/>
  <c r="AB81" i="5"/>
  <c r="AA81" i="5"/>
  <c r="Y81" i="5"/>
  <c r="X81" i="5"/>
  <c r="W81" i="5"/>
  <c r="V81" i="5"/>
  <c r="T81" i="5"/>
  <c r="S81" i="5"/>
  <c r="R81" i="5"/>
  <c r="O81" i="5"/>
  <c r="N81" i="5"/>
  <c r="M81" i="5"/>
  <c r="L81" i="5"/>
  <c r="J81" i="5"/>
  <c r="I81" i="5"/>
  <c r="H81" i="5"/>
  <c r="G81" i="5"/>
  <c r="BR80" i="5"/>
  <c r="BQ80" i="5"/>
  <c r="BP80" i="5"/>
  <c r="BO80" i="5"/>
  <c r="BN80" i="5"/>
  <c r="BI80" i="5"/>
  <c r="BD80" i="5"/>
  <c r="AY80" i="5"/>
  <c r="AT80" i="5"/>
  <c r="AO80" i="5"/>
  <c r="AJ80" i="5"/>
  <c r="AE80" i="5"/>
  <c r="Z80" i="5"/>
  <c r="U80" i="5"/>
  <c r="P80" i="5"/>
  <c r="K80" i="5"/>
  <c r="BR79" i="5"/>
  <c r="BQ79" i="5"/>
  <c r="BP79" i="5"/>
  <c r="BO79" i="5"/>
  <c r="BN79" i="5"/>
  <c r="BI79" i="5"/>
  <c r="BD79" i="5"/>
  <c r="AY79" i="5"/>
  <c r="AT79" i="5"/>
  <c r="AO79" i="5"/>
  <c r="AJ79" i="5"/>
  <c r="AE79" i="5"/>
  <c r="Z79" i="5"/>
  <c r="U79" i="5"/>
  <c r="P79" i="5"/>
  <c r="K79" i="5"/>
  <c r="BR78" i="5"/>
  <c r="BQ78" i="5"/>
  <c r="BP78" i="5"/>
  <c r="BO78" i="5"/>
  <c r="BN78" i="5"/>
  <c r="BI78" i="5"/>
  <c r="BD78" i="5"/>
  <c r="AY78" i="5"/>
  <c r="AT78" i="5"/>
  <c r="AO78" i="5"/>
  <c r="AJ78" i="5"/>
  <c r="AE78" i="5"/>
  <c r="Z78" i="5"/>
  <c r="U78" i="5"/>
  <c r="P78" i="5"/>
  <c r="K78" i="5"/>
  <c r="BR77" i="5"/>
  <c r="BQ77" i="5"/>
  <c r="BP77" i="5"/>
  <c r="BO77" i="5"/>
  <c r="BN77" i="5"/>
  <c r="BI77" i="5"/>
  <c r="BD77" i="5"/>
  <c r="AY77" i="5"/>
  <c r="AT77" i="5"/>
  <c r="AO77" i="5"/>
  <c r="AJ77" i="5"/>
  <c r="AE77" i="5"/>
  <c r="Z77" i="5"/>
  <c r="U77" i="5"/>
  <c r="P77" i="5"/>
  <c r="K77" i="5"/>
  <c r="BR76" i="5"/>
  <c r="BQ76" i="5"/>
  <c r="BP76" i="5"/>
  <c r="BO76" i="5"/>
  <c r="BN76" i="5"/>
  <c r="BI76" i="5"/>
  <c r="BD76" i="5"/>
  <c r="AY76" i="5"/>
  <c r="AT76" i="5"/>
  <c r="AO76" i="5"/>
  <c r="AJ76" i="5"/>
  <c r="AE76" i="5"/>
  <c r="Z76" i="5"/>
  <c r="U76" i="5"/>
  <c r="P76" i="5"/>
  <c r="K76" i="5"/>
  <c r="BR75" i="5"/>
  <c r="BQ75" i="5"/>
  <c r="BP75" i="5"/>
  <c r="BN75" i="5"/>
  <c r="BI75" i="5"/>
  <c r="BD75" i="5"/>
  <c r="AY75" i="5"/>
  <c r="AT75" i="5"/>
  <c r="AO75" i="5"/>
  <c r="AJ75" i="5"/>
  <c r="AE75" i="5"/>
  <c r="Z75" i="5"/>
  <c r="Q75" i="5"/>
  <c r="P75" i="5"/>
  <c r="K75" i="5"/>
  <c r="BM74" i="5"/>
  <c r="BL74" i="5"/>
  <c r="BK74" i="5"/>
  <c r="BJ74" i="5"/>
  <c r="BH74" i="5"/>
  <c r="BG74" i="5"/>
  <c r="BF74" i="5"/>
  <c r="BE74" i="5"/>
  <c r="BC74" i="5"/>
  <c r="BB74" i="5"/>
  <c r="BA74" i="5"/>
  <c r="AZ74" i="5"/>
  <c r="AX74" i="5"/>
  <c r="AW74" i="5"/>
  <c r="AV74" i="5"/>
  <c r="AU74" i="5"/>
  <c r="AS74" i="5"/>
  <c r="AR74" i="5"/>
  <c r="AQ74" i="5"/>
  <c r="AP74" i="5"/>
  <c r="AN74" i="5"/>
  <c r="AM74" i="5"/>
  <c r="AL74" i="5"/>
  <c r="AK74" i="5"/>
  <c r="AI74" i="5"/>
  <c r="AH74" i="5"/>
  <c r="AG74" i="5"/>
  <c r="AF74" i="5"/>
  <c r="AD74" i="5"/>
  <c r="AC74" i="5"/>
  <c r="AB74" i="5"/>
  <c r="AA74" i="5"/>
  <c r="Y74" i="5"/>
  <c r="X74" i="5"/>
  <c r="W74" i="5"/>
  <c r="V74" i="5"/>
  <c r="T74" i="5"/>
  <c r="S74" i="5"/>
  <c r="R74" i="5"/>
  <c r="O74" i="5"/>
  <c r="N74" i="5"/>
  <c r="M74" i="5"/>
  <c r="L74" i="5"/>
  <c r="J74" i="5"/>
  <c r="I74" i="5"/>
  <c r="H74" i="5"/>
  <c r="G74" i="5"/>
  <c r="BR73" i="5"/>
  <c r="BQ73" i="5"/>
  <c r="BP73" i="5"/>
  <c r="BO73" i="5"/>
  <c r="BN73" i="5"/>
  <c r="BI73" i="5"/>
  <c r="BD73" i="5"/>
  <c r="AY73" i="5"/>
  <c r="AT73" i="5"/>
  <c r="AO73" i="5"/>
  <c r="AJ73" i="5"/>
  <c r="AE73" i="5"/>
  <c r="Z73" i="5"/>
  <c r="U73" i="5"/>
  <c r="P73" i="5"/>
  <c r="K73" i="5"/>
  <c r="BR72" i="5"/>
  <c r="BQ72" i="5"/>
  <c r="BP72" i="5"/>
  <c r="BO72" i="5"/>
  <c r="BN72" i="5"/>
  <c r="BI72" i="5"/>
  <c r="BD72" i="5"/>
  <c r="AY72" i="5"/>
  <c r="AT72" i="5"/>
  <c r="AO72" i="5"/>
  <c r="AJ72" i="5"/>
  <c r="AE72" i="5"/>
  <c r="Z72" i="5"/>
  <c r="U72" i="5"/>
  <c r="P72" i="5"/>
  <c r="K72" i="5"/>
  <c r="BR71" i="5"/>
  <c r="BQ71" i="5"/>
  <c r="BP71" i="5"/>
  <c r="BN71" i="5"/>
  <c r="BI71" i="5"/>
  <c r="BD71" i="5"/>
  <c r="AY71" i="5"/>
  <c r="AT71" i="5"/>
  <c r="AO71" i="5"/>
  <c r="AJ71" i="5"/>
  <c r="AE71" i="5"/>
  <c r="Z71" i="5"/>
  <c r="Q71" i="5"/>
  <c r="P71" i="5"/>
  <c r="K71" i="5"/>
  <c r="BR70" i="5"/>
  <c r="BQ70" i="5"/>
  <c r="BP70" i="5"/>
  <c r="BN70" i="5"/>
  <c r="BI70" i="5"/>
  <c r="BD70" i="5"/>
  <c r="AY70" i="5"/>
  <c r="AT70" i="5"/>
  <c r="AO70" i="5"/>
  <c r="AJ70" i="5"/>
  <c r="AE70" i="5"/>
  <c r="Z70" i="5"/>
  <c r="Q70" i="5"/>
  <c r="P70" i="5"/>
  <c r="K70" i="5"/>
  <c r="BR69" i="5"/>
  <c r="BQ69" i="5"/>
  <c r="BP69" i="5"/>
  <c r="BN69" i="5"/>
  <c r="BI69" i="5"/>
  <c r="BD69" i="5"/>
  <c r="AY69" i="5"/>
  <c r="AT69" i="5"/>
  <c r="AO69" i="5"/>
  <c r="AJ69" i="5"/>
  <c r="AE69" i="5"/>
  <c r="Z69" i="5"/>
  <c r="Q69" i="5"/>
  <c r="P69" i="5"/>
  <c r="K69" i="5"/>
  <c r="BR68" i="5"/>
  <c r="BQ68" i="5"/>
  <c r="BP68" i="5"/>
  <c r="BN68" i="5"/>
  <c r="BI68" i="5"/>
  <c r="BD68" i="5"/>
  <c r="AY68" i="5"/>
  <c r="AT68" i="5"/>
  <c r="AO68" i="5"/>
  <c r="AJ68" i="5"/>
  <c r="AE68" i="5"/>
  <c r="Z68" i="5"/>
  <c r="Q68" i="5"/>
  <c r="P68" i="5"/>
  <c r="K68" i="5"/>
  <c r="BM67" i="5"/>
  <c r="BL67" i="5"/>
  <c r="BK67" i="5"/>
  <c r="BJ67" i="5"/>
  <c r="BH67" i="5"/>
  <c r="BG67" i="5"/>
  <c r="BF67" i="5"/>
  <c r="BE67" i="5"/>
  <c r="BC67" i="5"/>
  <c r="BB67" i="5"/>
  <c r="BA67" i="5"/>
  <c r="AZ67" i="5"/>
  <c r="AX67" i="5"/>
  <c r="AW67" i="5"/>
  <c r="AV67" i="5"/>
  <c r="AS67" i="5"/>
  <c r="AR67" i="5"/>
  <c r="AQ67" i="5"/>
  <c r="AN67" i="5"/>
  <c r="AM67" i="5"/>
  <c r="AL67" i="5"/>
  <c r="AK67" i="5"/>
  <c r="AI67" i="5"/>
  <c r="AH67" i="5"/>
  <c r="AG67" i="5"/>
  <c r="AF67" i="5"/>
  <c r="AD67" i="5"/>
  <c r="AC67" i="5"/>
  <c r="AB67" i="5"/>
  <c r="AA67" i="5"/>
  <c r="Y67" i="5"/>
  <c r="X67" i="5"/>
  <c r="W67" i="5"/>
  <c r="V67" i="5"/>
  <c r="T67" i="5"/>
  <c r="S67" i="5"/>
  <c r="R67" i="5"/>
  <c r="O67" i="5"/>
  <c r="N67" i="5"/>
  <c r="M67" i="5"/>
  <c r="L67" i="5"/>
  <c r="J67" i="5"/>
  <c r="I67" i="5"/>
  <c r="H67" i="5"/>
  <c r="G67" i="5"/>
  <c r="BR66" i="5"/>
  <c r="BQ66" i="5"/>
  <c r="BP66" i="5"/>
  <c r="BN66" i="5"/>
  <c r="BI66" i="5"/>
  <c r="BD66" i="5"/>
  <c r="AU66" i="5"/>
  <c r="AP66" i="5"/>
  <c r="AT66" i="5" s="1"/>
  <c r="AO66" i="5"/>
  <c r="AJ66" i="5"/>
  <c r="AE66" i="5"/>
  <c r="Z66" i="5"/>
  <c r="U66" i="5"/>
  <c r="P66" i="5"/>
  <c r="K66" i="5"/>
  <c r="BR65" i="5"/>
  <c r="BQ65" i="5"/>
  <c r="BP65" i="5"/>
  <c r="BN65" i="5"/>
  <c r="BI65" i="5"/>
  <c r="BD65" i="5"/>
  <c r="AU65" i="5"/>
  <c r="AY65" i="5" s="1"/>
  <c r="AP65" i="5"/>
  <c r="AO65" i="5"/>
  <c r="AJ65" i="5"/>
  <c r="AE65" i="5"/>
  <c r="Z65" i="5"/>
  <c r="U65" i="5"/>
  <c r="P65" i="5"/>
  <c r="K65" i="5"/>
  <c r="BR64" i="5"/>
  <c r="BQ64" i="5"/>
  <c r="BP64" i="5"/>
  <c r="BN64" i="5"/>
  <c r="BI64" i="5"/>
  <c r="BD64" i="5"/>
  <c r="AU64" i="5"/>
  <c r="AY64" i="5" s="1"/>
  <c r="AT64" i="5"/>
  <c r="AO64" i="5"/>
  <c r="AJ64" i="5"/>
  <c r="AE64" i="5"/>
  <c r="Z64" i="5"/>
  <c r="U64" i="5"/>
  <c r="P64" i="5"/>
  <c r="K64" i="5"/>
  <c r="BR63" i="5"/>
  <c r="BQ63" i="5"/>
  <c r="BP63" i="5"/>
  <c r="BN63" i="5"/>
  <c r="BI63" i="5"/>
  <c r="BD63" i="5"/>
  <c r="AU63" i="5"/>
  <c r="AY63" i="5" s="1"/>
  <c r="AP63" i="5"/>
  <c r="AO63" i="5"/>
  <c r="AJ63" i="5"/>
  <c r="AE63" i="5"/>
  <c r="Z63" i="5"/>
  <c r="U63" i="5"/>
  <c r="P63" i="5"/>
  <c r="K63" i="5"/>
  <c r="BR62" i="5"/>
  <c r="BQ62" i="5"/>
  <c r="BP62" i="5"/>
  <c r="BN62" i="5"/>
  <c r="BI62" i="5"/>
  <c r="BD62" i="5"/>
  <c r="AU62" i="5"/>
  <c r="AY62" i="5" s="1"/>
  <c r="AT62" i="5"/>
  <c r="AO62" i="5"/>
  <c r="AJ62" i="5"/>
  <c r="AE62" i="5"/>
  <c r="Z62" i="5"/>
  <c r="U62" i="5"/>
  <c r="P62" i="5"/>
  <c r="K62" i="5"/>
  <c r="BR61" i="5"/>
  <c r="BQ61" i="5"/>
  <c r="BP61" i="5"/>
  <c r="BN61" i="5"/>
  <c r="BI61" i="5"/>
  <c r="BD61" i="5"/>
  <c r="AU61" i="5"/>
  <c r="AT61" i="5"/>
  <c r="AO61" i="5"/>
  <c r="AJ61" i="5"/>
  <c r="AE61" i="5"/>
  <c r="Z61" i="5"/>
  <c r="U61" i="5"/>
  <c r="P61" i="5"/>
  <c r="K61" i="5"/>
  <c r="BR60" i="5"/>
  <c r="BQ60" i="5"/>
  <c r="BP60" i="5"/>
  <c r="BN60" i="5"/>
  <c r="BI60" i="5"/>
  <c r="BD60" i="5"/>
  <c r="AU60" i="5"/>
  <c r="AT60" i="5"/>
  <c r="AO60" i="5"/>
  <c r="AJ60" i="5"/>
  <c r="AE60" i="5"/>
  <c r="Z60" i="5"/>
  <c r="U60" i="5"/>
  <c r="P60" i="5"/>
  <c r="K60" i="5"/>
  <c r="BR59" i="5"/>
  <c r="BQ59" i="5"/>
  <c r="BP59" i="5"/>
  <c r="BN59" i="5"/>
  <c r="BI59" i="5"/>
  <c r="BD59" i="5"/>
  <c r="AU59" i="5"/>
  <c r="AY59" i="5" s="1"/>
  <c r="AT59" i="5"/>
  <c r="AO59" i="5"/>
  <c r="AJ59" i="5"/>
  <c r="AE59" i="5"/>
  <c r="Z59" i="5"/>
  <c r="U59" i="5"/>
  <c r="P59" i="5"/>
  <c r="K59" i="5"/>
  <c r="BR58" i="5"/>
  <c r="BQ58" i="5"/>
  <c r="BP58" i="5"/>
  <c r="BO58" i="5"/>
  <c r="BN58" i="5"/>
  <c r="BI58" i="5"/>
  <c r="BD58" i="5"/>
  <c r="AY58" i="5"/>
  <c r="AT58" i="5"/>
  <c r="AO58" i="5"/>
  <c r="AJ58" i="5"/>
  <c r="AE58" i="5"/>
  <c r="Z58" i="5"/>
  <c r="U58" i="5"/>
  <c r="P58" i="5"/>
  <c r="K58" i="5"/>
  <c r="BR57" i="5"/>
  <c r="BQ57" i="5"/>
  <c r="BP57" i="5"/>
  <c r="BO57" i="5"/>
  <c r="BN57" i="5"/>
  <c r="BI57" i="5"/>
  <c r="BD57" i="5"/>
  <c r="AY57" i="5"/>
  <c r="AT57" i="5"/>
  <c r="AO57" i="5"/>
  <c r="AJ57" i="5"/>
  <c r="AE57" i="5"/>
  <c r="Z57" i="5"/>
  <c r="U57" i="5"/>
  <c r="P57" i="5"/>
  <c r="K57" i="5"/>
  <c r="BR56" i="5"/>
  <c r="BQ56" i="5"/>
  <c r="BP56" i="5"/>
  <c r="BN56" i="5"/>
  <c r="BI56" i="5"/>
  <c r="BD56" i="5"/>
  <c r="AY56" i="5"/>
  <c r="AT56" i="5"/>
  <c r="AO56" i="5"/>
  <c r="AJ56" i="5"/>
  <c r="AE56" i="5"/>
  <c r="Z56" i="5"/>
  <c r="Q56" i="5"/>
  <c r="U56" i="5" s="1"/>
  <c r="P56" i="5"/>
  <c r="K56" i="5"/>
  <c r="BR55" i="5"/>
  <c r="BQ55" i="5"/>
  <c r="BP55" i="5"/>
  <c r="BN55" i="5"/>
  <c r="BI55" i="5"/>
  <c r="BD55" i="5"/>
  <c r="AY55" i="5"/>
  <c r="AT55" i="5"/>
  <c r="AO55" i="5"/>
  <c r="AJ55" i="5"/>
  <c r="AE55" i="5"/>
  <c r="Z55" i="5"/>
  <c r="Q55" i="5"/>
  <c r="U55" i="5" s="1"/>
  <c r="P55" i="5"/>
  <c r="K55" i="5"/>
  <c r="BR54" i="5"/>
  <c r="BQ54" i="5"/>
  <c r="BP54" i="5"/>
  <c r="BN54" i="5"/>
  <c r="BI54" i="5"/>
  <c r="BD54" i="5"/>
  <c r="AY54" i="5"/>
  <c r="AT54" i="5"/>
  <c r="AO54" i="5"/>
  <c r="AJ54" i="5"/>
  <c r="AE54" i="5"/>
  <c r="Z54" i="5"/>
  <c r="Q54" i="5"/>
  <c r="P54" i="5"/>
  <c r="K54" i="5"/>
  <c r="BR53" i="5"/>
  <c r="BQ53" i="5"/>
  <c r="BP53" i="5"/>
  <c r="BN53" i="5"/>
  <c r="BI53" i="5"/>
  <c r="BD53" i="5"/>
  <c r="AY53" i="5"/>
  <c r="AT53" i="5"/>
  <c r="AO53" i="5"/>
  <c r="AJ53" i="5"/>
  <c r="AE53" i="5"/>
  <c r="Z53" i="5"/>
  <c r="Q53" i="5"/>
  <c r="P53" i="5"/>
  <c r="K53" i="5"/>
  <c r="BM52" i="5"/>
  <c r="BL52" i="5"/>
  <c r="BK52" i="5"/>
  <c r="BJ52" i="5"/>
  <c r="BH52" i="5"/>
  <c r="BG52" i="5"/>
  <c r="BF52" i="5"/>
  <c r="BE52" i="5"/>
  <c r="BC52" i="5"/>
  <c r="BB52" i="5"/>
  <c r="BA52" i="5"/>
  <c r="AZ52" i="5"/>
  <c r="AX52" i="5"/>
  <c r="AW52" i="5"/>
  <c r="AV52" i="5"/>
  <c r="AU52" i="5"/>
  <c r="AS52" i="5"/>
  <c r="AR52" i="5"/>
  <c r="AQ52" i="5"/>
  <c r="AP52" i="5"/>
  <c r="AN52" i="5"/>
  <c r="AM52" i="5"/>
  <c r="AL52" i="5"/>
  <c r="AK52" i="5"/>
  <c r="AI52" i="5"/>
  <c r="AH52" i="5"/>
  <c r="AG52" i="5"/>
  <c r="AF52" i="5"/>
  <c r="AD52" i="5"/>
  <c r="AC52" i="5"/>
  <c r="AB52" i="5"/>
  <c r="AA52" i="5"/>
  <c r="Y52" i="5"/>
  <c r="X52" i="5"/>
  <c r="W52" i="5"/>
  <c r="V52" i="5"/>
  <c r="T52" i="5"/>
  <c r="S52" i="5"/>
  <c r="R52" i="5"/>
  <c r="Q52" i="5"/>
  <c r="O52" i="5"/>
  <c r="N52" i="5"/>
  <c r="M52" i="5"/>
  <c r="L52" i="5"/>
  <c r="J52" i="5"/>
  <c r="I52" i="5"/>
  <c r="H52" i="5"/>
  <c r="G52" i="5"/>
  <c r="BR51" i="5"/>
  <c r="BQ51" i="5"/>
  <c r="BP51" i="5"/>
  <c r="BO51" i="5"/>
  <c r="BN51" i="5"/>
  <c r="BI51" i="5"/>
  <c r="BD51" i="5"/>
  <c r="AY51" i="5"/>
  <c r="AT51" i="5"/>
  <c r="AO51" i="5"/>
  <c r="AJ51" i="5"/>
  <c r="AE51" i="5"/>
  <c r="Z51" i="5"/>
  <c r="U51" i="5"/>
  <c r="P51" i="5"/>
  <c r="K51" i="5"/>
  <c r="BR50" i="5"/>
  <c r="BQ50" i="5"/>
  <c r="BP50" i="5"/>
  <c r="BO50" i="5"/>
  <c r="BN50" i="5"/>
  <c r="BI50" i="5"/>
  <c r="BD50" i="5"/>
  <c r="AY50" i="5"/>
  <c r="AT50" i="5"/>
  <c r="AO50" i="5"/>
  <c r="AJ50" i="5"/>
  <c r="AE50" i="5"/>
  <c r="Z50" i="5"/>
  <c r="U50" i="5"/>
  <c r="P50" i="5"/>
  <c r="K50" i="5"/>
  <c r="BR49" i="5"/>
  <c r="BQ49" i="5"/>
  <c r="BP49" i="5"/>
  <c r="BO49" i="5"/>
  <c r="BN49" i="5"/>
  <c r="BI49" i="5"/>
  <c r="BD49" i="5"/>
  <c r="AY49" i="5"/>
  <c r="AT49" i="5"/>
  <c r="AO49" i="5"/>
  <c r="AJ49" i="5"/>
  <c r="AE49" i="5"/>
  <c r="Z49" i="5"/>
  <c r="U49" i="5"/>
  <c r="P49" i="5"/>
  <c r="K49" i="5"/>
  <c r="BR48" i="5"/>
  <c r="BQ48" i="5"/>
  <c r="BP48" i="5"/>
  <c r="BO48" i="5"/>
  <c r="BN48" i="5"/>
  <c r="BI48" i="5"/>
  <c r="BD48" i="5"/>
  <c r="AY48" i="5"/>
  <c r="AT48" i="5"/>
  <c r="AO48" i="5"/>
  <c r="AJ48" i="5"/>
  <c r="AE48" i="5"/>
  <c r="Z48" i="5"/>
  <c r="U48" i="5"/>
  <c r="P48" i="5"/>
  <c r="K48" i="5"/>
  <c r="BR47" i="5"/>
  <c r="BQ47" i="5"/>
  <c r="BP47" i="5"/>
  <c r="BO47" i="5"/>
  <c r="BN47" i="5"/>
  <c r="BI47" i="5"/>
  <c r="BD47" i="5"/>
  <c r="AY47" i="5"/>
  <c r="AT47" i="5"/>
  <c r="AO47" i="5"/>
  <c r="AJ47" i="5"/>
  <c r="AE47" i="5"/>
  <c r="Z47" i="5"/>
  <c r="U47" i="5"/>
  <c r="P47" i="5"/>
  <c r="K47" i="5"/>
  <c r="BR46" i="5"/>
  <c r="BQ46" i="5"/>
  <c r="BP46" i="5"/>
  <c r="BO46" i="5"/>
  <c r="BN46" i="5"/>
  <c r="BI46" i="5"/>
  <c r="BD46" i="5"/>
  <c r="AY46" i="5"/>
  <c r="AT46" i="5"/>
  <c r="AO46" i="5"/>
  <c r="AJ46" i="5"/>
  <c r="AE46" i="5"/>
  <c r="Z46" i="5"/>
  <c r="U46" i="5"/>
  <c r="P46" i="5"/>
  <c r="K46" i="5"/>
  <c r="BR45" i="5"/>
  <c r="BQ45" i="5"/>
  <c r="BP45" i="5"/>
  <c r="BO45" i="5"/>
  <c r="BN45" i="5"/>
  <c r="BI45" i="5"/>
  <c r="BD45" i="5"/>
  <c r="AY45" i="5"/>
  <c r="AT45" i="5"/>
  <c r="AO45" i="5"/>
  <c r="AJ45" i="5"/>
  <c r="AE45" i="5"/>
  <c r="Z45" i="5"/>
  <c r="U45" i="5"/>
  <c r="P45" i="5"/>
  <c r="K45" i="5"/>
  <c r="BR44" i="5"/>
  <c r="BQ44" i="5"/>
  <c r="BP44" i="5"/>
  <c r="BO44" i="5"/>
  <c r="BN44" i="5"/>
  <c r="BI44" i="5"/>
  <c r="BD44" i="5"/>
  <c r="AY44" i="5"/>
  <c r="AT44" i="5"/>
  <c r="AO44" i="5"/>
  <c r="AJ44" i="5"/>
  <c r="AE44" i="5"/>
  <c r="Z44" i="5"/>
  <c r="U44" i="5"/>
  <c r="P44" i="5"/>
  <c r="K44" i="5"/>
  <c r="BR43" i="5"/>
  <c r="BQ43" i="5"/>
  <c r="BP43" i="5"/>
  <c r="BO43" i="5"/>
  <c r="BN43" i="5"/>
  <c r="BI43" i="5"/>
  <c r="BD43" i="5"/>
  <c r="AY43" i="5"/>
  <c r="AT43" i="5"/>
  <c r="AO43" i="5"/>
  <c r="AJ43" i="5"/>
  <c r="AE43" i="5"/>
  <c r="Z43" i="5"/>
  <c r="U43" i="5"/>
  <c r="P43" i="5"/>
  <c r="K43" i="5"/>
  <c r="BR42" i="5"/>
  <c r="BQ42" i="5"/>
  <c r="BP42" i="5"/>
  <c r="BO42" i="5"/>
  <c r="BN42" i="5"/>
  <c r="BI42" i="5"/>
  <c r="BD42" i="5"/>
  <c r="AY42" i="5"/>
  <c r="AT42" i="5"/>
  <c r="AO42" i="5"/>
  <c r="AJ42" i="5"/>
  <c r="AE42" i="5"/>
  <c r="Z42" i="5"/>
  <c r="U42" i="5"/>
  <c r="P42" i="5"/>
  <c r="K42" i="5"/>
  <c r="BR41" i="5"/>
  <c r="BQ41" i="5"/>
  <c r="BP41" i="5"/>
  <c r="BO41" i="5"/>
  <c r="BN41" i="5"/>
  <c r="BI41" i="5"/>
  <c r="BD41" i="5"/>
  <c r="AY41" i="5"/>
  <c r="AT41" i="5"/>
  <c r="AO41" i="5"/>
  <c r="AJ41" i="5"/>
  <c r="AE41" i="5"/>
  <c r="Z41" i="5"/>
  <c r="U41" i="5"/>
  <c r="P41" i="5"/>
  <c r="K41" i="5"/>
  <c r="BR40" i="5"/>
  <c r="BQ40" i="5"/>
  <c r="BP40" i="5"/>
  <c r="BO40" i="5"/>
  <c r="BN40" i="5"/>
  <c r="BI40" i="5"/>
  <c r="BD40" i="5"/>
  <c r="AY40" i="5"/>
  <c r="AT40" i="5"/>
  <c r="AO40" i="5"/>
  <c r="AJ40" i="5"/>
  <c r="AE40" i="5"/>
  <c r="Z40" i="5"/>
  <c r="U40" i="5"/>
  <c r="P40" i="5"/>
  <c r="K40" i="5"/>
  <c r="BR39" i="5"/>
  <c r="BQ39" i="5"/>
  <c r="BP39" i="5"/>
  <c r="BO39" i="5"/>
  <c r="BN39" i="5"/>
  <c r="BI39" i="5"/>
  <c r="BD39" i="5"/>
  <c r="AY39" i="5"/>
  <c r="AT39" i="5"/>
  <c r="AO39" i="5"/>
  <c r="AJ39" i="5"/>
  <c r="AE39" i="5"/>
  <c r="Z39" i="5"/>
  <c r="U39" i="5"/>
  <c r="P39" i="5"/>
  <c r="K39" i="5"/>
  <c r="BR38" i="5"/>
  <c r="BQ38" i="5"/>
  <c r="BP38" i="5"/>
  <c r="BO38" i="5"/>
  <c r="BN38" i="5"/>
  <c r="BI38" i="5"/>
  <c r="BD38" i="5"/>
  <c r="AY38" i="5"/>
  <c r="AT38" i="5"/>
  <c r="AO38" i="5"/>
  <c r="AJ38" i="5"/>
  <c r="AE38" i="5"/>
  <c r="Z38" i="5"/>
  <c r="U38" i="5"/>
  <c r="P38" i="5"/>
  <c r="K38" i="5"/>
  <c r="BR37" i="5"/>
  <c r="BQ37" i="5"/>
  <c r="BP37" i="5"/>
  <c r="BO37" i="5"/>
  <c r="BN37" i="5"/>
  <c r="BI37" i="5"/>
  <c r="BD37" i="5"/>
  <c r="AY37" i="5"/>
  <c r="AT37" i="5"/>
  <c r="AO37" i="5"/>
  <c r="AJ37" i="5"/>
  <c r="AE37" i="5"/>
  <c r="Z37" i="5"/>
  <c r="U37" i="5"/>
  <c r="P37" i="5"/>
  <c r="K37" i="5"/>
  <c r="BR36" i="5"/>
  <c r="BQ36" i="5"/>
  <c r="BP36" i="5"/>
  <c r="BO36" i="5"/>
  <c r="BN36" i="5"/>
  <c r="BI36" i="5"/>
  <c r="BD36" i="5"/>
  <c r="AY36" i="5"/>
  <c r="AT36" i="5"/>
  <c r="AO36" i="5"/>
  <c r="AJ36" i="5"/>
  <c r="AE36" i="5"/>
  <c r="Z36" i="5"/>
  <c r="U36" i="5"/>
  <c r="P36" i="5"/>
  <c r="K36" i="5"/>
  <c r="BR35" i="5"/>
  <c r="BQ35" i="5"/>
  <c r="BP35" i="5"/>
  <c r="BO35" i="5"/>
  <c r="BN35" i="5"/>
  <c r="BI35" i="5"/>
  <c r="BD35" i="5"/>
  <c r="AY35" i="5"/>
  <c r="AT35" i="5"/>
  <c r="AO35" i="5"/>
  <c r="AJ35" i="5"/>
  <c r="AE35" i="5"/>
  <c r="Z35" i="5"/>
  <c r="U35" i="5"/>
  <c r="P35" i="5"/>
  <c r="K35" i="5"/>
  <c r="BR34" i="5"/>
  <c r="BQ34" i="5"/>
  <c r="BP34" i="5"/>
  <c r="BO34" i="5"/>
  <c r="BN34" i="5"/>
  <c r="BI34" i="5"/>
  <c r="BD34" i="5"/>
  <c r="AY34" i="5"/>
  <c r="AT34" i="5"/>
  <c r="AO34" i="5"/>
  <c r="AJ34" i="5"/>
  <c r="AE34" i="5"/>
  <c r="Z34" i="5"/>
  <c r="U34" i="5"/>
  <c r="P34" i="5"/>
  <c r="K34" i="5"/>
  <c r="BR33" i="5"/>
  <c r="BQ33" i="5"/>
  <c r="BP33" i="5"/>
  <c r="BO33" i="5"/>
  <c r="BN33" i="5"/>
  <c r="BI33" i="5"/>
  <c r="BD33" i="5"/>
  <c r="AY33" i="5"/>
  <c r="AT33" i="5"/>
  <c r="AO33" i="5"/>
  <c r="AJ33" i="5"/>
  <c r="AE33" i="5"/>
  <c r="Z33" i="5"/>
  <c r="U33" i="5"/>
  <c r="P33" i="5"/>
  <c r="K33" i="5"/>
  <c r="BR32" i="5"/>
  <c r="BQ32" i="5"/>
  <c r="BP32" i="5"/>
  <c r="BO32" i="5"/>
  <c r="BN32" i="5"/>
  <c r="BI32" i="5"/>
  <c r="BD32" i="5"/>
  <c r="AY32" i="5"/>
  <c r="AT32" i="5"/>
  <c r="AO32" i="5"/>
  <c r="AJ32" i="5"/>
  <c r="AE32" i="5"/>
  <c r="Z32" i="5"/>
  <c r="U32" i="5"/>
  <c r="P32" i="5"/>
  <c r="K32" i="5"/>
  <c r="BR31" i="5"/>
  <c r="BQ31" i="5"/>
  <c r="BP31" i="5"/>
  <c r="BO31" i="5"/>
  <c r="BN31" i="5"/>
  <c r="BI31" i="5"/>
  <c r="BD31" i="5"/>
  <c r="AY31" i="5"/>
  <c r="AT31" i="5"/>
  <c r="AO31" i="5"/>
  <c r="AJ31" i="5"/>
  <c r="AE31" i="5"/>
  <c r="Z31" i="5"/>
  <c r="U31" i="5"/>
  <c r="P31" i="5"/>
  <c r="K31" i="5"/>
  <c r="BR30" i="5"/>
  <c r="BQ30" i="5"/>
  <c r="BP30" i="5"/>
  <c r="BO30" i="5"/>
  <c r="BN30" i="5"/>
  <c r="BI30" i="5"/>
  <c r="BD30" i="5"/>
  <c r="AY30" i="5"/>
  <c r="AT30" i="5"/>
  <c r="AO30" i="5"/>
  <c r="AJ30" i="5"/>
  <c r="AE30" i="5"/>
  <c r="Z30" i="5"/>
  <c r="U30" i="5"/>
  <c r="P30" i="5"/>
  <c r="K30" i="5"/>
  <c r="BR29" i="5"/>
  <c r="BQ29" i="5"/>
  <c r="BP29" i="5"/>
  <c r="BO29" i="5"/>
  <c r="BN29" i="5"/>
  <c r="BI29" i="5"/>
  <c r="BD29" i="5"/>
  <c r="AY29" i="5"/>
  <c r="AT29" i="5"/>
  <c r="AO29" i="5"/>
  <c r="AJ29" i="5"/>
  <c r="AE29" i="5"/>
  <c r="Z29" i="5"/>
  <c r="U29" i="5"/>
  <c r="P29" i="5"/>
  <c r="K29" i="5"/>
  <c r="BR28" i="5"/>
  <c r="BQ28" i="5"/>
  <c r="BP28" i="5"/>
  <c r="BO28" i="5"/>
  <c r="BN28" i="5"/>
  <c r="BI28" i="5"/>
  <c r="BD28" i="5"/>
  <c r="AY28" i="5"/>
  <c r="AT28" i="5"/>
  <c r="AO28" i="5"/>
  <c r="AJ28" i="5"/>
  <c r="AE28" i="5"/>
  <c r="Z28" i="5"/>
  <c r="U28" i="5"/>
  <c r="P28" i="5"/>
  <c r="K28" i="5"/>
  <c r="BR27" i="5"/>
  <c r="BQ27" i="5"/>
  <c r="BP27" i="5"/>
  <c r="BO27" i="5"/>
  <c r="BN27" i="5"/>
  <c r="BI27" i="5"/>
  <c r="BD27" i="5"/>
  <c r="AY27" i="5"/>
  <c r="AT27" i="5"/>
  <c r="AO27" i="5"/>
  <c r="AJ27" i="5"/>
  <c r="AE27" i="5"/>
  <c r="Z27" i="5"/>
  <c r="U27" i="5"/>
  <c r="P27" i="5"/>
  <c r="K27" i="5"/>
  <c r="BR26" i="5"/>
  <c r="BQ26" i="5"/>
  <c r="BP26" i="5"/>
  <c r="BO26" i="5"/>
  <c r="BN26" i="5"/>
  <c r="BI26" i="5"/>
  <c r="BD26" i="5"/>
  <c r="AY26" i="5"/>
  <c r="AT26" i="5"/>
  <c r="AO26" i="5"/>
  <c r="AJ26" i="5"/>
  <c r="AE26" i="5"/>
  <c r="Z26" i="5"/>
  <c r="U26" i="5"/>
  <c r="P26" i="5"/>
  <c r="K26" i="5"/>
  <c r="BR25" i="5"/>
  <c r="BQ25" i="5"/>
  <c r="BP25" i="5"/>
  <c r="BO25" i="5"/>
  <c r="BN25" i="5"/>
  <c r="BI25" i="5"/>
  <c r="BD25" i="5"/>
  <c r="AY25" i="5"/>
  <c r="AT25" i="5"/>
  <c r="AO25" i="5"/>
  <c r="AJ25" i="5"/>
  <c r="AE25" i="5"/>
  <c r="Z25" i="5"/>
  <c r="U25" i="5"/>
  <c r="P25" i="5"/>
  <c r="K25" i="5"/>
  <c r="BR24" i="5"/>
  <c r="BQ24" i="5"/>
  <c r="BP24" i="5"/>
  <c r="BO24" i="5"/>
  <c r="BN24" i="5"/>
  <c r="BI24" i="5"/>
  <c r="BD24" i="5"/>
  <c r="AY24" i="5"/>
  <c r="AT24" i="5"/>
  <c r="AO24" i="5"/>
  <c r="AJ24" i="5"/>
  <c r="AE24" i="5"/>
  <c r="Z24" i="5"/>
  <c r="U24" i="5"/>
  <c r="P24" i="5"/>
  <c r="K24" i="5"/>
  <c r="BM23" i="5"/>
  <c r="BL23" i="5"/>
  <c r="BK23" i="5"/>
  <c r="BJ23" i="5"/>
  <c r="BH23" i="5"/>
  <c r="BG23" i="5"/>
  <c r="BF23" i="5"/>
  <c r="BE23" i="5"/>
  <c r="BC23" i="5"/>
  <c r="BB23" i="5"/>
  <c r="BA23" i="5"/>
  <c r="AZ23" i="5"/>
  <c r="AX23" i="5"/>
  <c r="AW23" i="5"/>
  <c r="AV23" i="5"/>
  <c r="AU23" i="5"/>
  <c r="AS23" i="5"/>
  <c r="AR23" i="5"/>
  <c r="AQ23" i="5"/>
  <c r="AP23" i="5"/>
  <c r="AN23" i="5"/>
  <c r="AM23" i="5"/>
  <c r="AL23" i="5"/>
  <c r="AK23" i="5"/>
  <c r="AI23" i="5"/>
  <c r="AH23" i="5"/>
  <c r="AG23" i="5"/>
  <c r="AF23" i="5"/>
  <c r="AD23" i="5"/>
  <c r="AC23" i="5"/>
  <c r="AB23" i="5"/>
  <c r="AA23" i="5"/>
  <c r="Y23" i="5"/>
  <c r="X23" i="5"/>
  <c r="W23" i="5"/>
  <c r="V23" i="5"/>
  <c r="T23" i="5"/>
  <c r="S23" i="5"/>
  <c r="R23" i="5"/>
  <c r="Q23" i="5"/>
  <c r="O23" i="5"/>
  <c r="N23" i="5"/>
  <c r="M23" i="5"/>
  <c r="L23" i="5"/>
  <c r="J23" i="5"/>
  <c r="I23" i="5"/>
  <c r="H23" i="5"/>
  <c r="G23" i="5"/>
  <c r="BR22" i="5"/>
  <c r="BQ22" i="5"/>
  <c r="BP22" i="5"/>
  <c r="BO22" i="5"/>
  <c r="BN22" i="5"/>
  <c r="BI22" i="5"/>
  <c r="BD22" i="5"/>
  <c r="AY22" i="5"/>
  <c r="AT22" i="5"/>
  <c r="AO22" i="5"/>
  <c r="AJ22" i="5"/>
  <c r="AE22" i="5"/>
  <c r="Z22" i="5"/>
  <c r="U22" i="5"/>
  <c r="P22" i="5"/>
  <c r="K22" i="5"/>
  <c r="BR21" i="5"/>
  <c r="BQ21" i="5"/>
  <c r="BP21" i="5"/>
  <c r="BO21" i="5"/>
  <c r="BN21" i="5"/>
  <c r="BI21" i="5"/>
  <c r="BD21" i="5"/>
  <c r="AY21" i="5"/>
  <c r="AT21" i="5"/>
  <c r="AO21" i="5"/>
  <c r="AJ21" i="5"/>
  <c r="AE21" i="5"/>
  <c r="Z21" i="5"/>
  <c r="U21" i="5"/>
  <c r="P21" i="5"/>
  <c r="K21" i="5"/>
  <c r="BR20" i="5"/>
  <c r="BQ20" i="5"/>
  <c r="BP20" i="5"/>
  <c r="BO20" i="5"/>
  <c r="BN20" i="5"/>
  <c r="BI20" i="5"/>
  <c r="BD20" i="5"/>
  <c r="AY20" i="5"/>
  <c r="AT20" i="5"/>
  <c r="AO20" i="5"/>
  <c r="AJ20" i="5"/>
  <c r="AE20" i="5"/>
  <c r="Z20" i="5"/>
  <c r="U20" i="5"/>
  <c r="P20" i="5"/>
  <c r="K20" i="5"/>
  <c r="BR19" i="5"/>
  <c r="BQ19" i="5"/>
  <c r="BP19" i="5"/>
  <c r="BO19" i="5"/>
  <c r="BN19" i="5"/>
  <c r="BI19" i="5"/>
  <c r="BD19" i="5"/>
  <c r="AY19" i="5"/>
  <c r="AT19" i="5"/>
  <c r="AO19" i="5"/>
  <c r="AJ19" i="5"/>
  <c r="AE19" i="5"/>
  <c r="Z19" i="5"/>
  <c r="U19" i="5"/>
  <c r="P19" i="5"/>
  <c r="K19" i="5"/>
  <c r="BR18" i="5"/>
  <c r="BQ18" i="5"/>
  <c r="BP18" i="5"/>
  <c r="BO18" i="5"/>
  <c r="BN18" i="5"/>
  <c r="BI18" i="5"/>
  <c r="BD18" i="5"/>
  <c r="AY18" i="5"/>
  <c r="AT18" i="5"/>
  <c r="AO18" i="5"/>
  <c r="AJ18" i="5"/>
  <c r="AE18" i="5"/>
  <c r="Z18" i="5"/>
  <c r="U18" i="5"/>
  <c r="P18" i="5"/>
  <c r="K18" i="5"/>
  <c r="BR17" i="5"/>
  <c r="BQ17" i="5"/>
  <c r="BP17" i="5"/>
  <c r="BO17" i="5"/>
  <c r="BN17" i="5"/>
  <c r="BI17" i="5"/>
  <c r="BD17" i="5"/>
  <c r="AY17" i="5"/>
  <c r="AT17" i="5"/>
  <c r="AO17" i="5"/>
  <c r="AJ17" i="5"/>
  <c r="AE17" i="5"/>
  <c r="Z17" i="5"/>
  <c r="U17" i="5"/>
  <c r="P17" i="5"/>
  <c r="K17" i="5"/>
  <c r="BR16" i="5"/>
  <c r="BQ16" i="5"/>
  <c r="BP16" i="5"/>
  <c r="BO16" i="5"/>
  <c r="BN16" i="5"/>
  <c r="BI16" i="5"/>
  <c r="BD16" i="5"/>
  <c r="AY16" i="5"/>
  <c r="AT16" i="5"/>
  <c r="AO16" i="5"/>
  <c r="AJ16" i="5"/>
  <c r="AE16" i="5"/>
  <c r="Z16" i="5"/>
  <c r="U16" i="5"/>
  <c r="P16" i="5"/>
  <c r="K16" i="5"/>
  <c r="BR15" i="5"/>
  <c r="BQ15" i="5"/>
  <c r="BP15" i="5"/>
  <c r="BO15" i="5"/>
  <c r="BN15" i="5"/>
  <c r="BI15" i="5"/>
  <c r="BD15" i="5"/>
  <c r="AY15" i="5"/>
  <c r="AT15" i="5"/>
  <c r="AO15" i="5"/>
  <c r="AJ15" i="5"/>
  <c r="AE15" i="5"/>
  <c r="Z15" i="5"/>
  <c r="U15" i="5"/>
  <c r="P15" i="5"/>
  <c r="K15" i="5"/>
  <c r="BR14" i="5"/>
  <c r="BQ14" i="5"/>
  <c r="BP14" i="5"/>
  <c r="BO14" i="5"/>
  <c r="BN14" i="5"/>
  <c r="BI14" i="5"/>
  <c r="BD14" i="5"/>
  <c r="AY14" i="5"/>
  <c r="AT14" i="5"/>
  <c r="AO14" i="5"/>
  <c r="AJ14" i="5"/>
  <c r="AE14" i="5"/>
  <c r="Z14" i="5"/>
  <c r="U14" i="5"/>
  <c r="P14" i="5"/>
  <c r="K14" i="5"/>
  <c r="BR13" i="5"/>
  <c r="BQ13" i="5"/>
  <c r="BP13" i="5"/>
  <c r="BO13" i="5"/>
  <c r="BN13" i="5"/>
  <c r="BI13" i="5"/>
  <c r="BD13" i="5"/>
  <c r="AY13" i="5"/>
  <c r="AT13" i="5"/>
  <c r="AO13" i="5"/>
  <c r="AJ13" i="5"/>
  <c r="AE13" i="5"/>
  <c r="Z13" i="5"/>
  <c r="U13" i="5"/>
  <c r="P13" i="5"/>
  <c r="K13" i="5"/>
  <c r="BR12" i="5"/>
  <c r="BQ12" i="5"/>
  <c r="BP12" i="5"/>
  <c r="BO12" i="5"/>
  <c r="BN12" i="5"/>
  <c r="BI12" i="5"/>
  <c r="BD12" i="5"/>
  <c r="AY12" i="5"/>
  <c r="AT12" i="5"/>
  <c r="AO12" i="5"/>
  <c r="AJ12" i="5"/>
  <c r="AE12" i="5"/>
  <c r="Z12" i="5"/>
  <c r="U12" i="5"/>
  <c r="P12" i="5"/>
  <c r="K12" i="5"/>
  <c r="BR11" i="5"/>
  <c r="BQ11" i="5"/>
  <c r="BP11" i="5"/>
  <c r="BO11" i="5"/>
  <c r="BN11" i="5"/>
  <c r="BI11" i="5"/>
  <c r="BD11" i="5"/>
  <c r="AY11" i="5"/>
  <c r="AT11" i="5"/>
  <c r="AO11" i="5"/>
  <c r="AJ11" i="5"/>
  <c r="AE11" i="5"/>
  <c r="Z11" i="5"/>
  <c r="U11" i="5"/>
  <c r="P11" i="5"/>
  <c r="K11" i="5"/>
  <c r="BM10" i="5"/>
  <c r="BL10" i="5"/>
  <c r="BK10" i="5"/>
  <c r="BJ10" i="5"/>
  <c r="BH10" i="5"/>
  <c r="BG10" i="5"/>
  <c r="BF10" i="5"/>
  <c r="BE10" i="5"/>
  <c r="BC10" i="5"/>
  <c r="BB10" i="5"/>
  <c r="BA10" i="5"/>
  <c r="AZ10" i="5"/>
  <c r="AX10" i="5"/>
  <c r="AW10" i="5"/>
  <c r="AV10" i="5"/>
  <c r="AU10" i="5"/>
  <c r="AS10" i="5"/>
  <c r="AR10" i="5"/>
  <c r="AQ10" i="5"/>
  <c r="AP10" i="5"/>
  <c r="AN10" i="5"/>
  <c r="AM10" i="5"/>
  <c r="AL10" i="5"/>
  <c r="AK10" i="5"/>
  <c r="AI10" i="5"/>
  <c r="AH10" i="5"/>
  <c r="AG10" i="5"/>
  <c r="AF10" i="5"/>
  <c r="AD10" i="5"/>
  <c r="AC10" i="5"/>
  <c r="AB10" i="5"/>
  <c r="AA10" i="5"/>
  <c r="Y10" i="5"/>
  <c r="X10" i="5"/>
  <c r="W10" i="5"/>
  <c r="V10" i="5"/>
  <c r="T10" i="5"/>
  <c r="S10" i="5"/>
  <c r="R10" i="5"/>
  <c r="O10" i="5"/>
  <c r="N10" i="5"/>
  <c r="M10" i="5"/>
  <c r="L10" i="5"/>
  <c r="J10" i="5"/>
  <c r="I10" i="5"/>
  <c r="H10" i="5"/>
  <c r="G10" i="5"/>
  <c r="BR9" i="5"/>
  <c r="BQ9" i="5"/>
  <c r="BP9" i="5"/>
  <c r="BN9" i="5"/>
  <c r="BI9" i="5"/>
  <c r="BD9" i="5"/>
  <c r="AY9" i="5"/>
  <c r="AT9" i="5"/>
  <c r="AO9" i="5"/>
  <c r="AJ9" i="5"/>
  <c r="AE9" i="5"/>
  <c r="Z9" i="5"/>
  <c r="Q9" i="5"/>
  <c r="BO9" i="5" s="1"/>
  <c r="P9" i="5"/>
  <c r="K9" i="5"/>
  <c r="BR8" i="5"/>
  <c r="BQ8" i="5"/>
  <c r="BP8" i="5"/>
  <c r="BN8" i="5"/>
  <c r="BI8" i="5"/>
  <c r="BD8" i="5"/>
  <c r="AY8" i="5"/>
  <c r="AT8" i="5"/>
  <c r="AO8" i="5"/>
  <c r="AJ8" i="5"/>
  <c r="AE8" i="5"/>
  <c r="Z8" i="5"/>
  <c r="Q8" i="5"/>
  <c r="U8" i="5" s="1"/>
  <c r="P8" i="5"/>
  <c r="K8" i="5"/>
  <c r="BR7" i="5"/>
  <c r="BQ7" i="5"/>
  <c r="BP7" i="5"/>
  <c r="BO7" i="5"/>
  <c r="BN7" i="5"/>
  <c r="BI7" i="5"/>
  <c r="BD7" i="5"/>
  <c r="AY7" i="5"/>
  <c r="AT7" i="5"/>
  <c r="AO7" i="5"/>
  <c r="AJ7" i="5"/>
  <c r="AE7" i="5"/>
  <c r="Z7" i="5"/>
  <c r="U7" i="5"/>
  <c r="P7" i="5"/>
  <c r="K7" i="5"/>
  <c r="BR6" i="5"/>
  <c r="BQ6" i="5"/>
  <c r="BP6" i="5"/>
  <c r="BO6" i="5"/>
  <c r="BN6" i="5"/>
  <c r="BI6" i="5"/>
  <c r="BD6" i="5"/>
  <c r="AY6" i="5"/>
  <c r="AT6" i="5"/>
  <c r="AO6" i="5"/>
  <c r="AJ6" i="5"/>
  <c r="AE6" i="5"/>
  <c r="Z6" i="5"/>
  <c r="U6" i="5"/>
  <c r="P6" i="5"/>
  <c r="K6" i="5"/>
  <c r="K491" i="5" l="1"/>
  <c r="BA477" i="5"/>
  <c r="Y477" i="5"/>
  <c r="Y483" i="5" s="1"/>
  <c r="AD477" i="5"/>
  <c r="AD483" i="5" s="1"/>
  <c r="AI477" i="5"/>
  <c r="AI483" i="5" s="1"/>
  <c r="AS477" i="5"/>
  <c r="AS483" i="5" s="1"/>
  <c r="AX477" i="5"/>
  <c r="AX483" i="5" s="1"/>
  <c r="BC477" i="5"/>
  <c r="BC483" i="5" s="1"/>
  <c r="G477" i="5"/>
  <c r="G483" i="5" s="1"/>
  <c r="BQ399" i="5"/>
  <c r="BK477" i="5"/>
  <c r="J477" i="5"/>
  <c r="J483" i="5" s="1"/>
  <c r="BP480" i="5"/>
  <c r="BJ394" i="5"/>
  <c r="BS359" i="5"/>
  <c r="R477" i="5"/>
  <c r="R483" i="5" s="1"/>
  <c r="AG477" i="5"/>
  <c r="AG483" i="5" s="1"/>
  <c r="AL477" i="5"/>
  <c r="AL483" i="5" s="1"/>
  <c r="AQ477" i="5"/>
  <c r="U171" i="5"/>
  <c r="AL166" i="5"/>
  <c r="AL167" i="5" s="1"/>
  <c r="AE217" i="5"/>
  <c r="BG477" i="5"/>
  <c r="BG483" i="5" s="1"/>
  <c r="AQ166" i="5"/>
  <c r="AQ167" i="5" s="1"/>
  <c r="BK166" i="5"/>
  <c r="BK167" i="5" s="1"/>
  <c r="BR95" i="5"/>
  <c r="AI166" i="5"/>
  <c r="AI167" i="5" s="1"/>
  <c r="AN166" i="5"/>
  <c r="AN167" i="5" s="1"/>
  <c r="K254" i="5"/>
  <c r="BA483" i="5"/>
  <c r="AA477" i="5"/>
  <c r="AA483" i="5" s="1"/>
  <c r="BG125" i="5"/>
  <c r="BG126" i="5" s="1"/>
  <c r="BS47" i="5"/>
  <c r="BS113" i="5"/>
  <c r="J125" i="5"/>
  <c r="J126" i="5" s="1"/>
  <c r="BQ10" i="5"/>
  <c r="O125" i="5"/>
  <c r="O126" i="5" s="1"/>
  <c r="Y125" i="5"/>
  <c r="Y126" i="5" s="1"/>
  <c r="AN125" i="5"/>
  <c r="AN126" i="5" s="1"/>
  <c r="BI88" i="5"/>
  <c r="AC166" i="5"/>
  <c r="AC167" i="5" s="1"/>
  <c r="H166" i="5"/>
  <c r="H167" i="5" s="1"/>
  <c r="M166" i="5"/>
  <c r="M167" i="5" s="1"/>
  <c r="AZ394" i="5"/>
  <c r="I166" i="5"/>
  <c r="I167" i="5" s="1"/>
  <c r="N166" i="5"/>
  <c r="N167" i="5" s="1"/>
  <c r="W166" i="5"/>
  <c r="W167" i="5" s="1"/>
  <c r="BS287" i="5"/>
  <c r="BS318" i="5"/>
  <c r="M477" i="5"/>
  <c r="M483" i="5" s="1"/>
  <c r="BS423" i="5"/>
  <c r="S477" i="5"/>
  <c r="S483" i="5" s="1"/>
  <c r="X477" i="5"/>
  <c r="X483" i="5" s="1"/>
  <c r="AC477" i="5"/>
  <c r="AM477" i="5"/>
  <c r="AM483" i="5" s="1"/>
  <c r="AR477" i="5"/>
  <c r="AW477" i="5"/>
  <c r="AW483" i="5" s="1"/>
  <c r="BL477" i="5"/>
  <c r="BL483" i="5" s="1"/>
  <c r="L476" i="5"/>
  <c r="G125" i="5"/>
  <c r="G126" i="5" s="1"/>
  <c r="V125" i="5"/>
  <c r="V126" i="5" s="1"/>
  <c r="AF125" i="5"/>
  <c r="AF126" i="5" s="1"/>
  <c r="BC125" i="5"/>
  <c r="BC126" i="5" s="1"/>
  <c r="BP100" i="5"/>
  <c r="Z124" i="5"/>
  <c r="V166" i="5"/>
  <c r="V167" i="5" s="1"/>
  <c r="AW166" i="5"/>
  <c r="AW167" i="5" s="1"/>
  <c r="BB166" i="5"/>
  <c r="BB167" i="5" s="1"/>
  <c r="BG166" i="5"/>
  <c r="BG167" i="5" s="1"/>
  <c r="BS18" i="5"/>
  <c r="AB125" i="5"/>
  <c r="AL125" i="5"/>
  <c r="AL126" i="5" s="1"/>
  <c r="AQ125" i="5"/>
  <c r="AQ126" i="5" s="1"/>
  <c r="AZ125" i="5"/>
  <c r="AZ126" i="5" s="1"/>
  <c r="BS36" i="5"/>
  <c r="AE67" i="5"/>
  <c r="BN100" i="5"/>
  <c r="J166" i="5"/>
  <c r="J167" i="5" s="1"/>
  <c r="J330" i="5" s="1"/>
  <c r="O166" i="5"/>
  <c r="O167" i="5" s="1"/>
  <c r="AM125" i="5"/>
  <c r="AM126" i="5" s="1"/>
  <c r="AY74" i="5"/>
  <c r="BD124" i="5"/>
  <c r="AP166" i="5"/>
  <c r="AP167" i="5" s="1"/>
  <c r="BJ166" i="5"/>
  <c r="BS232" i="5"/>
  <c r="BO186" i="5"/>
  <c r="BS186" i="5" s="1"/>
  <c r="U194" i="5"/>
  <c r="BE283" i="5"/>
  <c r="U329" i="5"/>
  <c r="AR394" i="5"/>
  <c r="AW394" i="5"/>
  <c r="AS166" i="5"/>
  <c r="AS167" i="5" s="1"/>
  <c r="BI261" i="5"/>
  <c r="P283" i="5"/>
  <c r="BO324" i="5"/>
  <c r="BS324" i="5" s="1"/>
  <c r="L394" i="5"/>
  <c r="BS350" i="5"/>
  <c r="BS288" i="5"/>
  <c r="AB394" i="5"/>
  <c r="AF394" i="5"/>
  <c r="AK394" i="5"/>
  <c r="AP394" i="5"/>
  <c r="BS341" i="5"/>
  <c r="N394" i="5"/>
  <c r="X394" i="5"/>
  <c r="AL394" i="5"/>
  <c r="AQ394" i="5"/>
  <c r="P385" i="5"/>
  <c r="BS411" i="5"/>
  <c r="BM477" i="5"/>
  <c r="BM483" i="5" s="1"/>
  <c r="AY476" i="5"/>
  <c r="BE477" i="5"/>
  <c r="BE483" i="5" s="1"/>
  <c r="P435" i="5"/>
  <c r="BS450" i="5"/>
  <c r="BD466" i="5"/>
  <c r="BP23" i="5"/>
  <c r="BS32" i="5"/>
  <c r="BS42" i="5"/>
  <c r="BS21" i="5"/>
  <c r="BS25" i="5"/>
  <c r="BS37" i="5"/>
  <c r="BS41" i="5"/>
  <c r="BS19" i="5"/>
  <c r="AE74" i="5"/>
  <c r="BS80" i="5"/>
  <c r="AO88" i="5"/>
  <c r="BS92" i="5"/>
  <c r="P95" i="5"/>
  <c r="K100" i="5"/>
  <c r="P100" i="5"/>
  <c r="AT105" i="5"/>
  <c r="AJ52" i="5"/>
  <c r="U54" i="5"/>
  <c r="AY88" i="5"/>
  <c r="K105" i="5"/>
  <c r="P105" i="5"/>
  <c r="Z105" i="5"/>
  <c r="BO62" i="5"/>
  <c r="AE88" i="5"/>
  <c r="BS51" i="5"/>
  <c r="BD52" i="5"/>
  <c r="BO59" i="5"/>
  <c r="BS59" i="5" s="1"/>
  <c r="BN105" i="5"/>
  <c r="AJ124" i="5"/>
  <c r="BO127" i="5"/>
  <c r="BO137" i="5" s="1"/>
  <c r="BS129" i="5"/>
  <c r="AY137" i="5"/>
  <c r="BC166" i="5"/>
  <c r="BC167" i="5" s="1"/>
  <c r="R166" i="5"/>
  <c r="R167" i="5" s="1"/>
  <c r="Y166" i="5"/>
  <c r="Y167" i="5" s="1"/>
  <c r="AD166" i="5"/>
  <c r="AD167" i="5" s="1"/>
  <c r="AH166" i="5"/>
  <c r="AH167" i="5" s="1"/>
  <c r="AM166" i="5"/>
  <c r="AM167" i="5" s="1"/>
  <c r="BS132" i="5"/>
  <c r="K146" i="5"/>
  <c r="BS148" i="5"/>
  <c r="BS153" i="5"/>
  <c r="K165" i="5"/>
  <c r="P165" i="5"/>
  <c r="BS174" i="5"/>
  <c r="BS183" i="5"/>
  <c r="BS197" i="5"/>
  <c r="BS221" i="5"/>
  <c r="BS161" i="5"/>
  <c r="BS180" i="5"/>
  <c r="BD165" i="5"/>
  <c r="BS210" i="5"/>
  <c r="BS224" i="5"/>
  <c r="Z227" i="5"/>
  <c r="BO274" i="5"/>
  <c r="BS274" i="5" s="1"/>
  <c r="BS294" i="5"/>
  <c r="BS313" i="5"/>
  <c r="AY329" i="5"/>
  <c r="BI329" i="5"/>
  <c r="BS331" i="5"/>
  <c r="BE394" i="5"/>
  <c r="BS297" i="5"/>
  <c r="BS317" i="5"/>
  <c r="BS337" i="5"/>
  <c r="J394" i="5"/>
  <c r="O394" i="5"/>
  <c r="BK394" i="5"/>
  <c r="BS258" i="5"/>
  <c r="BI283" i="5"/>
  <c r="BS306" i="5"/>
  <c r="K325" i="5"/>
  <c r="BS349" i="5"/>
  <c r="AJ385" i="5"/>
  <c r="BS391" i="5"/>
  <c r="AY356" i="5"/>
  <c r="BS368" i="5"/>
  <c r="BS388" i="5"/>
  <c r="BS419" i="5"/>
  <c r="BS360" i="5"/>
  <c r="BS406" i="5"/>
  <c r="BS415" i="5"/>
  <c r="W477" i="5"/>
  <c r="W483" i="5" s="1"/>
  <c r="AF477" i="5"/>
  <c r="AK477" i="5"/>
  <c r="AK483" i="5" s="1"/>
  <c r="AU477" i="5"/>
  <c r="AU483" i="5" s="1"/>
  <c r="BS452" i="5"/>
  <c r="I477" i="5"/>
  <c r="AT480" i="5"/>
  <c r="AJ482" i="5"/>
  <c r="O477" i="5"/>
  <c r="O483" i="5" s="1"/>
  <c r="BF477" i="5"/>
  <c r="BS472" i="5"/>
  <c r="BI476" i="5"/>
  <c r="BR480" i="5"/>
  <c r="AY60" i="5"/>
  <c r="BR10" i="5"/>
  <c r="BO70" i="5"/>
  <c r="BS70" i="5" s="1"/>
  <c r="U70" i="5"/>
  <c r="BS7" i="5"/>
  <c r="BQ23" i="5"/>
  <c r="BS13" i="5"/>
  <c r="BS9" i="5"/>
  <c r="AY10" i="5"/>
  <c r="BR23" i="5"/>
  <c r="S125" i="5"/>
  <c r="S126" i="5" s="1"/>
  <c r="AR125" i="5"/>
  <c r="AR126" i="5" s="1"/>
  <c r="BR52" i="5"/>
  <c r="BP105" i="5"/>
  <c r="BP10" i="5"/>
  <c r="U9" i="5"/>
  <c r="Q10" i="5"/>
  <c r="U10" i="5" s="1"/>
  <c r="BO23" i="5"/>
  <c r="BS15" i="5"/>
  <c r="BS16" i="5"/>
  <c r="BK125" i="5"/>
  <c r="BK126" i="5" s="1"/>
  <c r="BS34" i="5"/>
  <c r="BS45" i="5"/>
  <c r="K52" i="5"/>
  <c r="P52" i="5"/>
  <c r="AO52" i="5"/>
  <c r="Q67" i="5"/>
  <c r="U67" i="5" s="1"/>
  <c r="K67" i="5"/>
  <c r="BS72" i="5"/>
  <c r="K74" i="5"/>
  <c r="AE81" i="5"/>
  <c r="BS82" i="5"/>
  <c r="K88" i="5"/>
  <c r="P88" i="5"/>
  <c r="AY95" i="5"/>
  <c r="BI95" i="5"/>
  <c r="BQ105" i="5"/>
  <c r="BS102" i="5"/>
  <c r="BO124" i="5"/>
  <c r="H125" i="5"/>
  <c r="H126" i="5" s="1"/>
  <c r="M125" i="5"/>
  <c r="M126" i="5" s="1"/>
  <c r="M330" i="5" s="1"/>
  <c r="W125" i="5"/>
  <c r="W126" i="5" s="1"/>
  <c r="AG125" i="5"/>
  <c r="AG126" i="5" s="1"/>
  <c r="AS125" i="5"/>
  <c r="AS126" i="5" s="1"/>
  <c r="AW125" i="5"/>
  <c r="AW126" i="5" s="1"/>
  <c r="BA125" i="5"/>
  <c r="BE125" i="5"/>
  <c r="BE126" i="5" s="1"/>
  <c r="BM125" i="5"/>
  <c r="BM126" i="5" s="1"/>
  <c r="BS31" i="5"/>
  <c r="BS48" i="5"/>
  <c r="BS49" i="5"/>
  <c r="AT52" i="5"/>
  <c r="BI52" i="5"/>
  <c r="U53" i="5"/>
  <c r="BS58" i="5"/>
  <c r="AT65" i="5"/>
  <c r="AY66" i="5"/>
  <c r="Z67" i="5"/>
  <c r="AJ67" i="5"/>
  <c r="BR74" i="5"/>
  <c r="BO69" i="5"/>
  <c r="BS69" i="5" s="1"/>
  <c r="BP74" i="5"/>
  <c r="Z74" i="5"/>
  <c r="AJ74" i="5"/>
  <c r="BS76" i="5"/>
  <c r="BP81" i="5"/>
  <c r="K81" i="5"/>
  <c r="T125" i="5"/>
  <c r="T126" i="5" s="1"/>
  <c r="BP88" i="5"/>
  <c r="AT88" i="5"/>
  <c r="BD88" i="5"/>
  <c r="BN88" i="5"/>
  <c r="BP95" i="5"/>
  <c r="U94" i="5"/>
  <c r="Q95" i="5"/>
  <c r="U95" i="5" s="1"/>
  <c r="BR100" i="5"/>
  <c r="BS97" i="5"/>
  <c r="BS99" i="5"/>
  <c r="AE100" i="5"/>
  <c r="AY100" i="5"/>
  <c r="BI100" i="5"/>
  <c r="BS104" i="5"/>
  <c r="U105" i="5"/>
  <c r="AE105" i="5"/>
  <c r="BS106" i="5"/>
  <c r="BS111" i="5"/>
  <c r="BO193" i="5"/>
  <c r="BS193" i="5" s="1"/>
  <c r="U193" i="5"/>
  <c r="BS12" i="5"/>
  <c r="BS14" i="5"/>
  <c r="BS17" i="5"/>
  <c r="BS20" i="5"/>
  <c r="BS22" i="5"/>
  <c r="I125" i="5"/>
  <c r="I126" i="5" s="1"/>
  <c r="N125" i="5"/>
  <c r="N126" i="5" s="1"/>
  <c r="AA125" i="5"/>
  <c r="AA126" i="5" s="1"/>
  <c r="AH125" i="5"/>
  <c r="AH126" i="5" s="1"/>
  <c r="AH330" i="5" s="1"/>
  <c r="AX125" i="5"/>
  <c r="AX126" i="5" s="1"/>
  <c r="BF125" i="5"/>
  <c r="BF126" i="5" s="1"/>
  <c r="BP52" i="5"/>
  <c r="BS29" i="5"/>
  <c r="BS33" i="5"/>
  <c r="BS38" i="5"/>
  <c r="BS50" i="5"/>
  <c r="U52" i="5"/>
  <c r="AY52" i="5"/>
  <c r="BS57" i="5"/>
  <c r="AT63" i="5"/>
  <c r="BO64" i="5"/>
  <c r="BS64" i="5" s="1"/>
  <c r="Q74" i="5"/>
  <c r="U74" i="5" s="1"/>
  <c r="U69" i="5"/>
  <c r="BQ81" i="5"/>
  <c r="BS78" i="5"/>
  <c r="Z81" i="5"/>
  <c r="AT81" i="5"/>
  <c r="BN81" i="5"/>
  <c r="BQ88" i="5"/>
  <c r="BS86" i="5"/>
  <c r="BQ95" i="5"/>
  <c r="BS90" i="5"/>
  <c r="AJ95" i="5"/>
  <c r="AT95" i="5"/>
  <c r="BD95" i="5"/>
  <c r="BN95" i="5"/>
  <c r="BO100" i="5"/>
  <c r="BO105" i="5"/>
  <c r="BS108" i="5"/>
  <c r="BS116" i="5"/>
  <c r="BS117" i="5"/>
  <c r="BS122" i="5"/>
  <c r="P124" i="5"/>
  <c r="BN124" i="5"/>
  <c r="G166" i="5"/>
  <c r="G167" i="5" s="1"/>
  <c r="BS128" i="5"/>
  <c r="BP137" i="5"/>
  <c r="AR166" i="5"/>
  <c r="AR167" i="5" s="1"/>
  <c r="AV166" i="5"/>
  <c r="AZ166" i="5"/>
  <c r="AZ167" i="5" s="1"/>
  <c r="BH166" i="5"/>
  <c r="BH167" i="5" s="1"/>
  <c r="BS150" i="5"/>
  <c r="BS154" i="5"/>
  <c r="BS118" i="5"/>
  <c r="U124" i="5"/>
  <c r="AO124" i="5"/>
  <c r="BR137" i="5"/>
  <c r="T166" i="5"/>
  <c r="T167" i="5" s="1"/>
  <c r="AG166" i="5"/>
  <c r="AG167" i="5" s="1"/>
  <c r="AK166" i="5"/>
  <c r="AK167" i="5" s="1"/>
  <c r="BA166" i="5"/>
  <c r="BA167" i="5" s="1"/>
  <c r="BE166" i="5"/>
  <c r="BE167" i="5" s="1"/>
  <c r="BM166" i="5"/>
  <c r="BM167" i="5" s="1"/>
  <c r="BS142" i="5"/>
  <c r="BS143" i="5"/>
  <c r="Z146" i="5"/>
  <c r="AT146" i="5"/>
  <c r="BS149" i="5"/>
  <c r="BS155" i="5"/>
  <c r="AJ165" i="5"/>
  <c r="AO172" i="5"/>
  <c r="P254" i="5"/>
  <c r="L255" i="5"/>
  <c r="BS136" i="5"/>
  <c r="BQ146" i="5"/>
  <c r="BS140" i="5"/>
  <c r="AJ146" i="5"/>
  <c r="AY146" i="5"/>
  <c r="BR165" i="5"/>
  <c r="BS158" i="5"/>
  <c r="BS164" i="5"/>
  <c r="U184" i="5"/>
  <c r="BO184" i="5"/>
  <c r="BS179" i="5"/>
  <c r="BS199" i="5"/>
  <c r="BS209" i="5"/>
  <c r="BS212" i="5"/>
  <c r="BS228" i="5"/>
  <c r="BS235" i="5"/>
  <c r="BS245" i="5"/>
  <c r="BN254" i="5"/>
  <c r="BJ255" i="5"/>
  <c r="BS163" i="5"/>
  <c r="AO165" i="5"/>
  <c r="BI165" i="5"/>
  <c r="BS189" i="5"/>
  <c r="BS195" i="5"/>
  <c r="BS207" i="5"/>
  <c r="BS214" i="5"/>
  <c r="BS216" i="5"/>
  <c r="BS218" i="5"/>
  <c r="BS247" i="5"/>
  <c r="BS250" i="5"/>
  <c r="BS162" i="5"/>
  <c r="Z165" i="5"/>
  <c r="BS171" i="5"/>
  <c r="BS181" i="5"/>
  <c r="BS191" i="5"/>
  <c r="BS201" i="5"/>
  <c r="BS204" i="5"/>
  <c r="BS206" i="5"/>
  <c r="BS222" i="5"/>
  <c r="AE227" i="5"/>
  <c r="AO227" i="5"/>
  <c r="BS236" i="5"/>
  <c r="BS246" i="5"/>
  <c r="BS253" i="5"/>
  <c r="BR283" i="5"/>
  <c r="AO262" i="5"/>
  <c r="BS266" i="5"/>
  <c r="BS281" i="5"/>
  <c r="BS299" i="5"/>
  <c r="BS311" i="5"/>
  <c r="BS260" i="5"/>
  <c r="P274" i="5"/>
  <c r="BO275" i="5"/>
  <c r="BS275" i="5" s="1"/>
  <c r="BS279" i="5"/>
  <c r="AO281" i="5"/>
  <c r="U285" i="5"/>
  <c r="BS301" i="5"/>
  <c r="BS267" i="5"/>
  <c r="BS270" i="5"/>
  <c r="AY275" i="5"/>
  <c r="Z280" i="5"/>
  <c r="BS289" i="5"/>
  <c r="BS293" i="5"/>
  <c r="BS296" i="5"/>
  <c r="BS303" i="5"/>
  <c r="BS309" i="5"/>
  <c r="BS314" i="5"/>
  <c r="BS319" i="5"/>
  <c r="BS323" i="5"/>
  <c r="BS336" i="5"/>
  <c r="T394" i="5"/>
  <c r="AV394" i="5"/>
  <c r="BD356" i="5"/>
  <c r="BP366" i="5"/>
  <c r="U366" i="5"/>
  <c r="BS316" i="5"/>
  <c r="AO329" i="5"/>
  <c r="BQ338" i="5"/>
  <c r="BS332" i="5"/>
  <c r="H394" i="5"/>
  <c r="BR356" i="5"/>
  <c r="BS343" i="5"/>
  <c r="BS346" i="5"/>
  <c r="BS355" i="5"/>
  <c r="AO356" i="5"/>
  <c r="BS358" i="5"/>
  <c r="AO366" i="5"/>
  <c r="BP385" i="5"/>
  <c r="BS320" i="5"/>
  <c r="L329" i="5"/>
  <c r="P329" i="5" s="1"/>
  <c r="AE329" i="5"/>
  <c r="AJ329" i="5"/>
  <c r="AX394" i="5"/>
  <c r="BO356" i="5"/>
  <c r="BS352" i="5"/>
  <c r="K356" i="5"/>
  <c r="P356" i="5"/>
  <c r="BR366" i="5"/>
  <c r="BS365" i="5"/>
  <c r="BI366" i="5"/>
  <c r="BS370" i="5"/>
  <c r="BS376" i="5"/>
  <c r="BS380" i="5"/>
  <c r="BS382" i="5"/>
  <c r="BO393" i="5"/>
  <c r="P393" i="5"/>
  <c r="U393" i="5"/>
  <c r="AE393" i="5"/>
  <c r="BR399" i="5"/>
  <c r="BO397" i="5"/>
  <c r="BS364" i="5"/>
  <c r="BS372" i="5"/>
  <c r="Z385" i="5"/>
  <c r="AT385" i="5"/>
  <c r="BN385" i="5"/>
  <c r="BP393" i="5"/>
  <c r="AJ393" i="5"/>
  <c r="BI393" i="5"/>
  <c r="BD397" i="5"/>
  <c r="BQ366" i="5"/>
  <c r="BS363" i="5"/>
  <c r="K366" i="5"/>
  <c r="P366" i="5"/>
  <c r="BD366" i="5"/>
  <c r="BQ385" i="5"/>
  <c r="BS374" i="5"/>
  <c r="BS384" i="5"/>
  <c r="AY385" i="5"/>
  <c r="BQ393" i="5"/>
  <c r="BN393" i="5"/>
  <c r="BP399" i="5"/>
  <c r="BS404" i="5"/>
  <c r="BS426" i="5"/>
  <c r="BO436" i="5"/>
  <c r="BS436" i="5" s="1"/>
  <c r="P436" i="5"/>
  <c r="BS418" i="5"/>
  <c r="BS422" i="5"/>
  <c r="BS414" i="5"/>
  <c r="BS432" i="5"/>
  <c r="BS438" i="5"/>
  <c r="BS442" i="5"/>
  <c r="BS454" i="5"/>
  <c r="BS439" i="5"/>
  <c r="BS447" i="5"/>
  <c r="BS461" i="5"/>
  <c r="BS465" i="5"/>
  <c r="BS466" i="5"/>
  <c r="BS468" i="5"/>
  <c r="K476" i="5"/>
  <c r="AJ476" i="5"/>
  <c r="BN476" i="5"/>
  <c r="AJ480" i="5"/>
  <c r="U482" i="5"/>
  <c r="Z482" i="5"/>
  <c r="AO482" i="5"/>
  <c r="BS463" i="5"/>
  <c r="BS469" i="5"/>
  <c r="BS474" i="5"/>
  <c r="AO476" i="5"/>
  <c r="BO480" i="5"/>
  <c r="AY480" i="5"/>
  <c r="BS459" i="5"/>
  <c r="BS460" i="5"/>
  <c r="BS473" i="5"/>
  <c r="P480" i="5"/>
  <c r="Z480" i="5"/>
  <c r="BS11" i="5"/>
  <c r="AE23" i="5"/>
  <c r="BS40" i="5"/>
  <c r="BO61" i="5"/>
  <c r="AY61" i="5"/>
  <c r="BS112" i="5"/>
  <c r="BS6" i="5"/>
  <c r="BO8" i="5"/>
  <c r="BS8" i="5" s="1"/>
  <c r="K10" i="5"/>
  <c r="Z23" i="5"/>
  <c r="AT23" i="5"/>
  <c r="BN23" i="5"/>
  <c r="BQ52" i="5"/>
  <c r="BS26" i="5"/>
  <c r="BS28" i="5"/>
  <c r="BS30" i="5"/>
  <c r="BS35" i="5"/>
  <c r="BS44" i="5"/>
  <c r="BS46" i="5"/>
  <c r="BP67" i="5"/>
  <c r="AU67" i="5"/>
  <c r="AY67" i="5" s="1"/>
  <c r="BN67" i="5"/>
  <c r="BN74" i="5"/>
  <c r="BS79" i="5"/>
  <c r="BI81" i="5"/>
  <c r="BS83" i="5"/>
  <c r="BS84" i="5"/>
  <c r="Z88" i="5"/>
  <c r="BS91" i="5"/>
  <c r="AE95" i="5"/>
  <c r="AT100" i="5"/>
  <c r="BI105" i="5"/>
  <c r="BP124" i="5"/>
  <c r="BS107" i="5"/>
  <c r="BS123" i="5"/>
  <c r="AY124" i="5"/>
  <c r="BJ125" i="5"/>
  <c r="AJ10" i="5"/>
  <c r="K23" i="5"/>
  <c r="BS96" i="5"/>
  <c r="AE10" i="5"/>
  <c r="Z10" i="5"/>
  <c r="AT10" i="5"/>
  <c r="BN10" i="5"/>
  <c r="U23" i="5"/>
  <c r="AC125" i="5"/>
  <c r="AC126" i="5" s="1"/>
  <c r="AI125" i="5"/>
  <c r="AI126" i="5" s="1"/>
  <c r="AK125" i="5"/>
  <c r="AO23" i="5"/>
  <c r="BI23" i="5"/>
  <c r="BS39" i="5"/>
  <c r="Z52" i="5"/>
  <c r="AE52" i="5"/>
  <c r="BN52" i="5"/>
  <c r="BQ67" i="5"/>
  <c r="BO55" i="5"/>
  <c r="BS55" i="5" s="1"/>
  <c r="BI67" i="5"/>
  <c r="BQ74" i="5"/>
  <c r="BO71" i="5"/>
  <c r="BS71" i="5" s="1"/>
  <c r="U71" i="5"/>
  <c r="BS73" i="5"/>
  <c r="AT74" i="5"/>
  <c r="BI74" i="5"/>
  <c r="AO81" i="5"/>
  <c r="BD81" i="5"/>
  <c r="BS85" i="5"/>
  <c r="AJ88" i="5"/>
  <c r="K95" i="5"/>
  <c r="Z95" i="5"/>
  <c r="AO95" i="5"/>
  <c r="BQ100" i="5"/>
  <c r="BS98" i="5"/>
  <c r="Z100" i="5"/>
  <c r="AO100" i="5"/>
  <c r="BD100" i="5"/>
  <c r="BS103" i="5"/>
  <c r="AO105" i="5"/>
  <c r="BD105" i="5"/>
  <c r="BQ124" i="5"/>
  <c r="BS109" i="5"/>
  <c r="BS114" i="5"/>
  <c r="BS119" i="5"/>
  <c r="BS120" i="5"/>
  <c r="AE124" i="5"/>
  <c r="AV125" i="5"/>
  <c r="AV126" i="5" s="1"/>
  <c r="BB125" i="5"/>
  <c r="BB126" i="5" s="1"/>
  <c r="BH125" i="5"/>
  <c r="BH126" i="5" s="1"/>
  <c r="BH330" i="5" s="1"/>
  <c r="P10" i="5"/>
  <c r="BD10" i="5"/>
  <c r="AY23" i="5"/>
  <c r="AO10" i="5"/>
  <c r="BI10" i="5"/>
  <c r="L125" i="5"/>
  <c r="P23" i="5"/>
  <c r="R125" i="5"/>
  <c r="R126" i="5" s="1"/>
  <c r="X125" i="5"/>
  <c r="X126" i="5" s="1"/>
  <c r="AD125" i="5"/>
  <c r="AD126" i="5" s="1"/>
  <c r="AJ23" i="5"/>
  <c r="BD23" i="5"/>
  <c r="BL125" i="5"/>
  <c r="BL126" i="5" s="1"/>
  <c r="BO52" i="5"/>
  <c r="BS24" i="5"/>
  <c r="BS27" i="5"/>
  <c r="BS43" i="5"/>
  <c r="BR67" i="5"/>
  <c r="P67" i="5"/>
  <c r="AO67" i="5"/>
  <c r="BD67" i="5"/>
  <c r="P74" i="5"/>
  <c r="AO74" i="5"/>
  <c r="BD74" i="5"/>
  <c r="BR81" i="5"/>
  <c r="BS77" i="5"/>
  <c r="P81" i="5"/>
  <c r="AJ81" i="5"/>
  <c r="AY81" i="5"/>
  <c r="BR88" i="5"/>
  <c r="Q88" i="5"/>
  <c r="U88" i="5" s="1"/>
  <c r="U86" i="5"/>
  <c r="BS89" i="5"/>
  <c r="U100" i="5"/>
  <c r="AJ100" i="5"/>
  <c r="BR105" i="5"/>
  <c r="AJ105" i="5"/>
  <c r="AY105" i="5"/>
  <c r="BR124" i="5"/>
  <c r="BS110" i="5"/>
  <c r="BS115" i="5"/>
  <c r="BS121" i="5"/>
  <c r="K124" i="5"/>
  <c r="AT124" i="5"/>
  <c r="BI124" i="5"/>
  <c r="AO176" i="5"/>
  <c r="BO176" i="5"/>
  <c r="AK254" i="5"/>
  <c r="W255" i="5"/>
  <c r="BO56" i="5"/>
  <c r="BS56" i="5" s="1"/>
  <c r="BO60" i="5"/>
  <c r="BS60" i="5" s="1"/>
  <c r="BO66" i="5"/>
  <c r="BS66" i="5" s="1"/>
  <c r="AP67" i="5"/>
  <c r="AT67" i="5" s="1"/>
  <c r="BO68" i="5"/>
  <c r="BO75" i="5"/>
  <c r="Q81" i="5"/>
  <c r="U81" i="5" s="1"/>
  <c r="BO87" i="5"/>
  <c r="BS87" i="5" s="1"/>
  <c r="BO93" i="5"/>
  <c r="BS93" i="5" s="1"/>
  <c r="BS133" i="5"/>
  <c r="AE137" i="5"/>
  <c r="BJ167" i="5"/>
  <c r="BN137" i="5"/>
  <c r="BR146" i="5"/>
  <c r="BS141" i="5"/>
  <c r="P146" i="5"/>
  <c r="BO53" i="5"/>
  <c r="BO63" i="5"/>
  <c r="BO65" i="5"/>
  <c r="U68" i="5"/>
  <c r="U75" i="5"/>
  <c r="U93" i="5"/>
  <c r="BO94" i="5"/>
  <c r="BS94" i="5" s="1"/>
  <c r="Q166" i="5"/>
  <c r="BS134" i="5"/>
  <c r="AB166" i="5"/>
  <c r="AB167" i="5" s="1"/>
  <c r="AT137" i="5"/>
  <c r="BS138" i="5"/>
  <c r="BN146" i="5"/>
  <c r="BS151" i="5"/>
  <c r="BO54" i="5"/>
  <c r="BS54" i="5" s="1"/>
  <c r="BS101" i="5"/>
  <c r="S137" i="5"/>
  <c r="S166" i="5" s="1"/>
  <c r="S167" i="5" s="1"/>
  <c r="BQ127" i="5"/>
  <c r="BQ137" i="5" s="1"/>
  <c r="U127" i="5"/>
  <c r="BS130" i="5"/>
  <c r="Z137" i="5"/>
  <c r="BP146" i="5"/>
  <c r="AE146" i="5"/>
  <c r="U172" i="5"/>
  <c r="BO172" i="5"/>
  <c r="BS172" i="5" s="1"/>
  <c r="BS131" i="5"/>
  <c r="BS135" i="5"/>
  <c r="AO137" i="5"/>
  <c r="BI137" i="5"/>
  <c r="BS139" i="5"/>
  <c r="BS145" i="5"/>
  <c r="U146" i="5"/>
  <c r="BD146" i="5"/>
  <c r="BO146" i="5"/>
  <c r="BO165" i="5"/>
  <c r="BS147" i="5"/>
  <c r="BS152" i="5"/>
  <c r="AY165" i="5"/>
  <c r="AU166" i="5"/>
  <c r="BS169" i="5"/>
  <c r="BS200" i="5"/>
  <c r="BS213" i="5"/>
  <c r="BS240" i="5"/>
  <c r="L166" i="5"/>
  <c r="P137" i="5"/>
  <c r="X166" i="5"/>
  <c r="X167" i="5" s="1"/>
  <c r="AF166" i="5"/>
  <c r="AJ137" i="5"/>
  <c r="AX166" i="5"/>
  <c r="AX167" i="5" s="1"/>
  <c r="BD137" i="5"/>
  <c r="BF166" i="5"/>
  <c r="BF167" i="5" s="1"/>
  <c r="BL166" i="5"/>
  <c r="BL167" i="5" s="1"/>
  <c r="AO146" i="5"/>
  <c r="BP165" i="5"/>
  <c r="BS156" i="5"/>
  <c r="BS159" i="5"/>
  <c r="BS160" i="5"/>
  <c r="U165" i="5"/>
  <c r="AE165" i="5"/>
  <c r="BN165" i="5"/>
  <c r="AA166" i="5"/>
  <c r="Q254" i="5"/>
  <c r="BS173" i="5"/>
  <c r="U176" i="5"/>
  <c r="BS177" i="5"/>
  <c r="BS182" i="5"/>
  <c r="BO187" i="5"/>
  <c r="BS187" i="5" s="1"/>
  <c r="U187" i="5"/>
  <c r="BS188" i="5"/>
  <c r="BS196" i="5"/>
  <c r="BS202" i="5"/>
  <c r="BS217" i="5"/>
  <c r="BS220" i="5"/>
  <c r="BS226" i="5"/>
  <c r="K137" i="5"/>
  <c r="BS144" i="5"/>
  <c r="BI146" i="5"/>
  <c r="BQ165" i="5"/>
  <c r="BS157" i="5"/>
  <c r="AT165" i="5"/>
  <c r="BS175" i="5"/>
  <c r="BS178" i="5"/>
  <c r="BS185" i="5"/>
  <c r="BS190" i="5"/>
  <c r="U192" i="5"/>
  <c r="BP192" i="5"/>
  <c r="BS194" i="5"/>
  <c r="BS198" i="5"/>
  <c r="BS205" i="5"/>
  <c r="AF254" i="5"/>
  <c r="AJ227" i="5"/>
  <c r="BS230" i="5"/>
  <c r="AQ255" i="5"/>
  <c r="BS168" i="5"/>
  <c r="BO170" i="5"/>
  <c r="BS170" i="5" s="1"/>
  <c r="BQ176" i="5"/>
  <c r="U185" i="5"/>
  <c r="BS208" i="5"/>
  <c r="BS215" i="5"/>
  <c r="AE216" i="5"/>
  <c r="AA254" i="5"/>
  <c r="BS219" i="5"/>
  <c r="BS231" i="5"/>
  <c r="BS234" i="5"/>
  <c r="BS238" i="5"/>
  <c r="BS242" i="5"/>
  <c r="BS248" i="5"/>
  <c r="I255" i="5"/>
  <c r="BE255" i="5"/>
  <c r="BI255" i="5" s="1"/>
  <c r="BI254" i="5"/>
  <c r="AU283" i="5"/>
  <c r="AY283" i="5" s="1"/>
  <c r="AY261" i="5"/>
  <c r="BJ283" i="5"/>
  <c r="BN283" i="5" s="1"/>
  <c r="BN271" i="5"/>
  <c r="R254" i="5"/>
  <c r="R255" i="5" s="1"/>
  <c r="BS203" i="5"/>
  <c r="BS223" i="5"/>
  <c r="BS225" i="5"/>
  <c r="V254" i="5"/>
  <c r="BO227" i="5"/>
  <c r="BS229" i="5"/>
  <c r="BS237" i="5"/>
  <c r="BS243" i="5"/>
  <c r="BS244" i="5"/>
  <c r="BS249" i="5"/>
  <c r="AI255" i="5"/>
  <c r="AT254" i="5"/>
  <c r="AW255" i="5"/>
  <c r="BS265" i="5"/>
  <c r="BO273" i="5"/>
  <c r="BS273" i="5" s="1"/>
  <c r="Z273" i="5"/>
  <c r="AK283" i="5"/>
  <c r="AO283" i="5" s="1"/>
  <c r="BO261" i="5"/>
  <c r="BS261" i="5" s="1"/>
  <c r="AO261" i="5"/>
  <c r="BR254" i="5"/>
  <c r="BR255" i="5" s="1"/>
  <c r="BS211" i="5"/>
  <c r="BS233" i="5"/>
  <c r="BS241" i="5"/>
  <c r="BS251" i="5"/>
  <c r="BS252" i="5"/>
  <c r="O255" i="5"/>
  <c r="BC255" i="5"/>
  <c r="BK255" i="5"/>
  <c r="BS256" i="5"/>
  <c r="BS259" i="5"/>
  <c r="BQ227" i="5"/>
  <c r="BO239" i="5"/>
  <c r="BS239" i="5" s="1"/>
  <c r="AZ254" i="5"/>
  <c r="G255" i="5"/>
  <c r="BP283" i="5"/>
  <c r="BS263" i="5"/>
  <c r="BS272" i="5"/>
  <c r="AZ283" i="5"/>
  <c r="BD283" i="5" s="1"/>
  <c r="BR329" i="5"/>
  <c r="AY254" i="5"/>
  <c r="BQ283" i="5"/>
  <c r="BS262" i="5"/>
  <c r="BS264" i="5"/>
  <c r="BS268" i="5"/>
  <c r="V283" i="5"/>
  <c r="Z283" i="5" s="1"/>
  <c r="BS276" i="5"/>
  <c r="AA283" i="5"/>
  <c r="AE283" i="5" s="1"/>
  <c r="AE280" i="5"/>
  <c r="AJ283" i="5"/>
  <c r="BS292" i="5"/>
  <c r="BS257" i="5"/>
  <c r="BS269" i="5"/>
  <c r="G283" i="5"/>
  <c r="K283" i="5" s="1"/>
  <c r="K274" i="5"/>
  <c r="BS277" i="5"/>
  <c r="BS278" i="5"/>
  <c r="BS282" i="5"/>
  <c r="U283" i="5"/>
  <c r="AT283" i="5"/>
  <c r="BS286" i="5"/>
  <c r="BS290" i="5"/>
  <c r="BO271" i="5"/>
  <c r="BS271" i="5" s="1"/>
  <c r="BS284" i="5"/>
  <c r="BS302" i="5"/>
  <c r="BS307" i="5"/>
  <c r="BS310" i="5"/>
  <c r="G329" i="5"/>
  <c r="K329" i="5" s="1"/>
  <c r="M394" i="5"/>
  <c r="BO280" i="5"/>
  <c r="BP329" i="5"/>
  <c r="BS291" i="5"/>
  <c r="BS298" i="5"/>
  <c r="BS304" i="5"/>
  <c r="BS305" i="5"/>
  <c r="BS308" i="5"/>
  <c r="BS312" i="5"/>
  <c r="BS315" i="5"/>
  <c r="BS321" i="5"/>
  <c r="BS326" i="5"/>
  <c r="Z329" i="5"/>
  <c r="BP338" i="5"/>
  <c r="BO285" i="5"/>
  <c r="BS285" i="5" s="1"/>
  <c r="BS295" i="5"/>
  <c r="BS300" i="5"/>
  <c r="BS327" i="5"/>
  <c r="AT329" i="5"/>
  <c r="AA394" i="5"/>
  <c r="AE338" i="5"/>
  <c r="BM394" i="5"/>
  <c r="BO325" i="5"/>
  <c r="BN329" i="5"/>
  <c r="BS322" i="5"/>
  <c r="P325" i="5"/>
  <c r="BS328" i="5"/>
  <c r="BD329" i="5"/>
  <c r="BS333" i="5"/>
  <c r="BS334" i="5"/>
  <c r="G394" i="5"/>
  <c r="K338" i="5"/>
  <c r="AS394" i="5"/>
  <c r="BG394" i="5"/>
  <c r="BS344" i="5"/>
  <c r="BS345" i="5"/>
  <c r="AE356" i="5"/>
  <c r="BQ325" i="5"/>
  <c r="BQ329" i="5" s="1"/>
  <c r="BR338" i="5"/>
  <c r="BS335" i="5"/>
  <c r="Y394" i="5"/>
  <c r="AM394" i="5"/>
  <c r="BA394" i="5"/>
  <c r="BO338" i="5"/>
  <c r="BS340" i="5"/>
  <c r="BS347" i="5"/>
  <c r="BS353" i="5"/>
  <c r="AJ356" i="5"/>
  <c r="AT356" i="5"/>
  <c r="S394" i="5"/>
  <c r="AG394" i="5"/>
  <c r="AU394" i="5"/>
  <c r="AY338" i="5"/>
  <c r="BS342" i="5"/>
  <c r="BP348" i="5"/>
  <c r="BS348" i="5" s="1"/>
  <c r="BI348" i="5"/>
  <c r="BF356" i="5"/>
  <c r="BF394" i="5" s="1"/>
  <c r="Z356" i="5"/>
  <c r="I394" i="5"/>
  <c r="Q394" i="5"/>
  <c r="U338" i="5"/>
  <c r="W394" i="5"/>
  <c r="AC394" i="5"/>
  <c r="AI394" i="5"/>
  <c r="AO338" i="5"/>
  <c r="BC394" i="5"/>
  <c r="BI338" i="5"/>
  <c r="BS351" i="5"/>
  <c r="BN356" i="5"/>
  <c r="BS362" i="5"/>
  <c r="AE366" i="5"/>
  <c r="AT366" i="5"/>
  <c r="BO385" i="5"/>
  <c r="BS373" i="5"/>
  <c r="BS381" i="5"/>
  <c r="K385" i="5"/>
  <c r="BD385" i="5"/>
  <c r="BS386" i="5"/>
  <c r="BS390" i="5"/>
  <c r="K393" i="5"/>
  <c r="P338" i="5"/>
  <c r="R394" i="5"/>
  <c r="AD394" i="5"/>
  <c r="AJ338" i="5"/>
  <c r="BD338" i="5"/>
  <c r="BL394" i="5"/>
  <c r="BS339" i="5"/>
  <c r="U356" i="5"/>
  <c r="Z366" i="5"/>
  <c r="BS369" i="5"/>
  <c r="AY393" i="5"/>
  <c r="BS401" i="5"/>
  <c r="AO399" i="5"/>
  <c r="V394" i="5"/>
  <c r="Z338" i="5"/>
  <c r="AH394" i="5"/>
  <c r="AN394" i="5"/>
  <c r="AT338" i="5"/>
  <c r="BB394" i="5"/>
  <c r="BH394" i="5"/>
  <c r="BN338" i="5"/>
  <c r="BQ356" i="5"/>
  <c r="BS354" i="5"/>
  <c r="BO366" i="5"/>
  <c r="BS357" i="5"/>
  <c r="BS361" i="5"/>
  <c r="AJ366" i="5"/>
  <c r="AY366" i="5"/>
  <c r="BN366" i="5"/>
  <c r="BR385" i="5"/>
  <c r="BS371" i="5"/>
  <c r="BS377" i="5"/>
  <c r="BS378" i="5"/>
  <c r="AE385" i="5"/>
  <c r="BS389" i="5"/>
  <c r="BD393" i="5"/>
  <c r="BK483" i="5"/>
  <c r="BS367" i="5"/>
  <c r="BS375" i="5"/>
  <c r="BS379" i="5"/>
  <c r="BS383" i="5"/>
  <c r="U385" i="5"/>
  <c r="AO385" i="5"/>
  <c r="BI385" i="5"/>
  <c r="BR393" i="5"/>
  <c r="BS387" i="5"/>
  <c r="BS392" i="5"/>
  <c r="AO393" i="5"/>
  <c r="BS395" i="5"/>
  <c r="BD399" i="5"/>
  <c r="AT399" i="5"/>
  <c r="BI399" i="5"/>
  <c r="BP430" i="5"/>
  <c r="BS402" i="5"/>
  <c r="BS407" i="5"/>
  <c r="BS412" i="5"/>
  <c r="Z393" i="5"/>
  <c r="BS396" i="5"/>
  <c r="AF483" i="5"/>
  <c r="AJ399" i="5"/>
  <c r="I483" i="5"/>
  <c r="BS403" i="5"/>
  <c r="BS408" i="5"/>
  <c r="BS409" i="5"/>
  <c r="AT393" i="5"/>
  <c r="U399" i="5"/>
  <c r="BR430" i="5"/>
  <c r="BS405" i="5"/>
  <c r="BS410" i="5"/>
  <c r="BS417" i="5"/>
  <c r="K399" i="5"/>
  <c r="AE399" i="5"/>
  <c r="AY399" i="5"/>
  <c r="BS413" i="5"/>
  <c r="BS421" i="5"/>
  <c r="T477" i="5"/>
  <c r="T483" i="5" s="1"/>
  <c r="AH477" i="5"/>
  <c r="AV477" i="5"/>
  <c r="BJ477" i="5"/>
  <c r="BN430" i="5"/>
  <c r="AJ398" i="5"/>
  <c r="AT398" i="5"/>
  <c r="BO398" i="5"/>
  <c r="BS398" i="5" s="1"/>
  <c r="Z399" i="5"/>
  <c r="BN399" i="5"/>
  <c r="BQ430" i="5"/>
  <c r="BS416" i="5"/>
  <c r="BS424" i="5"/>
  <c r="BS427" i="5"/>
  <c r="N477" i="5"/>
  <c r="N483" i="5" s="1"/>
  <c r="AB477" i="5"/>
  <c r="AP477" i="5"/>
  <c r="AT430" i="5"/>
  <c r="BS425" i="5"/>
  <c r="H477" i="5"/>
  <c r="H483" i="5" s="1"/>
  <c r="V477" i="5"/>
  <c r="Z430" i="5"/>
  <c r="BH477" i="5"/>
  <c r="BS433" i="5"/>
  <c r="Q476" i="5"/>
  <c r="U476" i="5" s="1"/>
  <c r="U435" i="5"/>
  <c r="BS441" i="5"/>
  <c r="P399" i="5"/>
  <c r="BO430" i="5"/>
  <c r="BS400" i="5"/>
  <c r="BS420" i="5"/>
  <c r="BS428" i="5"/>
  <c r="BS429" i="5"/>
  <c r="AN477" i="5"/>
  <c r="AN483" i="5" s="1"/>
  <c r="BB477" i="5"/>
  <c r="BB483" i="5" s="1"/>
  <c r="BQ476" i="5"/>
  <c r="P430" i="5"/>
  <c r="AJ430" i="5"/>
  <c r="BD430" i="5"/>
  <c r="BS431" i="5"/>
  <c r="BS437" i="5"/>
  <c r="BS445" i="5"/>
  <c r="BS453" i="5"/>
  <c r="K430" i="5"/>
  <c r="AE430" i="5"/>
  <c r="AY430" i="5"/>
  <c r="BP476" i="5"/>
  <c r="BS434" i="5"/>
  <c r="BS440" i="5"/>
  <c r="BS443" i="5"/>
  <c r="BS448" i="5"/>
  <c r="BS451" i="5"/>
  <c r="BS457" i="5"/>
  <c r="BS446" i="5"/>
  <c r="BS449" i="5"/>
  <c r="U430" i="5"/>
  <c r="AO430" i="5"/>
  <c r="BI430" i="5"/>
  <c r="BR476" i="5"/>
  <c r="BO435" i="5"/>
  <c r="BS435" i="5" s="1"/>
  <c r="BS444" i="5"/>
  <c r="BS455" i="5"/>
  <c r="BS458" i="5"/>
  <c r="BS462" i="5"/>
  <c r="BS456" i="5"/>
  <c r="AE476" i="5"/>
  <c r="AZ476" i="5"/>
  <c r="BD476" i="5" s="1"/>
  <c r="BS464" i="5"/>
  <c r="BS467" i="5"/>
  <c r="BS470" i="5"/>
  <c r="BS475" i="5"/>
  <c r="AT476" i="5"/>
  <c r="BS471" i="5"/>
  <c r="Z476" i="5"/>
  <c r="K480" i="5"/>
  <c r="AE480" i="5"/>
  <c r="BI482" i="5"/>
  <c r="BS478" i="5"/>
  <c r="P482" i="5"/>
  <c r="AO480" i="5"/>
  <c r="BD480" i="5"/>
  <c r="BD482" i="5"/>
  <c r="BN482" i="5"/>
  <c r="BI480" i="5"/>
  <c r="K482" i="5"/>
  <c r="AT482" i="5"/>
  <c r="BQ482" i="5"/>
  <c r="BN480" i="5"/>
  <c r="AE482" i="5"/>
  <c r="BQ480" i="5"/>
  <c r="BS479" i="5"/>
  <c r="U480" i="5"/>
  <c r="BS481" i="5"/>
  <c r="AY482" i="5"/>
  <c r="AC330" i="5" l="1"/>
  <c r="AL330" i="5"/>
  <c r="T330" i="5"/>
  <c r="T484" i="5" s="1"/>
  <c r="BG330" i="5"/>
  <c r="BG484" i="5" s="1"/>
  <c r="BB330" i="5"/>
  <c r="BM330" i="5"/>
  <c r="BM484" i="5" s="1"/>
  <c r="BF330" i="5"/>
  <c r="Y330" i="5"/>
  <c r="Y484" i="5" s="1"/>
  <c r="AO477" i="5"/>
  <c r="BI477" i="5"/>
  <c r="AY477" i="5"/>
  <c r="H330" i="5"/>
  <c r="H484" i="5" s="1"/>
  <c r="BD167" i="5"/>
  <c r="W330" i="5"/>
  <c r="W484" i="5" s="1"/>
  <c r="P394" i="5"/>
  <c r="AN330" i="5"/>
  <c r="AN484" i="5" s="1"/>
  <c r="Z477" i="5"/>
  <c r="AO166" i="5"/>
  <c r="AT166" i="5"/>
  <c r="AD330" i="5"/>
  <c r="AO167" i="5"/>
  <c r="AS330" i="5"/>
  <c r="AS484" i="5" s="1"/>
  <c r="BN477" i="5"/>
  <c r="BN255" i="5"/>
  <c r="AT167" i="5"/>
  <c r="N330" i="5"/>
  <c r="N484" i="5" s="1"/>
  <c r="K166" i="5"/>
  <c r="BR166" i="5"/>
  <c r="BR167" i="5" s="1"/>
  <c r="BS62" i="5"/>
  <c r="K477" i="5"/>
  <c r="AQ483" i="5"/>
  <c r="BS397" i="5"/>
  <c r="K255" i="5"/>
  <c r="O330" i="5"/>
  <c r="O484" i="5" s="1"/>
  <c r="AX330" i="5"/>
  <c r="AX484" i="5" s="1"/>
  <c r="K125" i="5"/>
  <c r="BS393" i="5"/>
  <c r="BC330" i="5"/>
  <c r="BC484" i="5" s="1"/>
  <c r="AW330" i="5"/>
  <c r="AW484" i="5" s="1"/>
  <c r="Q477" i="5"/>
  <c r="Q483" i="5" s="1"/>
  <c r="U483" i="5" s="1"/>
  <c r="AM330" i="5"/>
  <c r="AM484" i="5" s="1"/>
  <c r="BI356" i="5"/>
  <c r="AQ330" i="5"/>
  <c r="AT255" i="5"/>
  <c r="BA126" i="5"/>
  <c r="BA330" i="5" s="1"/>
  <c r="BA484" i="5" s="1"/>
  <c r="AG330" i="5"/>
  <c r="AG484" i="5" s="1"/>
  <c r="BF483" i="5"/>
  <c r="P476" i="5"/>
  <c r="L477" i="5"/>
  <c r="AR483" i="5"/>
  <c r="AC483" i="5"/>
  <c r="AC484" i="5" s="1"/>
  <c r="K167" i="5"/>
  <c r="AB126" i="5"/>
  <c r="AE126" i="5" s="1"/>
  <c r="AT477" i="5"/>
  <c r="BS184" i="5"/>
  <c r="AV167" i="5"/>
  <c r="AV330" i="5" s="1"/>
  <c r="S330" i="5"/>
  <c r="S484" i="5" s="1"/>
  <c r="BS105" i="5"/>
  <c r="K126" i="5"/>
  <c r="AO394" i="5"/>
  <c r="AY394" i="5"/>
  <c r="I330" i="5"/>
  <c r="I484" i="5" s="1"/>
  <c r="BS146" i="5"/>
  <c r="AT394" i="5"/>
  <c r="AE477" i="5"/>
  <c r="AL484" i="5"/>
  <c r="AH483" i="5"/>
  <c r="AJ483" i="5" s="1"/>
  <c r="R330" i="5"/>
  <c r="R484" i="5" s="1"/>
  <c r="J484" i="5"/>
  <c r="AJ477" i="5"/>
  <c r="BE330" i="5"/>
  <c r="BE484" i="5" s="1"/>
  <c r="X330" i="5"/>
  <c r="X484" i="5" s="1"/>
  <c r="BI125" i="5"/>
  <c r="K483" i="5"/>
  <c r="V483" i="5"/>
  <c r="U137" i="5"/>
  <c r="BS482" i="5"/>
  <c r="AB483" i="5"/>
  <c r="Z166" i="5"/>
  <c r="BI126" i="5"/>
  <c r="AI330" i="5"/>
  <c r="AI484" i="5" s="1"/>
  <c r="BP125" i="5"/>
  <c r="BP126" i="5" s="1"/>
  <c r="AR330" i="5"/>
  <c r="BL330" i="5"/>
  <c r="BL484" i="5" s="1"/>
  <c r="BS480" i="5"/>
  <c r="AV483" i="5"/>
  <c r="AY483" i="5" s="1"/>
  <c r="Z394" i="5"/>
  <c r="BN394" i="5"/>
  <c r="AY255" i="5"/>
  <c r="BQ254" i="5"/>
  <c r="BQ255" i="5" s="1"/>
  <c r="BO254" i="5"/>
  <c r="BD166" i="5"/>
  <c r="BS165" i="5"/>
  <c r="BQ166" i="5"/>
  <c r="BQ167" i="5" s="1"/>
  <c r="BS100" i="5"/>
  <c r="BS366" i="5"/>
  <c r="AJ394" i="5"/>
  <c r="BD394" i="5"/>
  <c r="BR125" i="5"/>
  <c r="BR126" i="5" s="1"/>
  <c r="BS52" i="5"/>
  <c r="BO10" i="5"/>
  <c r="BS10" i="5" s="1"/>
  <c r="BS23" i="5"/>
  <c r="Z483" i="5"/>
  <c r="BP477" i="5"/>
  <c r="BP483" i="5" s="1"/>
  <c r="BO399" i="5"/>
  <c r="BQ394" i="5"/>
  <c r="BS385" i="5"/>
  <c r="BI394" i="5"/>
  <c r="BO329" i="5"/>
  <c r="BS329" i="5" s="1"/>
  <c r="BP166" i="5"/>
  <c r="BP167" i="5" s="1"/>
  <c r="Z167" i="5"/>
  <c r="BS124" i="5"/>
  <c r="BB484" i="5"/>
  <c r="BS280" i="5"/>
  <c r="Z254" i="5"/>
  <c r="V255" i="5"/>
  <c r="Z255" i="5" s="1"/>
  <c r="AE254" i="5"/>
  <c r="AA255" i="5"/>
  <c r="AE255" i="5" s="1"/>
  <c r="BO81" i="5"/>
  <c r="BS81" i="5" s="1"/>
  <c r="BS75" i="5"/>
  <c r="M484" i="5"/>
  <c r="AE125" i="5"/>
  <c r="G330" i="5"/>
  <c r="BS61" i="5"/>
  <c r="BO88" i="5"/>
  <c r="BS88" i="5" s="1"/>
  <c r="Z125" i="5"/>
  <c r="BQ125" i="5"/>
  <c r="BQ126" i="5" s="1"/>
  <c r="P166" i="5"/>
  <c r="L167" i="5"/>
  <c r="P167" i="5" s="1"/>
  <c r="BI167" i="5"/>
  <c r="BS53" i="5"/>
  <c r="BO67" i="5"/>
  <c r="BS67" i="5" s="1"/>
  <c r="BN167" i="5"/>
  <c r="AU125" i="5"/>
  <c r="BP356" i="5"/>
  <c r="BS356" i="5" s="1"/>
  <c r="BS325" i="5"/>
  <c r="BP254" i="5"/>
  <c r="BP255" i="5" s="1"/>
  <c r="Q255" i="5"/>
  <c r="U255" i="5" s="1"/>
  <c r="U254" i="5"/>
  <c r="BS127" i="5"/>
  <c r="BO476" i="5"/>
  <c r="BS476" i="5" s="1"/>
  <c r="BQ477" i="5"/>
  <c r="BQ483" i="5" s="1"/>
  <c r="BH483" i="5"/>
  <c r="BR477" i="5"/>
  <c r="BR483" i="5" s="1"/>
  <c r="U394" i="5"/>
  <c r="BO394" i="5"/>
  <c r="BS338" i="5"/>
  <c r="AA167" i="5"/>
  <c r="AE166" i="5"/>
  <c r="AJ166" i="5"/>
  <c r="AF167" i="5"/>
  <c r="AJ167" i="5" s="1"/>
  <c r="AU167" i="5"/>
  <c r="AY166" i="5"/>
  <c r="BS137" i="5"/>
  <c r="BO166" i="5"/>
  <c r="BS68" i="5"/>
  <c r="BO74" i="5"/>
  <c r="BS74" i="5" s="1"/>
  <c r="BS176" i="5"/>
  <c r="AJ125" i="5"/>
  <c r="L126" i="5"/>
  <c r="P125" i="5"/>
  <c r="BK330" i="5"/>
  <c r="BK484" i="5" s="1"/>
  <c r="AP125" i="5"/>
  <c r="AK126" i="5"/>
  <c r="AO125" i="5"/>
  <c r="Z126" i="5"/>
  <c r="BS430" i="5"/>
  <c r="AZ255" i="5"/>
  <c r="BD255" i="5" s="1"/>
  <c r="BD254" i="5"/>
  <c r="BS63" i="5"/>
  <c r="AK255" i="5"/>
  <c r="AO255" i="5" s="1"/>
  <c r="AO254" i="5"/>
  <c r="AD484" i="5"/>
  <c r="BJ126" i="5"/>
  <c r="BN125" i="5"/>
  <c r="AP483" i="5"/>
  <c r="BS399" i="5"/>
  <c r="BR394" i="5"/>
  <c r="BO283" i="5"/>
  <c r="BS283" i="5" s="1"/>
  <c r="Q167" i="5"/>
  <c r="U167" i="5" s="1"/>
  <c r="U166" i="5"/>
  <c r="BN166" i="5"/>
  <c r="AZ477" i="5"/>
  <c r="BJ483" i="5"/>
  <c r="BN483" i="5" s="1"/>
  <c r="AO483" i="5"/>
  <c r="K394" i="5"/>
  <c r="AE394" i="5"/>
  <c r="BS227" i="5"/>
  <c r="AJ254" i="5"/>
  <c r="AF255" i="5"/>
  <c r="AJ255" i="5" s="1"/>
  <c r="BS192" i="5"/>
  <c r="BI166" i="5"/>
  <c r="P255" i="5"/>
  <c r="BS65" i="5"/>
  <c r="BO95" i="5"/>
  <c r="BS95" i="5" s="1"/>
  <c r="BD125" i="5"/>
  <c r="AJ126" i="5"/>
  <c r="Q125" i="5"/>
  <c r="BO477" i="5" l="1"/>
  <c r="BO483" i="5" s="1"/>
  <c r="BD126" i="5"/>
  <c r="AB330" i="5"/>
  <c r="AB484" i="5" s="1"/>
  <c r="BI330" i="5"/>
  <c r="U477" i="5"/>
  <c r="BF484" i="5"/>
  <c r="BQ330" i="5"/>
  <c r="BQ484" i="5" s="1"/>
  <c r="AY167" i="5"/>
  <c r="BR330" i="5"/>
  <c r="BR484" i="5" s="1"/>
  <c r="AE483" i="5"/>
  <c r="BO255" i="5"/>
  <c r="BS255" i="5" s="1"/>
  <c r="AR484" i="5"/>
  <c r="V330" i="5"/>
  <c r="Z330" i="5" s="1"/>
  <c r="BI483" i="5"/>
  <c r="AH484" i="5"/>
  <c r="BP330" i="5"/>
  <c r="AZ330" i="5"/>
  <c r="BD330" i="5" s="1"/>
  <c r="AT483" i="5"/>
  <c r="BP394" i="5"/>
  <c r="BS394" i="5" s="1"/>
  <c r="AQ484" i="5"/>
  <c r="BS483" i="5"/>
  <c r="BS477" i="5"/>
  <c r="BH484" i="5"/>
  <c r="BI484" i="5" s="1"/>
  <c r="AV484" i="5"/>
  <c r="L483" i="5"/>
  <c r="P483" i="5" s="1"/>
  <c r="P477" i="5"/>
  <c r="BS254" i="5"/>
  <c r="AP126" i="5"/>
  <c r="AT125" i="5"/>
  <c r="P126" i="5"/>
  <c r="L330" i="5"/>
  <c r="BO167" i="5"/>
  <c r="BS167" i="5" s="1"/>
  <c r="BS166" i="5"/>
  <c r="AF330" i="5"/>
  <c r="AE167" i="5"/>
  <c r="AA330" i="5"/>
  <c r="AU126" i="5"/>
  <c r="AY125" i="5"/>
  <c r="BD477" i="5"/>
  <c r="AZ483" i="5"/>
  <c r="BD483" i="5" s="1"/>
  <c r="BO125" i="5"/>
  <c r="BN126" i="5"/>
  <c r="BJ330" i="5"/>
  <c r="AO126" i="5"/>
  <c r="AK330" i="5"/>
  <c r="G484" i="5"/>
  <c r="K484" i="5" s="1"/>
  <c r="K330" i="5"/>
  <c r="U125" i="5"/>
  <c r="Q126" i="5"/>
  <c r="V484" i="5" l="1"/>
  <c r="Z484" i="5" s="1"/>
  <c r="BP484" i="5"/>
  <c r="BO126" i="5"/>
  <c r="BS125" i="5"/>
  <c r="AA484" i="5"/>
  <c r="AE484" i="5" s="1"/>
  <c r="AE330" i="5"/>
  <c r="U126" i="5"/>
  <c r="Q330" i="5"/>
  <c r="AK484" i="5"/>
  <c r="AO484" i="5" s="1"/>
  <c r="AO330" i="5"/>
  <c r="BJ484" i="5"/>
  <c r="BN330" i="5"/>
  <c r="AF484" i="5"/>
  <c r="AJ484" i="5" s="1"/>
  <c r="AJ330" i="5"/>
  <c r="L484" i="5"/>
  <c r="P484" i="5" s="1"/>
  <c r="P330" i="5"/>
  <c r="AZ484" i="5"/>
  <c r="BD484" i="5" s="1"/>
  <c r="AY126" i="5"/>
  <c r="AU330" i="5"/>
  <c r="AT126" i="5"/>
  <c r="AP330" i="5"/>
  <c r="AP484" i="5" l="1"/>
  <c r="AT484" i="5" s="1"/>
  <c r="AT330" i="5"/>
  <c r="Q484" i="5"/>
  <c r="U484" i="5" s="1"/>
  <c r="U330" i="5"/>
  <c r="BN484" i="5"/>
  <c r="AU484" i="5"/>
  <c r="AY484" i="5" s="1"/>
  <c r="AY330" i="5"/>
  <c r="BS126" i="5"/>
  <c r="BO330" i="5"/>
  <c r="BO484" i="5" l="1"/>
  <c r="BS484" i="5" s="1"/>
  <c r="BS330" i="5"/>
  <c r="BJ431" i="4" l="1"/>
  <c r="BJ430" i="4"/>
  <c r="BR425" i="4"/>
  <c r="BQ425" i="4"/>
  <c r="BP425" i="4"/>
  <c r="BO425" i="4"/>
  <c r="BN425" i="4"/>
  <c r="BI425" i="4"/>
  <c r="BD425" i="4"/>
  <c r="AY425" i="4"/>
  <c r="AT425" i="4"/>
  <c r="AO425" i="4"/>
  <c r="AJ425" i="4"/>
  <c r="AE425" i="4"/>
  <c r="Z425" i="4"/>
  <c r="U425" i="4"/>
  <c r="P425" i="4"/>
  <c r="K425" i="4"/>
  <c r="BR388" i="4"/>
  <c r="BQ388" i="4"/>
  <c r="BP388" i="4"/>
  <c r="BO388" i="4"/>
  <c r="BN388" i="4"/>
  <c r="BI388" i="4"/>
  <c r="BD388" i="4"/>
  <c r="AY388" i="4"/>
  <c r="AT388" i="4"/>
  <c r="AO388" i="4"/>
  <c r="AJ388" i="4"/>
  <c r="AE388" i="4"/>
  <c r="Z388" i="4"/>
  <c r="U388" i="4"/>
  <c r="P388" i="4"/>
  <c r="K388" i="4"/>
  <c r="BR346" i="4"/>
  <c r="BQ346" i="4"/>
  <c r="BP346" i="4"/>
  <c r="BO346" i="4"/>
  <c r="BN346" i="4"/>
  <c r="BI346" i="4"/>
  <c r="BD346" i="4"/>
  <c r="AY346" i="4"/>
  <c r="AT346" i="4"/>
  <c r="AO346" i="4"/>
  <c r="AJ346" i="4"/>
  <c r="AE346" i="4"/>
  <c r="Z346" i="4"/>
  <c r="U346" i="4"/>
  <c r="P346" i="4"/>
  <c r="K346" i="4"/>
  <c r="BS425" i="4" l="1"/>
  <c r="BS388" i="4"/>
  <c r="BS346" i="4"/>
  <c r="BJ245" i="4"/>
  <c r="BR276" i="4" l="1"/>
  <c r="BQ276" i="4"/>
  <c r="BP276" i="4"/>
  <c r="BO276" i="4"/>
  <c r="BN276" i="4"/>
  <c r="BI276" i="4"/>
  <c r="BD276" i="4"/>
  <c r="AY276" i="4"/>
  <c r="AT276" i="4"/>
  <c r="AO276" i="4"/>
  <c r="AJ276" i="4"/>
  <c r="AE276" i="4"/>
  <c r="Z276" i="4"/>
  <c r="U276" i="4"/>
  <c r="P276" i="4"/>
  <c r="K276" i="4"/>
  <c r="BR277" i="4"/>
  <c r="BQ277" i="4"/>
  <c r="BP277" i="4"/>
  <c r="BO277" i="4"/>
  <c r="BN277" i="4"/>
  <c r="BI277" i="4"/>
  <c r="BD277" i="4"/>
  <c r="AY277" i="4"/>
  <c r="AT277" i="4"/>
  <c r="AO277" i="4"/>
  <c r="AJ277" i="4"/>
  <c r="AE277" i="4"/>
  <c r="Z277" i="4"/>
  <c r="U277" i="4"/>
  <c r="P277" i="4"/>
  <c r="K277" i="4"/>
  <c r="BR275" i="4"/>
  <c r="BQ275" i="4"/>
  <c r="BP275" i="4"/>
  <c r="BO275" i="4"/>
  <c r="BN275" i="4"/>
  <c r="BI275" i="4"/>
  <c r="BD275" i="4"/>
  <c r="AY275" i="4"/>
  <c r="AT275" i="4"/>
  <c r="AO275" i="4"/>
  <c r="AJ275" i="4"/>
  <c r="AE275" i="4"/>
  <c r="Z275" i="4"/>
  <c r="U275" i="4"/>
  <c r="P275" i="4"/>
  <c r="K275" i="4"/>
  <c r="BR268" i="4"/>
  <c r="BQ268" i="4"/>
  <c r="BP268" i="4"/>
  <c r="BO268" i="4"/>
  <c r="BN268" i="4"/>
  <c r="BI268" i="4"/>
  <c r="BD268" i="4"/>
  <c r="AY268" i="4"/>
  <c r="AT268" i="4"/>
  <c r="AO268" i="4"/>
  <c r="AJ268" i="4"/>
  <c r="AE268" i="4"/>
  <c r="Z268" i="4"/>
  <c r="U268" i="4"/>
  <c r="P268" i="4"/>
  <c r="K268" i="4"/>
  <c r="BJ189" i="4"/>
  <c r="BJ190" i="4"/>
  <c r="BS275" i="4" l="1"/>
  <c r="BS277" i="4"/>
  <c r="BS276" i="4"/>
  <c r="BS268" i="4"/>
  <c r="BR423" i="4"/>
  <c r="BQ423" i="4"/>
  <c r="BP423" i="4"/>
  <c r="BO423" i="4"/>
  <c r="BN423" i="4"/>
  <c r="BI423" i="4"/>
  <c r="BD423" i="4"/>
  <c r="AY423" i="4"/>
  <c r="AT423" i="4"/>
  <c r="AO423" i="4"/>
  <c r="AJ423" i="4"/>
  <c r="AE423" i="4"/>
  <c r="Z423" i="4"/>
  <c r="U423" i="4"/>
  <c r="P423" i="4"/>
  <c r="K423" i="4"/>
  <c r="BR422" i="4"/>
  <c r="BQ422" i="4"/>
  <c r="BP422" i="4"/>
  <c r="BO422" i="4"/>
  <c r="BN422" i="4"/>
  <c r="BI422" i="4"/>
  <c r="BD422" i="4"/>
  <c r="AY422" i="4"/>
  <c r="AT422" i="4"/>
  <c r="AO422" i="4"/>
  <c r="AJ422" i="4"/>
  <c r="AE422" i="4"/>
  <c r="Z422" i="4"/>
  <c r="U422" i="4"/>
  <c r="P422" i="4"/>
  <c r="K422" i="4"/>
  <c r="BR424" i="4"/>
  <c r="BQ424" i="4"/>
  <c r="BP424" i="4"/>
  <c r="BO424" i="4"/>
  <c r="BN424" i="4"/>
  <c r="BI424" i="4"/>
  <c r="BD424" i="4"/>
  <c r="AY424" i="4"/>
  <c r="AT424" i="4"/>
  <c r="AO424" i="4"/>
  <c r="AJ424" i="4"/>
  <c r="AE424" i="4"/>
  <c r="Z424" i="4"/>
  <c r="U424" i="4"/>
  <c r="P424" i="4"/>
  <c r="K424" i="4"/>
  <c r="BR387" i="4"/>
  <c r="BQ387" i="4"/>
  <c r="BP387" i="4"/>
  <c r="BO387" i="4"/>
  <c r="BN387" i="4"/>
  <c r="BI387" i="4"/>
  <c r="BD387" i="4"/>
  <c r="AY387" i="4"/>
  <c r="AT387" i="4"/>
  <c r="AO387" i="4"/>
  <c r="AJ387" i="4"/>
  <c r="AE387" i="4"/>
  <c r="Z387" i="4"/>
  <c r="U387" i="4"/>
  <c r="P387" i="4"/>
  <c r="K387" i="4"/>
  <c r="BR386" i="4"/>
  <c r="BQ386" i="4"/>
  <c r="BP386" i="4"/>
  <c r="BO386" i="4"/>
  <c r="BN386" i="4"/>
  <c r="BI386" i="4"/>
  <c r="BD386" i="4"/>
  <c r="AY386" i="4"/>
  <c r="AT386" i="4"/>
  <c r="AO386" i="4"/>
  <c r="AJ386" i="4"/>
  <c r="AE386" i="4"/>
  <c r="Z386" i="4"/>
  <c r="U386" i="4"/>
  <c r="P386" i="4"/>
  <c r="K386" i="4"/>
  <c r="BS386" i="4" l="1"/>
  <c r="BS424" i="4"/>
  <c r="BS423" i="4"/>
  <c r="BS422" i="4"/>
  <c r="BS387" i="4"/>
  <c r="BR323" i="4" l="1"/>
  <c r="BQ323" i="4"/>
  <c r="BP323" i="4"/>
  <c r="BO323" i="4"/>
  <c r="BS323" i="4" s="1"/>
  <c r="BN323" i="4"/>
  <c r="BI323" i="4"/>
  <c r="BD323" i="4"/>
  <c r="AY323" i="4"/>
  <c r="AT323" i="4"/>
  <c r="AO323" i="4"/>
  <c r="AJ323" i="4"/>
  <c r="AE323" i="4"/>
  <c r="Z323" i="4"/>
  <c r="U323" i="4"/>
  <c r="P323" i="4"/>
  <c r="K323" i="4"/>
  <c r="BE191" i="4" l="1"/>
  <c r="BF191" i="4"/>
  <c r="BG192" i="4"/>
  <c r="BG191" i="4"/>
  <c r="BE192" i="4"/>
  <c r="BE189" i="4"/>
  <c r="AZ351" i="4" l="1"/>
  <c r="BR329" i="4"/>
  <c r="BQ329" i="4"/>
  <c r="BP329" i="4"/>
  <c r="BO329" i="4"/>
  <c r="BN329" i="4"/>
  <c r="BI329" i="4"/>
  <c r="BD329" i="4"/>
  <c r="AY329" i="4"/>
  <c r="AT329" i="4"/>
  <c r="AO329" i="4"/>
  <c r="AJ329" i="4"/>
  <c r="AE329" i="4"/>
  <c r="Z329" i="4"/>
  <c r="U329" i="4"/>
  <c r="P329" i="4"/>
  <c r="K329" i="4"/>
  <c r="BS329" i="4" l="1"/>
  <c r="AZ243" i="4"/>
  <c r="AZ245" i="4"/>
  <c r="AZ230" i="4" l="1"/>
  <c r="AZ242" i="4"/>
  <c r="BB191" i="4"/>
  <c r="AZ191" i="4"/>
  <c r="BR217" i="4"/>
  <c r="BQ217" i="4"/>
  <c r="BP217" i="4"/>
  <c r="BO217" i="4"/>
  <c r="BN217" i="4"/>
  <c r="BI217" i="4"/>
  <c r="BD217" i="4"/>
  <c r="AY217" i="4"/>
  <c r="AT217" i="4"/>
  <c r="AO217" i="4"/>
  <c r="AJ217" i="4"/>
  <c r="AE217" i="4"/>
  <c r="Z217" i="4"/>
  <c r="U217" i="4"/>
  <c r="P217" i="4"/>
  <c r="K217" i="4"/>
  <c r="BS217" i="4" l="1"/>
  <c r="BR377" i="4" l="1"/>
  <c r="BQ377" i="4"/>
  <c r="BP377" i="4"/>
  <c r="BO377" i="4"/>
  <c r="BN377" i="4"/>
  <c r="BI377" i="4"/>
  <c r="BD377" i="4"/>
  <c r="AY377" i="4"/>
  <c r="AT377" i="4"/>
  <c r="AO377" i="4"/>
  <c r="AJ377" i="4"/>
  <c r="AE377" i="4"/>
  <c r="Z377" i="4"/>
  <c r="U377" i="4"/>
  <c r="P377" i="4"/>
  <c r="K377" i="4"/>
  <c r="BR304" i="4"/>
  <c r="BQ304" i="4"/>
  <c r="BP304" i="4"/>
  <c r="BO304" i="4"/>
  <c r="BN304" i="4"/>
  <c r="BI304" i="4"/>
  <c r="BD304" i="4"/>
  <c r="AY304" i="4"/>
  <c r="AT304" i="4"/>
  <c r="AO304" i="4"/>
  <c r="AJ304" i="4"/>
  <c r="AE304" i="4"/>
  <c r="Z304" i="4"/>
  <c r="U304" i="4"/>
  <c r="P304" i="4"/>
  <c r="K304" i="4"/>
  <c r="BR269" i="4"/>
  <c r="BQ269" i="4"/>
  <c r="BP269" i="4"/>
  <c r="BO269" i="4"/>
  <c r="BN269" i="4"/>
  <c r="BI269" i="4"/>
  <c r="BD269" i="4"/>
  <c r="AY269" i="4"/>
  <c r="AT269" i="4"/>
  <c r="AO269" i="4"/>
  <c r="AJ269" i="4"/>
  <c r="AE269" i="4"/>
  <c r="Z269" i="4"/>
  <c r="U269" i="4"/>
  <c r="P269" i="4"/>
  <c r="K269" i="4"/>
  <c r="BR267" i="4"/>
  <c r="BQ267" i="4"/>
  <c r="BP267" i="4"/>
  <c r="BO267" i="4"/>
  <c r="BN267" i="4"/>
  <c r="BI267" i="4"/>
  <c r="BD267" i="4"/>
  <c r="AY267" i="4"/>
  <c r="AT267" i="4"/>
  <c r="AO267" i="4"/>
  <c r="AJ267" i="4"/>
  <c r="AE267" i="4"/>
  <c r="Z267" i="4"/>
  <c r="U267" i="4"/>
  <c r="P267" i="4"/>
  <c r="K267" i="4"/>
  <c r="BR264" i="4"/>
  <c r="BQ264" i="4"/>
  <c r="BP264" i="4"/>
  <c r="BO264" i="4"/>
  <c r="BN264" i="4"/>
  <c r="BI264" i="4"/>
  <c r="BD264" i="4"/>
  <c r="AY264" i="4"/>
  <c r="AT264" i="4"/>
  <c r="AO264" i="4"/>
  <c r="AJ264" i="4"/>
  <c r="AE264" i="4"/>
  <c r="Z264" i="4"/>
  <c r="U264" i="4"/>
  <c r="P264" i="4"/>
  <c r="K264" i="4"/>
  <c r="AU243" i="4"/>
  <c r="AU245" i="4"/>
  <c r="BS377" i="4" l="1"/>
  <c r="BS304" i="4"/>
  <c r="BS269" i="4"/>
  <c r="BS267" i="4"/>
  <c r="BS264" i="4"/>
  <c r="BR170" i="4"/>
  <c r="BQ170" i="4"/>
  <c r="BP170" i="4"/>
  <c r="BO170" i="4"/>
  <c r="BN170" i="4"/>
  <c r="BI170" i="4"/>
  <c r="BD170" i="4"/>
  <c r="AY170" i="4"/>
  <c r="AT170" i="4"/>
  <c r="AO170" i="4"/>
  <c r="AJ170" i="4"/>
  <c r="AE170" i="4"/>
  <c r="Z170" i="4"/>
  <c r="U170" i="4"/>
  <c r="P170" i="4"/>
  <c r="K170" i="4"/>
  <c r="BR169" i="4"/>
  <c r="BQ169" i="4"/>
  <c r="BP169" i="4"/>
  <c r="BO169" i="4"/>
  <c r="BN169" i="4"/>
  <c r="BI169" i="4"/>
  <c r="BD169" i="4"/>
  <c r="AY169" i="4"/>
  <c r="AT169" i="4"/>
  <c r="AO169" i="4"/>
  <c r="AJ169" i="4"/>
  <c r="AE169" i="4"/>
  <c r="Z169" i="4"/>
  <c r="U169" i="4"/>
  <c r="P169" i="4"/>
  <c r="K169" i="4"/>
  <c r="BR168" i="4"/>
  <c r="BQ168" i="4"/>
  <c r="BP168" i="4"/>
  <c r="BO168" i="4"/>
  <c r="BN168" i="4"/>
  <c r="BI168" i="4"/>
  <c r="BD168" i="4"/>
  <c r="AY168" i="4"/>
  <c r="AT168" i="4"/>
  <c r="AO168" i="4"/>
  <c r="AJ168" i="4"/>
  <c r="AE168" i="4"/>
  <c r="Z168" i="4"/>
  <c r="U168" i="4"/>
  <c r="P168" i="4"/>
  <c r="K168" i="4"/>
  <c r="BR167" i="4"/>
  <c r="BQ167" i="4"/>
  <c r="BP167" i="4"/>
  <c r="BO167" i="4"/>
  <c r="BN167" i="4"/>
  <c r="BI167" i="4"/>
  <c r="BD167" i="4"/>
  <c r="AY167" i="4"/>
  <c r="AT167" i="4"/>
  <c r="AO167" i="4"/>
  <c r="AJ167" i="4"/>
  <c r="AE167" i="4"/>
  <c r="Z167" i="4"/>
  <c r="U167" i="4"/>
  <c r="P167" i="4"/>
  <c r="K167" i="4"/>
  <c r="BR166" i="4"/>
  <c r="BQ166" i="4"/>
  <c r="BP166" i="4"/>
  <c r="BO166" i="4"/>
  <c r="BN166" i="4"/>
  <c r="BI166" i="4"/>
  <c r="BD166" i="4"/>
  <c r="AY166" i="4"/>
  <c r="AT166" i="4"/>
  <c r="AO166" i="4"/>
  <c r="AJ166" i="4"/>
  <c r="AE166" i="4"/>
  <c r="Z166" i="4"/>
  <c r="U166" i="4"/>
  <c r="P166" i="4"/>
  <c r="K166" i="4"/>
  <c r="BR165" i="4"/>
  <c r="BQ165" i="4"/>
  <c r="BP165" i="4"/>
  <c r="BO165" i="4"/>
  <c r="BN165" i="4"/>
  <c r="BI165" i="4"/>
  <c r="BD165" i="4"/>
  <c r="AY165" i="4"/>
  <c r="AT165" i="4"/>
  <c r="AO165" i="4"/>
  <c r="AJ165" i="4"/>
  <c r="AE165" i="4"/>
  <c r="Z165" i="4"/>
  <c r="U165" i="4"/>
  <c r="P165" i="4"/>
  <c r="K165" i="4"/>
  <c r="BR164" i="4"/>
  <c r="BQ164" i="4"/>
  <c r="BP164" i="4"/>
  <c r="BO164" i="4"/>
  <c r="BN164" i="4"/>
  <c r="BI164" i="4"/>
  <c r="BD164" i="4"/>
  <c r="AY164" i="4"/>
  <c r="AT164" i="4"/>
  <c r="AO164" i="4"/>
  <c r="AJ164" i="4"/>
  <c r="AE164" i="4"/>
  <c r="Z164" i="4"/>
  <c r="U164" i="4"/>
  <c r="P164" i="4"/>
  <c r="K164" i="4"/>
  <c r="AW191" i="4"/>
  <c r="AU191" i="4"/>
  <c r="AV191" i="4"/>
  <c r="BS170" i="4" l="1"/>
  <c r="BS164" i="4"/>
  <c r="BS166" i="4"/>
  <c r="BS168" i="4"/>
  <c r="BS167" i="4"/>
  <c r="BS169" i="4"/>
  <c r="BS165" i="4"/>
  <c r="AP384" i="4"/>
  <c r="AP417" i="4"/>
  <c r="AP410" i="4"/>
  <c r="AR238" i="4"/>
  <c r="AP229" i="4"/>
  <c r="AK199" i="4" l="1"/>
  <c r="BR420" i="4" l="1"/>
  <c r="BQ420" i="4"/>
  <c r="BP420" i="4"/>
  <c r="BO420" i="4"/>
  <c r="BN420" i="4"/>
  <c r="BI420" i="4"/>
  <c r="BD420" i="4"/>
  <c r="AY420" i="4"/>
  <c r="AT420" i="4"/>
  <c r="AO420" i="4"/>
  <c r="AJ420" i="4"/>
  <c r="AE420" i="4"/>
  <c r="Z420" i="4"/>
  <c r="U420" i="4"/>
  <c r="P420" i="4"/>
  <c r="K420" i="4"/>
  <c r="BR419" i="4"/>
  <c r="BQ419" i="4"/>
  <c r="BP419" i="4"/>
  <c r="BO419" i="4"/>
  <c r="BN419" i="4"/>
  <c r="BI419" i="4"/>
  <c r="BD419" i="4"/>
  <c r="AY419" i="4"/>
  <c r="AT419" i="4"/>
  <c r="AO419" i="4"/>
  <c r="AJ419" i="4"/>
  <c r="AE419" i="4"/>
  <c r="Z419" i="4"/>
  <c r="U419" i="4"/>
  <c r="P419" i="4"/>
  <c r="K419" i="4"/>
  <c r="BR418" i="4"/>
  <c r="BQ418" i="4"/>
  <c r="BP418" i="4"/>
  <c r="BO418" i="4"/>
  <c r="BN418" i="4"/>
  <c r="BI418" i="4"/>
  <c r="BD418" i="4"/>
  <c r="AY418" i="4"/>
  <c r="AT418" i="4"/>
  <c r="AO418" i="4"/>
  <c r="AJ418" i="4"/>
  <c r="AE418" i="4"/>
  <c r="Z418" i="4"/>
  <c r="U418" i="4"/>
  <c r="P418" i="4"/>
  <c r="K418" i="4"/>
  <c r="BR417" i="4"/>
  <c r="BQ417" i="4"/>
  <c r="BP417" i="4"/>
  <c r="BO417" i="4"/>
  <c r="BN417" i="4"/>
  <c r="BI417" i="4"/>
  <c r="BD417" i="4"/>
  <c r="AY417" i="4"/>
  <c r="AT417" i="4"/>
  <c r="AO417" i="4"/>
  <c r="AJ417" i="4"/>
  <c r="AE417" i="4"/>
  <c r="Z417" i="4"/>
  <c r="U417" i="4"/>
  <c r="P417" i="4"/>
  <c r="K417" i="4"/>
  <c r="BR416" i="4"/>
  <c r="BQ416" i="4"/>
  <c r="BP416" i="4"/>
  <c r="BO416" i="4"/>
  <c r="BN416" i="4"/>
  <c r="BI416" i="4"/>
  <c r="BD416" i="4"/>
  <c r="AY416" i="4"/>
  <c r="AT416" i="4"/>
  <c r="AO416" i="4"/>
  <c r="AJ416" i="4"/>
  <c r="AE416" i="4"/>
  <c r="Z416" i="4"/>
  <c r="U416" i="4"/>
  <c r="P416" i="4"/>
  <c r="K416" i="4"/>
  <c r="BR415" i="4"/>
  <c r="BQ415" i="4"/>
  <c r="BP415" i="4"/>
  <c r="BO415" i="4"/>
  <c r="BN415" i="4"/>
  <c r="BI415" i="4"/>
  <c r="BD415" i="4"/>
  <c r="AY415" i="4"/>
  <c r="AT415" i="4"/>
  <c r="AO415" i="4"/>
  <c r="AJ415" i="4"/>
  <c r="AE415" i="4"/>
  <c r="Z415" i="4"/>
  <c r="U415" i="4"/>
  <c r="P415" i="4"/>
  <c r="K415" i="4"/>
  <c r="BR414" i="4"/>
  <c r="BQ414" i="4"/>
  <c r="BP414" i="4"/>
  <c r="BO414" i="4"/>
  <c r="BN414" i="4"/>
  <c r="BI414" i="4"/>
  <c r="BD414" i="4"/>
  <c r="AY414" i="4"/>
  <c r="AT414" i="4"/>
  <c r="AO414" i="4"/>
  <c r="AJ414" i="4"/>
  <c r="AE414" i="4"/>
  <c r="Z414" i="4"/>
  <c r="U414" i="4"/>
  <c r="P414" i="4"/>
  <c r="K414" i="4"/>
  <c r="BR384" i="4"/>
  <c r="BQ384" i="4"/>
  <c r="BP384" i="4"/>
  <c r="BO384" i="4"/>
  <c r="BN384" i="4"/>
  <c r="BI384" i="4"/>
  <c r="BD384" i="4"/>
  <c r="AY384" i="4"/>
  <c r="AT384" i="4"/>
  <c r="AO384" i="4"/>
  <c r="AJ384" i="4"/>
  <c r="AE384" i="4"/>
  <c r="Z384" i="4"/>
  <c r="U384" i="4"/>
  <c r="P384" i="4"/>
  <c r="K384" i="4"/>
  <c r="BR383" i="4"/>
  <c r="BQ383" i="4"/>
  <c r="BP383" i="4"/>
  <c r="BO383" i="4"/>
  <c r="BN383" i="4"/>
  <c r="BI383" i="4"/>
  <c r="BD383" i="4"/>
  <c r="AY383" i="4"/>
  <c r="AT383" i="4"/>
  <c r="AO383" i="4"/>
  <c r="AJ383" i="4"/>
  <c r="AE383" i="4"/>
  <c r="Z383" i="4"/>
  <c r="U383" i="4"/>
  <c r="P383" i="4"/>
  <c r="K383" i="4"/>
  <c r="BR382" i="4"/>
  <c r="BQ382" i="4"/>
  <c r="BP382" i="4"/>
  <c r="BO382" i="4"/>
  <c r="BN382" i="4"/>
  <c r="BI382" i="4"/>
  <c r="BD382" i="4"/>
  <c r="AY382" i="4"/>
  <c r="AT382" i="4"/>
  <c r="AO382" i="4"/>
  <c r="AJ382" i="4"/>
  <c r="AE382" i="4"/>
  <c r="Z382" i="4"/>
  <c r="U382" i="4"/>
  <c r="P382" i="4"/>
  <c r="K382" i="4"/>
  <c r="BR381" i="4"/>
  <c r="BQ381" i="4"/>
  <c r="BP381" i="4"/>
  <c r="BO381" i="4"/>
  <c r="BN381" i="4"/>
  <c r="BI381" i="4"/>
  <c r="BD381" i="4"/>
  <c r="AY381" i="4"/>
  <c r="AT381" i="4"/>
  <c r="AO381" i="4"/>
  <c r="AJ381" i="4"/>
  <c r="AE381" i="4"/>
  <c r="Z381" i="4"/>
  <c r="U381" i="4"/>
  <c r="P381" i="4"/>
  <c r="K381" i="4"/>
  <c r="BS382" i="4" l="1"/>
  <c r="BS384" i="4"/>
  <c r="BS415" i="4"/>
  <c r="BS420" i="4"/>
  <c r="BS417" i="4"/>
  <c r="BS418" i="4"/>
  <c r="BS419" i="4"/>
  <c r="BS414" i="4"/>
  <c r="BS416" i="4"/>
  <c r="BS381" i="4"/>
  <c r="BS383" i="4"/>
  <c r="AS344" i="4"/>
  <c r="AS343" i="4"/>
  <c r="BR297" i="4"/>
  <c r="BQ297" i="4"/>
  <c r="BP297" i="4"/>
  <c r="BO297" i="4"/>
  <c r="BN297" i="4"/>
  <c r="BI297" i="4"/>
  <c r="BD297" i="4"/>
  <c r="AY297" i="4"/>
  <c r="AT297" i="4"/>
  <c r="AO297" i="4"/>
  <c r="AJ297" i="4"/>
  <c r="AE297" i="4"/>
  <c r="Z297" i="4"/>
  <c r="U297" i="4"/>
  <c r="P297" i="4"/>
  <c r="K297" i="4"/>
  <c r="AP245" i="4"/>
  <c r="AR257" i="4"/>
  <c r="AP192" i="4"/>
  <c r="AP191" i="4"/>
  <c r="AP110" i="4"/>
  <c r="AP109" i="4"/>
  <c r="AR108" i="4"/>
  <c r="AP108" i="4"/>
  <c r="AR107" i="4"/>
  <c r="AP107" i="4"/>
  <c r="AR105" i="4"/>
  <c r="AP106" i="4"/>
  <c r="AP103" i="4"/>
  <c r="AR104" i="4"/>
  <c r="AP104" i="4"/>
  <c r="AR110" i="4"/>
  <c r="AQ109" i="4"/>
  <c r="AR109" i="4"/>
  <c r="AR106" i="4"/>
  <c r="AQ103" i="4"/>
  <c r="AR103" i="4"/>
  <c r="AQ107" i="4"/>
  <c r="AQ108" i="4"/>
  <c r="BS297" i="4" l="1"/>
  <c r="BR236" i="4" l="1"/>
  <c r="BQ236" i="4"/>
  <c r="BP236" i="4"/>
  <c r="BO236" i="4"/>
  <c r="BN236" i="4"/>
  <c r="BI236" i="4"/>
  <c r="BD236" i="4"/>
  <c r="AY236" i="4"/>
  <c r="AT236" i="4"/>
  <c r="AO236" i="4"/>
  <c r="AJ236" i="4"/>
  <c r="AE236" i="4"/>
  <c r="Z236" i="4"/>
  <c r="U236" i="4"/>
  <c r="P236" i="4"/>
  <c r="K236" i="4"/>
  <c r="AM191" i="4"/>
  <c r="AK191" i="4"/>
  <c r="BS236" i="4" l="1"/>
  <c r="BR212" i="4"/>
  <c r="BQ212" i="4"/>
  <c r="BP212" i="4"/>
  <c r="BO212" i="4"/>
  <c r="BN212" i="4"/>
  <c r="BI212" i="4"/>
  <c r="BD212" i="4"/>
  <c r="AY212" i="4"/>
  <c r="AT212" i="4"/>
  <c r="AO212" i="4"/>
  <c r="AJ212" i="4"/>
  <c r="AE212" i="4"/>
  <c r="Z212" i="4"/>
  <c r="U212" i="4"/>
  <c r="P212" i="4"/>
  <c r="K212" i="4"/>
  <c r="BR211" i="4"/>
  <c r="BQ211" i="4"/>
  <c r="BP211" i="4"/>
  <c r="BO211" i="4"/>
  <c r="BN211" i="4"/>
  <c r="BI211" i="4"/>
  <c r="BD211" i="4"/>
  <c r="AY211" i="4"/>
  <c r="AT211" i="4"/>
  <c r="AO211" i="4"/>
  <c r="AJ211" i="4"/>
  <c r="AE211" i="4"/>
  <c r="Z211" i="4"/>
  <c r="U211" i="4"/>
  <c r="P211" i="4"/>
  <c r="K211" i="4"/>
  <c r="BR17" i="4"/>
  <c r="BQ17" i="4"/>
  <c r="BP17" i="4"/>
  <c r="BO17" i="4"/>
  <c r="BN17" i="4"/>
  <c r="BI17" i="4"/>
  <c r="BD17" i="4"/>
  <c r="AY17" i="4"/>
  <c r="AT17" i="4"/>
  <c r="AO17" i="4"/>
  <c r="AJ17" i="4"/>
  <c r="AE17" i="4"/>
  <c r="Z17" i="4"/>
  <c r="U17" i="4"/>
  <c r="P17" i="4"/>
  <c r="K17" i="4"/>
  <c r="BR16" i="4"/>
  <c r="BQ16" i="4"/>
  <c r="BP16" i="4"/>
  <c r="BO16" i="4"/>
  <c r="BN16" i="4"/>
  <c r="BI16" i="4"/>
  <c r="BD16" i="4"/>
  <c r="AY16" i="4"/>
  <c r="AT16" i="4"/>
  <c r="AO16" i="4"/>
  <c r="AJ16" i="4"/>
  <c r="AE16" i="4"/>
  <c r="Z16" i="4"/>
  <c r="U16" i="4"/>
  <c r="P16" i="4"/>
  <c r="K16" i="4"/>
  <c r="BR15" i="4"/>
  <c r="BQ15" i="4"/>
  <c r="BP15" i="4"/>
  <c r="BO15" i="4"/>
  <c r="BN15" i="4"/>
  <c r="BI15" i="4"/>
  <c r="BD15" i="4"/>
  <c r="AY15" i="4"/>
  <c r="AT15" i="4"/>
  <c r="AO15" i="4"/>
  <c r="AJ15" i="4"/>
  <c r="AE15" i="4"/>
  <c r="Z15" i="4"/>
  <c r="U15" i="4"/>
  <c r="P15" i="4"/>
  <c r="K15" i="4"/>
  <c r="BR14" i="4"/>
  <c r="BQ14" i="4"/>
  <c r="BP14" i="4"/>
  <c r="BO14" i="4"/>
  <c r="BN14" i="4"/>
  <c r="BI14" i="4"/>
  <c r="BD14" i="4"/>
  <c r="AY14" i="4"/>
  <c r="AT14" i="4"/>
  <c r="AO14" i="4"/>
  <c r="AJ14" i="4"/>
  <c r="AE14" i="4"/>
  <c r="Z14" i="4"/>
  <c r="U14" i="4"/>
  <c r="P14" i="4"/>
  <c r="K14" i="4"/>
  <c r="BS15" i="4" l="1"/>
  <c r="BS17" i="4"/>
  <c r="BS211" i="4"/>
  <c r="BS212" i="4"/>
  <c r="BS14" i="4"/>
  <c r="BS16" i="4"/>
  <c r="BR413" i="4"/>
  <c r="BQ413" i="4"/>
  <c r="BP413" i="4"/>
  <c r="BO413" i="4"/>
  <c r="BN413" i="4"/>
  <c r="BI413" i="4"/>
  <c r="BD413" i="4"/>
  <c r="AY413" i="4"/>
  <c r="AT413" i="4"/>
  <c r="AO413" i="4"/>
  <c r="AJ413" i="4"/>
  <c r="AE413" i="4"/>
  <c r="Z413" i="4"/>
  <c r="U413" i="4"/>
  <c r="P413" i="4"/>
  <c r="K413" i="4"/>
  <c r="BR412" i="4"/>
  <c r="BQ412" i="4"/>
  <c r="BP412" i="4"/>
  <c r="BO412" i="4"/>
  <c r="BN412" i="4"/>
  <c r="BI412" i="4"/>
  <c r="BD412" i="4"/>
  <c r="AY412" i="4"/>
  <c r="AT412" i="4"/>
  <c r="AO412" i="4"/>
  <c r="AJ412" i="4"/>
  <c r="AE412" i="4"/>
  <c r="Z412" i="4"/>
  <c r="U412" i="4"/>
  <c r="P412" i="4"/>
  <c r="K412" i="4"/>
  <c r="BR411" i="4"/>
  <c r="BQ411" i="4"/>
  <c r="BP411" i="4"/>
  <c r="BO411" i="4"/>
  <c r="BN411" i="4"/>
  <c r="BI411" i="4"/>
  <c r="BD411" i="4"/>
  <c r="AY411" i="4"/>
  <c r="AT411" i="4"/>
  <c r="AO411" i="4"/>
  <c r="AJ411" i="4"/>
  <c r="AE411" i="4"/>
  <c r="Z411" i="4"/>
  <c r="U411" i="4"/>
  <c r="P411" i="4"/>
  <c r="K411" i="4"/>
  <c r="BR379" i="4"/>
  <c r="BQ379" i="4"/>
  <c r="BP379" i="4"/>
  <c r="BO379" i="4"/>
  <c r="BN379" i="4"/>
  <c r="BI379" i="4"/>
  <c r="BD379" i="4"/>
  <c r="AY379" i="4"/>
  <c r="AT379" i="4"/>
  <c r="AO379" i="4"/>
  <c r="AJ379" i="4"/>
  <c r="AE379" i="4"/>
  <c r="Z379" i="4"/>
  <c r="U379" i="4"/>
  <c r="P379" i="4"/>
  <c r="K379" i="4"/>
  <c r="BR380" i="4"/>
  <c r="BQ380" i="4"/>
  <c r="BP380" i="4"/>
  <c r="BO380" i="4"/>
  <c r="BN380" i="4"/>
  <c r="BI380" i="4"/>
  <c r="BD380" i="4"/>
  <c r="AY380" i="4"/>
  <c r="AT380" i="4"/>
  <c r="AO380" i="4"/>
  <c r="AJ380" i="4"/>
  <c r="AE380" i="4"/>
  <c r="Z380" i="4"/>
  <c r="U380" i="4"/>
  <c r="P380" i="4"/>
  <c r="K380" i="4"/>
  <c r="AF352" i="4"/>
  <c r="AF245" i="4"/>
  <c r="BR249" i="4"/>
  <c r="BQ249" i="4"/>
  <c r="BP249" i="4"/>
  <c r="BO249" i="4"/>
  <c r="BN249" i="4"/>
  <c r="BI249" i="4"/>
  <c r="BD249" i="4"/>
  <c r="AY249" i="4"/>
  <c r="AT249" i="4"/>
  <c r="AO249" i="4"/>
  <c r="AJ249" i="4"/>
  <c r="AE249" i="4"/>
  <c r="Z249" i="4"/>
  <c r="U249" i="4"/>
  <c r="P249" i="4"/>
  <c r="K249" i="4"/>
  <c r="BR287" i="4"/>
  <c r="BQ287" i="4"/>
  <c r="BP287" i="4"/>
  <c r="BO287" i="4"/>
  <c r="BN287" i="4"/>
  <c r="BI287" i="4"/>
  <c r="BD287" i="4"/>
  <c r="AY287" i="4"/>
  <c r="AT287" i="4"/>
  <c r="AO287" i="4"/>
  <c r="AJ287" i="4"/>
  <c r="AE287" i="4"/>
  <c r="Z287" i="4"/>
  <c r="U287" i="4"/>
  <c r="P287" i="4"/>
  <c r="K287" i="4"/>
  <c r="BR199" i="4"/>
  <c r="BQ199" i="4"/>
  <c r="BP199" i="4"/>
  <c r="BO199" i="4"/>
  <c r="BN199" i="4"/>
  <c r="BI199" i="4"/>
  <c r="BD199" i="4"/>
  <c r="AY199" i="4"/>
  <c r="AT199" i="4"/>
  <c r="AO199" i="4"/>
  <c r="AJ199" i="4"/>
  <c r="AE199" i="4"/>
  <c r="Z199" i="4"/>
  <c r="U199" i="4"/>
  <c r="P199" i="4"/>
  <c r="K199" i="4"/>
  <c r="AH191" i="4"/>
  <c r="AF191" i="4"/>
  <c r="AF192" i="4"/>
  <c r="AH192" i="4"/>
  <c r="BR86" i="4"/>
  <c r="BQ86" i="4"/>
  <c r="BP86" i="4"/>
  <c r="BO86" i="4"/>
  <c r="BN86" i="4"/>
  <c r="BI86" i="4"/>
  <c r="BD86" i="4"/>
  <c r="AY86" i="4"/>
  <c r="AT86" i="4"/>
  <c r="AO86" i="4"/>
  <c r="AJ86" i="4"/>
  <c r="AE86" i="4"/>
  <c r="Z86" i="4"/>
  <c r="U86" i="4"/>
  <c r="P86" i="4"/>
  <c r="K86" i="4"/>
  <c r="BR85" i="4"/>
  <c r="BQ85" i="4"/>
  <c r="BP85" i="4"/>
  <c r="BO85" i="4"/>
  <c r="BN85" i="4"/>
  <c r="BI85" i="4"/>
  <c r="BD85" i="4"/>
  <c r="AY85" i="4"/>
  <c r="AT85" i="4"/>
  <c r="AO85" i="4"/>
  <c r="AJ85" i="4"/>
  <c r="AE85" i="4"/>
  <c r="Z85" i="4"/>
  <c r="U85" i="4"/>
  <c r="P85" i="4"/>
  <c r="K85" i="4"/>
  <c r="BR84" i="4"/>
  <c r="BQ84" i="4"/>
  <c r="BP84" i="4"/>
  <c r="BO84" i="4"/>
  <c r="BN84" i="4"/>
  <c r="BI84" i="4"/>
  <c r="BD84" i="4"/>
  <c r="AY84" i="4"/>
  <c r="AT84" i="4"/>
  <c r="AO84" i="4"/>
  <c r="AJ84" i="4"/>
  <c r="AE84" i="4"/>
  <c r="Z84" i="4"/>
  <c r="U84" i="4"/>
  <c r="P84" i="4"/>
  <c r="K84" i="4"/>
  <c r="BR83" i="4"/>
  <c r="BQ83" i="4"/>
  <c r="BP83" i="4"/>
  <c r="BO83" i="4"/>
  <c r="BN83" i="4"/>
  <c r="BI83" i="4"/>
  <c r="BD83" i="4"/>
  <c r="AY83" i="4"/>
  <c r="AT83" i="4"/>
  <c r="AO83" i="4"/>
  <c r="AJ83" i="4"/>
  <c r="AE83" i="4"/>
  <c r="Z83" i="4"/>
  <c r="U83" i="4"/>
  <c r="P83" i="4"/>
  <c r="K83" i="4"/>
  <c r="BS199" i="4" l="1"/>
  <c r="BS380" i="4"/>
  <c r="BS379" i="4"/>
  <c r="BS413" i="4"/>
  <c r="BS411" i="4"/>
  <c r="BS412" i="4"/>
  <c r="BS249" i="4"/>
  <c r="BS287" i="4"/>
  <c r="BS84" i="4"/>
  <c r="BS86" i="4"/>
  <c r="BS85" i="4"/>
  <c r="BS83" i="4"/>
  <c r="BR410" i="4" l="1"/>
  <c r="BQ410" i="4"/>
  <c r="BP410" i="4"/>
  <c r="BO410" i="4"/>
  <c r="BN410" i="4"/>
  <c r="BI410" i="4"/>
  <c r="BD410" i="4"/>
  <c r="AY410" i="4"/>
  <c r="AT410" i="4"/>
  <c r="AO410" i="4"/>
  <c r="AJ410" i="4"/>
  <c r="AE410" i="4"/>
  <c r="Z410" i="4"/>
  <c r="U410" i="4"/>
  <c r="P410" i="4"/>
  <c r="K410" i="4"/>
  <c r="BR409" i="4"/>
  <c r="BQ409" i="4"/>
  <c r="BP409" i="4"/>
  <c r="BO409" i="4"/>
  <c r="BN409" i="4"/>
  <c r="BI409" i="4"/>
  <c r="BD409" i="4"/>
  <c r="AY409" i="4"/>
  <c r="AT409" i="4"/>
  <c r="AO409" i="4"/>
  <c r="AJ409" i="4"/>
  <c r="AE409" i="4"/>
  <c r="Z409" i="4"/>
  <c r="U409" i="4"/>
  <c r="P409" i="4"/>
  <c r="K409" i="4"/>
  <c r="BR408" i="4"/>
  <c r="BQ408" i="4"/>
  <c r="BP408" i="4"/>
  <c r="BO408" i="4"/>
  <c r="BN408" i="4"/>
  <c r="BI408" i="4"/>
  <c r="BD408" i="4"/>
  <c r="AY408" i="4"/>
  <c r="AT408" i="4"/>
  <c r="AO408" i="4"/>
  <c r="AJ408" i="4"/>
  <c r="AE408" i="4"/>
  <c r="Z408" i="4"/>
  <c r="U408" i="4"/>
  <c r="P408" i="4"/>
  <c r="K408" i="4"/>
  <c r="BR407" i="4"/>
  <c r="BQ407" i="4"/>
  <c r="BP407" i="4"/>
  <c r="BO407" i="4"/>
  <c r="BN407" i="4"/>
  <c r="BI407" i="4"/>
  <c r="BD407" i="4"/>
  <c r="AY407" i="4"/>
  <c r="AT407" i="4"/>
  <c r="AO407" i="4"/>
  <c r="AJ407" i="4"/>
  <c r="AE407" i="4"/>
  <c r="Z407" i="4"/>
  <c r="U407" i="4"/>
  <c r="P407" i="4"/>
  <c r="K407" i="4"/>
  <c r="BR385" i="4"/>
  <c r="BQ385" i="4"/>
  <c r="BP385" i="4"/>
  <c r="BO385" i="4"/>
  <c r="BN385" i="4"/>
  <c r="BI385" i="4"/>
  <c r="BD385" i="4"/>
  <c r="AY385" i="4"/>
  <c r="AT385" i="4"/>
  <c r="AO385" i="4"/>
  <c r="AJ385" i="4"/>
  <c r="AE385" i="4"/>
  <c r="Z385" i="4"/>
  <c r="U385" i="4"/>
  <c r="P385" i="4"/>
  <c r="K385" i="4"/>
  <c r="BR378" i="4"/>
  <c r="BQ378" i="4"/>
  <c r="BP378" i="4"/>
  <c r="BO378" i="4"/>
  <c r="BN378" i="4"/>
  <c r="BI378" i="4"/>
  <c r="BD378" i="4"/>
  <c r="AY378" i="4"/>
  <c r="AT378" i="4"/>
  <c r="AO378" i="4"/>
  <c r="AJ378" i="4"/>
  <c r="AE378" i="4"/>
  <c r="Z378" i="4"/>
  <c r="U378" i="4"/>
  <c r="P378" i="4"/>
  <c r="K378" i="4"/>
  <c r="BR376" i="4"/>
  <c r="BQ376" i="4"/>
  <c r="BP376" i="4"/>
  <c r="BO376" i="4"/>
  <c r="BN376" i="4"/>
  <c r="BI376" i="4"/>
  <c r="BD376" i="4"/>
  <c r="AY376" i="4"/>
  <c r="AT376" i="4"/>
  <c r="AO376" i="4"/>
  <c r="AJ376" i="4"/>
  <c r="AE376" i="4"/>
  <c r="Z376" i="4"/>
  <c r="U376" i="4"/>
  <c r="P376" i="4"/>
  <c r="K376" i="4"/>
  <c r="BR375" i="4"/>
  <c r="BQ375" i="4"/>
  <c r="BP375" i="4"/>
  <c r="BO375" i="4"/>
  <c r="BN375" i="4"/>
  <c r="BI375" i="4"/>
  <c r="BD375" i="4"/>
  <c r="AY375" i="4"/>
  <c r="AT375" i="4"/>
  <c r="AO375" i="4"/>
  <c r="AJ375" i="4"/>
  <c r="AE375" i="4"/>
  <c r="Z375" i="4"/>
  <c r="U375" i="4"/>
  <c r="P375" i="4"/>
  <c r="K375" i="4"/>
  <c r="BR374" i="4"/>
  <c r="BQ374" i="4"/>
  <c r="BP374" i="4"/>
  <c r="BO374" i="4"/>
  <c r="BN374" i="4"/>
  <c r="BI374" i="4"/>
  <c r="BD374" i="4"/>
  <c r="AY374" i="4"/>
  <c r="AT374" i="4"/>
  <c r="AO374" i="4"/>
  <c r="AJ374" i="4"/>
  <c r="AE374" i="4"/>
  <c r="Z374" i="4"/>
  <c r="U374" i="4"/>
  <c r="P374" i="4"/>
  <c r="K374" i="4"/>
  <c r="BR373" i="4"/>
  <c r="BQ373" i="4"/>
  <c r="BP373" i="4"/>
  <c r="BN373" i="4"/>
  <c r="BI373" i="4"/>
  <c r="BD373" i="4"/>
  <c r="AY373" i="4"/>
  <c r="AT373" i="4"/>
  <c r="AO373" i="4"/>
  <c r="AJ373" i="4"/>
  <c r="AE373" i="4"/>
  <c r="Z373" i="4"/>
  <c r="U373" i="4"/>
  <c r="P373" i="4"/>
  <c r="K373" i="4"/>
  <c r="AA364" i="4"/>
  <c r="BM353" i="4"/>
  <c r="BL353" i="4"/>
  <c r="BK353" i="4"/>
  <c r="BJ353" i="4"/>
  <c r="BH353" i="4"/>
  <c r="BG353" i="4"/>
  <c r="BF353" i="4"/>
  <c r="BE353" i="4"/>
  <c r="BC353" i="4"/>
  <c r="BB353" i="4"/>
  <c r="BA353" i="4"/>
  <c r="AZ353" i="4"/>
  <c r="AX353" i="4"/>
  <c r="AW353" i="4"/>
  <c r="AV353" i="4"/>
  <c r="AU353" i="4"/>
  <c r="AS353" i="4"/>
  <c r="AR353" i="4"/>
  <c r="AQ353" i="4"/>
  <c r="AP353" i="4"/>
  <c r="AN353" i="4"/>
  <c r="AM353" i="4"/>
  <c r="AL353" i="4"/>
  <c r="AK353" i="4"/>
  <c r="AI353" i="4"/>
  <c r="AH353" i="4"/>
  <c r="AG353" i="4"/>
  <c r="AF353" i="4"/>
  <c r="AD353" i="4"/>
  <c r="AC353" i="4"/>
  <c r="AB353" i="4"/>
  <c r="AA353" i="4"/>
  <c r="Y353" i="4"/>
  <c r="X353" i="4"/>
  <c r="W353" i="4"/>
  <c r="V353" i="4"/>
  <c r="T353" i="4"/>
  <c r="S353" i="4"/>
  <c r="R353" i="4"/>
  <c r="Q353" i="4"/>
  <c r="O353" i="4"/>
  <c r="N353" i="4"/>
  <c r="M353" i="4"/>
  <c r="L353" i="4"/>
  <c r="H353" i="4"/>
  <c r="I353" i="4"/>
  <c r="J353" i="4"/>
  <c r="G353" i="4"/>
  <c r="BR351" i="4"/>
  <c r="BQ351" i="4"/>
  <c r="BP351" i="4"/>
  <c r="BO351" i="4"/>
  <c r="BN351" i="4"/>
  <c r="BI351" i="4"/>
  <c r="BD351" i="4"/>
  <c r="AY351" i="4"/>
  <c r="AT351" i="4"/>
  <c r="AO351" i="4"/>
  <c r="AJ351" i="4"/>
  <c r="AE351" i="4"/>
  <c r="Z351" i="4"/>
  <c r="U351" i="4"/>
  <c r="P351" i="4"/>
  <c r="K351" i="4"/>
  <c r="BR352" i="4"/>
  <c r="BQ352" i="4"/>
  <c r="BP352" i="4"/>
  <c r="BO352" i="4"/>
  <c r="BN352" i="4"/>
  <c r="BI352" i="4"/>
  <c r="BD352" i="4"/>
  <c r="AY352" i="4"/>
  <c r="AT352" i="4"/>
  <c r="AO352" i="4"/>
  <c r="AJ352" i="4"/>
  <c r="AE352" i="4"/>
  <c r="Z352" i="4"/>
  <c r="U352" i="4"/>
  <c r="P352" i="4"/>
  <c r="K352" i="4"/>
  <c r="BR337" i="4"/>
  <c r="BQ337" i="4"/>
  <c r="BP337" i="4"/>
  <c r="BO337" i="4"/>
  <c r="BN337" i="4"/>
  <c r="BI337" i="4"/>
  <c r="BD337" i="4"/>
  <c r="AY337" i="4"/>
  <c r="AT337" i="4"/>
  <c r="AO337" i="4"/>
  <c r="AJ337" i="4"/>
  <c r="AE337" i="4"/>
  <c r="Z337" i="4"/>
  <c r="U337" i="4"/>
  <c r="P337" i="4"/>
  <c r="K337" i="4"/>
  <c r="AA271" i="4"/>
  <c r="BR245" i="4"/>
  <c r="BQ245" i="4"/>
  <c r="BP245" i="4"/>
  <c r="BO245" i="4"/>
  <c r="BN245" i="4"/>
  <c r="BI245" i="4"/>
  <c r="BD245" i="4"/>
  <c r="AY245" i="4"/>
  <c r="AT245" i="4"/>
  <c r="AO245" i="4"/>
  <c r="AJ245" i="4"/>
  <c r="AE245" i="4"/>
  <c r="Z245" i="4"/>
  <c r="U245" i="4"/>
  <c r="P245" i="4"/>
  <c r="K245" i="4"/>
  <c r="BR241" i="4"/>
  <c r="BQ241" i="4"/>
  <c r="BP241" i="4"/>
  <c r="BO241" i="4"/>
  <c r="BN241" i="4"/>
  <c r="BI241" i="4"/>
  <c r="BD241" i="4"/>
  <c r="AY241" i="4"/>
  <c r="AT241" i="4"/>
  <c r="AO241" i="4"/>
  <c r="AJ241" i="4"/>
  <c r="AE241" i="4"/>
  <c r="Z241" i="4"/>
  <c r="U241" i="4"/>
  <c r="P241" i="4"/>
  <c r="K241" i="4"/>
  <c r="BR171" i="4"/>
  <c r="BQ171" i="4"/>
  <c r="BP171" i="4"/>
  <c r="BO171" i="4"/>
  <c r="BN171" i="4"/>
  <c r="BI171" i="4"/>
  <c r="BD171" i="4"/>
  <c r="AY171" i="4"/>
  <c r="AT171" i="4"/>
  <c r="AO171" i="4"/>
  <c r="AJ171" i="4"/>
  <c r="AE171" i="4"/>
  <c r="Z171" i="4"/>
  <c r="U171" i="4"/>
  <c r="P171" i="4"/>
  <c r="K171" i="4"/>
  <c r="AA191" i="4"/>
  <c r="AA66" i="4"/>
  <c r="AA67" i="4"/>
  <c r="BS241" i="4" l="1"/>
  <c r="BS245" i="4"/>
  <c r="BS337" i="4"/>
  <c r="BS351" i="4"/>
  <c r="P353" i="4"/>
  <c r="U353" i="4"/>
  <c r="Z353" i="4"/>
  <c r="AE353" i="4"/>
  <c r="AJ353" i="4"/>
  <c r="AO353" i="4"/>
  <c r="AT353" i="4"/>
  <c r="AY353" i="4"/>
  <c r="BD353" i="4"/>
  <c r="BI353" i="4"/>
  <c r="BN353" i="4"/>
  <c r="BS374" i="4"/>
  <c r="BS410" i="4"/>
  <c r="BS376" i="4"/>
  <c r="BS385" i="4"/>
  <c r="BS407" i="4"/>
  <c r="BS408" i="4"/>
  <c r="BS409" i="4"/>
  <c r="BS378" i="4"/>
  <c r="BO373" i="4"/>
  <c r="BS373" i="4" s="1"/>
  <c r="BS375" i="4"/>
  <c r="BS352" i="4"/>
  <c r="BS171" i="4"/>
  <c r="BR34" i="4"/>
  <c r="BQ34" i="4"/>
  <c r="BP34" i="4"/>
  <c r="BO34" i="4"/>
  <c r="BN34" i="4"/>
  <c r="BI34" i="4"/>
  <c r="BD34" i="4"/>
  <c r="AY34" i="4"/>
  <c r="AT34" i="4"/>
  <c r="AO34" i="4"/>
  <c r="AJ34" i="4"/>
  <c r="AE34" i="4"/>
  <c r="Z34" i="4"/>
  <c r="U34" i="4"/>
  <c r="P34" i="4"/>
  <c r="K34" i="4"/>
  <c r="BR33" i="4"/>
  <c r="BQ33" i="4"/>
  <c r="BP33" i="4"/>
  <c r="BO33" i="4"/>
  <c r="BN33" i="4"/>
  <c r="BI33" i="4"/>
  <c r="BD33" i="4"/>
  <c r="AY33" i="4"/>
  <c r="AT33" i="4"/>
  <c r="AO33" i="4"/>
  <c r="AJ33" i="4"/>
  <c r="AE33" i="4"/>
  <c r="Z33" i="4"/>
  <c r="U33" i="4"/>
  <c r="P33" i="4"/>
  <c r="K33" i="4"/>
  <c r="BR32" i="4"/>
  <c r="BQ32" i="4"/>
  <c r="BP32" i="4"/>
  <c r="BO32" i="4"/>
  <c r="BN32" i="4"/>
  <c r="BI32" i="4"/>
  <c r="BD32" i="4"/>
  <c r="AY32" i="4"/>
  <c r="AT32" i="4"/>
  <c r="AO32" i="4"/>
  <c r="AJ32" i="4"/>
  <c r="AE32" i="4"/>
  <c r="Z32" i="4"/>
  <c r="U32" i="4"/>
  <c r="P32" i="4"/>
  <c r="K32" i="4"/>
  <c r="BR31" i="4"/>
  <c r="BQ31" i="4"/>
  <c r="BP31" i="4"/>
  <c r="BO31" i="4"/>
  <c r="BN31" i="4"/>
  <c r="BI31" i="4"/>
  <c r="BD31" i="4"/>
  <c r="AY31" i="4"/>
  <c r="AT31" i="4"/>
  <c r="AO31" i="4"/>
  <c r="AJ31" i="4"/>
  <c r="AE31" i="4"/>
  <c r="Z31" i="4"/>
  <c r="U31" i="4"/>
  <c r="P31" i="4"/>
  <c r="K31" i="4"/>
  <c r="AA38" i="4"/>
  <c r="AA36" i="4"/>
  <c r="BS34" i="4" l="1"/>
  <c r="BS32" i="4"/>
  <c r="BS31" i="4"/>
  <c r="BS33" i="4"/>
  <c r="BR42" i="4" l="1"/>
  <c r="BQ42" i="4"/>
  <c r="BP42" i="4"/>
  <c r="BO42" i="4"/>
  <c r="BN42" i="4"/>
  <c r="BI42" i="4"/>
  <c r="BD42" i="4"/>
  <c r="AY42" i="4"/>
  <c r="AT42" i="4"/>
  <c r="AO42" i="4"/>
  <c r="AJ42" i="4"/>
  <c r="AE42" i="4"/>
  <c r="Z42" i="4"/>
  <c r="U42" i="4"/>
  <c r="P42" i="4"/>
  <c r="K42" i="4"/>
  <c r="BR41" i="4"/>
  <c r="BQ41" i="4"/>
  <c r="BP41" i="4"/>
  <c r="BO41" i="4"/>
  <c r="BN41" i="4"/>
  <c r="BI41" i="4"/>
  <c r="BD41" i="4"/>
  <c r="AY41" i="4"/>
  <c r="AT41" i="4"/>
  <c r="AO41" i="4"/>
  <c r="AJ41" i="4"/>
  <c r="AE41" i="4"/>
  <c r="Z41" i="4"/>
  <c r="U41" i="4"/>
  <c r="P41" i="4"/>
  <c r="K41" i="4"/>
  <c r="BR40" i="4"/>
  <c r="BQ40" i="4"/>
  <c r="BP40" i="4"/>
  <c r="BO40" i="4"/>
  <c r="BN40" i="4"/>
  <c r="BI40" i="4"/>
  <c r="BD40" i="4"/>
  <c r="AY40" i="4"/>
  <c r="AT40" i="4"/>
  <c r="AO40" i="4"/>
  <c r="AJ40" i="4"/>
  <c r="AE40" i="4"/>
  <c r="Z40" i="4"/>
  <c r="U40" i="4"/>
  <c r="P40" i="4"/>
  <c r="K40" i="4"/>
  <c r="BR39" i="4"/>
  <c r="BQ39" i="4"/>
  <c r="BP39" i="4"/>
  <c r="BO39" i="4"/>
  <c r="BN39" i="4"/>
  <c r="BI39" i="4"/>
  <c r="BD39" i="4"/>
  <c r="AY39" i="4"/>
  <c r="AT39" i="4"/>
  <c r="AO39" i="4"/>
  <c r="AJ39" i="4"/>
  <c r="AE39" i="4"/>
  <c r="Z39" i="4"/>
  <c r="U39" i="4"/>
  <c r="P39" i="4"/>
  <c r="K39" i="4"/>
  <c r="BR38" i="4"/>
  <c r="BQ38" i="4"/>
  <c r="BP38" i="4"/>
  <c r="BO38" i="4"/>
  <c r="BN38" i="4"/>
  <c r="BI38" i="4"/>
  <c r="BD38" i="4"/>
  <c r="AY38" i="4"/>
  <c r="AT38" i="4"/>
  <c r="AO38" i="4"/>
  <c r="AJ38" i="4"/>
  <c r="AE38" i="4"/>
  <c r="Z38" i="4"/>
  <c r="U38" i="4"/>
  <c r="P38" i="4"/>
  <c r="K38" i="4"/>
  <c r="BR37" i="4"/>
  <c r="BQ37" i="4"/>
  <c r="BP37" i="4"/>
  <c r="BO37" i="4"/>
  <c r="BN37" i="4"/>
  <c r="BI37" i="4"/>
  <c r="BD37" i="4"/>
  <c r="AY37" i="4"/>
  <c r="AT37" i="4"/>
  <c r="AO37" i="4"/>
  <c r="AJ37" i="4"/>
  <c r="AE37" i="4"/>
  <c r="Z37" i="4"/>
  <c r="U37" i="4"/>
  <c r="P37" i="4"/>
  <c r="K37" i="4"/>
  <c r="BR36" i="4"/>
  <c r="BQ36" i="4"/>
  <c r="BP36" i="4"/>
  <c r="BO36" i="4"/>
  <c r="BN36" i="4"/>
  <c r="BI36" i="4"/>
  <c r="BD36" i="4"/>
  <c r="AY36" i="4"/>
  <c r="AT36" i="4"/>
  <c r="AO36" i="4"/>
  <c r="AJ36" i="4"/>
  <c r="AE36" i="4"/>
  <c r="Z36" i="4"/>
  <c r="U36" i="4"/>
  <c r="P36" i="4"/>
  <c r="K36" i="4"/>
  <c r="BR35" i="4"/>
  <c r="BQ35" i="4"/>
  <c r="BP35" i="4"/>
  <c r="BO35" i="4"/>
  <c r="BN35" i="4"/>
  <c r="BI35" i="4"/>
  <c r="BD35" i="4"/>
  <c r="AY35" i="4"/>
  <c r="AT35" i="4"/>
  <c r="AO35" i="4"/>
  <c r="AJ35" i="4"/>
  <c r="AE35" i="4"/>
  <c r="Z35" i="4"/>
  <c r="U35" i="4"/>
  <c r="P35" i="4"/>
  <c r="K35" i="4"/>
  <c r="BS42" i="4" l="1"/>
  <c r="BS38" i="4"/>
  <c r="BS39" i="4"/>
  <c r="BS36" i="4"/>
  <c r="BS37" i="4"/>
  <c r="BS40" i="4"/>
  <c r="BS41" i="4"/>
  <c r="BS35" i="4"/>
  <c r="BR371" i="4" l="1"/>
  <c r="BQ371" i="4"/>
  <c r="BP371" i="4"/>
  <c r="BO371" i="4"/>
  <c r="BN371" i="4"/>
  <c r="BI371" i="4"/>
  <c r="BD371" i="4"/>
  <c r="AY371" i="4"/>
  <c r="AT371" i="4"/>
  <c r="AO371" i="4"/>
  <c r="AJ371" i="4"/>
  <c r="AE371" i="4"/>
  <c r="Z371" i="4"/>
  <c r="U371" i="4"/>
  <c r="P371" i="4"/>
  <c r="K371" i="4"/>
  <c r="BR370" i="4"/>
  <c r="BQ370" i="4"/>
  <c r="BP370" i="4"/>
  <c r="BO370" i="4"/>
  <c r="BN370" i="4"/>
  <c r="BI370" i="4"/>
  <c r="BD370" i="4"/>
  <c r="AY370" i="4"/>
  <c r="AT370" i="4"/>
  <c r="AO370" i="4"/>
  <c r="AJ370" i="4"/>
  <c r="AE370" i="4"/>
  <c r="Z370" i="4"/>
  <c r="U370" i="4"/>
  <c r="P370" i="4"/>
  <c r="K370" i="4"/>
  <c r="BR369" i="4"/>
  <c r="BQ369" i="4"/>
  <c r="BP369" i="4"/>
  <c r="BO369" i="4"/>
  <c r="BN369" i="4"/>
  <c r="BI369" i="4"/>
  <c r="BD369" i="4"/>
  <c r="AY369" i="4"/>
  <c r="AT369" i="4"/>
  <c r="AO369" i="4"/>
  <c r="AJ369" i="4"/>
  <c r="AE369" i="4"/>
  <c r="Z369" i="4"/>
  <c r="U369" i="4"/>
  <c r="P369" i="4"/>
  <c r="K369" i="4"/>
  <c r="BR368" i="4"/>
  <c r="BQ368" i="4"/>
  <c r="BP368" i="4"/>
  <c r="BO368" i="4"/>
  <c r="BN368" i="4"/>
  <c r="BI368" i="4"/>
  <c r="BD368" i="4"/>
  <c r="AY368" i="4"/>
  <c r="AT368" i="4"/>
  <c r="AO368" i="4"/>
  <c r="AJ368" i="4"/>
  <c r="AE368" i="4"/>
  <c r="Z368" i="4"/>
  <c r="U368" i="4"/>
  <c r="P368" i="4"/>
  <c r="K368" i="4"/>
  <c r="BS371" i="4" l="1"/>
  <c r="BS369" i="4"/>
  <c r="BS368" i="4"/>
  <c r="BS370" i="4"/>
  <c r="BR307" i="4"/>
  <c r="BQ307" i="4"/>
  <c r="BP307" i="4"/>
  <c r="BO307" i="4"/>
  <c r="BN307" i="4"/>
  <c r="BI307" i="4"/>
  <c r="BD307" i="4"/>
  <c r="AY307" i="4"/>
  <c r="AT307" i="4"/>
  <c r="AO307" i="4"/>
  <c r="AJ307" i="4"/>
  <c r="AE307" i="4"/>
  <c r="Z307" i="4"/>
  <c r="U307" i="4"/>
  <c r="P307" i="4"/>
  <c r="K307" i="4"/>
  <c r="V271" i="4"/>
  <c r="BR272" i="4"/>
  <c r="BQ272" i="4"/>
  <c r="BP272" i="4"/>
  <c r="BO272" i="4"/>
  <c r="BN272" i="4"/>
  <c r="BI272" i="4"/>
  <c r="BD272" i="4"/>
  <c r="AY272" i="4"/>
  <c r="AT272" i="4"/>
  <c r="AO272" i="4"/>
  <c r="AJ272" i="4"/>
  <c r="AE272" i="4"/>
  <c r="Z272" i="4"/>
  <c r="U272" i="4"/>
  <c r="P272" i="4"/>
  <c r="K272" i="4"/>
  <c r="BR273" i="4"/>
  <c r="BQ273" i="4"/>
  <c r="BP273" i="4"/>
  <c r="BO273" i="4"/>
  <c r="BN273" i="4"/>
  <c r="BI273" i="4"/>
  <c r="BD273" i="4"/>
  <c r="AY273" i="4"/>
  <c r="AT273" i="4"/>
  <c r="AO273" i="4"/>
  <c r="AJ273" i="4"/>
  <c r="AE273" i="4"/>
  <c r="Z273" i="4"/>
  <c r="U273" i="4"/>
  <c r="P273" i="4"/>
  <c r="K273" i="4"/>
  <c r="V192" i="4"/>
  <c r="V191" i="4"/>
  <c r="X192" i="4"/>
  <c r="X191" i="4"/>
  <c r="BR149" i="4"/>
  <c r="BQ149" i="4"/>
  <c r="BP149" i="4"/>
  <c r="BO149" i="4"/>
  <c r="BN149" i="4"/>
  <c r="BI149" i="4"/>
  <c r="BD149" i="4"/>
  <c r="AY149" i="4"/>
  <c r="AT149" i="4"/>
  <c r="AO149" i="4"/>
  <c r="AJ149" i="4"/>
  <c r="AE149" i="4"/>
  <c r="Z149" i="4"/>
  <c r="U149" i="4"/>
  <c r="P149" i="4"/>
  <c r="K149" i="4"/>
  <c r="BR148" i="4"/>
  <c r="BQ148" i="4"/>
  <c r="BP148" i="4"/>
  <c r="BO148" i="4"/>
  <c r="BN148" i="4"/>
  <c r="BI148" i="4"/>
  <c r="BD148" i="4"/>
  <c r="AY148" i="4"/>
  <c r="AT148" i="4"/>
  <c r="AO148" i="4"/>
  <c r="AJ148" i="4"/>
  <c r="AE148" i="4"/>
  <c r="Z148" i="4"/>
  <c r="U148" i="4"/>
  <c r="P148" i="4"/>
  <c r="K148" i="4"/>
  <c r="BR147" i="4"/>
  <c r="BQ147" i="4"/>
  <c r="BP147" i="4"/>
  <c r="BO147" i="4"/>
  <c r="BN147" i="4"/>
  <c r="BI147" i="4"/>
  <c r="BD147" i="4"/>
  <c r="AY147" i="4"/>
  <c r="AT147" i="4"/>
  <c r="AO147" i="4"/>
  <c r="AJ147" i="4"/>
  <c r="AE147" i="4"/>
  <c r="Z147" i="4"/>
  <c r="U147" i="4"/>
  <c r="P147" i="4"/>
  <c r="K147" i="4"/>
  <c r="BR146" i="4"/>
  <c r="BQ146" i="4"/>
  <c r="BP146" i="4"/>
  <c r="BO146" i="4"/>
  <c r="BN146" i="4"/>
  <c r="BI146" i="4"/>
  <c r="BD146" i="4"/>
  <c r="AY146" i="4"/>
  <c r="AT146" i="4"/>
  <c r="AO146" i="4"/>
  <c r="AJ146" i="4"/>
  <c r="AE146" i="4"/>
  <c r="Z146" i="4"/>
  <c r="U146" i="4"/>
  <c r="P146" i="4"/>
  <c r="K146" i="4"/>
  <c r="X103" i="4"/>
  <c r="BS272" i="4" l="1"/>
  <c r="BS307" i="4"/>
  <c r="BS149" i="4"/>
  <c r="BS273" i="4"/>
  <c r="BS147" i="4"/>
  <c r="BS148" i="4"/>
  <c r="BS146" i="4"/>
  <c r="V67" i="4"/>
  <c r="V66" i="4"/>
  <c r="BR216" i="4"/>
  <c r="BQ216" i="4"/>
  <c r="BP216" i="4"/>
  <c r="BO216" i="4"/>
  <c r="BN216" i="4"/>
  <c r="BI216" i="4"/>
  <c r="BD216" i="4"/>
  <c r="AY216" i="4"/>
  <c r="AT216" i="4"/>
  <c r="AO216" i="4"/>
  <c r="AJ216" i="4"/>
  <c r="AE216" i="4"/>
  <c r="Z216" i="4"/>
  <c r="U216" i="4"/>
  <c r="P216" i="4"/>
  <c r="K216" i="4"/>
  <c r="BR215" i="4"/>
  <c r="BQ215" i="4"/>
  <c r="BP215" i="4"/>
  <c r="BO215" i="4"/>
  <c r="BN215" i="4"/>
  <c r="BI215" i="4"/>
  <c r="BD215" i="4"/>
  <c r="AY215" i="4"/>
  <c r="AT215" i="4"/>
  <c r="AO215" i="4"/>
  <c r="AJ215" i="4"/>
  <c r="AE215" i="4"/>
  <c r="Z215" i="4"/>
  <c r="U215" i="4"/>
  <c r="P215" i="4"/>
  <c r="K215" i="4"/>
  <c r="BR155" i="4"/>
  <c r="BQ155" i="4"/>
  <c r="BP155" i="4"/>
  <c r="BO155" i="4"/>
  <c r="BN155" i="4"/>
  <c r="BI155" i="4"/>
  <c r="BD155" i="4"/>
  <c r="AY155" i="4"/>
  <c r="AT155" i="4"/>
  <c r="AO155" i="4"/>
  <c r="AJ155" i="4"/>
  <c r="AE155" i="4"/>
  <c r="Z155" i="4"/>
  <c r="U155" i="4"/>
  <c r="P155" i="4"/>
  <c r="K155" i="4"/>
  <c r="BR154" i="4"/>
  <c r="BQ154" i="4"/>
  <c r="BP154" i="4"/>
  <c r="BO154" i="4"/>
  <c r="BN154" i="4"/>
  <c r="BI154" i="4"/>
  <c r="BD154" i="4"/>
  <c r="AY154" i="4"/>
  <c r="AT154" i="4"/>
  <c r="AO154" i="4"/>
  <c r="AJ154" i="4"/>
  <c r="AE154" i="4"/>
  <c r="Z154" i="4"/>
  <c r="U154" i="4"/>
  <c r="P154" i="4"/>
  <c r="K154" i="4"/>
  <c r="BS216" i="4" l="1"/>
  <c r="BS155" i="4"/>
  <c r="BS215" i="4"/>
  <c r="BS154" i="4"/>
  <c r="BR180" i="4"/>
  <c r="BQ180" i="4"/>
  <c r="BP180" i="4"/>
  <c r="BO180" i="4"/>
  <c r="BN180" i="4"/>
  <c r="BI180" i="4"/>
  <c r="BD180" i="4"/>
  <c r="AY180" i="4"/>
  <c r="AT180" i="4"/>
  <c r="AO180" i="4"/>
  <c r="AJ180" i="4"/>
  <c r="AE180" i="4"/>
  <c r="Z180" i="4"/>
  <c r="U180" i="4"/>
  <c r="P180" i="4"/>
  <c r="K180" i="4"/>
  <c r="BR179" i="4"/>
  <c r="BQ179" i="4"/>
  <c r="BP179" i="4"/>
  <c r="BO179" i="4"/>
  <c r="BN179" i="4"/>
  <c r="BI179" i="4"/>
  <c r="BD179" i="4"/>
  <c r="AY179" i="4"/>
  <c r="AT179" i="4"/>
  <c r="AO179" i="4"/>
  <c r="AJ179" i="4"/>
  <c r="AE179" i="4"/>
  <c r="Z179" i="4"/>
  <c r="U179" i="4"/>
  <c r="P179" i="4"/>
  <c r="K179" i="4"/>
  <c r="BR176" i="4"/>
  <c r="BQ176" i="4"/>
  <c r="BP176" i="4"/>
  <c r="BO176" i="4"/>
  <c r="BN176" i="4"/>
  <c r="BI176" i="4"/>
  <c r="BD176" i="4"/>
  <c r="AY176" i="4"/>
  <c r="AT176" i="4"/>
  <c r="AO176" i="4"/>
  <c r="AJ176" i="4"/>
  <c r="AE176" i="4"/>
  <c r="Z176" i="4"/>
  <c r="U176" i="4"/>
  <c r="P176" i="4"/>
  <c r="K176" i="4"/>
  <c r="BR175" i="4"/>
  <c r="BQ175" i="4"/>
  <c r="BP175" i="4"/>
  <c r="BO175" i="4"/>
  <c r="BN175" i="4"/>
  <c r="BI175" i="4"/>
  <c r="BD175" i="4"/>
  <c r="AY175" i="4"/>
  <c r="AT175" i="4"/>
  <c r="AO175" i="4"/>
  <c r="AJ175" i="4"/>
  <c r="AE175" i="4"/>
  <c r="Z175" i="4"/>
  <c r="U175" i="4"/>
  <c r="P175" i="4"/>
  <c r="K175" i="4"/>
  <c r="BR94" i="4"/>
  <c r="BQ94" i="4"/>
  <c r="BP94" i="4"/>
  <c r="BO94" i="4"/>
  <c r="BN94" i="4"/>
  <c r="BI94" i="4"/>
  <c r="BD94" i="4"/>
  <c r="AY94" i="4"/>
  <c r="AT94" i="4"/>
  <c r="AO94" i="4"/>
  <c r="AJ94" i="4"/>
  <c r="AE94" i="4"/>
  <c r="Z94" i="4"/>
  <c r="U94" i="4"/>
  <c r="P94" i="4"/>
  <c r="K94" i="4"/>
  <c r="BR95" i="4"/>
  <c r="BQ95" i="4"/>
  <c r="BP95" i="4"/>
  <c r="BO95" i="4"/>
  <c r="BN95" i="4"/>
  <c r="BI95" i="4"/>
  <c r="BD95" i="4"/>
  <c r="AY95" i="4"/>
  <c r="AT95" i="4"/>
  <c r="AO95" i="4"/>
  <c r="AJ95" i="4"/>
  <c r="AE95" i="4"/>
  <c r="Z95" i="4"/>
  <c r="U95" i="4"/>
  <c r="P95" i="4"/>
  <c r="K95" i="4"/>
  <c r="BR93" i="4"/>
  <c r="BQ93" i="4"/>
  <c r="BP93" i="4"/>
  <c r="BO93" i="4"/>
  <c r="BN93" i="4"/>
  <c r="BI93" i="4"/>
  <c r="BD93" i="4"/>
  <c r="AY93" i="4"/>
  <c r="AT93" i="4"/>
  <c r="AO93" i="4"/>
  <c r="AJ93" i="4"/>
  <c r="AE93" i="4"/>
  <c r="Z93" i="4"/>
  <c r="U93" i="4"/>
  <c r="P93" i="4"/>
  <c r="K93" i="4"/>
  <c r="BR69" i="4"/>
  <c r="BQ69" i="4"/>
  <c r="BP69" i="4"/>
  <c r="BO69" i="4"/>
  <c r="BN69" i="4"/>
  <c r="BI69" i="4"/>
  <c r="BD69" i="4"/>
  <c r="AY69" i="4"/>
  <c r="AT69" i="4"/>
  <c r="AO69" i="4"/>
  <c r="AJ69" i="4"/>
  <c r="AE69" i="4"/>
  <c r="Z69" i="4"/>
  <c r="U69" i="4"/>
  <c r="P69" i="4"/>
  <c r="K69" i="4"/>
  <c r="BR68" i="4"/>
  <c r="BQ68" i="4"/>
  <c r="BP68" i="4"/>
  <c r="BO68" i="4"/>
  <c r="BN68" i="4"/>
  <c r="BI68" i="4"/>
  <c r="BD68" i="4"/>
  <c r="AY68" i="4"/>
  <c r="AT68" i="4"/>
  <c r="AO68" i="4"/>
  <c r="AJ68" i="4"/>
  <c r="AE68" i="4"/>
  <c r="Z68" i="4"/>
  <c r="U68" i="4"/>
  <c r="P68" i="4"/>
  <c r="K68" i="4"/>
  <c r="BR67" i="4"/>
  <c r="BQ67" i="4"/>
  <c r="BP67" i="4"/>
  <c r="BO67" i="4"/>
  <c r="BN67" i="4"/>
  <c r="BI67" i="4"/>
  <c r="BD67" i="4"/>
  <c r="AY67" i="4"/>
  <c r="AT67" i="4"/>
  <c r="AO67" i="4"/>
  <c r="AJ67" i="4"/>
  <c r="AE67" i="4"/>
  <c r="Z67" i="4"/>
  <c r="U67" i="4"/>
  <c r="P67" i="4"/>
  <c r="K67" i="4"/>
  <c r="BR66" i="4"/>
  <c r="BQ66" i="4"/>
  <c r="BP66" i="4"/>
  <c r="BO66" i="4"/>
  <c r="BN66" i="4"/>
  <c r="BI66" i="4"/>
  <c r="BD66" i="4"/>
  <c r="AY66" i="4"/>
  <c r="AT66" i="4"/>
  <c r="AO66" i="4"/>
  <c r="AJ66" i="4"/>
  <c r="AE66" i="4"/>
  <c r="Z66" i="4"/>
  <c r="U66" i="4"/>
  <c r="P66" i="4"/>
  <c r="K66" i="4"/>
  <c r="BR51" i="4"/>
  <c r="BQ51" i="4"/>
  <c r="BP51" i="4"/>
  <c r="BO51" i="4"/>
  <c r="BN51" i="4"/>
  <c r="BI51" i="4"/>
  <c r="BD51" i="4"/>
  <c r="AY51" i="4"/>
  <c r="AT51" i="4"/>
  <c r="AO51" i="4"/>
  <c r="AJ51" i="4"/>
  <c r="AE51" i="4"/>
  <c r="Z51" i="4"/>
  <c r="U51" i="4"/>
  <c r="P51" i="4"/>
  <c r="K51" i="4"/>
  <c r="BR50" i="4"/>
  <c r="BQ50" i="4"/>
  <c r="BP50" i="4"/>
  <c r="BO50" i="4"/>
  <c r="BN50" i="4"/>
  <c r="BI50" i="4"/>
  <c r="BD50" i="4"/>
  <c r="AY50" i="4"/>
  <c r="AT50" i="4"/>
  <c r="AO50" i="4"/>
  <c r="AJ50" i="4"/>
  <c r="AE50" i="4"/>
  <c r="Z50" i="4"/>
  <c r="U50" i="4"/>
  <c r="P50" i="4"/>
  <c r="K50" i="4"/>
  <c r="BR49" i="4"/>
  <c r="BQ49" i="4"/>
  <c r="BP49" i="4"/>
  <c r="BO49" i="4"/>
  <c r="BN49" i="4"/>
  <c r="BI49" i="4"/>
  <c r="BD49" i="4"/>
  <c r="AY49" i="4"/>
  <c r="AT49" i="4"/>
  <c r="AO49" i="4"/>
  <c r="AJ49" i="4"/>
  <c r="AE49" i="4"/>
  <c r="Z49" i="4"/>
  <c r="U49" i="4"/>
  <c r="P49" i="4"/>
  <c r="K49" i="4"/>
  <c r="BR48" i="4"/>
  <c r="BQ48" i="4"/>
  <c r="BP48" i="4"/>
  <c r="BO48" i="4"/>
  <c r="BN48" i="4"/>
  <c r="BI48" i="4"/>
  <c r="BD48" i="4"/>
  <c r="AY48" i="4"/>
  <c r="AT48" i="4"/>
  <c r="AO48" i="4"/>
  <c r="AJ48" i="4"/>
  <c r="AE48" i="4"/>
  <c r="Z48" i="4"/>
  <c r="U48" i="4"/>
  <c r="P48" i="4"/>
  <c r="K48" i="4"/>
  <c r="BS95" i="4" l="1"/>
  <c r="BS180" i="4"/>
  <c r="BS179" i="4"/>
  <c r="BS94" i="4"/>
  <c r="BS176" i="4"/>
  <c r="BS175" i="4"/>
  <c r="BS66" i="4"/>
  <c r="BS69" i="4"/>
  <c r="BS93" i="4"/>
  <c r="BS68" i="4"/>
  <c r="BS67" i="4"/>
  <c r="BS49" i="4"/>
  <c r="BS51" i="4"/>
  <c r="BS48" i="4"/>
  <c r="BS50" i="4"/>
  <c r="BR406" i="4"/>
  <c r="BQ406" i="4"/>
  <c r="BP406" i="4"/>
  <c r="BO406" i="4"/>
  <c r="BN406" i="4"/>
  <c r="BI406" i="4"/>
  <c r="BD406" i="4"/>
  <c r="AY406" i="4"/>
  <c r="AT406" i="4"/>
  <c r="AO406" i="4"/>
  <c r="AJ406" i="4"/>
  <c r="AE406" i="4"/>
  <c r="Z406" i="4"/>
  <c r="U406" i="4"/>
  <c r="P406" i="4"/>
  <c r="K406" i="4"/>
  <c r="BR405" i="4"/>
  <c r="BQ405" i="4"/>
  <c r="BP405" i="4"/>
  <c r="BO405" i="4"/>
  <c r="BN405" i="4"/>
  <c r="BI405" i="4"/>
  <c r="BD405" i="4"/>
  <c r="AY405" i="4"/>
  <c r="AT405" i="4"/>
  <c r="AO405" i="4"/>
  <c r="AJ405" i="4"/>
  <c r="AE405" i="4"/>
  <c r="Z405" i="4"/>
  <c r="U405" i="4"/>
  <c r="P405" i="4"/>
  <c r="K405" i="4"/>
  <c r="BR404" i="4"/>
  <c r="BQ404" i="4"/>
  <c r="BP404" i="4"/>
  <c r="BO404" i="4"/>
  <c r="BN404" i="4"/>
  <c r="BI404" i="4"/>
  <c r="BD404" i="4"/>
  <c r="AY404" i="4"/>
  <c r="AT404" i="4"/>
  <c r="AO404" i="4"/>
  <c r="AJ404" i="4"/>
  <c r="AE404" i="4"/>
  <c r="Z404" i="4"/>
  <c r="U404" i="4"/>
  <c r="P404" i="4"/>
  <c r="K404" i="4"/>
  <c r="BR403" i="4"/>
  <c r="BQ403" i="4"/>
  <c r="BP403" i="4"/>
  <c r="BO403" i="4"/>
  <c r="BN403" i="4"/>
  <c r="BI403" i="4"/>
  <c r="BD403" i="4"/>
  <c r="AY403" i="4"/>
  <c r="AT403" i="4"/>
  <c r="AO403" i="4"/>
  <c r="AJ403" i="4"/>
  <c r="AE403" i="4"/>
  <c r="Z403" i="4"/>
  <c r="U403" i="4"/>
  <c r="P403" i="4"/>
  <c r="K403" i="4"/>
  <c r="BR344" i="4"/>
  <c r="BQ344" i="4"/>
  <c r="BP344" i="4"/>
  <c r="BO344" i="4"/>
  <c r="BN344" i="4"/>
  <c r="BI344" i="4"/>
  <c r="BD344" i="4"/>
  <c r="AY344" i="4"/>
  <c r="AT344" i="4"/>
  <c r="AO344" i="4"/>
  <c r="AJ344" i="4"/>
  <c r="AE344" i="4"/>
  <c r="Z344" i="4"/>
  <c r="U344" i="4"/>
  <c r="P344" i="4"/>
  <c r="K344" i="4"/>
  <c r="BR343" i="4"/>
  <c r="BQ343" i="4"/>
  <c r="BP343" i="4"/>
  <c r="BO343" i="4"/>
  <c r="BN343" i="4"/>
  <c r="BI343" i="4"/>
  <c r="BD343" i="4"/>
  <c r="AY343" i="4"/>
  <c r="AT343" i="4"/>
  <c r="AO343" i="4"/>
  <c r="AJ343" i="4"/>
  <c r="AE343" i="4"/>
  <c r="Z343" i="4"/>
  <c r="U343" i="4"/>
  <c r="P343" i="4"/>
  <c r="K343" i="4"/>
  <c r="BR324" i="4"/>
  <c r="BQ324" i="4"/>
  <c r="BP324" i="4"/>
  <c r="BO324" i="4"/>
  <c r="BN324" i="4"/>
  <c r="BI324" i="4"/>
  <c r="BD324" i="4"/>
  <c r="AY324" i="4"/>
  <c r="AT324" i="4"/>
  <c r="AO324" i="4"/>
  <c r="AJ324" i="4"/>
  <c r="AE324" i="4"/>
  <c r="Z324" i="4"/>
  <c r="U324" i="4"/>
  <c r="P324" i="4"/>
  <c r="K324" i="4"/>
  <c r="BR238" i="4"/>
  <c r="BQ238" i="4"/>
  <c r="BP238" i="4"/>
  <c r="BO238" i="4"/>
  <c r="BN238" i="4"/>
  <c r="BI238" i="4"/>
  <c r="BD238" i="4"/>
  <c r="AY238" i="4"/>
  <c r="AT238" i="4"/>
  <c r="AO238" i="4"/>
  <c r="AJ238" i="4"/>
  <c r="AE238" i="4"/>
  <c r="Z238" i="4"/>
  <c r="U238" i="4"/>
  <c r="P238" i="4"/>
  <c r="K238" i="4"/>
  <c r="BR233" i="4"/>
  <c r="BQ233" i="4"/>
  <c r="BP233" i="4"/>
  <c r="BO233" i="4"/>
  <c r="BN233" i="4"/>
  <c r="BI233" i="4"/>
  <c r="BD233" i="4"/>
  <c r="AY233" i="4"/>
  <c r="AT233" i="4"/>
  <c r="AO233" i="4"/>
  <c r="AJ233" i="4"/>
  <c r="AE233" i="4"/>
  <c r="Z233" i="4"/>
  <c r="U233" i="4"/>
  <c r="P233" i="4"/>
  <c r="K233" i="4"/>
  <c r="Q190" i="4"/>
  <c r="Q189" i="4"/>
  <c r="BR143" i="4"/>
  <c r="BQ143" i="4"/>
  <c r="BP143" i="4"/>
  <c r="BO143" i="4"/>
  <c r="BN143" i="4"/>
  <c r="BI143" i="4"/>
  <c r="BD143" i="4"/>
  <c r="AY143" i="4"/>
  <c r="AT143" i="4"/>
  <c r="AO143" i="4"/>
  <c r="AJ143" i="4"/>
  <c r="AE143" i="4"/>
  <c r="Z143" i="4"/>
  <c r="U143" i="4"/>
  <c r="P143" i="4"/>
  <c r="K143" i="4"/>
  <c r="BR142" i="4"/>
  <c r="BQ142" i="4"/>
  <c r="BP142" i="4"/>
  <c r="BO142" i="4"/>
  <c r="BN142" i="4"/>
  <c r="BI142" i="4"/>
  <c r="BD142" i="4"/>
  <c r="AY142" i="4"/>
  <c r="AT142" i="4"/>
  <c r="AO142" i="4"/>
  <c r="AJ142" i="4"/>
  <c r="AE142" i="4"/>
  <c r="Z142" i="4"/>
  <c r="U142" i="4"/>
  <c r="P142" i="4"/>
  <c r="K142" i="4"/>
  <c r="BR141" i="4"/>
  <c r="BQ141" i="4"/>
  <c r="BP141" i="4"/>
  <c r="BO141" i="4"/>
  <c r="BN141" i="4"/>
  <c r="BI141" i="4"/>
  <c r="BD141" i="4"/>
  <c r="AY141" i="4"/>
  <c r="AT141" i="4"/>
  <c r="AO141" i="4"/>
  <c r="AJ141" i="4"/>
  <c r="AE141" i="4"/>
  <c r="Z141" i="4"/>
  <c r="U141" i="4"/>
  <c r="P141" i="4"/>
  <c r="K141" i="4"/>
  <c r="BR140" i="4"/>
  <c r="BQ140" i="4"/>
  <c r="BP140" i="4"/>
  <c r="BO140" i="4"/>
  <c r="BN140" i="4"/>
  <c r="BI140" i="4"/>
  <c r="BD140" i="4"/>
  <c r="AY140" i="4"/>
  <c r="AT140" i="4"/>
  <c r="AO140" i="4"/>
  <c r="AJ140" i="4"/>
  <c r="AE140" i="4"/>
  <c r="Z140" i="4"/>
  <c r="U140" i="4"/>
  <c r="P140" i="4"/>
  <c r="K140" i="4"/>
  <c r="BS233" i="4" l="1"/>
  <c r="BS238" i="4"/>
  <c r="BS324" i="4"/>
  <c r="BS344" i="4"/>
  <c r="BS404" i="4"/>
  <c r="BS406" i="4"/>
  <c r="BS141" i="4"/>
  <c r="BS403" i="4"/>
  <c r="BS405" i="4"/>
  <c r="BS343" i="4"/>
  <c r="BS143" i="4"/>
  <c r="BS140" i="4"/>
  <c r="BS142" i="4"/>
  <c r="BR401" i="4"/>
  <c r="BQ401" i="4"/>
  <c r="BP401" i="4"/>
  <c r="BO401" i="4"/>
  <c r="BN401" i="4"/>
  <c r="BI401" i="4"/>
  <c r="BD401" i="4"/>
  <c r="AY401" i="4"/>
  <c r="AT401" i="4"/>
  <c r="AO401" i="4"/>
  <c r="AJ401" i="4"/>
  <c r="AE401" i="4"/>
  <c r="Z401" i="4"/>
  <c r="U401" i="4"/>
  <c r="P401" i="4"/>
  <c r="K401" i="4"/>
  <c r="BR400" i="4"/>
  <c r="BQ400" i="4"/>
  <c r="BP400" i="4"/>
  <c r="BO400" i="4"/>
  <c r="BN400" i="4"/>
  <c r="BI400" i="4"/>
  <c r="BD400" i="4"/>
  <c r="AY400" i="4"/>
  <c r="AT400" i="4"/>
  <c r="AO400" i="4"/>
  <c r="AJ400" i="4"/>
  <c r="AE400" i="4"/>
  <c r="Z400" i="4"/>
  <c r="U400" i="4"/>
  <c r="P400" i="4"/>
  <c r="K400" i="4"/>
  <c r="BR399" i="4"/>
  <c r="BQ399" i="4"/>
  <c r="BP399" i="4"/>
  <c r="BO399" i="4"/>
  <c r="BN399" i="4"/>
  <c r="BI399" i="4"/>
  <c r="BD399" i="4"/>
  <c r="AY399" i="4"/>
  <c r="AT399" i="4"/>
  <c r="AO399" i="4"/>
  <c r="AJ399" i="4"/>
  <c r="AE399" i="4"/>
  <c r="Z399" i="4"/>
  <c r="U399" i="4"/>
  <c r="P399" i="4"/>
  <c r="K399" i="4"/>
  <c r="BR366" i="4"/>
  <c r="BQ366" i="4"/>
  <c r="BP366" i="4"/>
  <c r="BO366" i="4"/>
  <c r="BN366" i="4"/>
  <c r="BI366" i="4"/>
  <c r="BD366" i="4"/>
  <c r="AY366" i="4"/>
  <c r="AT366" i="4"/>
  <c r="AO366" i="4"/>
  <c r="AJ366" i="4"/>
  <c r="AE366" i="4"/>
  <c r="Z366" i="4"/>
  <c r="U366" i="4"/>
  <c r="P366" i="4"/>
  <c r="K366" i="4"/>
  <c r="BR365" i="4"/>
  <c r="BQ365" i="4"/>
  <c r="BP365" i="4"/>
  <c r="BO365" i="4"/>
  <c r="BN365" i="4"/>
  <c r="BI365" i="4"/>
  <c r="BD365" i="4"/>
  <c r="AY365" i="4"/>
  <c r="AT365" i="4"/>
  <c r="AO365" i="4"/>
  <c r="AJ365" i="4"/>
  <c r="AE365" i="4"/>
  <c r="Z365" i="4"/>
  <c r="U365" i="4"/>
  <c r="P365" i="4"/>
  <c r="K365" i="4"/>
  <c r="BR364" i="4"/>
  <c r="BQ364" i="4"/>
  <c r="BP364" i="4"/>
  <c r="BO364" i="4"/>
  <c r="BN364" i="4"/>
  <c r="BI364" i="4"/>
  <c r="BD364" i="4"/>
  <c r="AY364" i="4"/>
  <c r="AT364" i="4"/>
  <c r="AO364" i="4"/>
  <c r="AJ364" i="4"/>
  <c r="AE364" i="4"/>
  <c r="Z364" i="4"/>
  <c r="U364" i="4"/>
  <c r="P364" i="4"/>
  <c r="K364" i="4"/>
  <c r="BR232" i="4"/>
  <c r="BQ232" i="4"/>
  <c r="BP232" i="4"/>
  <c r="BO232" i="4"/>
  <c r="BN232" i="4"/>
  <c r="BI232" i="4"/>
  <c r="BD232" i="4"/>
  <c r="AY232" i="4"/>
  <c r="AT232" i="4"/>
  <c r="AO232" i="4"/>
  <c r="AJ232" i="4"/>
  <c r="AE232" i="4"/>
  <c r="Z232" i="4"/>
  <c r="U232" i="4"/>
  <c r="P232" i="4"/>
  <c r="K232" i="4"/>
  <c r="P263" i="4"/>
  <c r="M189" i="4"/>
  <c r="L190" i="4"/>
  <c r="L189" i="4"/>
  <c r="N189" i="4"/>
  <c r="M109" i="4"/>
  <c r="M107" i="4"/>
  <c r="N109" i="4"/>
  <c r="N107" i="4"/>
  <c r="L109" i="4"/>
  <c r="L107" i="4"/>
  <c r="N110" i="4"/>
  <c r="L110" i="4"/>
  <c r="N108" i="4"/>
  <c r="L108" i="4"/>
  <c r="BS232" i="4" l="1"/>
  <c r="BS365" i="4"/>
  <c r="BS366" i="4"/>
  <c r="BS399" i="4"/>
  <c r="BS401" i="4"/>
  <c r="BS400" i="4"/>
  <c r="BS364" i="4"/>
  <c r="K354" i="4"/>
  <c r="K355" i="4"/>
  <c r="K356" i="4"/>
  <c r="K357" i="4"/>
  <c r="K358" i="4"/>
  <c r="K359" i="4"/>
  <c r="K360" i="4"/>
  <c r="K361" i="4"/>
  <c r="K362" i="4"/>
  <c r="BR317" i="4"/>
  <c r="BQ317" i="4"/>
  <c r="BP317" i="4"/>
  <c r="BO317" i="4"/>
  <c r="BN317" i="4"/>
  <c r="BI317" i="4"/>
  <c r="BD317" i="4"/>
  <c r="AY317" i="4"/>
  <c r="AT317" i="4"/>
  <c r="AO317" i="4"/>
  <c r="AJ317" i="4"/>
  <c r="AE317" i="4"/>
  <c r="Z317" i="4"/>
  <c r="U317" i="4"/>
  <c r="P317" i="4"/>
  <c r="K317" i="4"/>
  <c r="BR239" i="4"/>
  <c r="BQ239" i="4"/>
  <c r="BP239" i="4"/>
  <c r="BO239" i="4"/>
  <c r="BN239" i="4"/>
  <c r="BI239" i="4"/>
  <c r="BD239" i="4"/>
  <c r="AY239" i="4"/>
  <c r="AT239" i="4"/>
  <c r="AO239" i="4"/>
  <c r="AJ239" i="4"/>
  <c r="AE239" i="4"/>
  <c r="Z239" i="4"/>
  <c r="U239" i="4"/>
  <c r="P239" i="4"/>
  <c r="K239" i="4"/>
  <c r="G189" i="4"/>
  <c r="BO189" i="4" s="1"/>
  <c r="BR194" i="4"/>
  <c r="BQ194" i="4"/>
  <c r="BP194" i="4"/>
  <c r="BO194" i="4"/>
  <c r="BN194" i="4"/>
  <c r="BI194" i="4"/>
  <c r="BD194" i="4"/>
  <c r="AY194" i="4"/>
  <c r="AT194" i="4"/>
  <c r="AO194" i="4"/>
  <c r="AJ194" i="4"/>
  <c r="AE194" i="4"/>
  <c r="Z194" i="4"/>
  <c r="U194" i="4"/>
  <c r="P194" i="4"/>
  <c r="K194" i="4"/>
  <c r="BR193" i="4"/>
  <c r="BQ193" i="4"/>
  <c r="BP193" i="4"/>
  <c r="BO193" i="4"/>
  <c r="BN193" i="4"/>
  <c r="BI193" i="4"/>
  <c r="BD193" i="4"/>
  <c r="AY193" i="4"/>
  <c r="AT193" i="4"/>
  <c r="AO193" i="4"/>
  <c r="AJ193" i="4"/>
  <c r="AE193" i="4"/>
  <c r="Z193" i="4"/>
  <c r="U193" i="4"/>
  <c r="P193" i="4"/>
  <c r="K193" i="4"/>
  <c r="BR192" i="4"/>
  <c r="BQ192" i="4"/>
  <c r="BP192" i="4"/>
  <c r="BO192" i="4"/>
  <c r="BN192" i="4"/>
  <c r="BI192" i="4"/>
  <c r="BD192" i="4"/>
  <c r="AY192" i="4"/>
  <c r="AT192" i="4"/>
  <c r="AO192" i="4"/>
  <c r="AJ192" i="4"/>
  <c r="AE192" i="4"/>
  <c r="Z192" i="4"/>
  <c r="U192" i="4"/>
  <c r="P192" i="4"/>
  <c r="K192" i="4"/>
  <c r="BR191" i="4"/>
  <c r="BQ191" i="4"/>
  <c r="BP191" i="4"/>
  <c r="BO191" i="4"/>
  <c r="BN191" i="4"/>
  <c r="BI191" i="4"/>
  <c r="BD191" i="4"/>
  <c r="AY191" i="4"/>
  <c r="AT191" i="4"/>
  <c r="AO191" i="4"/>
  <c r="AJ191" i="4"/>
  <c r="AE191" i="4"/>
  <c r="Z191" i="4"/>
  <c r="U191" i="4"/>
  <c r="P191" i="4"/>
  <c r="K191" i="4"/>
  <c r="BR190" i="4"/>
  <c r="BQ190" i="4"/>
  <c r="BP190" i="4"/>
  <c r="BO190" i="4"/>
  <c r="BN190" i="4"/>
  <c r="BI190" i="4"/>
  <c r="BD190" i="4"/>
  <c r="AY190" i="4"/>
  <c r="AT190" i="4"/>
  <c r="AO190" i="4"/>
  <c r="AJ190" i="4"/>
  <c r="AE190" i="4"/>
  <c r="Z190" i="4"/>
  <c r="U190" i="4"/>
  <c r="P190" i="4"/>
  <c r="K190" i="4"/>
  <c r="BR189" i="4"/>
  <c r="BQ189" i="4"/>
  <c r="BP189" i="4"/>
  <c r="BN189" i="4"/>
  <c r="BI189" i="4"/>
  <c r="BD189" i="4"/>
  <c r="AY189" i="4"/>
  <c r="AT189" i="4"/>
  <c r="AO189" i="4"/>
  <c r="AJ189" i="4"/>
  <c r="AE189" i="4"/>
  <c r="Z189" i="4"/>
  <c r="U189" i="4"/>
  <c r="P189" i="4"/>
  <c r="BR178" i="4"/>
  <c r="BQ178" i="4"/>
  <c r="BP178" i="4"/>
  <c r="BO178" i="4"/>
  <c r="BN178" i="4"/>
  <c r="BI178" i="4"/>
  <c r="BD178" i="4"/>
  <c r="AY178" i="4"/>
  <c r="AT178" i="4"/>
  <c r="AO178" i="4"/>
  <c r="AJ178" i="4"/>
  <c r="AE178" i="4"/>
  <c r="Z178" i="4"/>
  <c r="U178" i="4"/>
  <c r="P178" i="4"/>
  <c r="K178" i="4"/>
  <c r="BR177" i="4"/>
  <c r="BQ177" i="4"/>
  <c r="BP177" i="4"/>
  <c r="BO177" i="4"/>
  <c r="BN177" i="4"/>
  <c r="BI177" i="4"/>
  <c r="BD177" i="4"/>
  <c r="AY177" i="4"/>
  <c r="AT177" i="4"/>
  <c r="AO177" i="4"/>
  <c r="AJ177" i="4"/>
  <c r="AE177" i="4"/>
  <c r="Z177" i="4"/>
  <c r="U177" i="4"/>
  <c r="P177" i="4"/>
  <c r="K177" i="4"/>
  <c r="BR188" i="4"/>
  <c r="BQ188" i="4"/>
  <c r="BP188" i="4"/>
  <c r="BO188" i="4"/>
  <c r="BN188" i="4"/>
  <c r="BI188" i="4"/>
  <c r="BD188" i="4"/>
  <c r="AY188" i="4"/>
  <c r="AT188" i="4"/>
  <c r="AO188" i="4"/>
  <c r="AJ188" i="4"/>
  <c r="AE188" i="4"/>
  <c r="Z188" i="4"/>
  <c r="U188" i="4"/>
  <c r="P188" i="4"/>
  <c r="K188" i="4"/>
  <c r="BR187" i="4"/>
  <c r="BQ187" i="4"/>
  <c r="BP187" i="4"/>
  <c r="BO187" i="4"/>
  <c r="BN187" i="4"/>
  <c r="BI187" i="4"/>
  <c r="BD187" i="4"/>
  <c r="AY187" i="4"/>
  <c r="AT187" i="4"/>
  <c r="AO187" i="4"/>
  <c r="AJ187" i="4"/>
  <c r="AE187" i="4"/>
  <c r="Z187" i="4"/>
  <c r="U187" i="4"/>
  <c r="P187" i="4"/>
  <c r="K187" i="4"/>
  <c r="BR186" i="4"/>
  <c r="BQ186" i="4"/>
  <c r="BP186" i="4"/>
  <c r="BO186" i="4"/>
  <c r="BN186" i="4"/>
  <c r="BI186" i="4"/>
  <c r="BD186" i="4"/>
  <c r="AY186" i="4"/>
  <c r="AT186" i="4"/>
  <c r="AO186" i="4"/>
  <c r="AJ186" i="4"/>
  <c r="AE186" i="4"/>
  <c r="Z186" i="4"/>
  <c r="U186" i="4"/>
  <c r="P186" i="4"/>
  <c r="K186" i="4"/>
  <c r="BR185" i="4"/>
  <c r="BQ185" i="4"/>
  <c r="BP185" i="4"/>
  <c r="BO185" i="4"/>
  <c r="BN185" i="4"/>
  <c r="BI185" i="4"/>
  <c r="BD185" i="4"/>
  <c r="AY185" i="4"/>
  <c r="AT185" i="4"/>
  <c r="AO185" i="4"/>
  <c r="AJ185" i="4"/>
  <c r="AE185" i="4"/>
  <c r="Z185" i="4"/>
  <c r="U185" i="4"/>
  <c r="P185" i="4"/>
  <c r="K185" i="4"/>
  <c r="BR139" i="4"/>
  <c r="BQ139" i="4"/>
  <c r="BP139" i="4"/>
  <c r="BO139" i="4"/>
  <c r="BN139" i="4"/>
  <c r="BI139" i="4"/>
  <c r="BD139" i="4"/>
  <c r="AY139" i="4"/>
  <c r="AT139" i="4"/>
  <c r="AO139" i="4"/>
  <c r="AJ139" i="4"/>
  <c r="AE139" i="4"/>
  <c r="Z139" i="4"/>
  <c r="U139" i="4"/>
  <c r="P139" i="4"/>
  <c r="K139" i="4"/>
  <c r="BS317" i="4" l="1"/>
  <c r="BS239" i="4"/>
  <c r="BS194" i="4"/>
  <c r="K189" i="4"/>
  <c r="BS139" i="4"/>
  <c r="BS186" i="4"/>
  <c r="BS188" i="4"/>
  <c r="BS190" i="4"/>
  <c r="BS192" i="4"/>
  <c r="BS193" i="4"/>
  <c r="BS191" i="4"/>
  <c r="BS189" i="4"/>
  <c r="BS178" i="4"/>
  <c r="BS177" i="4"/>
  <c r="BS185" i="4"/>
  <c r="BS187" i="4"/>
  <c r="BM434" i="4" l="1"/>
  <c r="BL434" i="4"/>
  <c r="BK434" i="4"/>
  <c r="BJ434" i="4"/>
  <c r="BN433" i="4"/>
  <c r="BM432" i="4"/>
  <c r="BL432" i="4"/>
  <c r="BK432" i="4"/>
  <c r="BJ432" i="4"/>
  <c r="BN431" i="4"/>
  <c r="BN430" i="4"/>
  <c r="BM428" i="4"/>
  <c r="BL428" i="4"/>
  <c r="BK428" i="4"/>
  <c r="BJ428" i="4"/>
  <c r="BN427" i="4"/>
  <c r="BN426" i="4"/>
  <c r="BN421" i="4"/>
  <c r="BN402" i="4"/>
  <c r="BN398" i="4"/>
  <c r="BN397" i="4"/>
  <c r="BN396" i="4"/>
  <c r="BN395" i="4"/>
  <c r="BN394" i="4"/>
  <c r="BN393" i="4"/>
  <c r="BN392" i="4"/>
  <c r="BN391" i="4"/>
  <c r="BN390" i="4"/>
  <c r="BM389" i="4"/>
  <c r="BL389" i="4"/>
  <c r="BK389" i="4"/>
  <c r="BJ389" i="4"/>
  <c r="BN372" i="4"/>
  <c r="BN367" i="4"/>
  <c r="BN363" i="4"/>
  <c r="BN362" i="4"/>
  <c r="BN361" i="4"/>
  <c r="BN360" i="4"/>
  <c r="BN359" i="4"/>
  <c r="BN358" i="4"/>
  <c r="BN357" i="4"/>
  <c r="BN356" i="4"/>
  <c r="BN355" i="4"/>
  <c r="BN354" i="4"/>
  <c r="BN350" i="4"/>
  <c r="BM348" i="4"/>
  <c r="BL348" i="4"/>
  <c r="BK348" i="4"/>
  <c r="BJ348" i="4"/>
  <c r="BN347" i="4"/>
  <c r="BN345" i="4"/>
  <c r="BN342" i="4"/>
  <c r="BN341" i="4"/>
  <c r="BM340" i="4"/>
  <c r="BL340" i="4"/>
  <c r="BK340" i="4"/>
  <c r="BJ340" i="4"/>
  <c r="BN339" i="4"/>
  <c r="BN338" i="4"/>
  <c r="BN336" i="4"/>
  <c r="BN335" i="4"/>
  <c r="BN334" i="4"/>
  <c r="BN333" i="4"/>
  <c r="BN332" i="4"/>
  <c r="BN331" i="4"/>
  <c r="BN330" i="4"/>
  <c r="BN328" i="4"/>
  <c r="BN327" i="4"/>
  <c r="BM326" i="4"/>
  <c r="BL326" i="4"/>
  <c r="BK326" i="4"/>
  <c r="BJ326" i="4"/>
  <c r="BN325" i="4"/>
  <c r="BN322" i="4"/>
  <c r="BN321" i="4"/>
  <c r="BN320" i="4"/>
  <c r="BN319" i="4"/>
  <c r="BN318" i="4"/>
  <c r="BN316" i="4"/>
  <c r="BM315" i="4"/>
  <c r="BL315" i="4"/>
  <c r="BK315" i="4"/>
  <c r="BJ315" i="4"/>
  <c r="BN314" i="4"/>
  <c r="BN313" i="4"/>
  <c r="BN312" i="4"/>
  <c r="BN311" i="4"/>
  <c r="BN310" i="4"/>
  <c r="BN309" i="4"/>
  <c r="BN308" i="4"/>
  <c r="BN306" i="4"/>
  <c r="BN305" i="4"/>
  <c r="BN303" i="4"/>
  <c r="BN302" i="4"/>
  <c r="BN301" i="4"/>
  <c r="BM300" i="4"/>
  <c r="BL300" i="4"/>
  <c r="BK300" i="4"/>
  <c r="BJ300" i="4"/>
  <c r="BN299" i="4"/>
  <c r="BN298" i="4"/>
  <c r="BN296" i="4"/>
  <c r="BN295" i="4"/>
  <c r="BM293" i="4"/>
  <c r="BL293" i="4"/>
  <c r="BK293" i="4"/>
  <c r="BJ293" i="4"/>
  <c r="BN292" i="4"/>
  <c r="BN291" i="4"/>
  <c r="BN290" i="4"/>
  <c r="BN289" i="4"/>
  <c r="BN288" i="4"/>
  <c r="BN286" i="4"/>
  <c r="BN285" i="4"/>
  <c r="BN284" i="4"/>
  <c r="BN283" i="4"/>
  <c r="BN282" i="4"/>
  <c r="BN281" i="4"/>
  <c r="BN280" i="4"/>
  <c r="BN279" i="4"/>
  <c r="BN278" i="4"/>
  <c r="BN274" i="4"/>
  <c r="BN271" i="4"/>
  <c r="BN270" i="4"/>
  <c r="BN266" i="4"/>
  <c r="BN265" i="4"/>
  <c r="BN263" i="4"/>
  <c r="BN262" i="4"/>
  <c r="BN261" i="4"/>
  <c r="BN260" i="4"/>
  <c r="BN259" i="4"/>
  <c r="BN258" i="4"/>
  <c r="BN257" i="4"/>
  <c r="BN256" i="4"/>
  <c r="BN255" i="4"/>
  <c r="BN254" i="4"/>
  <c r="BN253" i="4"/>
  <c r="BN252" i="4"/>
  <c r="BM251" i="4"/>
  <c r="BL251" i="4"/>
  <c r="BK251" i="4"/>
  <c r="BJ251" i="4"/>
  <c r="BN250" i="4"/>
  <c r="BN248" i="4"/>
  <c r="BN247" i="4"/>
  <c r="BN246" i="4"/>
  <c r="BN244" i="4"/>
  <c r="BN243" i="4"/>
  <c r="BN242" i="4"/>
  <c r="BN240" i="4"/>
  <c r="BN237" i="4"/>
  <c r="BN235" i="4"/>
  <c r="BN234" i="4"/>
  <c r="BN231" i="4"/>
  <c r="BN230" i="4"/>
  <c r="BN229" i="4"/>
  <c r="BN228" i="4"/>
  <c r="BM226" i="4"/>
  <c r="BM227" i="4" s="1"/>
  <c r="BL226" i="4"/>
  <c r="BL227" i="4" s="1"/>
  <c r="BK226" i="4"/>
  <c r="BK227" i="4" s="1"/>
  <c r="BJ226" i="4"/>
  <c r="BJ227" i="4" s="1"/>
  <c r="BN225" i="4"/>
  <c r="BN224" i="4"/>
  <c r="BN223" i="4"/>
  <c r="BN222" i="4"/>
  <c r="BN221" i="4"/>
  <c r="BN220" i="4"/>
  <c r="BN219" i="4"/>
  <c r="BN218" i="4"/>
  <c r="BN214" i="4"/>
  <c r="BN213" i="4"/>
  <c r="BN210" i="4"/>
  <c r="BN209" i="4"/>
  <c r="BN208" i="4"/>
  <c r="BN207" i="4"/>
  <c r="BN206" i="4"/>
  <c r="BN205" i="4"/>
  <c r="BN204" i="4"/>
  <c r="BN203" i="4"/>
  <c r="BN202" i="4"/>
  <c r="BN201" i="4"/>
  <c r="BN200" i="4"/>
  <c r="BN198" i="4"/>
  <c r="BN197" i="4"/>
  <c r="BN196" i="4"/>
  <c r="BN195" i="4"/>
  <c r="BN184" i="4"/>
  <c r="BN183" i="4"/>
  <c r="BN182" i="4"/>
  <c r="BN181" i="4"/>
  <c r="BN174" i="4"/>
  <c r="BN173" i="4"/>
  <c r="BN172" i="4"/>
  <c r="BN163" i="4"/>
  <c r="BN162" i="4"/>
  <c r="BN161" i="4"/>
  <c r="BN160" i="4"/>
  <c r="BN159" i="4"/>
  <c r="BN158" i="4"/>
  <c r="BN157" i="4"/>
  <c r="BN156" i="4"/>
  <c r="BN153" i="4"/>
  <c r="BN152" i="4"/>
  <c r="BN151" i="4"/>
  <c r="BN150" i="4"/>
  <c r="BN145" i="4"/>
  <c r="BN144" i="4"/>
  <c r="BN138" i="4"/>
  <c r="BN137" i="4"/>
  <c r="BN136" i="4"/>
  <c r="BN135" i="4"/>
  <c r="BN134" i="4"/>
  <c r="BM131" i="4"/>
  <c r="BL131" i="4"/>
  <c r="BK131" i="4"/>
  <c r="BJ131" i="4"/>
  <c r="BN130" i="4"/>
  <c r="BN129" i="4"/>
  <c r="BN128" i="4"/>
  <c r="BN127" i="4"/>
  <c r="BN126" i="4"/>
  <c r="BN125" i="4"/>
  <c r="BN124" i="4"/>
  <c r="BN123" i="4"/>
  <c r="BN122" i="4"/>
  <c r="BN121" i="4"/>
  <c r="BM120" i="4"/>
  <c r="BL120" i="4"/>
  <c r="BK120" i="4"/>
  <c r="BJ120" i="4"/>
  <c r="BN119" i="4"/>
  <c r="BN118" i="4"/>
  <c r="BN117" i="4"/>
  <c r="BN116" i="4"/>
  <c r="BN115" i="4"/>
  <c r="BN114" i="4"/>
  <c r="BN113" i="4"/>
  <c r="BN112" i="4"/>
  <c r="BM111" i="4"/>
  <c r="BL111" i="4"/>
  <c r="BK111" i="4"/>
  <c r="BJ111" i="4"/>
  <c r="BN110" i="4"/>
  <c r="BN109" i="4"/>
  <c r="BN108" i="4"/>
  <c r="BN107" i="4"/>
  <c r="BN106" i="4"/>
  <c r="BN105" i="4"/>
  <c r="BN104" i="4"/>
  <c r="BN103" i="4"/>
  <c r="BM100" i="4"/>
  <c r="BL100" i="4"/>
  <c r="BK100" i="4"/>
  <c r="BJ100" i="4"/>
  <c r="BN99" i="4"/>
  <c r="BN98" i="4"/>
  <c r="BN97" i="4"/>
  <c r="BN96" i="4"/>
  <c r="BN92" i="4"/>
  <c r="BN91" i="4"/>
  <c r="BN90" i="4"/>
  <c r="BM89" i="4"/>
  <c r="BL89" i="4"/>
  <c r="BK89" i="4"/>
  <c r="BJ89" i="4"/>
  <c r="BN88" i="4"/>
  <c r="BN87" i="4"/>
  <c r="BN82" i="4"/>
  <c r="BN81" i="4"/>
  <c r="BM80" i="4"/>
  <c r="BL80" i="4"/>
  <c r="BK80" i="4"/>
  <c r="BJ80" i="4"/>
  <c r="BN79" i="4"/>
  <c r="BN78" i="4"/>
  <c r="BN77" i="4"/>
  <c r="BN76" i="4"/>
  <c r="BM75" i="4"/>
  <c r="BL75" i="4"/>
  <c r="BK75" i="4"/>
  <c r="BJ75" i="4"/>
  <c r="BN74" i="4"/>
  <c r="BN73" i="4"/>
  <c r="BN72" i="4"/>
  <c r="BN71" i="4"/>
  <c r="BM70" i="4"/>
  <c r="BL70" i="4"/>
  <c r="BK70" i="4"/>
  <c r="BJ70" i="4"/>
  <c r="BN65" i="4"/>
  <c r="BN64" i="4"/>
  <c r="BN63" i="4"/>
  <c r="BN62" i="4"/>
  <c r="BM61" i="4"/>
  <c r="BL61" i="4"/>
  <c r="BK61" i="4"/>
  <c r="BJ61" i="4"/>
  <c r="BN60" i="4"/>
  <c r="BN59" i="4"/>
  <c r="BN58" i="4"/>
  <c r="BN57" i="4"/>
  <c r="BM56" i="4"/>
  <c r="BL56" i="4"/>
  <c r="BK56" i="4"/>
  <c r="BJ56" i="4"/>
  <c r="BN55" i="4"/>
  <c r="BN54" i="4"/>
  <c r="BN53" i="4"/>
  <c r="BN52" i="4"/>
  <c r="BN47" i="4"/>
  <c r="BN46" i="4"/>
  <c r="BN45" i="4"/>
  <c r="BN44" i="4"/>
  <c r="BM43" i="4"/>
  <c r="BL43" i="4"/>
  <c r="BK43" i="4"/>
  <c r="BJ43" i="4"/>
  <c r="BN30" i="4"/>
  <c r="BN29" i="4"/>
  <c r="BN28" i="4"/>
  <c r="BN27" i="4"/>
  <c r="BN26" i="4"/>
  <c r="BN25" i="4"/>
  <c r="BN24" i="4"/>
  <c r="BN23" i="4"/>
  <c r="BM22" i="4"/>
  <c r="BL22" i="4"/>
  <c r="BK22" i="4"/>
  <c r="BJ22" i="4"/>
  <c r="BN21" i="4"/>
  <c r="BN20" i="4"/>
  <c r="BN19" i="4"/>
  <c r="BN18" i="4"/>
  <c r="BN13" i="4"/>
  <c r="BN12" i="4"/>
  <c r="BN11" i="4"/>
  <c r="BN10" i="4"/>
  <c r="BN9" i="4"/>
  <c r="BM8" i="4"/>
  <c r="BL8" i="4"/>
  <c r="BK8" i="4"/>
  <c r="BJ8" i="4"/>
  <c r="BN7" i="4"/>
  <c r="BN6" i="4"/>
  <c r="BH434" i="4"/>
  <c r="BG434" i="4"/>
  <c r="BF434" i="4"/>
  <c r="BE434" i="4"/>
  <c r="BI433" i="4"/>
  <c r="BH432" i="4"/>
  <c r="BG432" i="4"/>
  <c r="BF432" i="4"/>
  <c r="BE432" i="4"/>
  <c r="BI431" i="4"/>
  <c r="BI430" i="4"/>
  <c r="BH428" i="4"/>
  <c r="BG428" i="4"/>
  <c r="BF428" i="4"/>
  <c r="BE428" i="4"/>
  <c r="BI427" i="4"/>
  <c r="BI426" i="4"/>
  <c r="BI421" i="4"/>
  <c r="BI402" i="4"/>
  <c r="BI398" i="4"/>
  <c r="BI397" i="4"/>
  <c r="BI396" i="4"/>
  <c r="BI395" i="4"/>
  <c r="BI394" i="4"/>
  <c r="BI393" i="4"/>
  <c r="BI392" i="4"/>
  <c r="BI391" i="4"/>
  <c r="BI390" i="4"/>
  <c r="BH389" i="4"/>
  <c r="BG389" i="4"/>
  <c r="BF389" i="4"/>
  <c r="BE389" i="4"/>
  <c r="BI372" i="4"/>
  <c r="BI367" i="4"/>
  <c r="BI363" i="4"/>
  <c r="BI362" i="4"/>
  <c r="BI361" i="4"/>
  <c r="BI360" i="4"/>
  <c r="BI359" i="4"/>
  <c r="BI358" i="4"/>
  <c r="BI357" i="4"/>
  <c r="BI356" i="4"/>
  <c r="BI355" i="4"/>
  <c r="BI354" i="4"/>
  <c r="BI350" i="4"/>
  <c r="BH348" i="4"/>
  <c r="BG348" i="4"/>
  <c r="BF348" i="4"/>
  <c r="BE348" i="4"/>
  <c r="BI347" i="4"/>
  <c r="BI345" i="4"/>
  <c r="BI342" i="4"/>
  <c r="BI341" i="4"/>
  <c r="BH340" i="4"/>
  <c r="BG340" i="4"/>
  <c r="BF340" i="4"/>
  <c r="BE340" i="4"/>
  <c r="BI339" i="4"/>
  <c r="BI338" i="4"/>
  <c r="BI336" i="4"/>
  <c r="BI335" i="4"/>
  <c r="BI334" i="4"/>
  <c r="BI333" i="4"/>
  <c r="BI332" i="4"/>
  <c r="BI331" i="4"/>
  <c r="BI330" i="4"/>
  <c r="BI328" i="4"/>
  <c r="BI327" i="4"/>
  <c r="BH326" i="4"/>
  <c r="BG326" i="4"/>
  <c r="BF326" i="4"/>
  <c r="BE326" i="4"/>
  <c r="BI325" i="4"/>
  <c r="BI322" i="4"/>
  <c r="BI321" i="4"/>
  <c r="BI320" i="4"/>
  <c r="BI319" i="4"/>
  <c r="BI318" i="4"/>
  <c r="BI316" i="4"/>
  <c r="BH315" i="4"/>
  <c r="BG315" i="4"/>
  <c r="BF315" i="4"/>
  <c r="BE315" i="4"/>
  <c r="BI314" i="4"/>
  <c r="BI313" i="4"/>
  <c r="BI312" i="4"/>
  <c r="BI311" i="4"/>
  <c r="BI310" i="4"/>
  <c r="BI309" i="4"/>
  <c r="BI308" i="4"/>
  <c r="BI306" i="4"/>
  <c r="BI305" i="4"/>
  <c r="BI303" i="4"/>
  <c r="BI302" i="4"/>
  <c r="BI301" i="4"/>
  <c r="BH300" i="4"/>
  <c r="BG300" i="4"/>
  <c r="BF300" i="4"/>
  <c r="BE300" i="4"/>
  <c r="BI299" i="4"/>
  <c r="BI298" i="4"/>
  <c r="BI296" i="4"/>
  <c r="BI295" i="4"/>
  <c r="BH293" i="4"/>
  <c r="BG293" i="4"/>
  <c r="BF293" i="4"/>
  <c r="BE293" i="4"/>
  <c r="BI292" i="4"/>
  <c r="BI291" i="4"/>
  <c r="BI290" i="4"/>
  <c r="BI289" i="4"/>
  <c r="BI288" i="4"/>
  <c r="BI286" i="4"/>
  <c r="BI285" i="4"/>
  <c r="BI284" i="4"/>
  <c r="BI283" i="4"/>
  <c r="BI282" i="4"/>
  <c r="BI281" i="4"/>
  <c r="BI280" i="4"/>
  <c r="BI279" i="4"/>
  <c r="BI278" i="4"/>
  <c r="BI274" i="4"/>
  <c r="BI271" i="4"/>
  <c r="BI270" i="4"/>
  <c r="BI266" i="4"/>
  <c r="BI265" i="4"/>
  <c r="BI263" i="4"/>
  <c r="BI262" i="4"/>
  <c r="BI261" i="4"/>
  <c r="BI260" i="4"/>
  <c r="BI259" i="4"/>
  <c r="BI258" i="4"/>
  <c r="BI257" i="4"/>
  <c r="BI256" i="4"/>
  <c r="BI255" i="4"/>
  <c r="BI254" i="4"/>
  <c r="BI253" i="4"/>
  <c r="BI252" i="4"/>
  <c r="BH251" i="4"/>
  <c r="BG251" i="4"/>
  <c r="BF251" i="4"/>
  <c r="BE251" i="4"/>
  <c r="BI250" i="4"/>
  <c r="BI248" i="4"/>
  <c r="BI247" i="4"/>
  <c r="BI246" i="4"/>
  <c r="BI244" i="4"/>
  <c r="BI243" i="4"/>
  <c r="BI242" i="4"/>
  <c r="BI240" i="4"/>
  <c r="BI237" i="4"/>
  <c r="BI235" i="4"/>
  <c r="BI234" i="4"/>
  <c r="BI231" i="4"/>
  <c r="BI230" i="4"/>
  <c r="BI229" i="4"/>
  <c r="BI228" i="4"/>
  <c r="BH226" i="4"/>
  <c r="BH227" i="4" s="1"/>
  <c r="BG226" i="4"/>
  <c r="BG227" i="4" s="1"/>
  <c r="BF226" i="4"/>
  <c r="BF227" i="4" s="1"/>
  <c r="BE226" i="4"/>
  <c r="BE227" i="4" s="1"/>
  <c r="BI225" i="4"/>
  <c r="BI224" i="4"/>
  <c r="BI223" i="4"/>
  <c r="BI222" i="4"/>
  <c r="BI221" i="4"/>
  <c r="BI220" i="4"/>
  <c r="BI219" i="4"/>
  <c r="BI218" i="4"/>
  <c r="BI214" i="4"/>
  <c r="BI213" i="4"/>
  <c r="BI210" i="4"/>
  <c r="BI209" i="4"/>
  <c r="BI208" i="4"/>
  <c r="BI207" i="4"/>
  <c r="BI206" i="4"/>
  <c r="BI205" i="4"/>
  <c r="BI204" i="4"/>
  <c r="BI203" i="4"/>
  <c r="BI202" i="4"/>
  <c r="BI201" i="4"/>
  <c r="BI200" i="4"/>
  <c r="BI198" i="4"/>
  <c r="BI197" i="4"/>
  <c r="BI196" i="4"/>
  <c r="BI195" i="4"/>
  <c r="BI184" i="4"/>
  <c r="BI183" i="4"/>
  <c r="BI182" i="4"/>
  <c r="BI181" i="4"/>
  <c r="BI174" i="4"/>
  <c r="BI173" i="4"/>
  <c r="BI172" i="4"/>
  <c r="BI163" i="4"/>
  <c r="BI162" i="4"/>
  <c r="BI161" i="4"/>
  <c r="BI160" i="4"/>
  <c r="BI159" i="4"/>
  <c r="BI158" i="4"/>
  <c r="BI157" i="4"/>
  <c r="BI156" i="4"/>
  <c r="BI153" i="4"/>
  <c r="BI152" i="4"/>
  <c r="BI151" i="4"/>
  <c r="BI150" i="4"/>
  <c r="BI145" i="4"/>
  <c r="BI144" i="4"/>
  <c r="BI138" i="4"/>
  <c r="BI137" i="4"/>
  <c r="BI136" i="4"/>
  <c r="BI135" i="4"/>
  <c r="BI134" i="4"/>
  <c r="BH131" i="4"/>
  <c r="BG131" i="4"/>
  <c r="BF131" i="4"/>
  <c r="BE131" i="4"/>
  <c r="BI130" i="4"/>
  <c r="BI129" i="4"/>
  <c r="BI128" i="4"/>
  <c r="BI127" i="4"/>
  <c r="BI126" i="4"/>
  <c r="BI125" i="4"/>
  <c r="BI124" i="4"/>
  <c r="BI123" i="4"/>
  <c r="BI122" i="4"/>
  <c r="BI121" i="4"/>
  <c r="BH120" i="4"/>
  <c r="BG120" i="4"/>
  <c r="BF120" i="4"/>
  <c r="BE120" i="4"/>
  <c r="BI119" i="4"/>
  <c r="BI118" i="4"/>
  <c r="BI117" i="4"/>
  <c r="BI116" i="4"/>
  <c r="BI115" i="4"/>
  <c r="BI114" i="4"/>
  <c r="BI113" i="4"/>
  <c r="BI112" i="4"/>
  <c r="BH111" i="4"/>
  <c r="BG111" i="4"/>
  <c r="BF111" i="4"/>
  <c r="BE111" i="4"/>
  <c r="BI110" i="4"/>
  <c r="BI109" i="4"/>
  <c r="BI108" i="4"/>
  <c r="BI107" i="4"/>
  <c r="BI106" i="4"/>
  <c r="BI105" i="4"/>
  <c r="BI104" i="4"/>
  <c r="BI103" i="4"/>
  <c r="BH100" i="4"/>
  <c r="BG100" i="4"/>
  <c r="BF100" i="4"/>
  <c r="BE100" i="4"/>
  <c r="BI99" i="4"/>
  <c r="BI98" i="4"/>
  <c r="BI97" i="4"/>
  <c r="BI96" i="4"/>
  <c r="BI92" i="4"/>
  <c r="BI91" i="4"/>
  <c r="BI90" i="4"/>
  <c r="BH89" i="4"/>
  <c r="BG89" i="4"/>
  <c r="BF89" i="4"/>
  <c r="BE89" i="4"/>
  <c r="BI88" i="4"/>
  <c r="BI87" i="4"/>
  <c r="BI82" i="4"/>
  <c r="BI81" i="4"/>
  <c r="BH80" i="4"/>
  <c r="BG80" i="4"/>
  <c r="BF80" i="4"/>
  <c r="BE80" i="4"/>
  <c r="BI79" i="4"/>
  <c r="BI78" i="4"/>
  <c r="BI77" i="4"/>
  <c r="BI76" i="4"/>
  <c r="BH75" i="4"/>
  <c r="BG75" i="4"/>
  <c r="BF75" i="4"/>
  <c r="BE75" i="4"/>
  <c r="BI74" i="4"/>
  <c r="BI73" i="4"/>
  <c r="BI72" i="4"/>
  <c r="BI71" i="4"/>
  <c r="BH70" i="4"/>
  <c r="BG70" i="4"/>
  <c r="BF70" i="4"/>
  <c r="BE70" i="4"/>
  <c r="BI65" i="4"/>
  <c r="BI64" i="4"/>
  <c r="BI63" i="4"/>
  <c r="BI62" i="4"/>
  <c r="BH61" i="4"/>
  <c r="BG61" i="4"/>
  <c r="BF61" i="4"/>
  <c r="BE61" i="4"/>
  <c r="BI60" i="4"/>
  <c r="BI59" i="4"/>
  <c r="BI58" i="4"/>
  <c r="BI57" i="4"/>
  <c r="BH56" i="4"/>
  <c r="BG56" i="4"/>
  <c r="BF56" i="4"/>
  <c r="BE56" i="4"/>
  <c r="BI55" i="4"/>
  <c r="BI54" i="4"/>
  <c r="BI53" i="4"/>
  <c r="BI52" i="4"/>
  <c r="BI47" i="4"/>
  <c r="BI46" i="4"/>
  <c r="BI45" i="4"/>
  <c r="BI44" i="4"/>
  <c r="BH43" i="4"/>
  <c r="BG43" i="4"/>
  <c r="BF43" i="4"/>
  <c r="BE43" i="4"/>
  <c r="BI30" i="4"/>
  <c r="BI29" i="4"/>
  <c r="BI28" i="4"/>
  <c r="BI27" i="4"/>
  <c r="BI26" i="4"/>
  <c r="BI25" i="4"/>
  <c r="BI24" i="4"/>
  <c r="BI23" i="4"/>
  <c r="BH22" i="4"/>
  <c r="BG22" i="4"/>
  <c r="BF22" i="4"/>
  <c r="BE22" i="4"/>
  <c r="BI21" i="4"/>
  <c r="BI20" i="4"/>
  <c r="BI19" i="4"/>
  <c r="BI18" i="4"/>
  <c r="BI13" i="4"/>
  <c r="BI12" i="4"/>
  <c r="BI11" i="4"/>
  <c r="BI10" i="4"/>
  <c r="BI9" i="4"/>
  <c r="BH8" i="4"/>
  <c r="BG8" i="4"/>
  <c r="BF8" i="4"/>
  <c r="BE8" i="4"/>
  <c r="BI7" i="4"/>
  <c r="BI6" i="4"/>
  <c r="BC434" i="4"/>
  <c r="BB434" i="4"/>
  <c r="BA434" i="4"/>
  <c r="AZ434" i="4"/>
  <c r="BD433" i="4"/>
  <c r="BC432" i="4"/>
  <c r="BB432" i="4"/>
  <c r="BA432" i="4"/>
  <c r="AZ432" i="4"/>
  <c r="BD431" i="4"/>
  <c r="BD430" i="4"/>
  <c r="BC428" i="4"/>
  <c r="BB428" i="4"/>
  <c r="BA428" i="4"/>
  <c r="AZ428" i="4"/>
  <c r="BD427" i="4"/>
  <c r="BD426" i="4"/>
  <c r="BD421" i="4"/>
  <c r="BD402" i="4"/>
  <c r="BD398" i="4"/>
  <c r="BD397" i="4"/>
  <c r="BD396" i="4"/>
  <c r="BD395" i="4"/>
  <c r="BD394" i="4"/>
  <c r="BD393" i="4"/>
  <c r="BD392" i="4"/>
  <c r="BD391" i="4"/>
  <c r="BD390" i="4"/>
  <c r="BC389" i="4"/>
  <c r="BB389" i="4"/>
  <c r="BA389" i="4"/>
  <c r="AZ389" i="4"/>
  <c r="BD372" i="4"/>
  <c r="BD367" i="4"/>
  <c r="BD363" i="4"/>
  <c r="BD362" i="4"/>
  <c r="BD361" i="4"/>
  <c r="BD360" i="4"/>
  <c r="BD359" i="4"/>
  <c r="BD358" i="4"/>
  <c r="BD357" i="4"/>
  <c r="BD356" i="4"/>
  <c r="BD355" i="4"/>
  <c r="BD354" i="4"/>
  <c r="BD350" i="4"/>
  <c r="BC348" i="4"/>
  <c r="BB348" i="4"/>
  <c r="BA348" i="4"/>
  <c r="AZ348" i="4"/>
  <c r="BD347" i="4"/>
  <c r="BD345" i="4"/>
  <c r="BD342" i="4"/>
  <c r="BD341" i="4"/>
  <c r="BC340" i="4"/>
  <c r="BB340" i="4"/>
  <c r="BA340" i="4"/>
  <c r="AZ340" i="4"/>
  <c r="BD339" i="4"/>
  <c r="BD338" i="4"/>
  <c r="BD336" i="4"/>
  <c r="BD335" i="4"/>
  <c r="BD334" i="4"/>
  <c r="BD333" i="4"/>
  <c r="BD332" i="4"/>
  <c r="BD331" i="4"/>
  <c r="BD330" i="4"/>
  <c r="BD328" i="4"/>
  <c r="BD327" i="4"/>
  <c r="BC326" i="4"/>
  <c r="BB326" i="4"/>
  <c r="BA326" i="4"/>
  <c r="AZ326" i="4"/>
  <c r="BD325" i="4"/>
  <c r="BD322" i="4"/>
  <c r="BD321" i="4"/>
  <c r="BD320" i="4"/>
  <c r="BD319" i="4"/>
  <c r="BD318" i="4"/>
  <c r="BD316" i="4"/>
  <c r="BC315" i="4"/>
  <c r="BB315" i="4"/>
  <c r="BA315" i="4"/>
  <c r="AZ315" i="4"/>
  <c r="BD314" i="4"/>
  <c r="BD313" i="4"/>
  <c r="BD312" i="4"/>
  <c r="BD311" i="4"/>
  <c r="BD310" i="4"/>
  <c r="BD309" i="4"/>
  <c r="BD308" i="4"/>
  <c r="BD306" i="4"/>
  <c r="BD305" i="4"/>
  <c r="BD303" i="4"/>
  <c r="BD302" i="4"/>
  <c r="BD301" i="4"/>
  <c r="BC300" i="4"/>
  <c r="BB300" i="4"/>
  <c r="BA300" i="4"/>
  <c r="AZ300" i="4"/>
  <c r="BD299" i="4"/>
  <c r="BD298" i="4"/>
  <c r="BD296" i="4"/>
  <c r="BD295" i="4"/>
  <c r="BC293" i="4"/>
  <c r="BB293" i="4"/>
  <c r="BA293" i="4"/>
  <c r="AZ293" i="4"/>
  <c r="BD292" i="4"/>
  <c r="BD291" i="4"/>
  <c r="BD290" i="4"/>
  <c r="BD289" i="4"/>
  <c r="BD288" i="4"/>
  <c r="BD286" i="4"/>
  <c r="BD285" i="4"/>
  <c r="BD284" i="4"/>
  <c r="BD283" i="4"/>
  <c r="BD282" i="4"/>
  <c r="BD281" i="4"/>
  <c r="BD280" i="4"/>
  <c r="BD279" i="4"/>
  <c r="BD278" i="4"/>
  <c r="BD274" i="4"/>
  <c r="BD271" i="4"/>
  <c r="BD270" i="4"/>
  <c r="BD266" i="4"/>
  <c r="BD265" i="4"/>
  <c r="BD263" i="4"/>
  <c r="BD262" i="4"/>
  <c r="BD261" i="4"/>
  <c r="BD260" i="4"/>
  <c r="BD259" i="4"/>
  <c r="BD258" i="4"/>
  <c r="BD257" i="4"/>
  <c r="BD256" i="4"/>
  <c r="BD255" i="4"/>
  <c r="BD254" i="4"/>
  <c r="BD253" i="4"/>
  <c r="BD252" i="4"/>
  <c r="BC251" i="4"/>
  <c r="BB251" i="4"/>
  <c r="BA251" i="4"/>
  <c r="AZ251" i="4"/>
  <c r="BD250" i="4"/>
  <c r="BD248" i="4"/>
  <c r="BD247" i="4"/>
  <c r="BD246" i="4"/>
  <c r="BD244" i="4"/>
  <c r="BD243" i="4"/>
  <c r="BD242" i="4"/>
  <c r="BD240" i="4"/>
  <c r="BD237" i="4"/>
  <c r="BD235" i="4"/>
  <c r="BD234" i="4"/>
  <c r="BD231" i="4"/>
  <c r="BD230" i="4"/>
  <c r="BD229" i="4"/>
  <c r="BD228" i="4"/>
  <c r="BC226" i="4"/>
  <c r="BC227" i="4" s="1"/>
  <c r="BB226" i="4"/>
  <c r="BB227" i="4" s="1"/>
  <c r="BA226" i="4"/>
  <c r="BA227" i="4" s="1"/>
  <c r="AZ226" i="4"/>
  <c r="BD225" i="4"/>
  <c r="BD224" i="4"/>
  <c r="BD223" i="4"/>
  <c r="BD222" i="4"/>
  <c r="BD221" i="4"/>
  <c r="BD220" i="4"/>
  <c r="BD219" i="4"/>
  <c r="BD218" i="4"/>
  <c r="BD214" i="4"/>
  <c r="BD213" i="4"/>
  <c r="BD210" i="4"/>
  <c r="BD209" i="4"/>
  <c r="BD208" i="4"/>
  <c r="BD207" i="4"/>
  <c r="BD206" i="4"/>
  <c r="BD205" i="4"/>
  <c r="BD204" i="4"/>
  <c r="BD203" i="4"/>
  <c r="BD202" i="4"/>
  <c r="BD201" i="4"/>
  <c r="BD200" i="4"/>
  <c r="BD198" i="4"/>
  <c r="BD197" i="4"/>
  <c r="BD196" i="4"/>
  <c r="BD195" i="4"/>
  <c r="BD184" i="4"/>
  <c r="BD183" i="4"/>
  <c r="BD182" i="4"/>
  <c r="BD181" i="4"/>
  <c r="BD174" i="4"/>
  <c r="BD173" i="4"/>
  <c r="BD172" i="4"/>
  <c r="BD163" i="4"/>
  <c r="BD162" i="4"/>
  <c r="BD161" i="4"/>
  <c r="BD160" i="4"/>
  <c r="BD159" i="4"/>
  <c r="BD158" i="4"/>
  <c r="BD157" i="4"/>
  <c r="BD156" i="4"/>
  <c r="BD153" i="4"/>
  <c r="BD152" i="4"/>
  <c r="BD151" i="4"/>
  <c r="BD150" i="4"/>
  <c r="BD145" i="4"/>
  <c r="BD144" i="4"/>
  <c r="BD138" i="4"/>
  <c r="BD137" i="4"/>
  <c r="BD136" i="4"/>
  <c r="BD135" i="4"/>
  <c r="BD134" i="4"/>
  <c r="BC131" i="4"/>
  <c r="BB131" i="4"/>
  <c r="BA131" i="4"/>
  <c r="AZ131" i="4"/>
  <c r="BD130" i="4"/>
  <c r="BD129" i="4"/>
  <c r="BD128" i="4"/>
  <c r="BD127" i="4"/>
  <c r="BD126" i="4"/>
  <c r="BD125" i="4"/>
  <c r="BD124" i="4"/>
  <c r="BD123" i="4"/>
  <c r="BD122" i="4"/>
  <c r="BD121" i="4"/>
  <c r="BC120" i="4"/>
  <c r="BB120" i="4"/>
  <c r="BA120" i="4"/>
  <c r="AZ120" i="4"/>
  <c r="BD119" i="4"/>
  <c r="BD118" i="4"/>
  <c r="BD117" i="4"/>
  <c r="BD116" i="4"/>
  <c r="BD115" i="4"/>
  <c r="BD114" i="4"/>
  <c r="BD113" i="4"/>
  <c r="BD112" i="4"/>
  <c r="BC111" i="4"/>
  <c r="BB111" i="4"/>
  <c r="BA111" i="4"/>
  <c r="AZ111" i="4"/>
  <c r="BD110" i="4"/>
  <c r="BD109" i="4"/>
  <c r="BD108" i="4"/>
  <c r="BD107" i="4"/>
  <c r="BD106" i="4"/>
  <c r="BD105" i="4"/>
  <c r="BD104" i="4"/>
  <c r="BD103" i="4"/>
  <c r="BC100" i="4"/>
  <c r="BB100" i="4"/>
  <c r="BA100" i="4"/>
  <c r="AZ100" i="4"/>
  <c r="BD99" i="4"/>
  <c r="BD98" i="4"/>
  <c r="BD97" i="4"/>
  <c r="BD96" i="4"/>
  <c r="BD92" i="4"/>
  <c r="BD91" i="4"/>
  <c r="BD90" i="4"/>
  <c r="BC89" i="4"/>
  <c r="BB89" i="4"/>
  <c r="BA89" i="4"/>
  <c r="AZ89" i="4"/>
  <c r="BD88" i="4"/>
  <c r="BD87" i="4"/>
  <c r="BD82" i="4"/>
  <c r="BD81" i="4"/>
  <c r="BC80" i="4"/>
  <c r="BB80" i="4"/>
  <c r="BA80" i="4"/>
  <c r="AZ80" i="4"/>
  <c r="BD79" i="4"/>
  <c r="BD78" i="4"/>
  <c r="BD77" i="4"/>
  <c r="BD76" i="4"/>
  <c r="BC75" i="4"/>
  <c r="BB75" i="4"/>
  <c r="BA75" i="4"/>
  <c r="AZ75" i="4"/>
  <c r="BD74" i="4"/>
  <c r="BD73" i="4"/>
  <c r="BD72" i="4"/>
  <c r="BD71" i="4"/>
  <c r="BC70" i="4"/>
  <c r="BB70" i="4"/>
  <c r="BA70" i="4"/>
  <c r="AZ70" i="4"/>
  <c r="BD65" i="4"/>
  <c r="BD64" i="4"/>
  <c r="BD63" i="4"/>
  <c r="BD62" i="4"/>
  <c r="BC61" i="4"/>
  <c r="BB61" i="4"/>
  <c r="BA61" i="4"/>
  <c r="AZ61" i="4"/>
  <c r="BD60" i="4"/>
  <c r="BD59" i="4"/>
  <c r="BD58" i="4"/>
  <c r="BD57" i="4"/>
  <c r="BC56" i="4"/>
  <c r="BB56" i="4"/>
  <c r="BA56" i="4"/>
  <c r="AZ56" i="4"/>
  <c r="BD55" i="4"/>
  <c r="BD54" i="4"/>
  <c r="BD53" i="4"/>
  <c r="BD52" i="4"/>
  <c r="BD47" i="4"/>
  <c r="BD46" i="4"/>
  <c r="BD45" i="4"/>
  <c r="BD44" i="4"/>
  <c r="BC43" i="4"/>
  <c r="BB43" i="4"/>
  <c r="BA43" i="4"/>
  <c r="AZ43" i="4"/>
  <c r="BD30" i="4"/>
  <c r="BD29" i="4"/>
  <c r="BD28" i="4"/>
  <c r="BD27" i="4"/>
  <c r="BD26" i="4"/>
  <c r="BD25" i="4"/>
  <c r="BD24" i="4"/>
  <c r="BD23" i="4"/>
  <c r="BC22" i="4"/>
  <c r="BB22" i="4"/>
  <c r="BA22" i="4"/>
  <c r="AZ22" i="4"/>
  <c r="BD21" i="4"/>
  <c r="BD20" i="4"/>
  <c r="BD19" i="4"/>
  <c r="BD18" i="4"/>
  <c r="BD13" i="4"/>
  <c r="BD12" i="4"/>
  <c r="BD11" i="4"/>
  <c r="BD10" i="4"/>
  <c r="BD9" i="4"/>
  <c r="BC8" i="4"/>
  <c r="BB8" i="4"/>
  <c r="BA8" i="4"/>
  <c r="AZ8" i="4"/>
  <c r="BD7" i="4"/>
  <c r="BD6" i="4"/>
  <c r="AX434" i="4"/>
  <c r="AW434" i="4"/>
  <c r="AV434" i="4"/>
  <c r="AU434" i="4"/>
  <c r="AY433" i="4"/>
  <c r="AX432" i="4"/>
  <c r="AW432" i="4"/>
  <c r="AV432" i="4"/>
  <c r="AU432" i="4"/>
  <c r="AY431" i="4"/>
  <c r="AY430" i="4"/>
  <c r="AX428" i="4"/>
  <c r="AW428" i="4"/>
  <c r="AV428" i="4"/>
  <c r="AU428" i="4"/>
  <c r="AY427" i="4"/>
  <c r="AY426" i="4"/>
  <c r="AY421" i="4"/>
  <c r="AY402" i="4"/>
  <c r="AY398" i="4"/>
  <c r="AY397" i="4"/>
  <c r="AY396" i="4"/>
  <c r="AY395" i="4"/>
  <c r="AY394" i="4"/>
  <c r="AY393" i="4"/>
  <c r="AY392" i="4"/>
  <c r="AY391" i="4"/>
  <c r="AY390" i="4"/>
  <c r="AX389" i="4"/>
  <c r="AW389" i="4"/>
  <c r="AV389" i="4"/>
  <c r="AU389" i="4"/>
  <c r="AY372" i="4"/>
  <c r="AY367" i="4"/>
  <c r="AY363" i="4"/>
  <c r="AY362" i="4"/>
  <c r="AY361" i="4"/>
  <c r="AY360" i="4"/>
  <c r="AY359" i="4"/>
  <c r="AY358" i="4"/>
  <c r="AY357" i="4"/>
  <c r="AY356" i="4"/>
  <c r="AY355" i="4"/>
  <c r="AY354" i="4"/>
  <c r="AY350" i="4"/>
  <c r="AX348" i="4"/>
  <c r="AW348" i="4"/>
  <c r="AV348" i="4"/>
  <c r="AU348" i="4"/>
  <c r="AY347" i="4"/>
  <c r="AY345" i="4"/>
  <c r="AY342" i="4"/>
  <c r="AY341" i="4"/>
  <c r="AX340" i="4"/>
  <c r="AW340" i="4"/>
  <c r="AV340" i="4"/>
  <c r="AU340" i="4"/>
  <c r="AY339" i="4"/>
  <c r="AY338" i="4"/>
  <c r="AY336" i="4"/>
  <c r="AY335" i="4"/>
  <c r="AY334" i="4"/>
  <c r="AY333" i="4"/>
  <c r="AY332" i="4"/>
  <c r="AY331" i="4"/>
  <c r="AY330" i="4"/>
  <c r="AY328" i="4"/>
  <c r="AY327" i="4"/>
  <c r="AX326" i="4"/>
  <c r="AW326" i="4"/>
  <c r="AV326" i="4"/>
  <c r="AU326" i="4"/>
  <c r="AY325" i="4"/>
  <c r="AY322" i="4"/>
  <c r="AY321" i="4"/>
  <c r="AY320" i="4"/>
  <c r="AY319" i="4"/>
  <c r="AY318" i="4"/>
  <c r="AY316" i="4"/>
  <c r="AX315" i="4"/>
  <c r="AW315" i="4"/>
  <c r="AV315" i="4"/>
  <c r="AU315" i="4"/>
  <c r="AY314" i="4"/>
  <c r="AY313" i="4"/>
  <c r="AY312" i="4"/>
  <c r="AY311" i="4"/>
  <c r="AY310" i="4"/>
  <c r="AY309" i="4"/>
  <c r="AY308" i="4"/>
  <c r="AY306" i="4"/>
  <c r="AY305" i="4"/>
  <c r="AY303" i="4"/>
  <c r="AY302" i="4"/>
  <c r="AY301" i="4"/>
  <c r="AX300" i="4"/>
  <c r="AW300" i="4"/>
  <c r="AV300" i="4"/>
  <c r="AU300" i="4"/>
  <c r="AY299" i="4"/>
  <c r="AY298" i="4"/>
  <c r="AY296" i="4"/>
  <c r="AY295" i="4"/>
  <c r="AX293" i="4"/>
  <c r="AW293" i="4"/>
  <c r="AV293" i="4"/>
  <c r="AU293" i="4"/>
  <c r="AY292" i="4"/>
  <c r="AY291" i="4"/>
  <c r="AY290" i="4"/>
  <c r="AY289" i="4"/>
  <c r="AY288" i="4"/>
  <c r="AY286" i="4"/>
  <c r="AY285" i="4"/>
  <c r="AY284" i="4"/>
  <c r="AY283" i="4"/>
  <c r="AY282" i="4"/>
  <c r="AY281" i="4"/>
  <c r="AY280" i="4"/>
  <c r="AY279" i="4"/>
  <c r="AY278" i="4"/>
  <c r="AY274" i="4"/>
  <c r="AY271" i="4"/>
  <c r="AY270" i="4"/>
  <c r="AY266" i="4"/>
  <c r="AY265" i="4"/>
  <c r="AY263" i="4"/>
  <c r="AY262" i="4"/>
  <c r="AY261" i="4"/>
  <c r="AY260" i="4"/>
  <c r="AY259" i="4"/>
  <c r="AY258" i="4"/>
  <c r="AY257" i="4"/>
  <c r="AY256" i="4"/>
  <c r="AY255" i="4"/>
  <c r="AY254" i="4"/>
  <c r="AY253" i="4"/>
  <c r="AY252" i="4"/>
  <c r="AX251" i="4"/>
  <c r="AW251" i="4"/>
  <c r="AV251" i="4"/>
  <c r="AU251" i="4"/>
  <c r="AY250" i="4"/>
  <c r="AY248" i="4"/>
  <c r="AY247" i="4"/>
  <c r="AY246" i="4"/>
  <c r="AY244" i="4"/>
  <c r="AY243" i="4"/>
  <c r="AY242" i="4"/>
  <c r="AY240" i="4"/>
  <c r="AY237" i="4"/>
  <c r="AY235" i="4"/>
  <c r="AY234" i="4"/>
  <c r="AY231" i="4"/>
  <c r="AY230" i="4"/>
  <c r="AY229" i="4"/>
  <c r="AY228" i="4"/>
  <c r="AX226" i="4"/>
  <c r="AX227" i="4" s="1"/>
  <c r="AW226" i="4"/>
  <c r="AW227" i="4" s="1"/>
  <c r="AV226" i="4"/>
  <c r="AV227" i="4" s="1"/>
  <c r="AU226" i="4"/>
  <c r="AU227" i="4" s="1"/>
  <c r="AY225" i="4"/>
  <c r="AY224" i="4"/>
  <c r="AY223" i="4"/>
  <c r="AY222" i="4"/>
  <c r="AY221" i="4"/>
  <c r="AY220" i="4"/>
  <c r="AY219" i="4"/>
  <c r="AY218" i="4"/>
  <c r="AY214" i="4"/>
  <c r="AY213" i="4"/>
  <c r="AY210" i="4"/>
  <c r="AY209" i="4"/>
  <c r="AY208" i="4"/>
  <c r="AY207" i="4"/>
  <c r="AY206" i="4"/>
  <c r="AY205" i="4"/>
  <c r="AY204" i="4"/>
  <c r="AY203" i="4"/>
  <c r="AY202" i="4"/>
  <c r="AY201" i="4"/>
  <c r="AY200" i="4"/>
  <c r="AY198" i="4"/>
  <c r="AY197" i="4"/>
  <c r="AY196" i="4"/>
  <c r="AY195" i="4"/>
  <c r="AY184" i="4"/>
  <c r="AY183" i="4"/>
  <c r="AY182" i="4"/>
  <c r="AY181" i="4"/>
  <c r="AY174" i="4"/>
  <c r="AY173" i="4"/>
  <c r="AY172" i="4"/>
  <c r="AY163" i="4"/>
  <c r="AY162" i="4"/>
  <c r="AY161" i="4"/>
  <c r="AY160" i="4"/>
  <c r="AY159" i="4"/>
  <c r="AY158" i="4"/>
  <c r="AY157" i="4"/>
  <c r="AY156" i="4"/>
  <c r="AY153" i="4"/>
  <c r="AY152" i="4"/>
  <c r="AY151" i="4"/>
  <c r="AY150" i="4"/>
  <c r="AY145" i="4"/>
  <c r="AY144" i="4"/>
  <c r="AY138" i="4"/>
  <c r="AY137" i="4"/>
  <c r="AY136" i="4"/>
  <c r="AY135" i="4"/>
  <c r="AY134" i="4"/>
  <c r="AX131" i="4"/>
  <c r="AW131" i="4"/>
  <c r="AV131" i="4"/>
  <c r="AU131" i="4"/>
  <c r="AY130" i="4"/>
  <c r="AY129" i="4"/>
  <c r="AY128" i="4"/>
  <c r="AY127" i="4"/>
  <c r="AY126" i="4"/>
  <c r="AY125" i="4"/>
  <c r="AY124" i="4"/>
  <c r="AY123" i="4"/>
  <c r="AY122" i="4"/>
  <c r="AY121" i="4"/>
  <c r="AX120" i="4"/>
  <c r="AW120" i="4"/>
  <c r="AV120" i="4"/>
  <c r="AU120" i="4"/>
  <c r="AY119" i="4"/>
  <c r="AY118" i="4"/>
  <c r="AY117" i="4"/>
  <c r="AY116" i="4"/>
  <c r="AY115" i="4"/>
  <c r="AY114" i="4"/>
  <c r="AY113" i="4"/>
  <c r="AY112" i="4"/>
  <c r="AX111" i="4"/>
  <c r="AW111" i="4"/>
  <c r="AV111" i="4"/>
  <c r="AU111" i="4"/>
  <c r="AY110" i="4"/>
  <c r="AY109" i="4"/>
  <c r="AY108" i="4"/>
  <c r="AY107" i="4"/>
  <c r="AY106" i="4"/>
  <c r="AY105" i="4"/>
  <c r="AY104" i="4"/>
  <c r="AY103" i="4"/>
  <c r="AX100" i="4"/>
  <c r="AW100" i="4"/>
  <c r="AV100" i="4"/>
  <c r="AU100" i="4"/>
  <c r="AY99" i="4"/>
  <c r="AY98" i="4"/>
  <c r="AY97" i="4"/>
  <c r="AY96" i="4"/>
  <c r="AY92" i="4"/>
  <c r="AY91" i="4"/>
  <c r="AY90" i="4"/>
  <c r="AX89" i="4"/>
  <c r="AW89" i="4"/>
  <c r="AV89" i="4"/>
  <c r="AU89" i="4"/>
  <c r="AY88" i="4"/>
  <c r="AY87" i="4"/>
  <c r="AY82" i="4"/>
  <c r="AY81" i="4"/>
  <c r="AX80" i="4"/>
  <c r="AW80" i="4"/>
  <c r="AV80" i="4"/>
  <c r="AU80" i="4"/>
  <c r="AY79" i="4"/>
  <c r="AY78" i="4"/>
  <c r="AY77" i="4"/>
  <c r="AY76" i="4"/>
  <c r="AX75" i="4"/>
  <c r="AW75" i="4"/>
  <c r="AV75" i="4"/>
  <c r="AU75" i="4"/>
  <c r="AY74" i="4"/>
  <c r="AY73" i="4"/>
  <c r="AY72" i="4"/>
  <c r="AY71" i="4"/>
  <c r="AX70" i="4"/>
  <c r="AW70" i="4"/>
  <c r="AV70" i="4"/>
  <c r="AU70" i="4"/>
  <c r="AY65" i="4"/>
  <c r="AY64" i="4"/>
  <c r="AY63" i="4"/>
  <c r="AY62" i="4"/>
  <c r="AX61" i="4"/>
  <c r="AW61" i="4"/>
  <c r="AV61" i="4"/>
  <c r="AU61" i="4"/>
  <c r="AY60" i="4"/>
  <c r="AY59" i="4"/>
  <c r="AY58" i="4"/>
  <c r="AY57" i="4"/>
  <c r="AX56" i="4"/>
  <c r="AW56" i="4"/>
  <c r="AV56" i="4"/>
  <c r="AU56" i="4"/>
  <c r="AY55" i="4"/>
  <c r="AY54" i="4"/>
  <c r="AY53" i="4"/>
  <c r="AY52" i="4"/>
  <c r="AY47" i="4"/>
  <c r="AY46" i="4"/>
  <c r="AY45" i="4"/>
  <c r="AY44" i="4"/>
  <c r="AX43" i="4"/>
  <c r="AW43" i="4"/>
  <c r="AV43" i="4"/>
  <c r="AU43" i="4"/>
  <c r="AY30" i="4"/>
  <c r="AY29" i="4"/>
  <c r="AY28" i="4"/>
  <c r="AY27" i="4"/>
  <c r="AY26" i="4"/>
  <c r="AY25" i="4"/>
  <c r="AY24" i="4"/>
  <c r="AY23" i="4"/>
  <c r="AX22" i="4"/>
  <c r="AW22" i="4"/>
  <c r="AV22" i="4"/>
  <c r="AU22" i="4"/>
  <c r="AY21" i="4"/>
  <c r="AY20" i="4"/>
  <c r="AY19" i="4"/>
  <c r="AY18" i="4"/>
  <c r="AY13" i="4"/>
  <c r="AY12" i="4"/>
  <c r="AY11" i="4"/>
  <c r="AY10" i="4"/>
  <c r="AY9" i="4"/>
  <c r="AX8" i="4"/>
  <c r="AW8" i="4"/>
  <c r="AV8" i="4"/>
  <c r="AU8" i="4"/>
  <c r="AY7" i="4"/>
  <c r="AY6" i="4"/>
  <c r="AS434" i="4"/>
  <c r="AR434" i="4"/>
  <c r="AQ434" i="4"/>
  <c r="AP434" i="4"/>
  <c r="AT433" i="4"/>
  <c r="AS432" i="4"/>
  <c r="AR432" i="4"/>
  <c r="AQ432" i="4"/>
  <c r="AP432" i="4"/>
  <c r="AT431" i="4"/>
  <c r="AT430" i="4"/>
  <c r="AS428" i="4"/>
  <c r="AR428" i="4"/>
  <c r="AQ428" i="4"/>
  <c r="AP428" i="4"/>
  <c r="AT427" i="4"/>
  <c r="AT426" i="4"/>
  <c r="AT421" i="4"/>
  <c r="AT402" i="4"/>
  <c r="AT398" i="4"/>
  <c r="AT397" i="4"/>
  <c r="AT396" i="4"/>
  <c r="AT395" i="4"/>
  <c r="AT394" i="4"/>
  <c r="AT393" i="4"/>
  <c r="AT392" i="4"/>
  <c r="AT391" i="4"/>
  <c r="AT390" i="4"/>
  <c r="AS389" i="4"/>
  <c r="AR389" i="4"/>
  <c r="AQ389" i="4"/>
  <c r="AP389" i="4"/>
  <c r="AT372" i="4"/>
  <c r="AT367" i="4"/>
  <c r="AT363" i="4"/>
  <c r="AT362" i="4"/>
  <c r="AT361" i="4"/>
  <c r="AT360" i="4"/>
  <c r="AT359" i="4"/>
  <c r="AT358" i="4"/>
  <c r="AT357" i="4"/>
  <c r="AT356" i="4"/>
  <c r="AT355" i="4"/>
  <c r="AT354" i="4"/>
  <c r="AT350" i="4"/>
  <c r="AS348" i="4"/>
  <c r="AR348" i="4"/>
  <c r="AQ348" i="4"/>
  <c r="AP348" i="4"/>
  <c r="AT347" i="4"/>
  <c r="AT345" i="4"/>
  <c r="AT342" i="4"/>
  <c r="AT341" i="4"/>
  <c r="AS340" i="4"/>
  <c r="AR340" i="4"/>
  <c r="AQ340" i="4"/>
  <c r="AP340" i="4"/>
  <c r="AT339" i="4"/>
  <c r="AT338" i="4"/>
  <c r="AT336" i="4"/>
  <c r="AT335" i="4"/>
  <c r="AT334" i="4"/>
  <c r="AT333" i="4"/>
  <c r="AT332" i="4"/>
  <c r="AT331" i="4"/>
  <c r="AT330" i="4"/>
  <c r="AT328" i="4"/>
  <c r="AT327" i="4"/>
  <c r="AS326" i="4"/>
  <c r="AR326" i="4"/>
  <c r="AQ326" i="4"/>
  <c r="AP326" i="4"/>
  <c r="AT325" i="4"/>
  <c r="AT322" i="4"/>
  <c r="AT321" i="4"/>
  <c r="AT320" i="4"/>
  <c r="AT319" i="4"/>
  <c r="AT318" i="4"/>
  <c r="AT316" i="4"/>
  <c r="AS315" i="4"/>
  <c r="AR315" i="4"/>
  <c r="AQ315" i="4"/>
  <c r="AP315" i="4"/>
  <c r="AT314" i="4"/>
  <c r="AT313" i="4"/>
  <c r="AT312" i="4"/>
  <c r="AT311" i="4"/>
  <c r="AT310" i="4"/>
  <c r="AT309" i="4"/>
  <c r="AT308" i="4"/>
  <c r="AT306" i="4"/>
  <c r="AT305" i="4"/>
  <c r="AT303" i="4"/>
  <c r="AT302" i="4"/>
  <c r="AT301" i="4"/>
  <c r="AS300" i="4"/>
  <c r="AR300" i="4"/>
  <c r="AQ300" i="4"/>
  <c r="AP300" i="4"/>
  <c r="AT299" i="4"/>
  <c r="AT298" i="4"/>
  <c r="AT296" i="4"/>
  <c r="AT295" i="4"/>
  <c r="AS293" i="4"/>
  <c r="AR293" i="4"/>
  <c r="AQ293" i="4"/>
  <c r="AP293" i="4"/>
  <c r="AT292" i="4"/>
  <c r="AT291" i="4"/>
  <c r="AT290" i="4"/>
  <c r="AT289" i="4"/>
  <c r="AT288" i="4"/>
  <c r="AT286" i="4"/>
  <c r="AT285" i="4"/>
  <c r="AT284" i="4"/>
  <c r="AT283" i="4"/>
  <c r="AT282" i="4"/>
  <c r="AT281" i="4"/>
  <c r="AT280" i="4"/>
  <c r="AT279" i="4"/>
  <c r="AT278" i="4"/>
  <c r="AT274" i="4"/>
  <c r="AT271" i="4"/>
  <c r="AT270" i="4"/>
  <c r="AT266" i="4"/>
  <c r="AT265" i="4"/>
  <c r="AT263" i="4"/>
  <c r="AT262" i="4"/>
  <c r="AT261" i="4"/>
  <c r="AT260" i="4"/>
  <c r="AT259" i="4"/>
  <c r="AT258" i="4"/>
  <c r="AT257" i="4"/>
  <c r="AT256" i="4"/>
  <c r="AT255" i="4"/>
  <c r="AT254" i="4"/>
  <c r="AT253" i="4"/>
  <c r="AT252" i="4"/>
  <c r="AS251" i="4"/>
  <c r="AR251" i="4"/>
  <c r="AQ251" i="4"/>
  <c r="AP251" i="4"/>
  <c r="AT250" i="4"/>
  <c r="AT248" i="4"/>
  <c r="AT247" i="4"/>
  <c r="AT246" i="4"/>
  <c r="AT244" i="4"/>
  <c r="AT243" i="4"/>
  <c r="AT242" i="4"/>
  <c r="AT240" i="4"/>
  <c r="AT237" i="4"/>
  <c r="AT235" i="4"/>
  <c r="AT234" i="4"/>
  <c r="AT231" i="4"/>
  <c r="AT230" i="4"/>
  <c r="AT229" i="4"/>
  <c r="AT228" i="4"/>
  <c r="AS226" i="4"/>
  <c r="AS227" i="4" s="1"/>
  <c r="AR226" i="4"/>
  <c r="AR227" i="4" s="1"/>
  <c r="AQ226" i="4"/>
  <c r="AQ227" i="4" s="1"/>
  <c r="AP226" i="4"/>
  <c r="AT225" i="4"/>
  <c r="AT224" i="4"/>
  <c r="AT223" i="4"/>
  <c r="AT222" i="4"/>
  <c r="AT221" i="4"/>
  <c r="AT220" i="4"/>
  <c r="AT219" i="4"/>
  <c r="AT218" i="4"/>
  <c r="AT214" i="4"/>
  <c r="AT213" i="4"/>
  <c r="AT210" i="4"/>
  <c r="AT209" i="4"/>
  <c r="AT208" i="4"/>
  <c r="AT207" i="4"/>
  <c r="AT206" i="4"/>
  <c r="AT205" i="4"/>
  <c r="AT204" i="4"/>
  <c r="AT203" i="4"/>
  <c r="AT202" i="4"/>
  <c r="AT201" i="4"/>
  <c r="AT200" i="4"/>
  <c r="AT198" i="4"/>
  <c r="AT197" i="4"/>
  <c r="AT196" i="4"/>
  <c r="AT195" i="4"/>
  <c r="AT184" i="4"/>
  <c r="AT183" i="4"/>
  <c r="AT182" i="4"/>
  <c r="AT181" i="4"/>
  <c r="AT174" i="4"/>
  <c r="AT173" i="4"/>
  <c r="AT172" i="4"/>
  <c r="AT163" i="4"/>
  <c r="AT162" i="4"/>
  <c r="AT161" i="4"/>
  <c r="AT160" i="4"/>
  <c r="AT159" i="4"/>
  <c r="AT158" i="4"/>
  <c r="AT157" i="4"/>
  <c r="AT156" i="4"/>
  <c r="AT153" i="4"/>
  <c r="AT152" i="4"/>
  <c r="AT151" i="4"/>
  <c r="AT150" i="4"/>
  <c r="AT145" i="4"/>
  <c r="AT144" i="4"/>
  <c r="AT138" i="4"/>
  <c r="AT137" i="4"/>
  <c r="AT136" i="4"/>
  <c r="AT135" i="4"/>
  <c r="AT134" i="4"/>
  <c r="AS131" i="4"/>
  <c r="AR131" i="4"/>
  <c r="AQ131" i="4"/>
  <c r="AP131" i="4"/>
  <c r="AT130" i="4"/>
  <c r="AT129" i="4"/>
  <c r="AT128" i="4"/>
  <c r="AT127" i="4"/>
  <c r="AT126" i="4"/>
  <c r="AT125" i="4"/>
  <c r="AT124" i="4"/>
  <c r="AT123" i="4"/>
  <c r="AT122" i="4"/>
  <c r="AT121" i="4"/>
  <c r="AS120" i="4"/>
  <c r="AR120" i="4"/>
  <c r="AQ120" i="4"/>
  <c r="AP120" i="4"/>
  <c r="AT119" i="4"/>
  <c r="AT118" i="4"/>
  <c r="AT117" i="4"/>
  <c r="AT116" i="4"/>
  <c r="AT115" i="4"/>
  <c r="AT114" i="4"/>
  <c r="AT113" i="4"/>
  <c r="AT112" i="4"/>
  <c r="AS111" i="4"/>
  <c r="AR111" i="4"/>
  <c r="AQ111" i="4"/>
  <c r="AQ132" i="4" s="1"/>
  <c r="AQ133" i="4" s="1"/>
  <c r="AP111" i="4"/>
  <c r="AT110" i="4"/>
  <c r="AT109" i="4"/>
  <c r="AT108" i="4"/>
  <c r="AT107" i="4"/>
  <c r="AT106" i="4"/>
  <c r="AT105" i="4"/>
  <c r="AT104" i="4"/>
  <c r="AT103" i="4"/>
  <c r="AS100" i="4"/>
  <c r="AR100" i="4"/>
  <c r="AQ100" i="4"/>
  <c r="AP100" i="4"/>
  <c r="AT99" i="4"/>
  <c r="AT98" i="4"/>
  <c r="AT97" i="4"/>
  <c r="AT96" i="4"/>
  <c r="AT92" i="4"/>
  <c r="AT91" i="4"/>
  <c r="AT90" i="4"/>
  <c r="AS89" i="4"/>
  <c r="AR89" i="4"/>
  <c r="AQ89" i="4"/>
  <c r="AP89" i="4"/>
  <c r="AT88" i="4"/>
  <c r="AT87" i="4"/>
  <c r="AT82" i="4"/>
  <c r="AT81" i="4"/>
  <c r="AS80" i="4"/>
  <c r="AR80" i="4"/>
  <c r="AQ80" i="4"/>
  <c r="AP80" i="4"/>
  <c r="AT79" i="4"/>
  <c r="AT78" i="4"/>
  <c r="AT77" i="4"/>
  <c r="AT76" i="4"/>
  <c r="AS75" i="4"/>
  <c r="AR75" i="4"/>
  <c r="AQ75" i="4"/>
  <c r="AP75" i="4"/>
  <c r="AT74" i="4"/>
  <c r="AT73" i="4"/>
  <c r="AT72" i="4"/>
  <c r="AT71" i="4"/>
  <c r="AS70" i="4"/>
  <c r="AR70" i="4"/>
  <c r="AQ70" i="4"/>
  <c r="AP70" i="4"/>
  <c r="AT65" i="4"/>
  <c r="AT64" i="4"/>
  <c r="AT63" i="4"/>
  <c r="AT62" i="4"/>
  <c r="AS61" i="4"/>
  <c r="AR61" i="4"/>
  <c r="AQ61" i="4"/>
  <c r="AP61" i="4"/>
  <c r="AT60" i="4"/>
  <c r="AT59" i="4"/>
  <c r="AT58" i="4"/>
  <c r="AT57" i="4"/>
  <c r="AS56" i="4"/>
  <c r="AR56" i="4"/>
  <c r="AQ56" i="4"/>
  <c r="AP56" i="4"/>
  <c r="AT55" i="4"/>
  <c r="AT54" i="4"/>
  <c r="AT53" i="4"/>
  <c r="AT52" i="4"/>
  <c r="AT47" i="4"/>
  <c r="AT46" i="4"/>
  <c r="AT45" i="4"/>
  <c r="AT44" i="4"/>
  <c r="AS43" i="4"/>
  <c r="AR43" i="4"/>
  <c r="AQ43" i="4"/>
  <c r="AP43" i="4"/>
  <c r="AT30" i="4"/>
  <c r="AT29" i="4"/>
  <c r="AT28" i="4"/>
  <c r="AT27" i="4"/>
  <c r="AT26" i="4"/>
  <c r="AT25" i="4"/>
  <c r="AT24" i="4"/>
  <c r="AT23" i="4"/>
  <c r="AS22" i="4"/>
  <c r="AR22" i="4"/>
  <c r="AQ22" i="4"/>
  <c r="AP22" i="4"/>
  <c r="AT21" i="4"/>
  <c r="AT20" i="4"/>
  <c r="AT19" i="4"/>
  <c r="AT18" i="4"/>
  <c r="AT13" i="4"/>
  <c r="AT12" i="4"/>
  <c r="AT11" i="4"/>
  <c r="AT10" i="4"/>
  <c r="AT9" i="4"/>
  <c r="AS8" i="4"/>
  <c r="AR8" i="4"/>
  <c r="AQ8" i="4"/>
  <c r="AP8" i="4"/>
  <c r="AT7" i="4"/>
  <c r="AT6" i="4"/>
  <c r="AN434" i="4"/>
  <c r="AM434" i="4"/>
  <c r="AL434" i="4"/>
  <c r="AK434" i="4"/>
  <c r="AO433" i="4"/>
  <c r="AN432" i="4"/>
  <c r="AM432" i="4"/>
  <c r="AL432" i="4"/>
  <c r="AK432" i="4"/>
  <c r="AO431" i="4"/>
  <c r="AO430" i="4"/>
  <c r="AN428" i="4"/>
  <c r="AM428" i="4"/>
  <c r="AL428" i="4"/>
  <c r="AK428" i="4"/>
  <c r="AO427" i="4"/>
  <c r="AO426" i="4"/>
  <c r="AO421" i="4"/>
  <c r="AO402" i="4"/>
  <c r="AO398" i="4"/>
  <c r="AO397" i="4"/>
  <c r="AO396" i="4"/>
  <c r="AO395" i="4"/>
  <c r="AO394" i="4"/>
  <c r="AO393" i="4"/>
  <c r="AO392" i="4"/>
  <c r="AO391" i="4"/>
  <c r="AO390" i="4"/>
  <c r="AN389" i="4"/>
  <c r="AM389" i="4"/>
  <c r="AL389" i="4"/>
  <c r="AK389" i="4"/>
  <c r="AO372" i="4"/>
  <c r="AO367" i="4"/>
  <c r="AO363" i="4"/>
  <c r="AO362" i="4"/>
  <c r="AO361" i="4"/>
  <c r="AO360" i="4"/>
  <c r="AO359" i="4"/>
  <c r="AO358" i="4"/>
  <c r="AO357" i="4"/>
  <c r="AO356" i="4"/>
  <c r="AO355" i="4"/>
  <c r="AO354" i="4"/>
  <c r="AO350" i="4"/>
  <c r="AN348" i="4"/>
  <c r="AM348" i="4"/>
  <c r="AL348" i="4"/>
  <c r="AK348" i="4"/>
  <c r="AO347" i="4"/>
  <c r="AO345" i="4"/>
  <c r="AO342" i="4"/>
  <c r="AO341" i="4"/>
  <c r="AN340" i="4"/>
  <c r="AM340" i="4"/>
  <c r="AL340" i="4"/>
  <c r="AK340" i="4"/>
  <c r="AO339" i="4"/>
  <c r="AO338" i="4"/>
  <c r="AO336" i="4"/>
  <c r="AO335" i="4"/>
  <c r="AO334" i="4"/>
  <c r="AO333" i="4"/>
  <c r="AO332" i="4"/>
  <c r="AO331" i="4"/>
  <c r="AO330" i="4"/>
  <c r="AO328" i="4"/>
  <c r="AO327" i="4"/>
  <c r="AN326" i="4"/>
  <c r="AM326" i="4"/>
  <c r="AL326" i="4"/>
  <c r="AK326" i="4"/>
  <c r="AO325" i="4"/>
  <c r="AO322" i="4"/>
  <c r="AO321" i="4"/>
  <c r="AO320" i="4"/>
  <c r="AO319" i="4"/>
  <c r="AO318" i="4"/>
  <c r="AO316" i="4"/>
  <c r="AN315" i="4"/>
  <c r="AM315" i="4"/>
  <c r="AL315" i="4"/>
  <c r="AK315" i="4"/>
  <c r="AO314" i="4"/>
  <c r="AO313" i="4"/>
  <c r="AO312" i="4"/>
  <c r="AO311" i="4"/>
  <c r="AO310" i="4"/>
  <c r="AO309" i="4"/>
  <c r="AO308" i="4"/>
  <c r="AO306" i="4"/>
  <c r="AO305" i="4"/>
  <c r="AO303" i="4"/>
  <c r="AO302" i="4"/>
  <c r="AO301" i="4"/>
  <c r="AN300" i="4"/>
  <c r="AM300" i="4"/>
  <c r="AL300" i="4"/>
  <c r="AK300" i="4"/>
  <c r="AO299" i="4"/>
  <c r="AO298" i="4"/>
  <c r="AO296" i="4"/>
  <c r="AO295" i="4"/>
  <c r="AN293" i="4"/>
  <c r="AM293" i="4"/>
  <c r="AL293" i="4"/>
  <c r="AK293" i="4"/>
  <c r="AO292" i="4"/>
  <c r="AO291" i="4"/>
  <c r="AO290" i="4"/>
  <c r="AO289" i="4"/>
  <c r="AO288" i="4"/>
  <c r="AO286" i="4"/>
  <c r="AO285" i="4"/>
  <c r="AO284" i="4"/>
  <c r="AO283" i="4"/>
  <c r="AO282" i="4"/>
  <c r="AO281" i="4"/>
  <c r="AO280" i="4"/>
  <c r="AO279" i="4"/>
  <c r="AO278" i="4"/>
  <c r="AO274" i="4"/>
  <c r="AO271" i="4"/>
  <c r="AO270" i="4"/>
  <c r="AO266" i="4"/>
  <c r="AO265" i="4"/>
  <c r="AO263" i="4"/>
  <c r="AO262" i="4"/>
  <c r="AO261" i="4"/>
  <c r="AO260" i="4"/>
  <c r="AO259" i="4"/>
  <c r="AO258" i="4"/>
  <c r="AO257" i="4"/>
  <c r="AO256" i="4"/>
  <c r="AO255" i="4"/>
  <c r="AO254" i="4"/>
  <c r="AO253" i="4"/>
  <c r="AO252" i="4"/>
  <c r="AN251" i="4"/>
  <c r="AM251" i="4"/>
  <c r="AL251" i="4"/>
  <c r="AK251" i="4"/>
  <c r="AO250" i="4"/>
  <c r="AO248" i="4"/>
  <c r="AO247" i="4"/>
  <c r="AO246" i="4"/>
  <c r="AO244" i="4"/>
  <c r="AO243" i="4"/>
  <c r="AO242" i="4"/>
  <c r="AO240" i="4"/>
  <c r="AO237" i="4"/>
  <c r="AO235" i="4"/>
  <c r="AO234" i="4"/>
  <c r="AO231" i="4"/>
  <c r="AO230" i="4"/>
  <c r="AO229" i="4"/>
  <c r="AO228" i="4"/>
  <c r="AN226" i="4"/>
  <c r="AN227" i="4" s="1"/>
  <c r="AM226" i="4"/>
  <c r="AM227" i="4" s="1"/>
  <c r="AL226" i="4"/>
  <c r="AL227" i="4" s="1"/>
  <c r="AK226" i="4"/>
  <c r="AO225" i="4"/>
  <c r="AO224" i="4"/>
  <c r="AO223" i="4"/>
  <c r="AO222" i="4"/>
  <c r="AO221" i="4"/>
  <c r="AO220" i="4"/>
  <c r="AO219" i="4"/>
  <c r="AO218" i="4"/>
  <c r="AO214" i="4"/>
  <c r="AO213" i="4"/>
  <c r="AO210" i="4"/>
  <c r="AO209" i="4"/>
  <c r="AO208" i="4"/>
  <c r="AO207" i="4"/>
  <c r="AO206" i="4"/>
  <c r="AO205" i="4"/>
  <c r="AO204" i="4"/>
  <c r="AO203" i="4"/>
  <c r="AO202" i="4"/>
  <c r="AO201" i="4"/>
  <c r="AO200" i="4"/>
  <c r="AO198" i="4"/>
  <c r="AO197" i="4"/>
  <c r="AO196" i="4"/>
  <c r="AO195" i="4"/>
  <c r="AO184" i="4"/>
  <c r="AO183" i="4"/>
  <c r="AO182" i="4"/>
  <c r="AO181" i="4"/>
  <c r="AO174" i="4"/>
  <c r="AO173" i="4"/>
  <c r="AO172" i="4"/>
  <c r="AO163" i="4"/>
  <c r="AO162" i="4"/>
  <c r="AO161" i="4"/>
  <c r="AO160" i="4"/>
  <c r="AO159" i="4"/>
  <c r="AO158" i="4"/>
  <c r="AO157" i="4"/>
  <c r="AO156" i="4"/>
  <c r="AO153" i="4"/>
  <c r="AO152" i="4"/>
  <c r="AO151" i="4"/>
  <c r="AO150" i="4"/>
  <c r="AO145" i="4"/>
  <c r="AO144" i="4"/>
  <c r="AO138" i="4"/>
  <c r="AO137" i="4"/>
  <c r="AO136" i="4"/>
  <c r="AO135" i="4"/>
  <c r="AO134" i="4"/>
  <c r="AN131" i="4"/>
  <c r="AM131" i="4"/>
  <c r="AL131" i="4"/>
  <c r="AK131" i="4"/>
  <c r="AO130" i="4"/>
  <c r="AO129" i="4"/>
  <c r="AO128" i="4"/>
  <c r="AO127" i="4"/>
  <c r="AO126" i="4"/>
  <c r="AO125" i="4"/>
  <c r="AO124" i="4"/>
  <c r="AO123" i="4"/>
  <c r="AO122" i="4"/>
  <c r="AO121" i="4"/>
  <c r="AN120" i="4"/>
  <c r="AM120" i="4"/>
  <c r="AL120" i="4"/>
  <c r="AK120" i="4"/>
  <c r="AO119" i="4"/>
  <c r="AO118" i="4"/>
  <c r="AO117" i="4"/>
  <c r="AO116" i="4"/>
  <c r="AO115" i="4"/>
  <c r="AO114" i="4"/>
  <c r="AO113" i="4"/>
  <c r="AO112" i="4"/>
  <c r="AN111" i="4"/>
  <c r="AM111" i="4"/>
  <c r="AL111" i="4"/>
  <c r="AK111" i="4"/>
  <c r="AO110" i="4"/>
  <c r="AO109" i="4"/>
  <c r="AO108" i="4"/>
  <c r="AO107" i="4"/>
  <c r="AO106" i="4"/>
  <c r="AO105" i="4"/>
  <c r="AO104" i="4"/>
  <c r="AO103" i="4"/>
  <c r="AN100" i="4"/>
  <c r="AM100" i="4"/>
  <c r="AL100" i="4"/>
  <c r="AK100" i="4"/>
  <c r="AO99" i="4"/>
  <c r="AO98" i="4"/>
  <c r="AO97" i="4"/>
  <c r="AO96" i="4"/>
  <c r="AO92" i="4"/>
  <c r="AO91" i="4"/>
  <c r="AO90" i="4"/>
  <c r="AN89" i="4"/>
  <c r="AM89" i="4"/>
  <c r="AL89" i="4"/>
  <c r="AK89" i="4"/>
  <c r="AO88" i="4"/>
  <c r="AO87" i="4"/>
  <c r="AO82" i="4"/>
  <c r="AO81" i="4"/>
  <c r="AN80" i="4"/>
  <c r="AM80" i="4"/>
  <c r="AL80" i="4"/>
  <c r="AK80" i="4"/>
  <c r="AO79" i="4"/>
  <c r="AO78" i="4"/>
  <c r="AO77" i="4"/>
  <c r="AO76" i="4"/>
  <c r="AN75" i="4"/>
  <c r="AM75" i="4"/>
  <c r="AL75" i="4"/>
  <c r="AK75" i="4"/>
  <c r="AO74" i="4"/>
  <c r="AO73" i="4"/>
  <c r="AO72" i="4"/>
  <c r="AO71" i="4"/>
  <c r="AN70" i="4"/>
  <c r="AM70" i="4"/>
  <c r="AL70" i="4"/>
  <c r="AK70" i="4"/>
  <c r="AO65" i="4"/>
  <c r="AO64" i="4"/>
  <c r="AO63" i="4"/>
  <c r="AO62" i="4"/>
  <c r="AN61" i="4"/>
  <c r="AM61" i="4"/>
  <c r="AL61" i="4"/>
  <c r="AK61" i="4"/>
  <c r="AO60" i="4"/>
  <c r="AO59" i="4"/>
  <c r="AO58" i="4"/>
  <c r="AO57" i="4"/>
  <c r="AN56" i="4"/>
  <c r="AM56" i="4"/>
  <c r="AL56" i="4"/>
  <c r="AK56" i="4"/>
  <c r="AO55" i="4"/>
  <c r="AO54" i="4"/>
  <c r="AO53" i="4"/>
  <c r="AO52" i="4"/>
  <c r="AO47" i="4"/>
  <c r="AO46" i="4"/>
  <c r="AO45" i="4"/>
  <c r="AO44" i="4"/>
  <c r="AN43" i="4"/>
  <c r="AM43" i="4"/>
  <c r="AL43" i="4"/>
  <c r="AK43" i="4"/>
  <c r="AO30" i="4"/>
  <c r="AO29" i="4"/>
  <c r="AO28" i="4"/>
  <c r="AO27" i="4"/>
  <c r="AO26" i="4"/>
  <c r="AO25" i="4"/>
  <c r="AO24" i="4"/>
  <c r="AO23" i="4"/>
  <c r="AN22" i="4"/>
  <c r="AM22" i="4"/>
  <c r="AL22" i="4"/>
  <c r="AK22" i="4"/>
  <c r="AO21" i="4"/>
  <c r="AO20" i="4"/>
  <c r="AO19" i="4"/>
  <c r="AO18" i="4"/>
  <c r="AO13" i="4"/>
  <c r="AO12" i="4"/>
  <c r="AO11" i="4"/>
  <c r="AO10" i="4"/>
  <c r="AO9" i="4"/>
  <c r="AN8" i="4"/>
  <c r="AM8" i="4"/>
  <c r="AL8" i="4"/>
  <c r="AK8" i="4"/>
  <c r="AO7" i="4"/>
  <c r="AO6" i="4"/>
  <c r="AI434" i="4"/>
  <c r="AH434" i="4"/>
  <c r="AG434" i="4"/>
  <c r="AF434" i="4"/>
  <c r="AJ433" i="4"/>
  <c r="AI432" i="4"/>
  <c r="AH432" i="4"/>
  <c r="AG432" i="4"/>
  <c r="AF432" i="4"/>
  <c r="AJ431" i="4"/>
  <c r="AJ430" i="4"/>
  <c r="AI428" i="4"/>
  <c r="AH428" i="4"/>
  <c r="AG428" i="4"/>
  <c r="AF428" i="4"/>
  <c r="AJ427" i="4"/>
  <c r="AJ426" i="4"/>
  <c r="AJ421" i="4"/>
  <c r="AJ402" i="4"/>
  <c r="AJ398" i="4"/>
  <c r="AJ397" i="4"/>
  <c r="AJ396" i="4"/>
  <c r="AJ395" i="4"/>
  <c r="AJ394" i="4"/>
  <c r="AJ393" i="4"/>
  <c r="AJ392" i="4"/>
  <c r="AJ391" i="4"/>
  <c r="AJ390" i="4"/>
  <c r="AI389" i="4"/>
  <c r="AH389" i="4"/>
  <c r="AG389" i="4"/>
  <c r="AF389" i="4"/>
  <c r="AJ372" i="4"/>
  <c r="AJ367" i="4"/>
  <c r="AJ363" i="4"/>
  <c r="AJ362" i="4"/>
  <c r="AJ361" i="4"/>
  <c r="AJ360" i="4"/>
  <c r="AJ359" i="4"/>
  <c r="AJ358" i="4"/>
  <c r="AJ357" i="4"/>
  <c r="AJ356" i="4"/>
  <c r="AJ355" i="4"/>
  <c r="AJ354" i="4"/>
  <c r="AJ350" i="4"/>
  <c r="AI348" i="4"/>
  <c r="AH348" i="4"/>
  <c r="AG348" i="4"/>
  <c r="AF348" i="4"/>
  <c r="AJ347" i="4"/>
  <c r="AJ345" i="4"/>
  <c r="AJ342" i="4"/>
  <c r="AJ341" i="4"/>
  <c r="AI340" i="4"/>
  <c r="AH340" i="4"/>
  <c r="AG340" i="4"/>
  <c r="AF340" i="4"/>
  <c r="AJ339" i="4"/>
  <c r="AJ338" i="4"/>
  <c r="AJ336" i="4"/>
  <c r="AJ335" i="4"/>
  <c r="AJ334" i="4"/>
  <c r="AJ333" i="4"/>
  <c r="AJ332" i="4"/>
  <c r="AJ331" i="4"/>
  <c r="AJ330" i="4"/>
  <c r="AJ328" i="4"/>
  <c r="AJ327" i="4"/>
  <c r="AI326" i="4"/>
  <c r="AH326" i="4"/>
  <c r="AG326" i="4"/>
  <c r="AF326" i="4"/>
  <c r="AJ325" i="4"/>
  <c r="AJ322" i="4"/>
  <c r="AJ321" i="4"/>
  <c r="AJ320" i="4"/>
  <c r="AJ319" i="4"/>
  <c r="AJ318" i="4"/>
  <c r="AJ316" i="4"/>
  <c r="AI315" i="4"/>
  <c r="AH315" i="4"/>
  <c r="AG315" i="4"/>
  <c r="AF315" i="4"/>
  <c r="AJ314" i="4"/>
  <c r="AJ313" i="4"/>
  <c r="AJ312" i="4"/>
  <c r="AJ311" i="4"/>
  <c r="AJ310" i="4"/>
  <c r="AJ309" i="4"/>
  <c r="AJ308" i="4"/>
  <c r="AJ306" i="4"/>
  <c r="AJ305" i="4"/>
  <c r="AJ303" i="4"/>
  <c r="AJ302" i="4"/>
  <c r="AJ301" i="4"/>
  <c r="AI300" i="4"/>
  <c r="AH300" i="4"/>
  <c r="AG300" i="4"/>
  <c r="AF300" i="4"/>
  <c r="AJ299" i="4"/>
  <c r="AJ298" i="4"/>
  <c r="AJ296" i="4"/>
  <c r="AJ295" i="4"/>
  <c r="AI293" i="4"/>
  <c r="AH293" i="4"/>
  <c r="AG293" i="4"/>
  <c r="AF293" i="4"/>
  <c r="AJ292" i="4"/>
  <c r="AJ291" i="4"/>
  <c r="AJ290" i="4"/>
  <c r="AJ289" i="4"/>
  <c r="AJ288" i="4"/>
  <c r="AJ286" i="4"/>
  <c r="AJ285" i="4"/>
  <c r="AJ284" i="4"/>
  <c r="AJ283" i="4"/>
  <c r="AJ282" i="4"/>
  <c r="AJ281" i="4"/>
  <c r="AJ280" i="4"/>
  <c r="AJ279" i="4"/>
  <c r="AJ278" i="4"/>
  <c r="AJ274" i="4"/>
  <c r="AJ271" i="4"/>
  <c r="AJ270" i="4"/>
  <c r="AJ266" i="4"/>
  <c r="AJ265" i="4"/>
  <c r="AJ263" i="4"/>
  <c r="AJ262" i="4"/>
  <c r="AJ261" i="4"/>
  <c r="AJ260" i="4"/>
  <c r="AJ259" i="4"/>
  <c r="AJ258" i="4"/>
  <c r="AJ257" i="4"/>
  <c r="AJ256" i="4"/>
  <c r="AJ255" i="4"/>
  <c r="AJ254" i="4"/>
  <c r="AJ253" i="4"/>
  <c r="AJ252" i="4"/>
  <c r="AI251" i="4"/>
  <c r="AH251" i="4"/>
  <c r="AG251" i="4"/>
  <c r="AF251" i="4"/>
  <c r="AJ250" i="4"/>
  <c r="AJ248" i="4"/>
  <c r="AJ247" i="4"/>
  <c r="AJ246" i="4"/>
  <c r="AJ244" i="4"/>
  <c r="AJ243" i="4"/>
  <c r="AJ242" i="4"/>
  <c r="AJ240" i="4"/>
  <c r="AJ237" i="4"/>
  <c r="AJ235" i="4"/>
  <c r="AJ234" i="4"/>
  <c r="AJ231" i="4"/>
  <c r="AJ230" i="4"/>
  <c r="AJ229" i="4"/>
  <c r="AJ228" i="4"/>
  <c r="AI226" i="4"/>
  <c r="AI227" i="4" s="1"/>
  <c r="AH226" i="4"/>
  <c r="AH227" i="4" s="1"/>
  <c r="AG226" i="4"/>
  <c r="AG227" i="4" s="1"/>
  <c r="AF226" i="4"/>
  <c r="AJ225" i="4"/>
  <c r="AJ224" i="4"/>
  <c r="AJ223" i="4"/>
  <c r="AJ222" i="4"/>
  <c r="AJ221" i="4"/>
  <c r="AJ220" i="4"/>
  <c r="AJ219" i="4"/>
  <c r="AJ218" i="4"/>
  <c r="AJ214" i="4"/>
  <c r="AJ213" i="4"/>
  <c r="AJ210" i="4"/>
  <c r="AJ209" i="4"/>
  <c r="AJ208" i="4"/>
  <c r="AJ207" i="4"/>
  <c r="AJ206" i="4"/>
  <c r="AJ205" i="4"/>
  <c r="AJ204" i="4"/>
  <c r="AJ203" i="4"/>
  <c r="AJ202" i="4"/>
  <c r="AJ201" i="4"/>
  <c r="AJ200" i="4"/>
  <c r="AJ198" i="4"/>
  <c r="AJ197" i="4"/>
  <c r="AJ196" i="4"/>
  <c r="AJ195" i="4"/>
  <c r="AJ184" i="4"/>
  <c r="AJ183" i="4"/>
  <c r="AJ182" i="4"/>
  <c r="AJ181" i="4"/>
  <c r="AJ174" i="4"/>
  <c r="AJ173" i="4"/>
  <c r="AJ172" i="4"/>
  <c r="AJ163" i="4"/>
  <c r="AJ162" i="4"/>
  <c r="AJ161" i="4"/>
  <c r="AJ160" i="4"/>
  <c r="AJ159" i="4"/>
  <c r="AJ158" i="4"/>
  <c r="AJ157" i="4"/>
  <c r="AJ156" i="4"/>
  <c r="AJ153" i="4"/>
  <c r="AJ152" i="4"/>
  <c r="AJ151" i="4"/>
  <c r="AJ150" i="4"/>
  <c r="AJ145" i="4"/>
  <c r="AJ144" i="4"/>
  <c r="AJ138" i="4"/>
  <c r="AJ137" i="4"/>
  <c r="AJ136" i="4"/>
  <c r="AJ135" i="4"/>
  <c r="AJ134" i="4"/>
  <c r="AI131" i="4"/>
  <c r="AH131" i="4"/>
  <c r="AG131" i="4"/>
  <c r="AF131" i="4"/>
  <c r="AJ130" i="4"/>
  <c r="AJ129" i="4"/>
  <c r="AJ128" i="4"/>
  <c r="AJ127" i="4"/>
  <c r="AJ126" i="4"/>
  <c r="AJ125" i="4"/>
  <c r="AJ124" i="4"/>
  <c r="AJ123" i="4"/>
  <c r="AJ122" i="4"/>
  <c r="AJ121" i="4"/>
  <c r="AI120" i="4"/>
  <c r="AH120" i="4"/>
  <c r="AG120" i="4"/>
  <c r="AF120" i="4"/>
  <c r="AJ119" i="4"/>
  <c r="AJ118" i="4"/>
  <c r="AJ117" i="4"/>
  <c r="AJ116" i="4"/>
  <c r="AJ115" i="4"/>
  <c r="AJ114" i="4"/>
  <c r="AJ113" i="4"/>
  <c r="AJ112" i="4"/>
  <c r="AI111" i="4"/>
  <c r="AH111" i="4"/>
  <c r="AG111" i="4"/>
  <c r="AF111" i="4"/>
  <c r="AJ110" i="4"/>
  <c r="AJ109" i="4"/>
  <c r="AJ108" i="4"/>
  <c r="AJ107" i="4"/>
  <c r="AJ106" i="4"/>
  <c r="AJ105" i="4"/>
  <c r="AJ104" i="4"/>
  <c r="AJ103" i="4"/>
  <c r="AI100" i="4"/>
  <c r="AH100" i="4"/>
  <c r="AG100" i="4"/>
  <c r="AF100" i="4"/>
  <c r="AJ99" i="4"/>
  <c r="AJ98" i="4"/>
  <c r="AJ97" i="4"/>
  <c r="AJ96" i="4"/>
  <c r="AJ92" i="4"/>
  <c r="AJ91" i="4"/>
  <c r="AJ90" i="4"/>
  <c r="AI89" i="4"/>
  <c r="AH89" i="4"/>
  <c r="AG89" i="4"/>
  <c r="AF89" i="4"/>
  <c r="AJ88" i="4"/>
  <c r="AJ87" i="4"/>
  <c r="AJ82" i="4"/>
  <c r="AJ81" i="4"/>
  <c r="AI80" i="4"/>
  <c r="AH80" i="4"/>
  <c r="AG80" i="4"/>
  <c r="AF80" i="4"/>
  <c r="AJ79" i="4"/>
  <c r="AJ78" i="4"/>
  <c r="AJ77" i="4"/>
  <c r="AJ76" i="4"/>
  <c r="AI75" i="4"/>
  <c r="AH75" i="4"/>
  <c r="AG75" i="4"/>
  <c r="AF75" i="4"/>
  <c r="AJ74" i="4"/>
  <c r="AJ73" i="4"/>
  <c r="AJ72" i="4"/>
  <c r="AJ71" i="4"/>
  <c r="AI70" i="4"/>
  <c r="AH70" i="4"/>
  <c r="AG70" i="4"/>
  <c r="AF70" i="4"/>
  <c r="AJ65" i="4"/>
  <c r="AJ64" i="4"/>
  <c r="AJ63" i="4"/>
  <c r="AJ62" i="4"/>
  <c r="AI61" i="4"/>
  <c r="AH61" i="4"/>
  <c r="AG61" i="4"/>
  <c r="AF61" i="4"/>
  <c r="AJ60" i="4"/>
  <c r="AJ59" i="4"/>
  <c r="AJ58" i="4"/>
  <c r="AJ57" i="4"/>
  <c r="AI56" i="4"/>
  <c r="AH56" i="4"/>
  <c r="AG56" i="4"/>
  <c r="AF56" i="4"/>
  <c r="AJ55" i="4"/>
  <c r="AJ54" i="4"/>
  <c r="AJ53" i="4"/>
  <c r="AJ52" i="4"/>
  <c r="AJ47" i="4"/>
  <c r="AJ46" i="4"/>
  <c r="AJ45" i="4"/>
  <c r="AJ44" i="4"/>
  <c r="AI43" i="4"/>
  <c r="AH43" i="4"/>
  <c r="AG43" i="4"/>
  <c r="AF43" i="4"/>
  <c r="AJ30" i="4"/>
  <c r="AJ29" i="4"/>
  <c r="AJ28" i="4"/>
  <c r="AJ27" i="4"/>
  <c r="AJ26" i="4"/>
  <c r="AJ25" i="4"/>
  <c r="AJ24" i="4"/>
  <c r="AJ23" i="4"/>
  <c r="AI22" i="4"/>
  <c r="AH22" i="4"/>
  <c r="AG22" i="4"/>
  <c r="AF22" i="4"/>
  <c r="AJ21" i="4"/>
  <c r="AJ20" i="4"/>
  <c r="AJ19" i="4"/>
  <c r="AJ18" i="4"/>
  <c r="AJ13" i="4"/>
  <c r="AJ12" i="4"/>
  <c r="AJ11" i="4"/>
  <c r="AJ10" i="4"/>
  <c r="AJ9" i="4"/>
  <c r="AI8" i="4"/>
  <c r="AH8" i="4"/>
  <c r="AG8" i="4"/>
  <c r="AF8" i="4"/>
  <c r="AJ7" i="4"/>
  <c r="AJ6" i="4"/>
  <c r="AD434" i="4"/>
  <c r="AC434" i="4"/>
  <c r="AB434" i="4"/>
  <c r="AA434" i="4"/>
  <c r="AE433" i="4"/>
  <c r="AD432" i="4"/>
  <c r="AC432" i="4"/>
  <c r="AB432" i="4"/>
  <c r="AA432" i="4"/>
  <c r="AE431" i="4"/>
  <c r="AE430" i="4"/>
  <c r="AD428" i="4"/>
  <c r="AC428" i="4"/>
  <c r="AB428" i="4"/>
  <c r="AA428" i="4"/>
  <c r="AE427" i="4"/>
  <c r="AE426" i="4"/>
  <c r="AE421" i="4"/>
  <c r="AE402" i="4"/>
  <c r="AE398" i="4"/>
  <c r="AE397" i="4"/>
  <c r="AE396" i="4"/>
  <c r="AE395" i="4"/>
  <c r="AE394" i="4"/>
  <c r="AE393" i="4"/>
  <c r="AE392" i="4"/>
  <c r="AE391" i="4"/>
  <c r="AE390" i="4"/>
  <c r="AD389" i="4"/>
  <c r="AC389" i="4"/>
  <c r="AB389" i="4"/>
  <c r="AA389" i="4"/>
  <c r="AE372" i="4"/>
  <c r="AE367" i="4"/>
  <c r="AE363" i="4"/>
  <c r="AE362" i="4"/>
  <c r="AE361" i="4"/>
  <c r="AE360" i="4"/>
  <c r="AE359" i="4"/>
  <c r="AE358" i="4"/>
  <c r="AE357" i="4"/>
  <c r="AE356" i="4"/>
  <c r="AE355" i="4"/>
  <c r="AE354" i="4"/>
  <c r="AE350" i="4"/>
  <c r="AD348" i="4"/>
  <c r="AC348" i="4"/>
  <c r="AB348" i="4"/>
  <c r="AA348" i="4"/>
  <c r="AE347" i="4"/>
  <c r="AE345" i="4"/>
  <c r="AE342" i="4"/>
  <c r="AE341" i="4"/>
  <c r="AD340" i="4"/>
  <c r="AC340" i="4"/>
  <c r="AB340" i="4"/>
  <c r="AA340" i="4"/>
  <c r="AE339" i="4"/>
  <c r="AE338" i="4"/>
  <c r="AE336" i="4"/>
  <c r="AE335" i="4"/>
  <c r="AE334" i="4"/>
  <c r="AE333" i="4"/>
  <c r="AE332" i="4"/>
  <c r="AE331" i="4"/>
  <c r="AE330" i="4"/>
  <c r="AE328" i="4"/>
  <c r="AE327" i="4"/>
  <c r="AD326" i="4"/>
  <c r="AC326" i="4"/>
  <c r="AB326" i="4"/>
  <c r="AA326" i="4"/>
  <c r="AE325" i="4"/>
  <c r="AE322" i="4"/>
  <c r="AE321" i="4"/>
  <c r="AE320" i="4"/>
  <c r="AE319" i="4"/>
  <c r="AE318" i="4"/>
  <c r="AE316" i="4"/>
  <c r="AD315" i="4"/>
  <c r="AC315" i="4"/>
  <c r="AB315" i="4"/>
  <c r="AA315" i="4"/>
  <c r="AE314" i="4"/>
  <c r="AE313" i="4"/>
  <c r="AE312" i="4"/>
  <c r="AE311" i="4"/>
  <c r="AE310" i="4"/>
  <c r="AE309" i="4"/>
  <c r="AE308" i="4"/>
  <c r="AE306" i="4"/>
  <c r="AE305" i="4"/>
  <c r="AE303" i="4"/>
  <c r="AE302" i="4"/>
  <c r="AE301" i="4"/>
  <c r="AD300" i="4"/>
  <c r="AC300" i="4"/>
  <c r="AB300" i="4"/>
  <c r="AA300" i="4"/>
  <c r="AE299" i="4"/>
  <c r="AE298" i="4"/>
  <c r="AE296" i="4"/>
  <c r="AE295" i="4"/>
  <c r="AD293" i="4"/>
  <c r="AC293" i="4"/>
  <c r="AB293" i="4"/>
  <c r="AA293" i="4"/>
  <c r="AE292" i="4"/>
  <c r="AE291" i="4"/>
  <c r="AE290" i="4"/>
  <c r="AE289" i="4"/>
  <c r="AE288" i="4"/>
  <c r="AE286" i="4"/>
  <c r="AE285" i="4"/>
  <c r="AE284" i="4"/>
  <c r="AE283" i="4"/>
  <c r="AE282" i="4"/>
  <c r="AE281" i="4"/>
  <c r="AE280" i="4"/>
  <c r="AE279" i="4"/>
  <c r="AE278" i="4"/>
  <c r="AE274" i="4"/>
  <c r="AE271" i="4"/>
  <c r="AE270" i="4"/>
  <c r="AE266" i="4"/>
  <c r="AE265" i="4"/>
  <c r="AE263" i="4"/>
  <c r="AE262" i="4"/>
  <c r="AE261" i="4"/>
  <c r="AE260" i="4"/>
  <c r="AE259" i="4"/>
  <c r="AE258" i="4"/>
  <c r="AE257" i="4"/>
  <c r="AE256" i="4"/>
  <c r="AE255" i="4"/>
  <c r="AE254" i="4"/>
  <c r="AE253" i="4"/>
  <c r="AE252" i="4"/>
  <c r="AD251" i="4"/>
  <c r="AC251" i="4"/>
  <c r="AB251" i="4"/>
  <c r="AA251" i="4"/>
  <c r="AE250" i="4"/>
  <c r="AE248" i="4"/>
  <c r="AE247" i="4"/>
  <c r="AE246" i="4"/>
  <c r="AE244" i="4"/>
  <c r="AE243" i="4"/>
  <c r="AE242" i="4"/>
  <c r="AE240" i="4"/>
  <c r="AE237" i="4"/>
  <c r="AE235" i="4"/>
  <c r="AE234" i="4"/>
  <c r="AE231" i="4"/>
  <c r="AE230" i="4"/>
  <c r="AE229" i="4"/>
  <c r="AE228" i="4"/>
  <c r="AD226" i="4"/>
  <c r="AD227" i="4" s="1"/>
  <c r="AC226" i="4"/>
  <c r="AC227" i="4" s="1"/>
  <c r="AB226" i="4"/>
  <c r="AB227" i="4" s="1"/>
  <c r="AA226" i="4"/>
  <c r="AE225" i="4"/>
  <c r="AE224" i="4"/>
  <c r="AE223" i="4"/>
  <c r="AE222" i="4"/>
  <c r="AE221" i="4"/>
  <c r="AE220" i="4"/>
  <c r="AE219" i="4"/>
  <c r="AE218" i="4"/>
  <c r="AE214" i="4"/>
  <c r="AE213" i="4"/>
  <c r="AE210" i="4"/>
  <c r="AE209" i="4"/>
  <c r="AE208" i="4"/>
  <c r="AE207" i="4"/>
  <c r="AE206" i="4"/>
  <c r="AE205" i="4"/>
  <c r="AE204" i="4"/>
  <c r="AE203" i="4"/>
  <c r="AE202" i="4"/>
  <c r="AE201" i="4"/>
  <c r="AE200" i="4"/>
  <c r="AE198" i="4"/>
  <c r="AE197" i="4"/>
  <c r="AE196" i="4"/>
  <c r="AE195" i="4"/>
  <c r="AE184" i="4"/>
  <c r="AE183" i="4"/>
  <c r="AE182" i="4"/>
  <c r="AE181" i="4"/>
  <c r="AE174" i="4"/>
  <c r="AE173" i="4"/>
  <c r="AE172" i="4"/>
  <c r="AE163" i="4"/>
  <c r="AE162" i="4"/>
  <c r="AE161" i="4"/>
  <c r="AE160" i="4"/>
  <c r="AE159" i="4"/>
  <c r="AE158" i="4"/>
  <c r="AE157" i="4"/>
  <c r="AE156" i="4"/>
  <c r="AE153" i="4"/>
  <c r="AE152" i="4"/>
  <c r="AE151" i="4"/>
  <c r="AE150" i="4"/>
  <c r="AE145" i="4"/>
  <c r="AE144" i="4"/>
  <c r="AE138" i="4"/>
  <c r="AE137" i="4"/>
  <c r="AE136" i="4"/>
  <c r="AE135" i="4"/>
  <c r="AE134" i="4"/>
  <c r="AD131" i="4"/>
  <c r="AC131" i="4"/>
  <c r="AB131" i="4"/>
  <c r="AA131" i="4"/>
  <c r="AE130" i="4"/>
  <c r="AE129" i="4"/>
  <c r="AE128" i="4"/>
  <c r="AE127" i="4"/>
  <c r="AE126" i="4"/>
  <c r="AE125" i="4"/>
  <c r="AE124" i="4"/>
  <c r="AE123" i="4"/>
  <c r="AE122" i="4"/>
  <c r="AE121" i="4"/>
  <c r="AD120" i="4"/>
  <c r="AC120" i="4"/>
  <c r="AB120" i="4"/>
  <c r="AA120" i="4"/>
  <c r="AE119" i="4"/>
  <c r="AE118" i="4"/>
  <c r="AE117" i="4"/>
  <c r="AE116" i="4"/>
  <c r="AE115" i="4"/>
  <c r="AE114" i="4"/>
  <c r="AE113" i="4"/>
  <c r="AE112" i="4"/>
  <c r="AD111" i="4"/>
  <c r="AC111" i="4"/>
  <c r="AB111" i="4"/>
  <c r="AA111" i="4"/>
  <c r="AE110" i="4"/>
  <c r="AE109" i="4"/>
  <c r="AE108" i="4"/>
  <c r="AE107" i="4"/>
  <c r="AE106" i="4"/>
  <c r="AE105" i="4"/>
  <c r="AE104" i="4"/>
  <c r="AE103" i="4"/>
  <c r="AD100" i="4"/>
  <c r="AC100" i="4"/>
  <c r="AB100" i="4"/>
  <c r="AA100" i="4"/>
  <c r="AE99" i="4"/>
  <c r="AE98" i="4"/>
  <c r="AE97" i="4"/>
  <c r="AE96" i="4"/>
  <c r="AE92" i="4"/>
  <c r="AE91" i="4"/>
  <c r="AE90" i="4"/>
  <c r="AD89" i="4"/>
  <c r="AC89" i="4"/>
  <c r="AB89" i="4"/>
  <c r="AA89" i="4"/>
  <c r="AE88" i="4"/>
  <c r="AE87" i="4"/>
  <c r="AE82" i="4"/>
  <c r="AE81" i="4"/>
  <c r="AD80" i="4"/>
  <c r="AC80" i="4"/>
  <c r="AB80" i="4"/>
  <c r="AA80" i="4"/>
  <c r="AE79" i="4"/>
  <c r="AE78" i="4"/>
  <c r="AE77" i="4"/>
  <c r="AE76" i="4"/>
  <c r="AD75" i="4"/>
  <c r="AC75" i="4"/>
  <c r="AB75" i="4"/>
  <c r="AA75" i="4"/>
  <c r="AE74" i="4"/>
  <c r="AE73" i="4"/>
  <c r="AE72" i="4"/>
  <c r="AE71" i="4"/>
  <c r="AD70" i="4"/>
  <c r="AC70" i="4"/>
  <c r="AB70" i="4"/>
  <c r="AA70" i="4"/>
  <c r="AE65" i="4"/>
  <c r="AE64" i="4"/>
  <c r="AE63" i="4"/>
  <c r="AE62" i="4"/>
  <c r="AD61" i="4"/>
  <c r="AC61" i="4"/>
  <c r="AB61" i="4"/>
  <c r="AA61" i="4"/>
  <c r="AE60" i="4"/>
  <c r="AE59" i="4"/>
  <c r="AE58" i="4"/>
  <c r="AE57" i="4"/>
  <c r="AD56" i="4"/>
  <c r="AC56" i="4"/>
  <c r="AB56" i="4"/>
  <c r="AA56" i="4"/>
  <c r="AE55" i="4"/>
  <c r="AE54" i="4"/>
  <c r="AE53" i="4"/>
  <c r="AE52" i="4"/>
  <c r="AE47" i="4"/>
  <c r="AE46" i="4"/>
  <c r="AE45" i="4"/>
  <c r="AE44" i="4"/>
  <c r="AD43" i="4"/>
  <c r="AC43" i="4"/>
  <c r="AB43" i="4"/>
  <c r="AA43" i="4"/>
  <c r="AE30" i="4"/>
  <c r="AE29" i="4"/>
  <c r="AE28" i="4"/>
  <c r="AE27" i="4"/>
  <c r="AE26" i="4"/>
  <c r="AE25" i="4"/>
  <c r="AE24" i="4"/>
  <c r="AE23" i="4"/>
  <c r="AD22" i="4"/>
  <c r="AC22" i="4"/>
  <c r="AB22" i="4"/>
  <c r="AA22" i="4"/>
  <c r="AE21" i="4"/>
  <c r="AE20" i="4"/>
  <c r="AE19" i="4"/>
  <c r="AE18" i="4"/>
  <c r="AE13" i="4"/>
  <c r="AE12" i="4"/>
  <c r="AE11" i="4"/>
  <c r="AE10" i="4"/>
  <c r="AE9" i="4"/>
  <c r="AD8" i="4"/>
  <c r="AC8" i="4"/>
  <c r="AB8" i="4"/>
  <c r="AA8" i="4"/>
  <c r="AE7" i="4"/>
  <c r="AE6" i="4"/>
  <c r="Y434" i="4"/>
  <c r="X434" i="4"/>
  <c r="W434" i="4"/>
  <c r="V434" i="4"/>
  <c r="Z433" i="4"/>
  <c r="Y432" i="4"/>
  <c r="X432" i="4"/>
  <c r="W432" i="4"/>
  <c r="V432" i="4"/>
  <c r="Z431" i="4"/>
  <c r="Z430" i="4"/>
  <c r="Y428" i="4"/>
  <c r="X428" i="4"/>
  <c r="W428" i="4"/>
  <c r="V428" i="4"/>
  <c r="Z427" i="4"/>
  <c r="Z426" i="4"/>
  <c r="Z421" i="4"/>
  <c r="Z402" i="4"/>
  <c r="Z398" i="4"/>
  <c r="Z397" i="4"/>
  <c r="Z396" i="4"/>
  <c r="Z395" i="4"/>
  <c r="Z394" i="4"/>
  <c r="Z393" i="4"/>
  <c r="Z392" i="4"/>
  <c r="Z391" i="4"/>
  <c r="Z390" i="4"/>
  <c r="Y389" i="4"/>
  <c r="X389" i="4"/>
  <c r="W389" i="4"/>
  <c r="V389" i="4"/>
  <c r="Z372" i="4"/>
  <c r="Z367" i="4"/>
  <c r="Z363" i="4"/>
  <c r="Z362" i="4"/>
  <c r="Z361" i="4"/>
  <c r="Z360" i="4"/>
  <c r="Z359" i="4"/>
  <c r="Z358" i="4"/>
  <c r="Z357" i="4"/>
  <c r="Z356" i="4"/>
  <c r="Z355" i="4"/>
  <c r="Z354" i="4"/>
  <c r="Z350" i="4"/>
  <c r="Y348" i="4"/>
  <c r="X348" i="4"/>
  <c r="W348" i="4"/>
  <c r="V348" i="4"/>
  <c r="Z347" i="4"/>
  <c r="Z345" i="4"/>
  <c r="Z342" i="4"/>
  <c r="Z341" i="4"/>
  <c r="Y340" i="4"/>
  <c r="X340" i="4"/>
  <c r="W340" i="4"/>
  <c r="V340" i="4"/>
  <c r="Z339" i="4"/>
  <c r="Z338" i="4"/>
  <c r="Z336" i="4"/>
  <c r="Z335" i="4"/>
  <c r="Z334" i="4"/>
  <c r="Z333" i="4"/>
  <c r="Z332" i="4"/>
  <c r="Z331" i="4"/>
  <c r="Z330" i="4"/>
  <c r="Z328" i="4"/>
  <c r="Z327" i="4"/>
  <c r="Y326" i="4"/>
  <c r="X326" i="4"/>
  <c r="W326" i="4"/>
  <c r="V326" i="4"/>
  <c r="Z325" i="4"/>
  <c r="Z322" i="4"/>
  <c r="Z321" i="4"/>
  <c r="Z320" i="4"/>
  <c r="Z319" i="4"/>
  <c r="Z318" i="4"/>
  <c r="Z316" i="4"/>
  <c r="Y315" i="4"/>
  <c r="X315" i="4"/>
  <c r="W315" i="4"/>
  <c r="V315" i="4"/>
  <c r="Z314" i="4"/>
  <c r="Z313" i="4"/>
  <c r="Z312" i="4"/>
  <c r="Z311" i="4"/>
  <c r="Z310" i="4"/>
  <c r="Z309" i="4"/>
  <c r="Z308" i="4"/>
  <c r="Z306" i="4"/>
  <c r="Z305" i="4"/>
  <c r="Z303" i="4"/>
  <c r="Z302" i="4"/>
  <c r="Z301" i="4"/>
  <c r="Y300" i="4"/>
  <c r="X300" i="4"/>
  <c r="W300" i="4"/>
  <c r="V300" i="4"/>
  <c r="Z299" i="4"/>
  <c r="Z298" i="4"/>
  <c r="Z296" i="4"/>
  <c r="Z295" i="4"/>
  <c r="Y293" i="4"/>
  <c r="X293" i="4"/>
  <c r="W293" i="4"/>
  <c r="V293" i="4"/>
  <c r="Z292" i="4"/>
  <c r="Z291" i="4"/>
  <c r="Z290" i="4"/>
  <c r="Z289" i="4"/>
  <c r="Z288" i="4"/>
  <c r="Z286" i="4"/>
  <c r="Z285" i="4"/>
  <c r="Z284" i="4"/>
  <c r="Z283" i="4"/>
  <c r="Z282" i="4"/>
  <c r="Z281" i="4"/>
  <c r="Z280" i="4"/>
  <c r="Z279" i="4"/>
  <c r="Z278" i="4"/>
  <c r="Z274" i="4"/>
  <c r="Z271" i="4"/>
  <c r="Z270" i="4"/>
  <c r="Z266" i="4"/>
  <c r="Z265" i="4"/>
  <c r="Z263" i="4"/>
  <c r="Z262" i="4"/>
  <c r="Z261" i="4"/>
  <c r="Z260" i="4"/>
  <c r="Z259" i="4"/>
  <c r="Z258" i="4"/>
  <c r="Z257" i="4"/>
  <c r="Z256" i="4"/>
  <c r="Z255" i="4"/>
  <c r="Z254" i="4"/>
  <c r="Z253" i="4"/>
  <c r="Z252" i="4"/>
  <c r="Y251" i="4"/>
  <c r="X251" i="4"/>
  <c r="W251" i="4"/>
  <c r="V251" i="4"/>
  <c r="Z250" i="4"/>
  <c r="Z248" i="4"/>
  <c r="Z247" i="4"/>
  <c r="Z246" i="4"/>
  <c r="Z244" i="4"/>
  <c r="Z243" i="4"/>
  <c r="Z242" i="4"/>
  <c r="Z240" i="4"/>
  <c r="Z237" i="4"/>
  <c r="Z235" i="4"/>
  <c r="Z234" i="4"/>
  <c r="Z231" i="4"/>
  <c r="Z230" i="4"/>
  <c r="Z229" i="4"/>
  <c r="Z228" i="4"/>
  <c r="Y226" i="4"/>
  <c r="Y227" i="4" s="1"/>
  <c r="X226" i="4"/>
  <c r="X227" i="4" s="1"/>
  <c r="W226" i="4"/>
  <c r="W227" i="4" s="1"/>
  <c r="V226" i="4"/>
  <c r="Z225" i="4"/>
  <c r="Z224" i="4"/>
  <c r="Z223" i="4"/>
  <c r="Z222" i="4"/>
  <c r="Z221" i="4"/>
  <c r="Z220" i="4"/>
  <c r="Z219" i="4"/>
  <c r="Z218" i="4"/>
  <c r="Z214" i="4"/>
  <c r="Z213" i="4"/>
  <c r="Z210" i="4"/>
  <c r="Z209" i="4"/>
  <c r="Z208" i="4"/>
  <c r="Z207" i="4"/>
  <c r="Z206" i="4"/>
  <c r="Z205" i="4"/>
  <c r="Z204" i="4"/>
  <c r="Z203" i="4"/>
  <c r="Z202" i="4"/>
  <c r="Z201" i="4"/>
  <c r="Z200" i="4"/>
  <c r="Z198" i="4"/>
  <c r="Z197" i="4"/>
  <c r="Z196" i="4"/>
  <c r="Z195" i="4"/>
  <c r="Z184" i="4"/>
  <c r="Z183" i="4"/>
  <c r="Z182" i="4"/>
  <c r="Z181" i="4"/>
  <c r="Z174" i="4"/>
  <c r="Z173" i="4"/>
  <c r="Z172" i="4"/>
  <c r="Z163" i="4"/>
  <c r="Z162" i="4"/>
  <c r="Z161" i="4"/>
  <c r="Z160" i="4"/>
  <c r="Z159" i="4"/>
  <c r="Z158" i="4"/>
  <c r="Z157" i="4"/>
  <c r="Z156" i="4"/>
  <c r="Z153" i="4"/>
  <c r="Z152" i="4"/>
  <c r="Z151" i="4"/>
  <c r="Z150" i="4"/>
  <c r="Z145" i="4"/>
  <c r="Z144" i="4"/>
  <c r="Z138" i="4"/>
  <c r="Z137" i="4"/>
  <c r="Z136" i="4"/>
  <c r="Z135" i="4"/>
  <c r="Z134" i="4"/>
  <c r="Y131" i="4"/>
  <c r="X131" i="4"/>
  <c r="W131" i="4"/>
  <c r="V131" i="4"/>
  <c r="Z130" i="4"/>
  <c r="Z129" i="4"/>
  <c r="Z128" i="4"/>
  <c r="Z127" i="4"/>
  <c r="Z126" i="4"/>
  <c r="Z125" i="4"/>
  <c r="Z124" i="4"/>
  <c r="Z123" i="4"/>
  <c r="Z122" i="4"/>
  <c r="Z121" i="4"/>
  <c r="Y120" i="4"/>
  <c r="X120" i="4"/>
  <c r="W120" i="4"/>
  <c r="V120" i="4"/>
  <c r="Z119" i="4"/>
  <c r="Z118" i="4"/>
  <c r="Z117" i="4"/>
  <c r="Z116" i="4"/>
  <c r="Z115" i="4"/>
  <c r="Z114" i="4"/>
  <c r="Z113" i="4"/>
  <c r="Z112" i="4"/>
  <c r="Y111" i="4"/>
  <c r="X111" i="4"/>
  <c r="W111" i="4"/>
  <c r="V111" i="4"/>
  <c r="Z110" i="4"/>
  <c r="Z109" i="4"/>
  <c r="Z108" i="4"/>
  <c r="Z107" i="4"/>
  <c r="Z106" i="4"/>
  <c r="Z105" i="4"/>
  <c r="Z104" i="4"/>
  <c r="Z103" i="4"/>
  <c r="Y100" i="4"/>
  <c r="X100" i="4"/>
  <c r="W100" i="4"/>
  <c r="V100" i="4"/>
  <c r="Z99" i="4"/>
  <c r="Z98" i="4"/>
  <c r="Z97" i="4"/>
  <c r="Z96" i="4"/>
  <c r="Z92" i="4"/>
  <c r="Z91" i="4"/>
  <c r="Z90" i="4"/>
  <c r="Y89" i="4"/>
  <c r="X89" i="4"/>
  <c r="W89" i="4"/>
  <c r="V89" i="4"/>
  <c r="Z88" i="4"/>
  <c r="Z87" i="4"/>
  <c r="Z82" i="4"/>
  <c r="Z81" i="4"/>
  <c r="Y80" i="4"/>
  <c r="X80" i="4"/>
  <c r="W80" i="4"/>
  <c r="V80" i="4"/>
  <c r="Z79" i="4"/>
  <c r="Z78" i="4"/>
  <c r="Z77" i="4"/>
  <c r="Z76" i="4"/>
  <c r="Y75" i="4"/>
  <c r="X75" i="4"/>
  <c r="W75" i="4"/>
  <c r="V75" i="4"/>
  <c r="Z74" i="4"/>
  <c r="Z73" i="4"/>
  <c r="Z72" i="4"/>
  <c r="Z71" i="4"/>
  <c r="Y70" i="4"/>
  <c r="X70" i="4"/>
  <c r="W70" i="4"/>
  <c r="V70" i="4"/>
  <c r="Z65" i="4"/>
  <c r="Z64" i="4"/>
  <c r="Z63" i="4"/>
  <c r="Z62" i="4"/>
  <c r="Y61" i="4"/>
  <c r="X61" i="4"/>
  <c r="W61" i="4"/>
  <c r="V61" i="4"/>
  <c r="Z60" i="4"/>
  <c r="Z59" i="4"/>
  <c r="Z58" i="4"/>
  <c r="Z57" i="4"/>
  <c r="Y56" i="4"/>
  <c r="X56" i="4"/>
  <c r="W56" i="4"/>
  <c r="V56" i="4"/>
  <c r="Z55" i="4"/>
  <c r="Z54" i="4"/>
  <c r="Z53" i="4"/>
  <c r="Z52" i="4"/>
  <c r="Z47" i="4"/>
  <c r="Z46" i="4"/>
  <c r="Z45" i="4"/>
  <c r="Z44" i="4"/>
  <c r="Y43" i="4"/>
  <c r="X43" i="4"/>
  <c r="W43" i="4"/>
  <c r="V43" i="4"/>
  <c r="Z30" i="4"/>
  <c r="Z29" i="4"/>
  <c r="Z28" i="4"/>
  <c r="Z27" i="4"/>
  <c r="Z26" i="4"/>
  <c r="Z25" i="4"/>
  <c r="Z24" i="4"/>
  <c r="Z23" i="4"/>
  <c r="Y22" i="4"/>
  <c r="X22" i="4"/>
  <c r="W22" i="4"/>
  <c r="V22" i="4"/>
  <c r="Z21" i="4"/>
  <c r="Z20" i="4"/>
  <c r="Z19" i="4"/>
  <c r="Z18" i="4"/>
  <c r="Z13" i="4"/>
  <c r="Z12" i="4"/>
  <c r="Z11" i="4"/>
  <c r="Z10" i="4"/>
  <c r="Z9" i="4"/>
  <c r="Y8" i="4"/>
  <c r="X8" i="4"/>
  <c r="W8" i="4"/>
  <c r="V8" i="4"/>
  <c r="Z7" i="4"/>
  <c r="Z6" i="4"/>
  <c r="T434" i="4"/>
  <c r="S434" i="4"/>
  <c r="R434" i="4"/>
  <c r="Q434" i="4"/>
  <c r="U433" i="4"/>
  <c r="T432" i="4"/>
  <c r="S432" i="4"/>
  <c r="R432" i="4"/>
  <c r="Q432" i="4"/>
  <c r="U431" i="4"/>
  <c r="U430" i="4"/>
  <c r="T428" i="4"/>
  <c r="S428" i="4"/>
  <c r="R428" i="4"/>
  <c r="Q428" i="4"/>
  <c r="U427" i="4"/>
  <c r="U426" i="4"/>
  <c r="U421" i="4"/>
  <c r="U402" i="4"/>
  <c r="U398" i="4"/>
  <c r="U397" i="4"/>
  <c r="U396" i="4"/>
  <c r="U395" i="4"/>
  <c r="U394" i="4"/>
  <c r="U393" i="4"/>
  <c r="U392" i="4"/>
  <c r="U391" i="4"/>
  <c r="U390" i="4"/>
  <c r="T389" i="4"/>
  <c r="S389" i="4"/>
  <c r="R389" i="4"/>
  <c r="Q389" i="4"/>
  <c r="U372" i="4"/>
  <c r="U367" i="4"/>
  <c r="U363" i="4"/>
  <c r="U362" i="4"/>
  <c r="U361" i="4"/>
  <c r="U360" i="4"/>
  <c r="U359" i="4"/>
  <c r="U358" i="4"/>
  <c r="U357" i="4"/>
  <c r="U356" i="4"/>
  <c r="U355" i="4"/>
  <c r="U354" i="4"/>
  <c r="U350" i="4"/>
  <c r="T348" i="4"/>
  <c r="S348" i="4"/>
  <c r="R348" i="4"/>
  <c r="Q348" i="4"/>
  <c r="U347" i="4"/>
  <c r="U345" i="4"/>
  <c r="U342" i="4"/>
  <c r="U341" i="4"/>
  <c r="T340" i="4"/>
  <c r="S340" i="4"/>
  <c r="R340" i="4"/>
  <c r="Q340" i="4"/>
  <c r="U339" i="4"/>
  <c r="U338" i="4"/>
  <c r="U336" i="4"/>
  <c r="U335" i="4"/>
  <c r="U334" i="4"/>
  <c r="U333" i="4"/>
  <c r="U332" i="4"/>
  <c r="U331" i="4"/>
  <c r="U330" i="4"/>
  <c r="U328" i="4"/>
  <c r="U327" i="4"/>
  <c r="T326" i="4"/>
  <c r="S326" i="4"/>
  <c r="R326" i="4"/>
  <c r="Q326" i="4"/>
  <c r="U325" i="4"/>
  <c r="U322" i="4"/>
  <c r="U321" i="4"/>
  <c r="U320" i="4"/>
  <c r="U319" i="4"/>
  <c r="U318" i="4"/>
  <c r="U316" i="4"/>
  <c r="T315" i="4"/>
  <c r="S315" i="4"/>
  <c r="R315" i="4"/>
  <c r="Q315" i="4"/>
  <c r="U314" i="4"/>
  <c r="U313" i="4"/>
  <c r="U312" i="4"/>
  <c r="U311" i="4"/>
  <c r="U310" i="4"/>
  <c r="U309" i="4"/>
  <c r="U308" i="4"/>
  <c r="U306" i="4"/>
  <c r="U305" i="4"/>
  <c r="U303" i="4"/>
  <c r="U302" i="4"/>
  <c r="U301" i="4"/>
  <c r="T300" i="4"/>
  <c r="S300" i="4"/>
  <c r="R300" i="4"/>
  <c r="Q300" i="4"/>
  <c r="U299" i="4"/>
  <c r="U298" i="4"/>
  <c r="U296" i="4"/>
  <c r="U295" i="4"/>
  <c r="T293" i="4"/>
  <c r="S293" i="4"/>
  <c r="R293" i="4"/>
  <c r="Q293" i="4"/>
  <c r="U292" i="4"/>
  <c r="U291" i="4"/>
  <c r="U290" i="4"/>
  <c r="U289" i="4"/>
  <c r="U288" i="4"/>
  <c r="U286" i="4"/>
  <c r="U285" i="4"/>
  <c r="U284" i="4"/>
  <c r="U283" i="4"/>
  <c r="U282" i="4"/>
  <c r="U281" i="4"/>
  <c r="U280" i="4"/>
  <c r="U279" i="4"/>
  <c r="U278" i="4"/>
  <c r="U274" i="4"/>
  <c r="U271" i="4"/>
  <c r="U270" i="4"/>
  <c r="U266" i="4"/>
  <c r="U265" i="4"/>
  <c r="U263" i="4"/>
  <c r="U262" i="4"/>
  <c r="U261" i="4"/>
  <c r="U260" i="4"/>
  <c r="U259" i="4"/>
  <c r="U258" i="4"/>
  <c r="U257" i="4"/>
  <c r="U256" i="4"/>
  <c r="U255" i="4"/>
  <c r="U254" i="4"/>
  <c r="U253" i="4"/>
  <c r="U252" i="4"/>
  <c r="T251" i="4"/>
  <c r="S251" i="4"/>
  <c r="R251" i="4"/>
  <c r="Q251" i="4"/>
  <c r="U250" i="4"/>
  <c r="U248" i="4"/>
  <c r="U247" i="4"/>
  <c r="U246" i="4"/>
  <c r="U244" i="4"/>
  <c r="U243" i="4"/>
  <c r="U242" i="4"/>
  <c r="U240" i="4"/>
  <c r="U237" i="4"/>
  <c r="U235" i="4"/>
  <c r="U234" i="4"/>
  <c r="U231" i="4"/>
  <c r="U230" i="4"/>
  <c r="U229" i="4"/>
  <c r="U228" i="4"/>
  <c r="T226" i="4"/>
  <c r="T227" i="4" s="1"/>
  <c r="S226" i="4"/>
  <c r="S227" i="4" s="1"/>
  <c r="R226" i="4"/>
  <c r="R227" i="4" s="1"/>
  <c r="Q226" i="4"/>
  <c r="Q227" i="4" s="1"/>
  <c r="U225" i="4"/>
  <c r="U224" i="4"/>
  <c r="U223" i="4"/>
  <c r="U222" i="4"/>
  <c r="U221" i="4"/>
  <c r="U220" i="4"/>
  <c r="U219" i="4"/>
  <c r="U218" i="4"/>
  <c r="U214" i="4"/>
  <c r="U213" i="4"/>
  <c r="U210" i="4"/>
  <c r="U209" i="4"/>
  <c r="U208" i="4"/>
  <c r="U207" i="4"/>
  <c r="U206" i="4"/>
  <c r="U205" i="4"/>
  <c r="U204" i="4"/>
  <c r="U203" i="4"/>
  <c r="U202" i="4"/>
  <c r="U201" i="4"/>
  <c r="U200" i="4"/>
  <c r="U198" i="4"/>
  <c r="U197" i="4"/>
  <c r="U196" i="4"/>
  <c r="U195" i="4"/>
  <c r="U184" i="4"/>
  <c r="U183" i="4"/>
  <c r="U182" i="4"/>
  <c r="U181" i="4"/>
  <c r="U174" i="4"/>
  <c r="U173" i="4"/>
  <c r="U172" i="4"/>
  <c r="U163" i="4"/>
  <c r="U162" i="4"/>
  <c r="U161" i="4"/>
  <c r="U160" i="4"/>
  <c r="U159" i="4"/>
  <c r="U158" i="4"/>
  <c r="U157" i="4"/>
  <c r="U156" i="4"/>
  <c r="U153" i="4"/>
  <c r="U152" i="4"/>
  <c r="U151" i="4"/>
  <c r="U150" i="4"/>
  <c r="U145" i="4"/>
  <c r="U144" i="4"/>
  <c r="U138" i="4"/>
  <c r="U137" i="4"/>
  <c r="U136" i="4"/>
  <c r="U135" i="4"/>
  <c r="U134" i="4"/>
  <c r="T131" i="4"/>
  <c r="S131" i="4"/>
  <c r="R131" i="4"/>
  <c r="Q131" i="4"/>
  <c r="U130" i="4"/>
  <c r="U129" i="4"/>
  <c r="U128" i="4"/>
  <c r="U127" i="4"/>
  <c r="U126" i="4"/>
  <c r="U125" i="4"/>
  <c r="U124" i="4"/>
  <c r="U123" i="4"/>
  <c r="U122" i="4"/>
  <c r="U121" i="4"/>
  <c r="T120" i="4"/>
  <c r="S120" i="4"/>
  <c r="R120" i="4"/>
  <c r="Q120" i="4"/>
  <c r="U119" i="4"/>
  <c r="U118" i="4"/>
  <c r="U117" i="4"/>
  <c r="U116" i="4"/>
  <c r="U115" i="4"/>
  <c r="U114" i="4"/>
  <c r="U113" i="4"/>
  <c r="U112" i="4"/>
  <c r="T111" i="4"/>
  <c r="S111" i="4"/>
  <c r="R111" i="4"/>
  <c r="Q111" i="4"/>
  <c r="U110" i="4"/>
  <c r="U109" i="4"/>
  <c r="U108" i="4"/>
  <c r="U107" i="4"/>
  <c r="U106" i="4"/>
  <c r="U105" i="4"/>
  <c r="U104" i="4"/>
  <c r="U103" i="4"/>
  <c r="T100" i="4"/>
  <c r="S100" i="4"/>
  <c r="R100" i="4"/>
  <c r="Q100" i="4"/>
  <c r="U99" i="4"/>
  <c r="U98" i="4"/>
  <c r="U97" i="4"/>
  <c r="U96" i="4"/>
  <c r="U92" i="4"/>
  <c r="U91" i="4"/>
  <c r="U90" i="4"/>
  <c r="T89" i="4"/>
  <c r="S89" i="4"/>
  <c r="R89" i="4"/>
  <c r="Q89" i="4"/>
  <c r="U88" i="4"/>
  <c r="U87" i="4"/>
  <c r="U82" i="4"/>
  <c r="U81" i="4"/>
  <c r="T80" i="4"/>
  <c r="S80" i="4"/>
  <c r="R80" i="4"/>
  <c r="Q80" i="4"/>
  <c r="U79" i="4"/>
  <c r="U78" i="4"/>
  <c r="U77" i="4"/>
  <c r="U76" i="4"/>
  <c r="T75" i="4"/>
  <c r="S75" i="4"/>
  <c r="R75" i="4"/>
  <c r="Q75" i="4"/>
  <c r="U74" i="4"/>
  <c r="U73" i="4"/>
  <c r="U72" i="4"/>
  <c r="U71" i="4"/>
  <c r="T70" i="4"/>
  <c r="S70" i="4"/>
  <c r="R70" i="4"/>
  <c r="Q70" i="4"/>
  <c r="U65" i="4"/>
  <c r="U64" i="4"/>
  <c r="U63" i="4"/>
  <c r="U62" i="4"/>
  <c r="T61" i="4"/>
  <c r="S61" i="4"/>
  <c r="R61" i="4"/>
  <c r="Q61" i="4"/>
  <c r="U60" i="4"/>
  <c r="U59" i="4"/>
  <c r="U58" i="4"/>
  <c r="U57" i="4"/>
  <c r="T56" i="4"/>
  <c r="S56" i="4"/>
  <c r="R56" i="4"/>
  <c r="Q56" i="4"/>
  <c r="U55" i="4"/>
  <c r="U54" i="4"/>
  <c r="U53" i="4"/>
  <c r="U52" i="4"/>
  <c r="U47" i="4"/>
  <c r="U46" i="4"/>
  <c r="U45" i="4"/>
  <c r="U44" i="4"/>
  <c r="T43" i="4"/>
  <c r="S43" i="4"/>
  <c r="R43" i="4"/>
  <c r="Q43" i="4"/>
  <c r="U30" i="4"/>
  <c r="U29" i="4"/>
  <c r="U28" i="4"/>
  <c r="U27" i="4"/>
  <c r="U26" i="4"/>
  <c r="U25" i="4"/>
  <c r="U24" i="4"/>
  <c r="U23" i="4"/>
  <c r="T22" i="4"/>
  <c r="S22" i="4"/>
  <c r="R22" i="4"/>
  <c r="Q22" i="4"/>
  <c r="U21" i="4"/>
  <c r="U20" i="4"/>
  <c r="U19" i="4"/>
  <c r="U18" i="4"/>
  <c r="U13" i="4"/>
  <c r="U12" i="4"/>
  <c r="U11" i="4"/>
  <c r="U10" i="4"/>
  <c r="U9" i="4"/>
  <c r="T8" i="4"/>
  <c r="S8" i="4"/>
  <c r="R8" i="4"/>
  <c r="Q8" i="4"/>
  <c r="U7" i="4"/>
  <c r="U6" i="4"/>
  <c r="O434" i="4"/>
  <c r="N434" i="4"/>
  <c r="M434" i="4"/>
  <c r="L434" i="4"/>
  <c r="P433" i="4"/>
  <c r="O432" i="4"/>
  <c r="N432" i="4"/>
  <c r="M432" i="4"/>
  <c r="L432" i="4"/>
  <c r="P431" i="4"/>
  <c r="P430" i="4"/>
  <c r="O428" i="4"/>
  <c r="N428" i="4"/>
  <c r="M428" i="4"/>
  <c r="L428" i="4"/>
  <c r="P427" i="4"/>
  <c r="P426" i="4"/>
  <c r="P421" i="4"/>
  <c r="P402" i="4"/>
  <c r="P398" i="4"/>
  <c r="P397" i="4"/>
  <c r="P396" i="4"/>
  <c r="P395" i="4"/>
  <c r="P394" i="4"/>
  <c r="P393" i="4"/>
  <c r="P392" i="4"/>
  <c r="P391" i="4"/>
  <c r="P390" i="4"/>
  <c r="O389" i="4"/>
  <c r="N389" i="4"/>
  <c r="M389" i="4"/>
  <c r="L389" i="4"/>
  <c r="P372" i="4"/>
  <c r="P367" i="4"/>
  <c r="P363" i="4"/>
  <c r="P362" i="4"/>
  <c r="P361" i="4"/>
  <c r="P360" i="4"/>
  <c r="P359" i="4"/>
  <c r="P358" i="4"/>
  <c r="P357" i="4"/>
  <c r="P356" i="4"/>
  <c r="P355" i="4"/>
  <c r="P354" i="4"/>
  <c r="P350" i="4"/>
  <c r="O348" i="4"/>
  <c r="N348" i="4"/>
  <c r="M348" i="4"/>
  <c r="L348" i="4"/>
  <c r="P347" i="4"/>
  <c r="P345" i="4"/>
  <c r="P342" i="4"/>
  <c r="P341" i="4"/>
  <c r="O340" i="4"/>
  <c r="N340" i="4"/>
  <c r="M340" i="4"/>
  <c r="L340" i="4"/>
  <c r="P339" i="4"/>
  <c r="P338" i="4"/>
  <c r="P336" i="4"/>
  <c r="P335" i="4"/>
  <c r="P334" i="4"/>
  <c r="P333" i="4"/>
  <c r="P332" i="4"/>
  <c r="P331" i="4"/>
  <c r="P330" i="4"/>
  <c r="P328" i="4"/>
  <c r="P327" i="4"/>
  <c r="O326" i="4"/>
  <c r="N326" i="4"/>
  <c r="M326" i="4"/>
  <c r="L326" i="4"/>
  <c r="P325" i="4"/>
  <c r="P322" i="4"/>
  <c r="P321" i="4"/>
  <c r="P320" i="4"/>
  <c r="P319" i="4"/>
  <c r="P318" i="4"/>
  <c r="P316" i="4"/>
  <c r="O315" i="4"/>
  <c r="N315" i="4"/>
  <c r="M315" i="4"/>
  <c r="L315" i="4"/>
  <c r="P314" i="4"/>
  <c r="P313" i="4"/>
  <c r="P312" i="4"/>
  <c r="P311" i="4"/>
  <c r="P310" i="4"/>
  <c r="P309" i="4"/>
  <c r="P308" i="4"/>
  <c r="P306" i="4"/>
  <c r="P305" i="4"/>
  <c r="P303" i="4"/>
  <c r="P302" i="4"/>
  <c r="P301" i="4"/>
  <c r="O300" i="4"/>
  <c r="N300" i="4"/>
  <c r="M300" i="4"/>
  <c r="L300" i="4"/>
  <c r="P299" i="4"/>
  <c r="P298" i="4"/>
  <c r="P296" i="4"/>
  <c r="P295" i="4"/>
  <c r="O293" i="4"/>
  <c r="N293" i="4"/>
  <c r="M293" i="4"/>
  <c r="L293" i="4"/>
  <c r="P292" i="4"/>
  <c r="P291" i="4"/>
  <c r="P290" i="4"/>
  <c r="P289" i="4"/>
  <c r="P288" i="4"/>
  <c r="P286" i="4"/>
  <c r="P285" i="4"/>
  <c r="P284" i="4"/>
  <c r="P283" i="4"/>
  <c r="P282" i="4"/>
  <c r="P281" i="4"/>
  <c r="P280" i="4"/>
  <c r="P279" i="4"/>
  <c r="P278" i="4"/>
  <c r="P274" i="4"/>
  <c r="P271" i="4"/>
  <c r="P270" i="4"/>
  <c r="P266" i="4"/>
  <c r="P265" i="4"/>
  <c r="P262" i="4"/>
  <c r="P261" i="4"/>
  <c r="P260" i="4"/>
  <c r="P259" i="4"/>
  <c r="P258" i="4"/>
  <c r="P257" i="4"/>
  <c r="P256" i="4"/>
  <c r="P255" i="4"/>
  <c r="P254" i="4"/>
  <c r="P253" i="4"/>
  <c r="P252" i="4"/>
  <c r="O251" i="4"/>
  <c r="N251" i="4"/>
  <c r="M251" i="4"/>
  <c r="L251" i="4"/>
  <c r="P250" i="4"/>
  <c r="P248" i="4"/>
  <c r="P247" i="4"/>
  <c r="P246" i="4"/>
  <c r="P244" i="4"/>
  <c r="P243" i="4"/>
  <c r="P242" i="4"/>
  <c r="P240" i="4"/>
  <c r="P237" i="4"/>
  <c r="P235" i="4"/>
  <c r="P234" i="4"/>
  <c r="P231" i="4"/>
  <c r="P230" i="4"/>
  <c r="P229" i="4"/>
  <c r="P228" i="4"/>
  <c r="O226" i="4"/>
  <c r="O227" i="4" s="1"/>
  <c r="N226" i="4"/>
  <c r="N227" i="4" s="1"/>
  <c r="M226" i="4"/>
  <c r="M227" i="4" s="1"/>
  <c r="L226" i="4"/>
  <c r="L227" i="4" s="1"/>
  <c r="P225" i="4"/>
  <c r="P224" i="4"/>
  <c r="P223" i="4"/>
  <c r="P222" i="4"/>
  <c r="P221" i="4"/>
  <c r="P220" i="4"/>
  <c r="P219" i="4"/>
  <c r="P218" i="4"/>
  <c r="P214" i="4"/>
  <c r="P213" i="4"/>
  <c r="P210" i="4"/>
  <c r="P209" i="4"/>
  <c r="P208" i="4"/>
  <c r="P207" i="4"/>
  <c r="P206" i="4"/>
  <c r="P205" i="4"/>
  <c r="P204" i="4"/>
  <c r="P203" i="4"/>
  <c r="P202" i="4"/>
  <c r="P201" i="4"/>
  <c r="P200" i="4"/>
  <c r="P198" i="4"/>
  <c r="P197" i="4"/>
  <c r="P196" i="4"/>
  <c r="P195" i="4"/>
  <c r="P184" i="4"/>
  <c r="P183" i="4"/>
  <c r="P182" i="4"/>
  <c r="P181" i="4"/>
  <c r="P174" i="4"/>
  <c r="P173" i="4"/>
  <c r="P172" i="4"/>
  <c r="P163" i="4"/>
  <c r="P162" i="4"/>
  <c r="P161" i="4"/>
  <c r="P160" i="4"/>
  <c r="P159" i="4"/>
  <c r="P158" i="4"/>
  <c r="P157" i="4"/>
  <c r="P156" i="4"/>
  <c r="P153" i="4"/>
  <c r="P152" i="4"/>
  <c r="P151" i="4"/>
  <c r="P150" i="4"/>
  <c r="P145" i="4"/>
  <c r="P144" i="4"/>
  <c r="P138" i="4"/>
  <c r="P137" i="4"/>
  <c r="P136" i="4"/>
  <c r="P135" i="4"/>
  <c r="P134" i="4"/>
  <c r="O131" i="4"/>
  <c r="N131" i="4"/>
  <c r="M131" i="4"/>
  <c r="L131" i="4"/>
  <c r="P130" i="4"/>
  <c r="P129" i="4"/>
  <c r="P128" i="4"/>
  <c r="P127" i="4"/>
  <c r="P126" i="4"/>
  <c r="P125" i="4"/>
  <c r="P124" i="4"/>
  <c r="P123" i="4"/>
  <c r="P122" i="4"/>
  <c r="P121" i="4"/>
  <c r="O120" i="4"/>
  <c r="N120" i="4"/>
  <c r="M120" i="4"/>
  <c r="L120" i="4"/>
  <c r="P119" i="4"/>
  <c r="P118" i="4"/>
  <c r="P117" i="4"/>
  <c r="P116" i="4"/>
  <c r="P115" i="4"/>
  <c r="P114" i="4"/>
  <c r="P113" i="4"/>
  <c r="P112" i="4"/>
  <c r="O111" i="4"/>
  <c r="N111" i="4"/>
  <c r="M111" i="4"/>
  <c r="L111" i="4"/>
  <c r="P110" i="4"/>
  <c r="P109" i="4"/>
  <c r="P108" i="4"/>
  <c r="P107" i="4"/>
  <c r="P106" i="4"/>
  <c r="P105" i="4"/>
  <c r="P104" i="4"/>
  <c r="P103" i="4"/>
  <c r="O100" i="4"/>
  <c r="N100" i="4"/>
  <c r="M100" i="4"/>
  <c r="L100" i="4"/>
  <c r="P99" i="4"/>
  <c r="P98" i="4"/>
  <c r="P97" i="4"/>
  <c r="P96" i="4"/>
  <c r="P92" i="4"/>
  <c r="P91" i="4"/>
  <c r="P90" i="4"/>
  <c r="O89" i="4"/>
  <c r="N89" i="4"/>
  <c r="M89" i="4"/>
  <c r="L89" i="4"/>
  <c r="P88" i="4"/>
  <c r="P87" i="4"/>
  <c r="P82" i="4"/>
  <c r="P81" i="4"/>
  <c r="O80" i="4"/>
  <c r="N80" i="4"/>
  <c r="M80" i="4"/>
  <c r="L80" i="4"/>
  <c r="P79" i="4"/>
  <c r="P78" i="4"/>
  <c r="P77" i="4"/>
  <c r="P76" i="4"/>
  <c r="O75" i="4"/>
  <c r="N75" i="4"/>
  <c r="M75" i="4"/>
  <c r="L75" i="4"/>
  <c r="P74" i="4"/>
  <c r="P73" i="4"/>
  <c r="P72" i="4"/>
  <c r="P71" i="4"/>
  <c r="O70" i="4"/>
  <c r="N70" i="4"/>
  <c r="M70" i="4"/>
  <c r="L70" i="4"/>
  <c r="P65" i="4"/>
  <c r="P64" i="4"/>
  <c r="P63" i="4"/>
  <c r="P62" i="4"/>
  <c r="O61" i="4"/>
  <c r="N61" i="4"/>
  <c r="M61" i="4"/>
  <c r="L61" i="4"/>
  <c r="P60" i="4"/>
  <c r="P59" i="4"/>
  <c r="P58" i="4"/>
  <c r="P57" i="4"/>
  <c r="O56" i="4"/>
  <c r="N56" i="4"/>
  <c r="M56" i="4"/>
  <c r="L56" i="4"/>
  <c r="P55" i="4"/>
  <c r="P54" i="4"/>
  <c r="P53" i="4"/>
  <c r="P52" i="4"/>
  <c r="P47" i="4"/>
  <c r="P46" i="4"/>
  <c r="P45" i="4"/>
  <c r="P44" i="4"/>
  <c r="O43" i="4"/>
  <c r="N43" i="4"/>
  <c r="M43" i="4"/>
  <c r="L43" i="4"/>
  <c r="P30" i="4"/>
  <c r="P29" i="4"/>
  <c r="P28" i="4"/>
  <c r="P27" i="4"/>
  <c r="P26" i="4"/>
  <c r="P25" i="4"/>
  <c r="P24" i="4"/>
  <c r="P23" i="4"/>
  <c r="O22" i="4"/>
  <c r="N22" i="4"/>
  <c r="M22" i="4"/>
  <c r="L22" i="4"/>
  <c r="P21" i="4"/>
  <c r="P20" i="4"/>
  <c r="P19" i="4"/>
  <c r="P18" i="4"/>
  <c r="P13" i="4"/>
  <c r="P12" i="4"/>
  <c r="P11" i="4"/>
  <c r="P10" i="4"/>
  <c r="P9" i="4"/>
  <c r="O8" i="4"/>
  <c r="N8" i="4"/>
  <c r="M8" i="4"/>
  <c r="L8" i="4"/>
  <c r="P7" i="4"/>
  <c r="P6" i="4"/>
  <c r="BC132" i="4" l="1"/>
  <c r="BC133" i="4" s="1"/>
  <c r="AI132" i="4"/>
  <c r="AI133" i="4" s="1"/>
  <c r="W132" i="4"/>
  <c r="W133" i="4" s="1"/>
  <c r="AM132" i="4"/>
  <c r="AM133" i="4" s="1"/>
  <c r="BA132" i="4"/>
  <c r="BA133" i="4" s="1"/>
  <c r="X132" i="4"/>
  <c r="X133" i="4" s="1"/>
  <c r="AL132" i="4"/>
  <c r="AL133" i="4" s="1"/>
  <c r="AR132" i="4"/>
  <c r="AR133" i="4" s="1"/>
  <c r="AH132" i="4"/>
  <c r="AH133" i="4" s="1"/>
  <c r="AN132" i="4"/>
  <c r="AN133" i="4" s="1"/>
  <c r="BB132" i="4"/>
  <c r="BB133" i="4" s="1"/>
  <c r="Y132" i="4"/>
  <c r="Y133" i="4" s="1"/>
  <c r="AG132" i="4"/>
  <c r="AG133" i="4" s="1"/>
  <c r="AS132" i="4"/>
  <c r="AS133" i="4" s="1"/>
  <c r="BI111" i="4"/>
  <c r="P432" i="4"/>
  <c r="U43" i="4"/>
  <c r="U61" i="4"/>
  <c r="AE111" i="4"/>
  <c r="AO111" i="4"/>
  <c r="T101" i="4"/>
  <c r="T102" i="4" s="1"/>
  <c r="U56" i="4"/>
  <c r="R101" i="4"/>
  <c r="R102" i="4" s="1"/>
  <c r="W429" i="4"/>
  <c r="W435" i="4" s="1"/>
  <c r="Y429" i="4"/>
  <c r="Y435" i="4" s="1"/>
  <c r="Z428" i="4"/>
  <c r="Z432" i="4"/>
  <c r="AB101" i="4"/>
  <c r="AB102" i="4" s="1"/>
  <c r="AD101" i="4"/>
  <c r="AD102" i="4" s="1"/>
  <c r="AE43" i="4"/>
  <c r="AE56" i="4"/>
  <c r="AE100" i="4"/>
  <c r="AG429" i="4"/>
  <c r="AG435" i="4" s="1"/>
  <c r="AI429" i="4"/>
  <c r="AI435" i="4" s="1"/>
  <c r="AJ428" i="4"/>
  <c r="AL101" i="4"/>
  <c r="AL102" i="4" s="1"/>
  <c r="AN101" i="4"/>
  <c r="AN102" i="4" s="1"/>
  <c r="AO43" i="4"/>
  <c r="AO56" i="4"/>
  <c r="AO61" i="4"/>
  <c r="AO100" i="4"/>
  <c r="BA429" i="4"/>
  <c r="BA435" i="4" s="1"/>
  <c r="BC429" i="4"/>
  <c r="BC435" i="4" s="1"/>
  <c r="BD428" i="4"/>
  <c r="BD432" i="4"/>
  <c r="BF101" i="4"/>
  <c r="BF102" i="4" s="1"/>
  <c r="BI43" i="4"/>
  <c r="BI100" i="4"/>
  <c r="BN432" i="4"/>
  <c r="Z111" i="4"/>
  <c r="Z120" i="4"/>
  <c r="Z131" i="4"/>
  <c r="AY432" i="4"/>
  <c r="BA101" i="4"/>
  <c r="BA102" i="4" s="1"/>
  <c r="BC101" i="4"/>
  <c r="BC102" i="4" s="1"/>
  <c r="BC294" i="4" s="1"/>
  <c r="BI432" i="4"/>
  <c r="BK101" i="4"/>
  <c r="BK102" i="4" s="1"/>
  <c r="BM101" i="4"/>
  <c r="BM102" i="4" s="1"/>
  <c r="BN43" i="4"/>
  <c r="BN56" i="4"/>
  <c r="BN100" i="4"/>
  <c r="BN111" i="4"/>
  <c r="P326" i="4"/>
  <c r="W349" i="4"/>
  <c r="Y349" i="4"/>
  <c r="AG349" i="4"/>
  <c r="AI349" i="4"/>
  <c r="BA349" i="4"/>
  <c r="BC349" i="4"/>
  <c r="BD326" i="4"/>
  <c r="BI326" i="4"/>
  <c r="BI56" i="4"/>
  <c r="BN326" i="4"/>
  <c r="AG101" i="4"/>
  <c r="AG102" i="4" s="1"/>
  <c r="AI101" i="4"/>
  <c r="AI102" i="4" s="1"/>
  <c r="AI294" i="4" s="1"/>
  <c r="AJ56" i="4"/>
  <c r="AJ61" i="4"/>
  <c r="AJ100" i="4"/>
  <c r="AJ111" i="4"/>
  <c r="AJ120" i="4"/>
  <c r="AJ131" i="4"/>
  <c r="AY326" i="4"/>
  <c r="AJ432" i="4"/>
  <c r="AJ43" i="4"/>
  <c r="AQ429" i="4"/>
  <c r="AQ435" i="4" s="1"/>
  <c r="AS429" i="4"/>
  <c r="AS435" i="4" s="1"/>
  <c r="AT428" i="4"/>
  <c r="AT432" i="4"/>
  <c r="AV101" i="4"/>
  <c r="AV102" i="4" s="1"/>
  <c r="AX101" i="4"/>
  <c r="AX102" i="4" s="1"/>
  <c r="AY43" i="4"/>
  <c r="AY56" i="4"/>
  <c r="AY61" i="4"/>
  <c r="AY100" i="4"/>
  <c r="AY111" i="4"/>
  <c r="BD43" i="4"/>
  <c r="BD56" i="4"/>
  <c r="BD111" i="4"/>
  <c r="BD120" i="4"/>
  <c r="BD131" i="4"/>
  <c r="AB429" i="4"/>
  <c r="AB435" i="4" s="1"/>
  <c r="AD429" i="4"/>
  <c r="AD435" i="4" s="1"/>
  <c r="AE428" i="4"/>
  <c r="BD61" i="4"/>
  <c r="BD100" i="4"/>
  <c r="BH101" i="4"/>
  <c r="BH102" i="4" s="1"/>
  <c r="L101" i="4"/>
  <c r="L102" i="4" s="1"/>
  <c r="N101" i="4"/>
  <c r="N102" i="4" s="1"/>
  <c r="P70" i="4"/>
  <c r="P75" i="4"/>
  <c r="P80" i="4"/>
  <c r="P89" i="4"/>
  <c r="P227" i="4"/>
  <c r="N429" i="4"/>
  <c r="N435" i="4" s="1"/>
  <c r="U89" i="4"/>
  <c r="U293" i="4"/>
  <c r="Q349" i="4"/>
  <c r="S349" i="4"/>
  <c r="U348" i="4"/>
  <c r="U389" i="4"/>
  <c r="S429" i="4"/>
  <c r="S435" i="4" s="1"/>
  <c r="V101" i="4"/>
  <c r="V102" i="4" s="1"/>
  <c r="X101" i="4"/>
  <c r="X102" i="4" s="1"/>
  <c r="Z70" i="4"/>
  <c r="Z75" i="4"/>
  <c r="Z80" i="4"/>
  <c r="Z89" i="4"/>
  <c r="V349" i="4"/>
  <c r="X349" i="4"/>
  <c r="Z340" i="4"/>
  <c r="Z389" i="4"/>
  <c r="X429" i="4"/>
  <c r="X435" i="4" s="1"/>
  <c r="Z434" i="4"/>
  <c r="AA101" i="4"/>
  <c r="AA102" i="4" s="1"/>
  <c r="AC101" i="4"/>
  <c r="AC102" i="4" s="1"/>
  <c r="AE70" i="4"/>
  <c r="AE75" i="4"/>
  <c r="AE80" i="4"/>
  <c r="AE89" i="4"/>
  <c r="AE226" i="4"/>
  <c r="AE251" i="4"/>
  <c r="AE293" i="4"/>
  <c r="AA349" i="4"/>
  <c r="AC349" i="4"/>
  <c r="AE315" i="4"/>
  <c r="AE340" i="4"/>
  <c r="AE348" i="4"/>
  <c r="AE389" i="4"/>
  <c r="AC429" i="4"/>
  <c r="AC435" i="4" s="1"/>
  <c r="AE434" i="4"/>
  <c r="AF101" i="4"/>
  <c r="AF102" i="4" s="1"/>
  <c r="AH101" i="4"/>
  <c r="AH102" i="4" s="1"/>
  <c r="AJ70" i="4"/>
  <c r="AJ75" i="4"/>
  <c r="AJ226" i="4"/>
  <c r="AJ251" i="4"/>
  <c r="AJ293" i="4"/>
  <c r="AF349" i="4"/>
  <c r="AH349" i="4"/>
  <c r="AJ315" i="4"/>
  <c r="AJ340" i="4"/>
  <c r="AJ348" i="4"/>
  <c r="AJ389" i="4"/>
  <c r="AH429" i="4"/>
  <c r="AH435" i="4" s="1"/>
  <c r="AJ434" i="4"/>
  <c r="AK101" i="4"/>
  <c r="AK102" i="4" s="1"/>
  <c r="AM101" i="4"/>
  <c r="AM102" i="4" s="1"/>
  <c r="AO75" i="4"/>
  <c r="AO80" i="4"/>
  <c r="AO89" i="4"/>
  <c r="AO226" i="4"/>
  <c r="AO251" i="4"/>
  <c r="AO293" i="4"/>
  <c r="AK349" i="4"/>
  <c r="AM349" i="4"/>
  <c r="AO315" i="4"/>
  <c r="AO340" i="4"/>
  <c r="AO348" i="4"/>
  <c r="AO389" i="4"/>
  <c r="AM429" i="4"/>
  <c r="AM435" i="4" s="1"/>
  <c r="AO434" i="4"/>
  <c r="AP101" i="4"/>
  <c r="AP102" i="4" s="1"/>
  <c r="AR101" i="4"/>
  <c r="AR102" i="4" s="1"/>
  <c r="AT70" i="4"/>
  <c r="AT75" i="4"/>
  <c r="AT80" i="4"/>
  <c r="AT89" i="4"/>
  <c r="AT226" i="4"/>
  <c r="AT251" i="4"/>
  <c r="AT293" i="4"/>
  <c r="AP349" i="4"/>
  <c r="AR349" i="4"/>
  <c r="AT315" i="4"/>
  <c r="AT340" i="4"/>
  <c r="AT348" i="4"/>
  <c r="AR429" i="4"/>
  <c r="AR435" i="4" s="1"/>
  <c r="AT434" i="4"/>
  <c r="AU101" i="4"/>
  <c r="AU102" i="4" s="1"/>
  <c r="AW101" i="4"/>
  <c r="AW102" i="4" s="1"/>
  <c r="AY70" i="4"/>
  <c r="AY75" i="4"/>
  <c r="AY80" i="4"/>
  <c r="AY89" i="4"/>
  <c r="AY227" i="4"/>
  <c r="AY293" i="4"/>
  <c r="AU349" i="4"/>
  <c r="AW349" i="4"/>
  <c r="AY348" i="4"/>
  <c r="AY389" i="4"/>
  <c r="AW429" i="4"/>
  <c r="AW435" i="4" s="1"/>
  <c r="AZ101" i="4"/>
  <c r="AZ102" i="4" s="1"/>
  <c r="BB101" i="4"/>
  <c r="BB102" i="4" s="1"/>
  <c r="BD70" i="4"/>
  <c r="BD75" i="4"/>
  <c r="BD80" i="4"/>
  <c r="BD226" i="4"/>
  <c r="BD251" i="4"/>
  <c r="BD293" i="4"/>
  <c r="AZ349" i="4"/>
  <c r="BB349" i="4"/>
  <c r="BI227" i="4"/>
  <c r="BI293" i="4"/>
  <c r="BE349" i="4"/>
  <c r="BG349" i="4"/>
  <c r="BI348" i="4"/>
  <c r="BI389" i="4"/>
  <c r="BG429" i="4"/>
  <c r="BG435" i="4" s="1"/>
  <c r="BJ101" i="4"/>
  <c r="BJ102" i="4" s="1"/>
  <c r="BL101" i="4"/>
  <c r="BL102" i="4" s="1"/>
  <c r="BN70" i="4"/>
  <c r="BN75" i="4"/>
  <c r="BN80" i="4"/>
  <c r="BN89" i="4"/>
  <c r="BN227" i="4"/>
  <c r="BN293" i="4"/>
  <c r="BJ349" i="4"/>
  <c r="BL349" i="4"/>
  <c r="BN348" i="4"/>
  <c r="BN389" i="4"/>
  <c r="BL429" i="4"/>
  <c r="BL435" i="4" s="1"/>
  <c r="L429" i="4"/>
  <c r="L435" i="4" s="1"/>
  <c r="AE61" i="4"/>
  <c r="AJ80" i="4"/>
  <c r="BD89" i="4"/>
  <c r="U227" i="4"/>
  <c r="BD315" i="4"/>
  <c r="BD340" i="4"/>
  <c r="BD348" i="4"/>
  <c r="BD389" i="4"/>
  <c r="BB429" i="4"/>
  <c r="BB435" i="4" s="1"/>
  <c r="BD434" i="4"/>
  <c r="BE101" i="4"/>
  <c r="BE102" i="4" s="1"/>
  <c r="BG101" i="4"/>
  <c r="BG102" i="4" s="1"/>
  <c r="BI70" i="4"/>
  <c r="BI75" i="4"/>
  <c r="BI80" i="4"/>
  <c r="BI89" i="4"/>
  <c r="BN61" i="4"/>
  <c r="M101" i="4"/>
  <c r="M102" i="4" s="1"/>
  <c r="O101" i="4"/>
  <c r="O102" i="4" s="1"/>
  <c r="P43" i="4"/>
  <c r="P56" i="4"/>
  <c r="P61" i="4"/>
  <c r="P100" i="4"/>
  <c r="P111" i="4"/>
  <c r="L132" i="4"/>
  <c r="L133" i="4" s="1"/>
  <c r="N132" i="4"/>
  <c r="N133" i="4" s="1"/>
  <c r="P293" i="4"/>
  <c r="L349" i="4"/>
  <c r="N349" i="4"/>
  <c r="P348" i="4"/>
  <c r="P389" i="4"/>
  <c r="Q101" i="4"/>
  <c r="Q102" i="4" s="1"/>
  <c r="S101" i="4"/>
  <c r="S102" i="4" s="1"/>
  <c r="U70" i="4"/>
  <c r="U75" i="4"/>
  <c r="U80" i="4"/>
  <c r="R349" i="4"/>
  <c r="T349" i="4"/>
  <c r="U326" i="4"/>
  <c r="Q429" i="4"/>
  <c r="Q435" i="4" s="1"/>
  <c r="U432" i="4"/>
  <c r="W101" i="4"/>
  <c r="W102" i="4" s="1"/>
  <c r="W294" i="4" s="1"/>
  <c r="Y101" i="4"/>
  <c r="Y102" i="4" s="1"/>
  <c r="Z43" i="4"/>
  <c r="Z56" i="4"/>
  <c r="Z61" i="4"/>
  <c r="Z100" i="4"/>
  <c r="M349" i="4"/>
  <c r="O349" i="4"/>
  <c r="U100" i="4"/>
  <c r="U111" i="4"/>
  <c r="Q132" i="4"/>
  <c r="Q133" i="4" s="1"/>
  <c r="S132" i="4"/>
  <c r="S133" i="4" s="1"/>
  <c r="Z226" i="4"/>
  <c r="Z251" i="4"/>
  <c r="Z293" i="4"/>
  <c r="Z315" i="4"/>
  <c r="Z348" i="4"/>
  <c r="AA227" i="4"/>
  <c r="AE227" i="4" s="1"/>
  <c r="AJ89" i="4"/>
  <c r="AO70" i="4"/>
  <c r="AO120" i="4"/>
  <c r="AO131" i="4"/>
  <c r="AL349" i="4"/>
  <c r="AN349" i="4"/>
  <c r="AO326" i="4"/>
  <c r="AL429" i="4"/>
  <c r="AL435" i="4" s="1"/>
  <c r="AN429" i="4"/>
  <c r="AN435" i="4" s="1"/>
  <c r="AO428" i="4"/>
  <c r="AO432" i="4"/>
  <c r="AQ101" i="4"/>
  <c r="AQ102" i="4" s="1"/>
  <c r="AQ294" i="4" s="1"/>
  <c r="AS101" i="4"/>
  <c r="AS102" i="4" s="1"/>
  <c r="AT43" i="4"/>
  <c r="AT56" i="4"/>
  <c r="AT61" i="4"/>
  <c r="AT100" i="4"/>
  <c r="Z326" i="4"/>
  <c r="AA132" i="4"/>
  <c r="AA133" i="4" s="1"/>
  <c r="AC132" i="4"/>
  <c r="AC133" i="4" s="1"/>
  <c r="AB349" i="4"/>
  <c r="AD349" i="4"/>
  <c r="AA429" i="4"/>
  <c r="AA435" i="4" s="1"/>
  <c r="AJ326" i="4"/>
  <c r="AT389" i="4"/>
  <c r="AV349" i="4"/>
  <c r="AX349" i="4"/>
  <c r="AU429" i="4"/>
  <c r="AU435" i="4" s="1"/>
  <c r="BI61" i="4"/>
  <c r="BE132" i="4"/>
  <c r="BE133" i="4" s="1"/>
  <c r="BG132" i="4"/>
  <c r="BG133" i="4" s="1"/>
  <c r="BK349" i="4"/>
  <c r="BM349" i="4"/>
  <c r="BJ429" i="4"/>
  <c r="BJ435" i="4" s="1"/>
  <c r="AT111" i="4"/>
  <c r="AT120" i="4"/>
  <c r="AT131" i="4"/>
  <c r="AQ349" i="4"/>
  <c r="AS349" i="4"/>
  <c r="AT326" i="4"/>
  <c r="AU132" i="4"/>
  <c r="AU133" i="4" s="1"/>
  <c r="AW132" i="4"/>
  <c r="AW133" i="4" s="1"/>
  <c r="BF349" i="4"/>
  <c r="BH349" i="4"/>
  <c r="BE429" i="4"/>
  <c r="BE435" i="4" s="1"/>
  <c r="BJ132" i="4"/>
  <c r="BJ133" i="4" s="1"/>
  <c r="BL132" i="4"/>
  <c r="BL133" i="4" s="1"/>
  <c r="BN22" i="4"/>
  <c r="BN120" i="4"/>
  <c r="BN300" i="4"/>
  <c r="BN8" i="4"/>
  <c r="BK132" i="4"/>
  <c r="BM132" i="4"/>
  <c r="BN131" i="4"/>
  <c r="BN226" i="4"/>
  <c r="BN251" i="4"/>
  <c r="BN315" i="4"/>
  <c r="BN340" i="4"/>
  <c r="BK429" i="4"/>
  <c r="BK435" i="4" s="1"/>
  <c r="BM429" i="4"/>
  <c r="BM435" i="4" s="1"/>
  <c r="BN428" i="4"/>
  <c r="BN434" i="4"/>
  <c r="BI22" i="4"/>
  <c r="BI120" i="4"/>
  <c r="BI300" i="4"/>
  <c r="BI8" i="4"/>
  <c r="BF132" i="4"/>
  <c r="BH132" i="4"/>
  <c r="BI131" i="4"/>
  <c r="BI226" i="4"/>
  <c r="BI251" i="4"/>
  <c r="BI315" i="4"/>
  <c r="BI340" i="4"/>
  <c r="BF429" i="4"/>
  <c r="BF435" i="4" s="1"/>
  <c r="BH429" i="4"/>
  <c r="BH435" i="4" s="1"/>
  <c r="BI428" i="4"/>
  <c r="BI434" i="4"/>
  <c r="BD22" i="4"/>
  <c r="BD8" i="4"/>
  <c r="AZ132" i="4"/>
  <c r="AZ133" i="4" s="1"/>
  <c r="AZ227" i="4"/>
  <c r="BD227" i="4" s="1"/>
  <c r="BD300" i="4"/>
  <c r="AZ429" i="4"/>
  <c r="AY22" i="4"/>
  <c r="AY120" i="4"/>
  <c r="AY300" i="4"/>
  <c r="AY8" i="4"/>
  <c r="AV132" i="4"/>
  <c r="AX132" i="4"/>
  <c r="AY131" i="4"/>
  <c r="AY226" i="4"/>
  <c r="AY251" i="4"/>
  <c r="AY315" i="4"/>
  <c r="AY340" i="4"/>
  <c r="AV429" i="4"/>
  <c r="AV435" i="4" s="1"/>
  <c r="AX429" i="4"/>
  <c r="AX435" i="4" s="1"/>
  <c r="AY428" i="4"/>
  <c r="AY434" i="4"/>
  <c r="AT22" i="4"/>
  <c r="AT8" i="4"/>
  <c r="AP132" i="4"/>
  <c r="AP133" i="4" s="1"/>
  <c r="AP227" i="4"/>
  <c r="AT227" i="4" s="1"/>
  <c r="AT300" i="4"/>
  <c r="AP429" i="4"/>
  <c r="AO22" i="4"/>
  <c r="AO8" i="4"/>
  <c r="AK132" i="4"/>
  <c r="AK133" i="4" s="1"/>
  <c r="AK227" i="4"/>
  <c r="AO227" i="4" s="1"/>
  <c r="AO300" i="4"/>
  <c r="AK429" i="4"/>
  <c r="AJ22" i="4"/>
  <c r="AJ8" i="4"/>
  <c r="AF132" i="4"/>
  <c r="AF133" i="4" s="1"/>
  <c r="AF227" i="4"/>
  <c r="AJ227" i="4" s="1"/>
  <c r="AJ300" i="4"/>
  <c r="AF429" i="4"/>
  <c r="AE22" i="4"/>
  <c r="AE120" i="4"/>
  <c r="AE300" i="4"/>
  <c r="AE326" i="4"/>
  <c r="AE432" i="4"/>
  <c r="AE8" i="4"/>
  <c r="AB132" i="4"/>
  <c r="AD132" i="4"/>
  <c r="AE131" i="4"/>
  <c r="Z22" i="4"/>
  <c r="Z8" i="4"/>
  <c r="V132" i="4"/>
  <c r="V133" i="4" s="1"/>
  <c r="V227" i="4"/>
  <c r="Z227" i="4" s="1"/>
  <c r="Z300" i="4"/>
  <c r="V429" i="4"/>
  <c r="U22" i="4"/>
  <c r="U120" i="4"/>
  <c r="U300" i="4"/>
  <c r="U8" i="4"/>
  <c r="R132" i="4"/>
  <c r="T132" i="4"/>
  <c r="U131" i="4"/>
  <c r="U226" i="4"/>
  <c r="U251" i="4"/>
  <c r="U315" i="4"/>
  <c r="U340" i="4"/>
  <c r="R429" i="4"/>
  <c r="R435" i="4" s="1"/>
  <c r="T429" i="4"/>
  <c r="T435" i="4" s="1"/>
  <c r="U428" i="4"/>
  <c r="U434" i="4"/>
  <c r="P22" i="4"/>
  <c r="P120" i="4"/>
  <c r="P300" i="4"/>
  <c r="P8" i="4"/>
  <c r="M132" i="4"/>
  <c r="O132" i="4"/>
  <c r="P131" i="4"/>
  <c r="P226" i="4"/>
  <c r="P251" i="4"/>
  <c r="P315" i="4"/>
  <c r="P340" i="4"/>
  <c r="M429" i="4"/>
  <c r="M435" i="4" s="1"/>
  <c r="O429" i="4"/>
  <c r="O435" i="4" s="1"/>
  <c r="P428" i="4"/>
  <c r="P434" i="4"/>
  <c r="BR426" i="4"/>
  <c r="BQ426" i="4"/>
  <c r="BP426" i="4"/>
  <c r="BO426" i="4"/>
  <c r="K426" i="4"/>
  <c r="BR225" i="4"/>
  <c r="BQ225" i="4"/>
  <c r="BP225" i="4"/>
  <c r="BO225" i="4"/>
  <c r="K225" i="4"/>
  <c r="BR97" i="4"/>
  <c r="BQ97" i="4"/>
  <c r="BP97" i="4"/>
  <c r="BO97" i="4"/>
  <c r="K97" i="4"/>
  <c r="BR98" i="4"/>
  <c r="BQ98" i="4"/>
  <c r="BP98" i="4"/>
  <c r="BO98" i="4"/>
  <c r="K98" i="4"/>
  <c r="BR96" i="4"/>
  <c r="BQ96" i="4"/>
  <c r="BP96" i="4"/>
  <c r="BO96" i="4"/>
  <c r="K96" i="4"/>
  <c r="AM294" i="4" l="1"/>
  <c r="AJ133" i="4"/>
  <c r="AG294" i="4"/>
  <c r="AS294" i="4"/>
  <c r="AS436" i="4" s="1"/>
  <c r="AO133" i="4"/>
  <c r="AT133" i="4"/>
  <c r="AH294" i="4"/>
  <c r="AH436" i="4" s="1"/>
  <c r="AR294" i="4"/>
  <c r="AR436" i="4" s="1"/>
  <c r="AN294" i="4"/>
  <c r="AN436" i="4" s="1"/>
  <c r="Z133" i="4"/>
  <c r="Y294" i="4"/>
  <c r="X294" i="4"/>
  <c r="X436" i="4" s="1"/>
  <c r="AL294" i="4"/>
  <c r="AL436" i="4" s="1"/>
  <c r="BA294" i="4"/>
  <c r="BA436" i="4" s="1"/>
  <c r="BD133" i="4"/>
  <c r="BB294" i="4"/>
  <c r="BB436" i="4" s="1"/>
  <c r="AT429" i="4"/>
  <c r="AJ102" i="4"/>
  <c r="AC294" i="4"/>
  <c r="AC436" i="4" s="1"/>
  <c r="AE101" i="4"/>
  <c r="AJ429" i="4"/>
  <c r="AE435" i="4"/>
  <c r="AM436" i="4"/>
  <c r="BG294" i="4"/>
  <c r="BG436" i="4" s="1"/>
  <c r="S294" i="4"/>
  <c r="S436" i="4" s="1"/>
  <c r="Z102" i="4"/>
  <c r="BI102" i="4"/>
  <c r="AT101" i="4"/>
  <c r="N294" i="4"/>
  <c r="N436" i="4" s="1"/>
  <c r="P101" i="4"/>
  <c r="U101" i="4"/>
  <c r="Z429" i="4"/>
  <c r="AI436" i="4"/>
  <c r="BD102" i="4"/>
  <c r="BN101" i="4"/>
  <c r="Y436" i="4"/>
  <c r="BD101" i="4"/>
  <c r="Z349" i="4"/>
  <c r="BD349" i="4"/>
  <c r="AO349" i="4"/>
  <c r="AJ101" i="4"/>
  <c r="AO102" i="4"/>
  <c r="AQ436" i="4"/>
  <c r="AY101" i="4"/>
  <c r="BC436" i="4"/>
  <c r="BL294" i="4"/>
  <c r="BL436" i="4" s="1"/>
  <c r="BI101" i="4"/>
  <c r="BN102" i="4"/>
  <c r="P349" i="4"/>
  <c r="AW294" i="4"/>
  <c r="AW436" i="4" s="1"/>
  <c r="U349" i="4"/>
  <c r="U102" i="4"/>
  <c r="Q294" i="4"/>
  <c r="Q436" i="4" s="1"/>
  <c r="P102" i="4"/>
  <c r="L294" i="4"/>
  <c r="L436" i="4" s="1"/>
  <c r="W436" i="4"/>
  <c r="Z101" i="4"/>
  <c r="AE429" i="4"/>
  <c r="AE102" i="4"/>
  <c r="AG436" i="4"/>
  <c r="AO429" i="4"/>
  <c r="AO101" i="4"/>
  <c r="AT102" i="4"/>
  <c r="AY102" i="4"/>
  <c r="BD429" i="4"/>
  <c r="AT349" i="4"/>
  <c r="M133" i="4"/>
  <c r="M294" i="4" s="1"/>
  <c r="M436" i="4" s="1"/>
  <c r="T133" i="4"/>
  <c r="T294" i="4" s="1"/>
  <c r="T436" i="4" s="1"/>
  <c r="AB133" i="4"/>
  <c r="AB294" i="4" s="1"/>
  <c r="AB436" i="4" s="1"/>
  <c r="AX133" i="4"/>
  <c r="AX294" i="4" s="1"/>
  <c r="AX436" i="4" s="1"/>
  <c r="BH133" i="4"/>
  <c r="BH294" i="4" s="1"/>
  <c r="BH436" i="4" s="1"/>
  <c r="BK133" i="4"/>
  <c r="BK294" i="4" s="1"/>
  <c r="BK436" i="4" s="1"/>
  <c r="BN349" i="4"/>
  <c r="O133" i="4"/>
  <c r="O294" i="4" s="1"/>
  <c r="U435" i="4"/>
  <c r="R133" i="4"/>
  <c r="R294" i="4" s="1"/>
  <c r="AD133" i="4"/>
  <c r="AD294" i="4" s="1"/>
  <c r="AV133" i="4"/>
  <c r="AV294" i="4" s="1"/>
  <c r="BF133" i="4"/>
  <c r="BF294" i="4" s="1"/>
  <c r="BM133" i="4"/>
  <c r="BI349" i="4"/>
  <c r="AY349" i="4"/>
  <c r="AE349" i="4"/>
  <c r="AJ349" i="4"/>
  <c r="P435" i="4"/>
  <c r="AA294" i="4"/>
  <c r="AA436" i="4" s="1"/>
  <c r="AY435" i="4"/>
  <c r="AU294" i="4"/>
  <c r="AU436" i="4" s="1"/>
  <c r="BI435" i="4"/>
  <c r="BE294" i="4"/>
  <c r="BE436" i="4" s="1"/>
  <c r="BN435" i="4"/>
  <c r="BJ294" i="4"/>
  <c r="BJ436" i="4" s="1"/>
  <c r="AY429" i="4"/>
  <c r="BI429" i="4"/>
  <c r="BN429" i="4"/>
  <c r="P429" i="4"/>
  <c r="U429" i="4"/>
  <c r="BN132" i="4"/>
  <c r="BI132" i="4"/>
  <c r="BD132" i="4"/>
  <c r="AZ435" i="4"/>
  <c r="BD435" i="4" s="1"/>
  <c r="AY132" i="4"/>
  <c r="AP435" i="4"/>
  <c r="AT435" i="4" s="1"/>
  <c r="AT132" i="4"/>
  <c r="AK435" i="4"/>
  <c r="AO435" i="4" s="1"/>
  <c r="AO132" i="4"/>
  <c r="AF435" i="4"/>
  <c r="AJ435" i="4" s="1"/>
  <c r="AJ132" i="4"/>
  <c r="AE132" i="4"/>
  <c r="V435" i="4"/>
  <c r="Z435" i="4" s="1"/>
  <c r="Z132" i="4"/>
  <c r="U132" i="4"/>
  <c r="P132" i="4"/>
  <c r="BS426" i="4"/>
  <c r="BS98" i="4"/>
  <c r="BS97" i="4"/>
  <c r="BS225" i="4"/>
  <c r="BS96" i="4"/>
  <c r="BN133" i="4" l="1"/>
  <c r="BI133" i="4"/>
  <c r="O436" i="4"/>
  <c r="P436" i="4" s="1"/>
  <c r="P294" i="4"/>
  <c r="P133" i="4"/>
  <c r="BF436" i="4"/>
  <c r="BI436" i="4" s="1"/>
  <c r="BI294" i="4"/>
  <c r="AD436" i="4"/>
  <c r="AE436" i="4" s="1"/>
  <c r="AE294" i="4"/>
  <c r="AV436" i="4"/>
  <c r="AY436" i="4" s="1"/>
  <c r="AY294" i="4"/>
  <c r="R436" i="4"/>
  <c r="U436" i="4" s="1"/>
  <c r="U294" i="4"/>
  <c r="U133" i="4"/>
  <c r="AE133" i="4"/>
  <c r="AY133" i="4"/>
  <c r="BM294" i="4"/>
  <c r="BM436" i="4" s="1"/>
  <c r="BN436" i="4" s="1"/>
  <c r="AZ294" i="4"/>
  <c r="AP294" i="4"/>
  <c r="AK294" i="4"/>
  <c r="AF294" i="4"/>
  <c r="V294" i="4"/>
  <c r="BR363" i="4"/>
  <c r="BQ363" i="4"/>
  <c r="BP363" i="4"/>
  <c r="BO363" i="4"/>
  <c r="K363" i="4"/>
  <c r="BR372" i="4"/>
  <c r="BQ372" i="4"/>
  <c r="BP372" i="4"/>
  <c r="BO372" i="4"/>
  <c r="K372" i="4"/>
  <c r="BR292" i="4"/>
  <c r="BQ292" i="4"/>
  <c r="BP292" i="4"/>
  <c r="BO292" i="4"/>
  <c r="K292" i="4"/>
  <c r="BN294" i="4" l="1"/>
  <c r="AZ436" i="4"/>
  <c r="BD436" i="4" s="1"/>
  <c r="BD294" i="4"/>
  <c r="AP436" i="4"/>
  <c r="AT436" i="4" s="1"/>
  <c r="AT294" i="4"/>
  <c r="AK436" i="4"/>
  <c r="AO436" i="4" s="1"/>
  <c r="AO294" i="4"/>
  <c r="AF436" i="4"/>
  <c r="AJ436" i="4" s="1"/>
  <c r="AJ294" i="4"/>
  <c r="V436" i="4"/>
  <c r="Z436" i="4" s="1"/>
  <c r="Z294" i="4"/>
  <c r="BS292" i="4"/>
  <c r="BS363" i="4"/>
  <c r="BS372" i="4"/>
  <c r="BR278" i="4"/>
  <c r="BQ278" i="4"/>
  <c r="BP278" i="4"/>
  <c r="BO278" i="4"/>
  <c r="K278" i="4"/>
  <c r="BS278" i="4" l="1"/>
  <c r="BR224" i="4" l="1"/>
  <c r="BQ224" i="4"/>
  <c r="BP224" i="4"/>
  <c r="BO224" i="4"/>
  <c r="K224" i="4"/>
  <c r="BS224" i="4" l="1"/>
  <c r="BR108" i="4" l="1"/>
  <c r="BQ108" i="4"/>
  <c r="BP108" i="4"/>
  <c r="BO108" i="4"/>
  <c r="K108" i="4"/>
  <c r="BR107" i="4"/>
  <c r="BQ107" i="4"/>
  <c r="BP107" i="4"/>
  <c r="BO107" i="4"/>
  <c r="K107" i="4"/>
  <c r="BR109" i="4"/>
  <c r="BQ109" i="4"/>
  <c r="BP109" i="4"/>
  <c r="BO109" i="4"/>
  <c r="K109" i="4"/>
  <c r="BR248" i="4"/>
  <c r="BQ248" i="4"/>
  <c r="BP248" i="4"/>
  <c r="BO248" i="4"/>
  <c r="K248" i="4"/>
  <c r="BR223" i="4"/>
  <c r="BQ223" i="4"/>
  <c r="BP223" i="4"/>
  <c r="BO223" i="4"/>
  <c r="K223" i="4"/>
  <c r="BR311" i="4"/>
  <c r="BQ311" i="4"/>
  <c r="BP311" i="4"/>
  <c r="BO311" i="4"/>
  <c r="K311" i="4"/>
  <c r="BR230" i="4"/>
  <c r="BQ230" i="4"/>
  <c r="BP230" i="4"/>
  <c r="BO230" i="4"/>
  <c r="K230" i="4"/>
  <c r="BR246" i="4"/>
  <c r="BQ246" i="4"/>
  <c r="BP246" i="4"/>
  <c r="BO246" i="4"/>
  <c r="K246" i="4"/>
  <c r="BS230" i="4" l="1"/>
  <c r="BS223" i="4"/>
  <c r="BS248" i="4"/>
  <c r="BS107" i="4"/>
  <c r="BS108" i="4"/>
  <c r="BS109" i="4"/>
  <c r="BS311" i="4"/>
  <c r="BS246" i="4"/>
  <c r="BR221" i="4"/>
  <c r="BQ221" i="4"/>
  <c r="BP221" i="4"/>
  <c r="BO221" i="4"/>
  <c r="K221" i="4"/>
  <c r="BR220" i="4"/>
  <c r="BQ220" i="4"/>
  <c r="BP220" i="4"/>
  <c r="BO220" i="4"/>
  <c r="K220" i="4"/>
  <c r="BS220" i="4" l="1"/>
  <c r="BS221" i="4"/>
  <c r="BR310" i="4"/>
  <c r="BQ310" i="4"/>
  <c r="BP310" i="4"/>
  <c r="BO310" i="4"/>
  <c r="K310" i="4"/>
  <c r="BR163" i="4"/>
  <c r="BQ163" i="4"/>
  <c r="BP163" i="4"/>
  <c r="BO163" i="4"/>
  <c r="K163" i="4"/>
  <c r="BS310" i="4" l="1"/>
  <c r="BS163" i="4"/>
  <c r="BR229" i="4" l="1"/>
  <c r="BQ229" i="4"/>
  <c r="BP229" i="4"/>
  <c r="BO229" i="4"/>
  <c r="K229" i="4"/>
  <c r="BS229" i="4" l="1"/>
  <c r="BR234" i="4"/>
  <c r="BQ234" i="4"/>
  <c r="BP234" i="4"/>
  <c r="BO234" i="4"/>
  <c r="K234" i="4"/>
  <c r="BR242" i="4"/>
  <c r="BQ242" i="4"/>
  <c r="BP242" i="4"/>
  <c r="BO242" i="4"/>
  <c r="K242" i="4"/>
  <c r="BS242" i="4" l="1"/>
  <c r="BS234" i="4"/>
  <c r="BR330" i="4" l="1"/>
  <c r="BQ330" i="4"/>
  <c r="BP330" i="4"/>
  <c r="BO330" i="4"/>
  <c r="K330" i="4"/>
  <c r="BR312" i="4"/>
  <c r="BQ312" i="4"/>
  <c r="BP312" i="4"/>
  <c r="BO312" i="4"/>
  <c r="K312" i="4"/>
  <c r="BR298" i="4"/>
  <c r="BQ298" i="4"/>
  <c r="BP298" i="4"/>
  <c r="BO298" i="4"/>
  <c r="K298" i="4"/>
  <c r="BR244" i="4"/>
  <c r="BQ244" i="4"/>
  <c r="BP244" i="4"/>
  <c r="BO244" i="4"/>
  <c r="K244" i="4"/>
  <c r="BS298" i="4" l="1"/>
  <c r="BS330" i="4"/>
  <c r="BS244" i="4"/>
  <c r="BS312" i="4"/>
  <c r="BR219" i="4" l="1"/>
  <c r="BQ219" i="4"/>
  <c r="BP219" i="4"/>
  <c r="BO219" i="4"/>
  <c r="K219" i="4"/>
  <c r="BR218" i="4"/>
  <c r="BQ218" i="4"/>
  <c r="BP218" i="4"/>
  <c r="BO218" i="4"/>
  <c r="K218" i="4"/>
  <c r="BR214" i="4"/>
  <c r="BQ214" i="4"/>
  <c r="BP214" i="4"/>
  <c r="BO214" i="4"/>
  <c r="K214" i="4"/>
  <c r="BS218" i="4" l="1"/>
  <c r="BS214" i="4"/>
  <c r="BS219" i="4"/>
  <c r="BR30" i="4" l="1"/>
  <c r="BQ30" i="4"/>
  <c r="BP30" i="4"/>
  <c r="BO30" i="4"/>
  <c r="K30" i="4"/>
  <c r="BR29" i="4"/>
  <c r="BQ29" i="4"/>
  <c r="BP29" i="4"/>
  <c r="BO29" i="4"/>
  <c r="K29" i="4"/>
  <c r="BS30" i="4" l="1"/>
  <c r="BS29" i="4"/>
  <c r="BR302" i="4" l="1"/>
  <c r="BQ302" i="4"/>
  <c r="BP302" i="4"/>
  <c r="BO302" i="4"/>
  <c r="K302" i="4"/>
  <c r="BR119" i="4"/>
  <c r="BQ119" i="4"/>
  <c r="BP119" i="4"/>
  <c r="BO119" i="4"/>
  <c r="K119" i="4"/>
  <c r="BR118" i="4"/>
  <c r="BQ118" i="4"/>
  <c r="BP118" i="4"/>
  <c r="BO118" i="4"/>
  <c r="K118" i="4"/>
  <c r="BR117" i="4"/>
  <c r="BQ117" i="4"/>
  <c r="BP117" i="4"/>
  <c r="BO117" i="4"/>
  <c r="K117" i="4"/>
  <c r="BR116" i="4"/>
  <c r="BQ116" i="4"/>
  <c r="BP116" i="4"/>
  <c r="BO116" i="4"/>
  <c r="K116" i="4"/>
  <c r="BS302" i="4" l="1"/>
  <c r="BS117" i="4"/>
  <c r="BS116" i="4"/>
  <c r="BS118" i="4"/>
  <c r="BS119" i="4"/>
  <c r="BR206" i="4" l="1"/>
  <c r="BQ206" i="4"/>
  <c r="BP206" i="4"/>
  <c r="BO206" i="4"/>
  <c r="K206" i="4"/>
  <c r="BR205" i="4"/>
  <c r="BQ205" i="4"/>
  <c r="BP205" i="4"/>
  <c r="BO205" i="4"/>
  <c r="K205" i="4"/>
  <c r="BS205" i="4" l="1"/>
  <c r="BS206" i="4"/>
  <c r="BR355" i="4" l="1"/>
  <c r="BQ355" i="4"/>
  <c r="BP355" i="4"/>
  <c r="BO355" i="4"/>
  <c r="BR322" i="4"/>
  <c r="BQ322" i="4"/>
  <c r="BP322" i="4"/>
  <c r="BO322" i="4"/>
  <c r="K322" i="4"/>
  <c r="BR21" i="4"/>
  <c r="BQ21" i="4"/>
  <c r="BP21" i="4"/>
  <c r="BO21" i="4"/>
  <c r="K21" i="4"/>
  <c r="BR20" i="4"/>
  <c r="BQ20" i="4"/>
  <c r="BP20" i="4"/>
  <c r="BO20" i="4"/>
  <c r="K20" i="4"/>
  <c r="BR82" i="4"/>
  <c r="BQ82" i="4"/>
  <c r="BP82" i="4"/>
  <c r="BO82" i="4"/>
  <c r="K82" i="4"/>
  <c r="BR87" i="4"/>
  <c r="BQ87" i="4"/>
  <c r="BP87" i="4"/>
  <c r="BO87" i="4"/>
  <c r="K87" i="4"/>
  <c r="BR28" i="4"/>
  <c r="BQ28" i="4"/>
  <c r="BP28" i="4"/>
  <c r="BO28" i="4"/>
  <c r="K28" i="4"/>
  <c r="BS21" i="4" l="1"/>
  <c r="BS355" i="4"/>
  <c r="BS322" i="4"/>
  <c r="BS82" i="4"/>
  <c r="BS20" i="4"/>
  <c r="BS28" i="4"/>
  <c r="BS87" i="4"/>
  <c r="BR250" i="4"/>
  <c r="BQ250" i="4"/>
  <c r="BP250" i="4"/>
  <c r="BO250" i="4"/>
  <c r="K250" i="4"/>
  <c r="BR213" i="4"/>
  <c r="BQ213" i="4"/>
  <c r="BP213" i="4"/>
  <c r="BO213" i="4"/>
  <c r="K213" i="4"/>
  <c r="BR222" i="4"/>
  <c r="BQ222" i="4"/>
  <c r="BP222" i="4"/>
  <c r="BO222" i="4"/>
  <c r="K222" i="4"/>
  <c r="BS250" i="4" l="1"/>
  <c r="BS213" i="4"/>
  <c r="BS222" i="4"/>
  <c r="BR130" i="4" l="1"/>
  <c r="BQ130" i="4"/>
  <c r="BP130" i="4"/>
  <c r="BO130" i="4"/>
  <c r="K130" i="4"/>
  <c r="BR129" i="4"/>
  <c r="BQ129" i="4"/>
  <c r="BP129" i="4"/>
  <c r="BO129" i="4"/>
  <c r="K129" i="4"/>
  <c r="BR128" i="4"/>
  <c r="BQ128" i="4"/>
  <c r="BP128" i="4"/>
  <c r="BO128" i="4"/>
  <c r="K128" i="4"/>
  <c r="BR127" i="4"/>
  <c r="BQ127" i="4"/>
  <c r="BP127" i="4"/>
  <c r="BO127" i="4"/>
  <c r="K127" i="4"/>
  <c r="BS129" i="4" l="1"/>
  <c r="BS127" i="4"/>
  <c r="BS128" i="4"/>
  <c r="BS130" i="4"/>
  <c r="BR291" i="4" l="1"/>
  <c r="BQ291" i="4"/>
  <c r="BP291" i="4"/>
  <c r="BO291" i="4"/>
  <c r="K291" i="4"/>
  <c r="BR421" i="4"/>
  <c r="BQ421" i="4"/>
  <c r="BP421" i="4"/>
  <c r="BO421" i="4"/>
  <c r="K421" i="4"/>
  <c r="BR402" i="4"/>
  <c r="BQ402" i="4"/>
  <c r="BP402" i="4"/>
  <c r="BO402" i="4"/>
  <c r="K402" i="4"/>
  <c r="BR247" i="4"/>
  <c r="BQ247" i="4"/>
  <c r="BP247" i="4"/>
  <c r="BO247" i="4"/>
  <c r="K247" i="4"/>
  <c r="BS247" i="4" l="1"/>
  <c r="BS402" i="4"/>
  <c r="BS291" i="4"/>
  <c r="BS421" i="4"/>
  <c r="BR261" i="4" l="1"/>
  <c r="BQ261" i="4"/>
  <c r="BO261" i="4"/>
  <c r="BP261" i="4"/>
  <c r="BR260" i="4"/>
  <c r="BQ260" i="4"/>
  <c r="BP260" i="4"/>
  <c r="BO260" i="4"/>
  <c r="K260" i="4"/>
  <c r="BR259" i="4"/>
  <c r="BQ259" i="4"/>
  <c r="BP259" i="4"/>
  <c r="BO259" i="4"/>
  <c r="K259" i="4"/>
  <c r="BR258" i="4"/>
  <c r="BQ258" i="4"/>
  <c r="BP258" i="4"/>
  <c r="BO258" i="4"/>
  <c r="K258" i="4"/>
  <c r="BR338" i="4"/>
  <c r="BQ338" i="4"/>
  <c r="BP338" i="4"/>
  <c r="BO338" i="4"/>
  <c r="K338" i="4"/>
  <c r="BR286" i="4"/>
  <c r="BQ286" i="4"/>
  <c r="BP286" i="4"/>
  <c r="BO286" i="4"/>
  <c r="K286" i="4"/>
  <c r="BR285" i="4"/>
  <c r="BQ285" i="4"/>
  <c r="BP285" i="4"/>
  <c r="BO285" i="4"/>
  <c r="K285" i="4"/>
  <c r="BS338" i="4" l="1"/>
  <c r="BS285" i="4"/>
  <c r="BS258" i="4"/>
  <c r="BS260" i="4"/>
  <c r="BS261" i="4"/>
  <c r="K261" i="4"/>
  <c r="BS259" i="4"/>
  <c r="BS286" i="4"/>
  <c r="BR53" i="4" l="1"/>
  <c r="BQ53" i="4"/>
  <c r="BP53" i="4"/>
  <c r="BO53" i="4"/>
  <c r="K53" i="4"/>
  <c r="BR52" i="4"/>
  <c r="BQ52" i="4"/>
  <c r="BP52" i="4"/>
  <c r="BO52" i="4"/>
  <c r="K52" i="4"/>
  <c r="BR55" i="4"/>
  <c r="BQ55" i="4"/>
  <c r="BP55" i="4"/>
  <c r="BO55" i="4"/>
  <c r="K55" i="4"/>
  <c r="BR54" i="4"/>
  <c r="BQ54" i="4"/>
  <c r="BP54" i="4"/>
  <c r="BO54" i="4"/>
  <c r="K54" i="4"/>
  <c r="BS53" i="4" l="1"/>
  <c r="BS54" i="4"/>
  <c r="BS55" i="4"/>
  <c r="BS52" i="4"/>
  <c r="BR396" i="4" l="1"/>
  <c r="BQ396" i="4"/>
  <c r="BP396" i="4"/>
  <c r="BO396" i="4"/>
  <c r="K396" i="4"/>
  <c r="BR398" i="4"/>
  <c r="BQ398" i="4"/>
  <c r="BP398" i="4"/>
  <c r="BO398" i="4"/>
  <c r="K398" i="4"/>
  <c r="BR397" i="4"/>
  <c r="BQ397" i="4"/>
  <c r="BP397" i="4"/>
  <c r="BO397" i="4"/>
  <c r="K397" i="4"/>
  <c r="BR361" i="4"/>
  <c r="BQ361" i="4"/>
  <c r="BP361" i="4"/>
  <c r="BO361" i="4"/>
  <c r="BR360" i="4"/>
  <c r="BQ360" i="4"/>
  <c r="BP360" i="4"/>
  <c r="BO360" i="4"/>
  <c r="BR367" i="4"/>
  <c r="BQ367" i="4"/>
  <c r="BP367" i="4"/>
  <c r="BO367" i="4"/>
  <c r="K367" i="4"/>
  <c r="BR362" i="4"/>
  <c r="BQ362" i="4"/>
  <c r="BP362" i="4"/>
  <c r="BO362" i="4"/>
  <c r="BR308" i="4"/>
  <c r="BQ308" i="4"/>
  <c r="BP308" i="4"/>
  <c r="BO308" i="4"/>
  <c r="K308" i="4"/>
  <c r="BR240" i="4"/>
  <c r="BQ240" i="4"/>
  <c r="BP240" i="4"/>
  <c r="BO240" i="4"/>
  <c r="K240" i="4"/>
  <c r="BR235" i="4"/>
  <c r="BQ235" i="4"/>
  <c r="BP235" i="4"/>
  <c r="BO235" i="4"/>
  <c r="K235" i="4"/>
  <c r="BR271" i="4"/>
  <c r="BQ271" i="4"/>
  <c r="BP271" i="4"/>
  <c r="BO271" i="4"/>
  <c r="K271" i="4"/>
  <c r="BR274" i="4"/>
  <c r="BQ274" i="4"/>
  <c r="BP274" i="4"/>
  <c r="BO274" i="4"/>
  <c r="K274" i="4"/>
  <c r="BR172" i="4"/>
  <c r="BQ172" i="4"/>
  <c r="BP172" i="4"/>
  <c r="BO172" i="4"/>
  <c r="K172" i="4"/>
  <c r="BR161" i="4"/>
  <c r="BQ161" i="4"/>
  <c r="BP161" i="4"/>
  <c r="BO161" i="4"/>
  <c r="K161" i="4"/>
  <c r="BR19" i="4"/>
  <c r="BQ19" i="4"/>
  <c r="BP19" i="4"/>
  <c r="BO19" i="4"/>
  <c r="K19" i="4"/>
  <c r="BR18" i="4"/>
  <c r="BQ18" i="4"/>
  <c r="BP18" i="4"/>
  <c r="BO18" i="4"/>
  <c r="K18" i="4"/>
  <c r="BS19" i="4" l="1"/>
  <c r="BS18" i="4"/>
  <c r="BS396" i="4"/>
  <c r="BS274" i="4"/>
  <c r="BS271" i="4"/>
  <c r="BS235" i="4"/>
  <c r="BS362" i="4"/>
  <c r="BS367" i="4"/>
  <c r="BS360" i="4"/>
  <c r="BS361" i="4"/>
  <c r="BS398" i="4"/>
  <c r="BS397" i="4"/>
  <c r="BS308" i="4"/>
  <c r="BS240" i="4"/>
  <c r="BS172" i="4"/>
  <c r="BS161" i="4"/>
  <c r="BR321" i="4"/>
  <c r="BQ321" i="4"/>
  <c r="BP321" i="4"/>
  <c r="BO321" i="4"/>
  <c r="K321" i="4"/>
  <c r="BR270" i="4"/>
  <c r="BQ270" i="4"/>
  <c r="BP270" i="4"/>
  <c r="BO270" i="4"/>
  <c r="K270" i="4"/>
  <c r="BS321" i="4" l="1"/>
  <c r="BS270" i="4"/>
  <c r="BR427" i="4" l="1"/>
  <c r="BQ427" i="4"/>
  <c r="BP427" i="4"/>
  <c r="BO427" i="4"/>
  <c r="K427" i="4"/>
  <c r="BS427" i="4" l="1"/>
  <c r="BR209" i="4" l="1"/>
  <c r="BQ209" i="4"/>
  <c r="BP209" i="4"/>
  <c r="BO209" i="4"/>
  <c r="K209" i="4"/>
  <c r="BR162" i="4"/>
  <c r="BQ162" i="4"/>
  <c r="BP162" i="4"/>
  <c r="BO162" i="4"/>
  <c r="K162" i="4"/>
  <c r="BR106" i="4"/>
  <c r="BQ106" i="4"/>
  <c r="BP106" i="4"/>
  <c r="BO106" i="4"/>
  <c r="K106" i="4"/>
  <c r="BR105" i="4"/>
  <c r="BQ105" i="4"/>
  <c r="BP105" i="4"/>
  <c r="BO105" i="4"/>
  <c r="K105" i="4"/>
  <c r="BR110" i="4"/>
  <c r="BQ110" i="4"/>
  <c r="BP110" i="4"/>
  <c r="BO110" i="4"/>
  <c r="K110" i="4"/>
  <c r="BR104" i="4"/>
  <c r="BQ104" i="4"/>
  <c r="BP104" i="4"/>
  <c r="BO104" i="4"/>
  <c r="K104" i="4"/>
  <c r="BR103" i="4"/>
  <c r="BQ103" i="4"/>
  <c r="BP103" i="4"/>
  <c r="BO103" i="4"/>
  <c r="K103" i="4"/>
  <c r="BR27" i="4"/>
  <c r="BQ27" i="4"/>
  <c r="BP27" i="4"/>
  <c r="BO27" i="4"/>
  <c r="K27" i="4"/>
  <c r="BS104" i="4" l="1"/>
  <c r="BS110" i="4"/>
  <c r="BS106" i="4"/>
  <c r="BS162" i="4"/>
  <c r="BS209" i="4"/>
  <c r="BS103" i="4"/>
  <c r="BS105" i="4"/>
  <c r="BS27" i="4"/>
  <c r="BR204" i="4" l="1"/>
  <c r="BQ204" i="4"/>
  <c r="BP204" i="4"/>
  <c r="BO204" i="4"/>
  <c r="K204" i="4"/>
  <c r="BR431" i="4"/>
  <c r="BQ431" i="4"/>
  <c r="BP431" i="4"/>
  <c r="BO431" i="4"/>
  <c r="K431" i="4"/>
  <c r="BR347" i="4"/>
  <c r="BQ347" i="4"/>
  <c r="BP347" i="4"/>
  <c r="BO347" i="4"/>
  <c r="K347" i="4"/>
  <c r="BS431" i="4" l="1"/>
  <c r="BS347" i="4"/>
  <c r="BS204" i="4"/>
  <c r="BR237" i="4"/>
  <c r="BQ237" i="4"/>
  <c r="BP237" i="4"/>
  <c r="BO237" i="4"/>
  <c r="K237" i="4"/>
  <c r="BR284" i="4"/>
  <c r="BQ284" i="4"/>
  <c r="BP284" i="4"/>
  <c r="BO284" i="4"/>
  <c r="K284" i="4"/>
  <c r="BR265" i="4"/>
  <c r="BQ265" i="4"/>
  <c r="BP265" i="4"/>
  <c r="BO265" i="4"/>
  <c r="K265" i="4"/>
  <c r="BR266" i="4"/>
  <c r="BQ266" i="4"/>
  <c r="BP266" i="4"/>
  <c r="BO266" i="4"/>
  <c r="K266" i="4"/>
  <c r="BR208" i="4"/>
  <c r="BQ208" i="4"/>
  <c r="BP208" i="4"/>
  <c r="BO208" i="4"/>
  <c r="K208" i="4"/>
  <c r="BR207" i="4"/>
  <c r="BQ207" i="4"/>
  <c r="BP207" i="4"/>
  <c r="BO207" i="4"/>
  <c r="K207" i="4"/>
  <c r="BR92" i="4"/>
  <c r="BQ92" i="4"/>
  <c r="BP92" i="4"/>
  <c r="BO92" i="4"/>
  <c r="K92" i="4"/>
  <c r="BS237" i="4" l="1"/>
  <c r="BS284" i="4"/>
  <c r="BS207" i="4"/>
  <c r="BS266" i="4"/>
  <c r="BS265" i="4"/>
  <c r="BS208" i="4"/>
  <c r="BS92" i="4"/>
  <c r="BR203" i="4" l="1"/>
  <c r="BQ203" i="4"/>
  <c r="BP203" i="4"/>
  <c r="BO203" i="4"/>
  <c r="K203" i="4"/>
  <c r="BR202" i="4"/>
  <c r="BQ202" i="4"/>
  <c r="BP202" i="4"/>
  <c r="BO202" i="4"/>
  <c r="K202" i="4"/>
  <c r="BR359" i="4"/>
  <c r="BQ359" i="4"/>
  <c r="BP359" i="4"/>
  <c r="BO359" i="4"/>
  <c r="BR335" i="4"/>
  <c r="BQ335" i="4"/>
  <c r="BP335" i="4"/>
  <c r="BO335" i="4"/>
  <c r="K335" i="4"/>
  <c r="BR263" i="4"/>
  <c r="BQ263" i="4"/>
  <c r="BP263" i="4"/>
  <c r="BO263" i="4"/>
  <c r="K263" i="4"/>
  <c r="BQ253" i="4"/>
  <c r="BP253" i="4"/>
  <c r="BO253" i="4"/>
  <c r="K253" i="4"/>
  <c r="BR253" i="4"/>
  <c r="BR210" i="4"/>
  <c r="BQ210" i="4"/>
  <c r="BP210" i="4"/>
  <c r="BO210" i="4"/>
  <c r="K210" i="4"/>
  <c r="BR159" i="4"/>
  <c r="BQ159" i="4"/>
  <c r="BP159" i="4"/>
  <c r="BO159" i="4"/>
  <c r="K159" i="4"/>
  <c r="BR158" i="4"/>
  <c r="BQ158" i="4"/>
  <c r="BP158" i="4"/>
  <c r="BO158" i="4"/>
  <c r="K158" i="4"/>
  <c r="BR91" i="4"/>
  <c r="BQ91" i="4"/>
  <c r="BP91" i="4"/>
  <c r="BO91" i="4"/>
  <c r="K91" i="4"/>
  <c r="BR90" i="4"/>
  <c r="BQ90" i="4"/>
  <c r="BP90" i="4"/>
  <c r="BO90" i="4"/>
  <c r="K90" i="4"/>
  <c r="BR430" i="4"/>
  <c r="BQ430" i="4"/>
  <c r="BP430" i="4"/>
  <c r="BO430" i="4"/>
  <c r="K430" i="4"/>
  <c r="BR283" i="4"/>
  <c r="BQ283" i="4"/>
  <c r="BP283" i="4"/>
  <c r="BO283" i="4"/>
  <c r="K283" i="4"/>
  <c r="BR282" i="4"/>
  <c r="BQ282" i="4"/>
  <c r="BP282" i="4"/>
  <c r="BO282" i="4"/>
  <c r="K282" i="4"/>
  <c r="BQ281" i="4"/>
  <c r="BP281" i="4"/>
  <c r="BO281" i="4"/>
  <c r="K281" i="4"/>
  <c r="BR281" i="4"/>
  <c r="BQ280" i="4"/>
  <c r="BP280" i="4"/>
  <c r="BO280" i="4"/>
  <c r="BR280" i="4"/>
  <c r="BR279" i="4"/>
  <c r="BQ279" i="4"/>
  <c r="BP279" i="4"/>
  <c r="BO279" i="4"/>
  <c r="K279" i="4"/>
  <c r="K257" i="4"/>
  <c r="J293" i="4"/>
  <c r="I293" i="4"/>
  <c r="H293" i="4"/>
  <c r="G293" i="4"/>
  <c r="BR290" i="4"/>
  <c r="BQ290" i="4"/>
  <c r="BP290" i="4"/>
  <c r="BO290" i="4"/>
  <c r="K290" i="4"/>
  <c r="BR289" i="4"/>
  <c r="BQ289" i="4"/>
  <c r="BP289" i="4"/>
  <c r="BO289" i="4"/>
  <c r="K289" i="4"/>
  <c r="BR288" i="4"/>
  <c r="BQ288" i="4"/>
  <c r="BP288" i="4"/>
  <c r="BO288" i="4"/>
  <c r="K288" i="4"/>
  <c r="BR262" i="4"/>
  <c r="BQ262" i="4"/>
  <c r="BP262" i="4"/>
  <c r="BO262" i="4"/>
  <c r="K262" i="4"/>
  <c r="BR257" i="4"/>
  <c r="BQ257" i="4"/>
  <c r="BP257" i="4"/>
  <c r="BO257" i="4"/>
  <c r="BR256" i="4"/>
  <c r="BQ256" i="4"/>
  <c r="BP256" i="4"/>
  <c r="BO256" i="4"/>
  <c r="K256" i="4"/>
  <c r="BR255" i="4"/>
  <c r="BQ255" i="4"/>
  <c r="BP255" i="4"/>
  <c r="BO255" i="4"/>
  <c r="K255" i="4"/>
  <c r="BR254" i="4"/>
  <c r="BQ254" i="4"/>
  <c r="BP254" i="4"/>
  <c r="BO254" i="4"/>
  <c r="K254" i="4"/>
  <c r="BR252" i="4"/>
  <c r="BQ252" i="4"/>
  <c r="BP252" i="4"/>
  <c r="BO252" i="4"/>
  <c r="K252" i="4"/>
  <c r="BR200" i="4"/>
  <c r="BQ200" i="4"/>
  <c r="BP200" i="4"/>
  <c r="BO200" i="4"/>
  <c r="K200" i="4"/>
  <c r="BR196" i="4"/>
  <c r="BQ196" i="4"/>
  <c r="BP196" i="4"/>
  <c r="BO196" i="4"/>
  <c r="K196" i="4"/>
  <c r="BR195" i="4"/>
  <c r="BQ195" i="4"/>
  <c r="BP195" i="4"/>
  <c r="BO195" i="4"/>
  <c r="K195" i="4"/>
  <c r="BR183" i="4"/>
  <c r="BQ183" i="4"/>
  <c r="BP183" i="4"/>
  <c r="BO183" i="4"/>
  <c r="K183" i="4"/>
  <c r="BR182" i="4"/>
  <c r="BQ182" i="4"/>
  <c r="BP182" i="4"/>
  <c r="BO182" i="4"/>
  <c r="K182" i="4"/>
  <c r="BR181" i="4"/>
  <c r="BQ181" i="4"/>
  <c r="BP181" i="4"/>
  <c r="BO181" i="4"/>
  <c r="K181" i="4"/>
  <c r="BR157" i="4"/>
  <c r="BQ157" i="4"/>
  <c r="BP157" i="4"/>
  <c r="BO157" i="4"/>
  <c r="K157" i="4"/>
  <c r="BR156" i="4"/>
  <c r="BQ156" i="4"/>
  <c r="BP156" i="4"/>
  <c r="BO156" i="4"/>
  <c r="K156" i="4"/>
  <c r="BR151" i="4"/>
  <c r="BQ151" i="4"/>
  <c r="BP151" i="4"/>
  <c r="BO151" i="4"/>
  <c r="K151" i="4"/>
  <c r="BR150" i="4"/>
  <c r="BQ150" i="4"/>
  <c r="BP150" i="4"/>
  <c r="BO150" i="4"/>
  <c r="K150" i="4"/>
  <c r="BR153" i="4"/>
  <c r="BQ153" i="4"/>
  <c r="BP153" i="4"/>
  <c r="BO153" i="4"/>
  <c r="K153" i="4"/>
  <c r="BR152" i="4"/>
  <c r="BQ152" i="4"/>
  <c r="BP152" i="4"/>
  <c r="BO152" i="4"/>
  <c r="K152" i="4"/>
  <c r="BR138" i="4"/>
  <c r="BQ138" i="4"/>
  <c r="BP138" i="4"/>
  <c r="BO138" i="4"/>
  <c r="K138" i="4"/>
  <c r="BR137" i="4"/>
  <c r="BQ137" i="4"/>
  <c r="BP137" i="4"/>
  <c r="BO137" i="4"/>
  <c r="K137" i="4"/>
  <c r="BR136" i="4"/>
  <c r="BQ136" i="4"/>
  <c r="BP136" i="4"/>
  <c r="BO136" i="4"/>
  <c r="K136" i="4"/>
  <c r="BR145" i="4"/>
  <c r="BQ145" i="4"/>
  <c r="BP145" i="4"/>
  <c r="BO145" i="4"/>
  <c r="K145" i="4"/>
  <c r="BR144" i="4"/>
  <c r="BQ144" i="4"/>
  <c r="BP144" i="4"/>
  <c r="BO144" i="4"/>
  <c r="K144" i="4"/>
  <c r="BR135" i="4"/>
  <c r="BQ135" i="4"/>
  <c r="BP135" i="4"/>
  <c r="BO135" i="4"/>
  <c r="K135" i="4"/>
  <c r="BR160" i="4"/>
  <c r="BQ160" i="4"/>
  <c r="BP160" i="4"/>
  <c r="BO160" i="4"/>
  <c r="K160" i="4"/>
  <c r="H226" i="4"/>
  <c r="H227" i="4" s="1"/>
  <c r="I226" i="4"/>
  <c r="I227" i="4" s="1"/>
  <c r="J226" i="4"/>
  <c r="J227" i="4" s="1"/>
  <c r="G226" i="4"/>
  <c r="BR201" i="4"/>
  <c r="BQ201" i="4"/>
  <c r="BP201" i="4"/>
  <c r="BO201" i="4"/>
  <c r="K201" i="4"/>
  <c r="BR198" i="4"/>
  <c r="BQ198" i="4"/>
  <c r="BP198" i="4"/>
  <c r="BO198" i="4"/>
  <c r="K198" i="4"/>
  <c r="BR197" i="4"/>
  <c r="BQ197" i="4"/>
  <c r="BP197" i="4"/>
  <c r="BO197" i="4"/>
  <c r="K197" i="4"/>
  <c r="BR184" i="4"/>
  <c r="BQ184" i="4"/>
  <c r="BP184" i="4"/>
  <c r="BO184" i="4"/>
  <c r="K184" i="4"/>
  <c r="BR174" i="4"/>
  <c r="BQ174" i="4"/>
  <c r="BP174" i="4"/>
  <c r="BO174" i="4"/>
  <c r="K174" i="4"/>
  <c r="BR173" i="4"/>
  <c r="BQ173" i="4"/>
  <c r="BP173" i="4"/>
  <c r="BO173" i="4"/>
  <c r="K173" i="4"/>
  <c r="BR134" i="4"/>
  <c r="BQ134" i="4"/>
  <c r="BP134" i="4"/>
  <c r="BO134" i="4"/>
  <c r="K134" i="4"/>
  <c r="BR124" i="4"/>
  <c r="BQ124" i="4"/>
  <c r="BP124" i="4"/>
  <c r="BO124" i="4"/>
  <c r="K124" i="4"/>
  <c r="BR123" i="4"/>
  <c r="BQ123" i="4"/>
  <c r="BP123" i="4"/>
  <c r="BO123" i="4"/>
  <c r="K123" i="4"/>
  <c r="BR114" i="4"/>
  <c r="BQ114" i="4"/>
  <c r="BP114" i="4"/>
  <c r="BO114" i="4"/>
  <c r="K114" i="4"/>
  <c r="K112" i="4"/>
  <c r="BO112" i="4"/>
  <c r="BP112" i="4"/>
  <c r="BQ112" i="4"/>
  <c r="BR112" i="4"/>
  <c r="K113" i="4"/>
  <c r="BO113" i="4"/>
  <c r="BP113" i="4"/>
  <c r="BQ113" i="4"/>
  <c r="BR113" i="4"/>
  <c r="BS202" i="4" l="1"/>
  <c r="BP293" i="4"/>
  <c r="BS335" i="4"/>
  <c r="BS359" i="4"/>
  <c r="BS91" i="4"/>
  <c r="BS263" i="4"/>
  <c r="BS159" i="4"/>
  <c r="BS203" i="4"/>
  <c r="BS253" i="4"/>
  <c r="BS210" i="4"/>
  <c r="BS158" i="4"/>
  <c r="BS90" i="4"/>
  <c r="BS430" i="4"/>
  <c r="BS283" i="4"/>
  <c r="BO293" i="4"/>
  <c r="BQ293" i="4"/>
  <c r="BS279" i="4"/>
  <c r="BS282" i="4"/>
  <c r="BS281" i="4"/>
  <c r="BS280" i="4"/>
  <c r="K280" i="4"/>
  <c r="BR293" i="4"/>
  <c r="BS262" i="4"/>
  <c r="K293" i="4"/>
  <c r="BS196" i="4"/>
  <c r="BS254" i="4"/>
  <c r="BS255" i="4"/>
  <c r="BS256" i="4"/>
  <c r="BS257" i="4"/>
  <c r="BS288" i="4"/>
  <c r="BS289" i="4"/>
  <c r="BS290" i="4"/>
  <c r="BS252" i="4"/>
  <c r="BS182" i="4"/>
  <c r="BO226" i="4"/>
  <c r="BQ226" i="4"/>
  <c r="BQ227" i="4" s="1"/>
  <c r="BS156" i="4"/>
  <c r="BS157" i="4"/>
  <c r="BS181" i="4"/>
  <c r="BS195" i="4"/>
  <c r="BS200" i="4"/>
  <c r="BS183" i="4"/>
  <c r="BP226" i="4"/>
  <c r="BR226" i="4"/>
  <c r="BS173" i="4"/>
  <c r="BS174" i="4"/>
  <c r="BS184" i="4"/>
  <c r="BS197" i="4"/>
  <c r="BS201" i="4"/>
  <c r="BS153" i="4"/>
  <c r="BS151" i="4"/>
  <c r="BS198" i="4"/>
  <c r="BS150" i="4"/>
  <c r="BS160" i="4"/>
  <c r="BS152" i="4"/>
  <c r="BS145" i="4"/>
  <c r="BS144" i="4"/>
  <c r="BS137" i="4"/>
  <c r="BS136" i="4"/>
  <c r="BS138" i="4"/>
  <c r="BS135" i="4"/>
  <c r="BS134" i="4"/>
  <c r="G227" i="4"/>
  <c r="K227" i="4" s="1"/>
  <c r="K226" i="4"/>
  <c r="BS123" i="4"/>
  <c r="BS124" i="4"/>
  <c r="BS114" i="4"/>
  <c r="BS113" i="4"/>
  <c r="BS112" i="4"/>
  <c r="BS293" i="4" l="1"/>
  <c r="BS226" i="4"/>
  <c r="BP227" i="4"/>
  <c r="BR227" i="4"/>
  <c r="BO227" i="4" l="1"/>
  <c r="BS227" i="4" s="1"/>
  <c r="J131" i="4" l="1"/>
  <c r="I131" i="4"/>
  <c r="H131" i="4"/>
  <c r="G131" i="4"/>
  <c r="BR126" i="4"/>
  <c r="BQ126" i="4"/>
  <c r="BP126" i="4"/>
  <c r="BO126" i="4"/>
  <c r="K126" i="4"/>
  <c r="BR125" i="4"/>
  <c r="BQ125" i="4"/>
  <c r="BP125" i="4"/>
  <c r="BO125" i="4"/>
  <c r="K125" i="4"/>
  <c r="BR122" i="4"/>
  <c r="BQ122" i="4"/>
  <c r="BP122" i="4"/>
  <c r="BO122" i="4"/>
  <c r="K122" i="4"/>
  <c r="BR121" i="4"/>
  <c r="BQ121" i="4"/>
  <c r="BP121" i="4"/>
  <c r="BO121" i="4"/>
  <c r="K121" i="4"/>
  <c r="J120" i="4"/>
  <c r="I120" i="4"/>
  <c r="H120" i="4"/>
  <c r="G120" i="4"/>
  <c r="BR115" i="4"/>
  <c r="BQ115" i="4"/>
  <c r="BP115" i="4"/>
  <c r="BO115" i="4"/>
  <c r="K115" i="4"/>
  <c r="J111" i="4"/>
  <c r="I111" i="4"/>
  <c r="H111" i="4"/>
  <c r="G111" i="4"/>
  <c r="BR111" i="4"/>
  <c r="BQ111" i="4"/>
  <c r="BP111" i="4"/>
  <c r="BO111" i="4"/>
  <c r="K7" i="4"/>
  <c r="K9" i="4"/>
  <c r="K10" i="4"/>
  <c r="K11" i="4"/>
  <c r="K12" i="4"/>
  <c r="K13" i="4"/>
  <c r="K23" i="4"/>
  <c r="K24" i="4"/>
  <c r="K25" i="4"/>
  <c r="K26" i="4"/>
  <c r="K44" i="4"/>
  <c r="K45" i="4"/>
  <c r="K46" i="4"/>
  <c r="K47" i="4"/>
  <c r="K57" i="4"/>
  <c r="K58" i="4"/>
  <c r="K59" i="4"/>
  <c r="K60" i="4"/>
  <c r="K62" i="4"/>
  <c r="K63" i="4"/>
  <c r="K64" i="4"/>
  <c r="K65" i="4"/>
  <c r="K71" i="4"/>
  <c r="K72" i="4"/>
  <c r="K73" i="4"/>
  <c r="K74" i="4"/>
  <c r="K76" i="4"/>
  <c r="K77" i="4"/>
  <c r="K78" i="4"/>
  <c r="K79" i="4"/>
  <c r="K88" i="4"/>
  <c r="K99" i="4"/>
  <c r="K228" i="4"/>
  <c r="K231" i="4"/>
  <c r="K243" i="4"/>
  <c r="K295" i="4"/>
  <c r="K296" i="4"/>
  <c r="K299" i="4"/>
  <c r="K301" i="4"/>
  <c r="K303" i="4"/>
  <c r="K305" i="4"/>
  <c r="K306" i="4"/>
  <c r="K309" i="4"/>
  <c r="K313" i="4"/>
  <c r="K314" i="4"/>
  <c r="K316" i="4"/>
  <c r="K318" i="4"/>
  <c r="K319" i="4"/>
  <c r="K320" i="4"/>
  <c r="K325" i="4"/>
  <c r="K327" i="4"/>
  <c r="K328" i="4"/>
  <c r="K331" i="4"/>
  <c r="K332" i="4"/>
  <c r="K333" i="4"/>
  <c r="K334" i="4"/>
  <c r="K336" i="4"/>
  <c r="K339" i="4"/>
  <c r="K341" i="4"/>
  <c r="K342" i="4"/>
  <c r="K345" i="4"/>
  <c r="K350" i="4"/>
  <c r="K390" i="4"/>
  <c r="K391" i="4"/>
  <c r="K392" i="4"/>
  <c r="K393" i="4"/>
  <c r="K394" i="4"/>
  <c r="K395" i="4"/>
  <c r="K433" i="4"/>
  <c r="BO81" i="4"/>
  <c r="H100" i="4"/>
  <c r="I100" i="4"/>
  <c r="J100" i="4"/>
  <c r="G100" i="4"/>
  <c r="BQ81" i="4"/>
  <c r="H89" i="4"/>
  <c r="I89" i="4"/>
  <c r="J89" i="4"/>
  <c r="H80" i="4"/>
  <c r="I80" i="4"/>
  <c r="J80" i="4"/>
  <c r="G80" i="4"/>
  <c r="BR99" i="4"/>
  <c r="BQ99" i="4"/>
  <c r="BP99" i="4"/>
  <c r="BO99" i="4"/>
  <c r="BR88" i="4"/>
  <c r="BQ88" i="4"/>
  <c r="BP88" i="4"/>
  <c r="BO88" i="4"/>
  <c r="BR81" i="4"/>
  <c r="BP81" i="4"/>
  <c r="H75" i="4"/>
  <c r="I75" i="4"/>
  <c r="J75" i="4"/>
  <c r="G75" i="4"/>
  <c r="H70" i="4"/>
  <c r="I70" i="4"/>
  <c r="J70" i="4"/>
  <c r="G70" i="4"/>
  <c r="BR79" i="4"/>
  <c r="BQ79" i="4"/>
  <c r="BP79" i="4"/>
  <c r="BO79" i="4"/>
  <c r="BR78" i="4"/>
  <c r="BQ78" i="4"/>
  <c r="BP78" i="4"/>
  <c r="BO78" i="4"/>
  <c r="BR77" i="4"/>
  <c r="BQ77" i="4"/>
  <c r="BP77" i="4"/>
  <c r="BO77" i="4"/>
  <c r="BR76" i="4"/>
  <c r="BQ76" i="4"/>
  <c r="BP76" i="4"/>
  <c r="BO76" i="4"/>
  <c r="BR74" i="4"/>
  <c r="BQ74" i="4"/>
  <c r="BP74" i="4"/>
  <c r="BO74" i="4"/>
  <c r="BR73" i="4"/>
  <c r="BQ73" i="4"/>
  <c r="BP73" i="4"/>
  <c r="BO73" i="4"/>
  <c r="BR72" i="4"/>
  <c r="BQ72" i="4"/>
  <c r="BP72" i="4"/>
  <c r="BO72" i="4"/>
  <c r="BR71" i="4"/>
  <c r="BQ71" i="4"/>
  <c r="BP71" i="4"/>
  <c r="BO71" i="4"/>
  <c r="H61" i="4"/>
  <c r="I61" i="4"/>
  <c r="J61" i="4"/>
  <c r="G61" i="4"/>
  <c r="H56" i="4"/>
  <c r="I56" i="4"/>
  <c r="J56" i="4"/>
  <c r="G56" i="4"/>
  <c r="H43" i="4"/>
  <c r="I43" i="4"/>
  <c r="J43" i="4"/>
  <c r="G43" i="4"/>
  <c r="H22" i="4"/>
  <c r="I22" i="4"/>
  <c r="J22" i="4"/>
  <c r="G22" i="4"/>
  <c r="BR65" i="4"/>
  <c r="BQ65" i="4"/>
  <c r="BP65" i="4"/>
  <c r="BO65" i="4"/>
  <c r="BR64" i="4"/>
  <c r="BQ64" i="4"/>
  <c r="BP64" i="4"/>
  <c r="BO64" i="4"/>
  <c r="BR63" i="4"/>
  <c r="BQ63" i="4"/>
  <c r="BP63" i="4"/>
  <c r="BO63" i="4"/>
  <c r="BR62" i="4"/>
  <c r="BQ62" i="4"/>
  <c r="BP62" i="4"/>
  <c r="BO62" i="4"/>
  <c r="BR60" i="4"/>
  <c r="BQ60" i="4"/>
  <c r="BP60" i="4"/>
  <c r="BO60" i="4"/>
  <c r="BR59" i="4"/>
  <c r="BQ59" i="4"/>
  <c r="BP59" i="4"/>
  <c r="BO59" i="4"/>
  <c r="BR58" i="4"/>
  <c r="BQ58" i="4"/>
  <c r="BP58" i="4"/>
  <c r="BO58" i="4"/>
  <c r="BR57" i="4"/>
  <c r="BQ57" i="4"/>
  <c r="BP57" i="4"/>
  <c r="BO57" i="4"/>
  <c r="BR47" i="4"/>
  <c r="BQ47" i="4"/>
  <c r="BP47" i="4"/>
  <c r="BO47" i="4"/>
  <c r="BR46" i="4"/>
  <c r="BQ46" i="4"/>
  <c r="BP46" i="4"/>
  <c r="BO46" i="4"/>
  <c r="BR45" i="4"/>
  <c r="BQ45" i="4"/>
  <c r="BP45" i="4"/>
  <c r="BO45" i="4"/>
  <c r="BR44" i="4"/>
  <c r="BQ44" i="4"/>
  <c r="BP44" i="4"/>
  <c r="BO44" i="4"/>
  <c r="BR26" i="4"/>
  <c r="BQ26" i="4"/>
  <c r="BP26" i="4"/>
  <c r="BO26" i="4"/>
  <c r="BR25" i="4"/>
  <c r="BQ25" i="4"/>
  <c r="BP25" i="4"/>
  <c r="BO25" i="4"/>
  <c r="BR24" i="4"/>
  <c r="BQ24" i="4"/>
  <c r="BP24" i="4"/>
  <c r="BO24" i="4"/>
  <c r="BR23" i="4"/>
  <c r="BQ23" i="4"/>
  <c r="BP23" i="4"/>
  <c r="BO23" i="4"/>
  <c r="BO10" i="4"/>
  <c r="BP10" i="4"/>
  <c r="BQ10" i="4"/>
  <c r="BR10" i="4"/>
  <c r="BO11" i="4"/>
  <c r="BP11" i="4"/>
  <c r="BQ11" i="4"/>
  <c r="BR11" i="4"/>
  <c r="BO12" i="4"/>
  <c r="BP12" i="4"/>
  <c r="BQ12" i="4"/>
  <c r="BR12" i="4"/>
  <c r="BO13" i="4"/>
  <c r="BP13" i="4"/>
  <c r="BQ13" i="4"/>
  <c r="BR13" i="4"/>
  <c r="BO131" i="4" l="1"/>
  <c r="BR131" i="4"/>
  <c r="BQ131" i="4"/>
  <c r="BP131" i="4"/>
  <c r="G89" i="4"/>
  <c r="BS71" i="4"/>
  <c r="BS72" i="4"/>
  <c r="BS73" i="4"/>
  <c r="BS74" i="4"/>
  <c r="BS76" i="4"/>
  <c r="BS77" i="4"/>
  <c r="BS78" i="4"/>
  <c r="BS79" i="4"/>
  <c r="BS81" i="4"/>
  <c r="BS88" i="4"/>
  <c r="BS99" i="4"/>
  <c r="K131" i="4"/>
  <c r="K120" i="4"/>
  <c r="BP120" i="4"/>
  <c r="BR120" i="4"/>
  <c r="G132" i="4"/>
  <c r="G133" i="4" s="1"/>
  <c r="BO120" i="4"/>
  <c r="BO132" i="4" s="1"/>
  <c r="BO133" i="4" s="1"/>
  <c r="BQ120" i="4"/>
  <c r="BQ132" i="4" s="1"/>
  <c r="BQ133" i="4" s="1"/>
  <c r="J132" i="4"/>
  <c r="J133" i="4" s="1"/>
  <c r="H132" i="4"/>
  <c r="H133" i="4" s="1"/>
  <c r="I132" i="4"/>
  <c r="I133" i="4" s="1"/>
  <c r="BS13" i="4"/>
  <c r="BS12" i="4"/>
  <c r="BS11" i="4"/>
  <c r="BS10" i="4"/>
  <c r="BS23" i="4"/>
  <c r="BS24" i="4"/>
  <c r="BS25" i="4"/>
  <c r="BS26" i="4"/>
  <c r="BS44" i="4"/>
  <c r="BS45" i="4"/>
  <c r="BS46" i="4"/>
  <c r="BS47" i="4"/>
  <c r="BS57" i="4"/>
  <c r="BS58" i="4"/>
  <c r="BS59" i="4"/>
  <c r="BS60" i="4"/>
  <c r="BS62" i="4"/>
  <c r="BS63" i="4"/>
  <c r="BS64" i="4"/>
  <c r="BS65" i="4"/>
  <c r="I101" i="4"/>
  <c r="K81" i="4"/>
  <c r="BS115" i="4"/>
  <c r="BS122" i="4"/>
  <c r="BS125" i="4"/>
  <c r="BS126" i="4"/>
  <c r="BS111" i="4"/>
  <c r="K43" i="4"/>
  <c r="K56" i="4"/>
  <c r="K61" i="4"/>
  <c r="K70" i="4"/>
  <c r="K75" i="4"/>
  <c r="K80" i="4"/>
  <c r="K100" i="4"/>
  <c r="K22" i="4"/>
  <c r="BS121" i="4"/>
  <c r="K111" i="4"/>
  <c r="J101" i="4"/>
  <c r="H101" i="4"/>
  <c r="BP100" i="4"/>
  <c r="BR100" i="4"/>
  <c r="BP70" i="4"/>
  <c r="BR70" i="4"/>
  <c r="BP80" i="4"/>
  <c r="BR80" i="4"/>
  <c r="BO100" i="4"/>
  <c r="BQ100" i="4"/>
  <c r="BO70" i="4"/>
  <c r="BQ70" i="4"/>
  <c r="BO75" i="4"/>
  <c r="BQ75" i="4"/>
  <c r="BO80" i="4"/>
  <c r="BQ80" i="4"/>
  <c r="BP89" i="4"/>
  <c r="BR89" i="4"/>
  <c r="BQ89" i="4"/>
  <c r="BO89" i="4"/>
  <c r="BP75" i="4"/>
  <c r="BR75" i="4"/>
  <c r="BP56" i="4"/>
  <c r="BR56" i="4"/>
  <c r="BO61" i="4"/>
  <c r="BQ61" i="4"/>
  <c r="BP43" i="4"/>
  <c r="BR43" i="4"/>
  <c r="BO56" i="4"/>
  <c r="BQ56" i="4"/>
  <c r="BP61" i="4"/>
  <c r="BR61" i="4"/>
  <c r="BO43" i="4"/>
  <c r="BQ43" i="4"/>
  <c r="BR132" i="4" l="1"/>
  <c r="BR133" i="4" s="1"/>
  <c r="BS131" i="4"/>
  <c r="BP132" i="4"/>
  <c r="BP133" i="4" s="1"/>
  <c r="BS133" i="4" s="1"/>
  <c r="G101" i="4"/>
  <c r="K101" i="4" s="1"/>
  <c r="K89" i="4"/>
  <c r="BS89" i="4"/>
  <c r="BS120" i="4"/>
  <c r="K132" i="4"/>
  <c r="K133" i="4"/>
  <c r="BS43" i="4"/>
  <c r="BS56" i="4"/>
  <c r="BS100" i="4"/>
  <c r="BS61" i="4"/>
  <c r="BS80" i="4"/>
  <c r="BS75" i="4"/>
  <c r="BS70" i="4"/>
  <c r="BS132" i="4" l="1"/>
  <c r="J432" i="4" l="1"/>
  <c r="I432" i="4"/>
  <c r="H432" i="4"/>
  <c r="G432" i="4"/>
  <c r="J428" i="4"/>
  <c r="I428" i="4"/>
  <c r="H428" i="4"/>
  <c r="G428" i="4"/>
  <c r="J389" i="4"/>
  <c r="I389" i="4"/>
  <c r="H389" i="4"/>
  <c r="G389" i="4"/>
  <c r="J348" i="4"/>
  <c r="I348" i="4"/>
  <c r="H348" i="4"/>
  <c r="G348" i="4"/>
  <c r="J340" i="4"/>
  <c r="I340" i="4"/>
  <c r="H340" i="4"/>
  <c r="G340" i="4"/>
  <c r="J326" i="4"/>
  <c r="I326" i="4"/>
  <c r="H326" i="4"/>
  <c r="G326" i="4"/>
  <c r="J315" i="4"/>
  <c r="I315" i="4"/>
  <c r="H315" i="4"/>
  <c r="G315" i="4"/>
  <c r="J300" i="4"/>
  <c r="I300" i="4"/>
  <c r="I349" i="4" s="1"/>
  <c r="H300" i="4"/>
  <c r="H349" i="4" s="1"/>
  <c r="G300" i="4"/>
  <c r="J251" i="4"/>
  <c r="I251" i="4"/>
  <c r="H251" i="4"/>
  <c r="G251" i="4"/>
  <c r="J102" i="4"/>
  <c r="I102" i="4"/>
  <c r="H102" i="4"/>
  <c r="J8" i="4"/>
  <c r="I8" i="4"/>
  <c r="H8" i="4"/>
  <c r="G8" i="4"/>
  <c r="K6" i="4"/>
  <c r="J349" i="4" l="1"/>
  <c r="H294" i="4"/>
  <c r="J294" i="4"/>
  <c r="I294" i="4"/>
  <c r="H429" i="4"/>
  <c r="J429" i="4"/>
  <c r="I429" i="4"/>
  <c r="K428" i="4"/>
  <c r="G429" i="4"/>
  <c r="K348" i="4"/>
  <c r="K432" i="4"/>
  <c r="K340" i="4"/>
  <c r="K326" i="4"/>
  <c r="K251" i="4"/>
  <c r="K315" i="4"/>
  <c r="K8" i="4"/>
  <c r="G349" i="4"/>
  <c r="K349" i="4" s="1"/>
  <c r="K300" i="4"/>
  <c r="K389" i="4"/>
  <c r="K353" i="4"/>
  <c r="G102" i="4"/>
  <c r="K429" i="4" l="1"/>
  <c r="G294" i="4"/>
  <c r="K294" i="4" s="1"/>
  <c r="K102" i="4"/>
  <c r="BR339" i="4" l="1"/>
  <c r="BQ339" i="4"/>
  <c r="BP339" i="4"/>
  <c r="BO339" i="4"/>
  <c r="BS339" i="4" l="1"/>
  <c r="BR350" i="4" l="1"/>
  <c r="BR353" i="4" s="1"/>
  <c r="BQ350" i="4"/>
  <c r="BQ353" i="4" s="1"/>
  <c r="BP350" i="4"/>
  <c r="BP353" i="4" s="1"/>
  <c r="BO350" i="4"/>
  <c r="BO353" i="4" s="1"/>
  <c r="BR354" i="4"/>
  <c r="BQ354" i="4"/>
  <c r="BP354" i="4"/>
  <c r="BO354" i="4"/>
  <c r="BR356" i="4"/>
  <c r="BQ356" i="4"/>
  <c r="BP356" i="4"/>
  <c r="BO356" i="4"/>
  <c r="BS354" i="4" l="1"/>
  <c r="BS356" i="4"/>
  <c r="BS350" i="4"/>
  <c r="BR357" i="4"/>
  <c r="BQ357" i="4"/>
  <c r="BP357" i="4"/>
  <c r="BO357" i="4"/>
  <c r="BO305" i="4"/>
  <c r="BP305" i="4"/>
  <c r="BQ305" i="4"/>
  <c r="BR305" i="4"/>
  <c r="BR336" i="4"/>
  <c r="BQ336" i="4"/>
  <c r="BP336" i="4"/>
  <c r="BO336" i="4"/>
  <c r="BR395" i="4"/>
  <c r="BQ395" i="4"/>
  <c r="BP395" i="4"/>
  <c r="BO395" i="4"/>
  <c r="BR345" i="4"/>
  <c r="BQ345" i="4"/>
  <c r="BP345" i="4"/>
  <c r="BO345" i="4"/>
  <c r="BR358" i="4"/>
  <c r="BQ358" i="4"/>
  <c r="BP358" i="4"/>
  <c r="BO358" i="4"/>
  <c r="BR318" i="4"/>
  <c r="BQ318" i="4"/>
  <c r="BP318" i="4"/>
  <c r="BO318" i="4"/>
  <c r="BR314" i="4"/>
  <c r="BQ314" i="4"/>
  <c r="BP314" i="4"/>
  <c r="BO314" i="4"/>
  <c r="BR313" i="4"/>
  <c r="BQ313" i="4"/>
  <c r="BP313" i="4"/>
  <c r="BO313" i="4"/>
  <c r="BR231" i="4"/>
  <c r="BQ231" i="4"/>
  <c r="BP231" i="4"/>
  <c r="BR243" i="4"/>
  <c r="BQ243" i="4"/>
  <c r="BP243" i="4"/>
  <c r="BR393" i="4"/>
  <c r="BQ393" i="4"/>
  <c r="BP393" i="4"/>
  <c r="BO393" i="4"/>
  <c r="BR394" i="4"/>
  <c r="BQ394" i="4"/>
  <c r="BP394" i="4"/>
  <c r="BO394" i="4"/>
  <c r="BR306" i="4"/>
  <c r="BQ306" i="4"/>
  <c r="BP306" i="4"/>
  <c r="BO306" i="4"/>
  <c r="BR331" i="4"/>
  <c r="BQ331" i="4"/>
  <c r="BP331" i="4"/>
  <c r="BO331" i="4"/>
  <c r="BO325" i="4"/>
  <c r="BP325" i="4"/>
  <c r="BQ325" i="4"/>
  <c r="BR325" i="4"/>
  <c r="BO303" i="4"/>
  <c r="BP303" i="4"/>
  <c r="BQ303" i="4"/>
  <c r="BR303" i="4"/>
  <c r="BO309" i="4"/>
  <c r="BP309" i="4"/>
  <c r="BQ309" i="4"/>
  <c r="BR309" i="4"/>
  <c r="BR392" i="4"/>
  <c r="BQ392" i="4"/>
  <c r="BP392" i="4"/>
  <c r="BO392" i="4"/>
  <c r="BR391" i="4"/>
  <c r="BQ391" i="4"/>
  <c r="BP391" i="4"/>
  <c r="BO391" i="4"/>
  <c r="BR390" i="4"/>
  <c r="BQ390" i="4"/>
  <c r="BP390" i="4"/>
  <c r="BO390" i="4"/>
  <c r="BS313" i="4" l="1"/>
  <c r="BS345" i="4"/>
  <c r="BS395" i="4"/>
  <c r="BS318" i="4"/>
  <c r="BS357" i="4"/>
  <c r="BS392" i="4"/>
  <c r="BS331" i="4"/>
  <c r="BS306" i="4"/>
  <c r="BS394" i="4"/>
  <c r="BS393" i="4"/>
  <c r="BS336" i="4"/>
  <c r="BS390" i="4"/>
  <c r="BS391" i="4"/>
  <c r="BS309" i="4"/>
  <c r="BS303" i="4"/>
  <c r="BS325" i="4"/>
  <c r="BS314" i="4"/>
  <c r="BS358" i="4"/>
  <c r="BS305" i="4"/>
  <c r="BP428" i="4"/>
  <c r="BR428" i="4"/>
  <c r="BQ428" i="4"/>
  <c r="BO428" i="4"/>
  <c r="BR433" i="4"/>
  <c r="BR434" i="4" s="1"/>
  <c r="BQ433" i="4"/>
  <c r="BQ434" i="4" s="1"/>
  <c r="BP433" i="4"/>
  <c r="BP434" i="4" s="1"/>
  <c r="BO433" i="4"/>
  <c r="BO434" i="4" s="1"/>
  <c r="BR389" i="4"/>
  <c r="BQ389" i="4"/>
  <c r="BP389" i="4"/>
  <c r="BO389" i="4"/>
  <c r="BR342" i="4"/>
  <c r="BQ342" i="4"/>
  <c r="BP342" i="4"/>
  <c r="BO342" i="4"/>
  <c r="BR341" i="4"/>
  <c r="BR348" i="4" s="1"/>
  <c r="BQ341" i="4"/>
  <c r="BQ348" i="4" s="1"/>
  <c r="BP341" i="4"/>
  <c r="BO341" i="4"/>
  <c r="BR334" i="4"/>
  <c r="BQ334" i="4"/>
  <c r="BP334" i="4"/>
  <c r="BO334" i="4"/>
  <c r="BR333" i="4"/>
  <c r="BQ333" i="4"/>
  <c r="BP333" i="4"/>
  <c r="BO333" i="4"/>
  <c r="BR332" i="4"/>
  <c r="BQ332" i="4"/>
  <c r="BP332" i="4"/>
  <c r="BO332" i="4"/>
  <c r="BR328" i="4"/>
  <c r="BQ328" i="4"/>
  <c r="BP328" i="4"/>
  <c r="BO328" i="4"/>
  <c r="BR327" i="4"/>
  <c r="BQ327" i="4"/>
  <c r="BP327" i="4"/>
  <c r="BO327" i="4"/>
  <c r="BR320" i="4"/>
  <c r="BQ320" i="4"/>
  <c r="BP320" i="4"/>
  <c r="BO320" i="4"/>
  <c r="BR319" i="4"/>
  <c r="BQ319" i="4"/>
  <c r="BP319" i="4"/>
  <c r="BO319" i="4"/>
  <c r="BR316" i="4"/>
  <c r="BQ316" i="4"/>
  <c r="BQ326" i="4" s="1"/>
  <c r="BP316" i="4"/>
  <c r="BO316" i="4"/>
  <c r="BR301" i="4"/>
  <c r="BR315" i="4" s="1"/>
  <c r="BQ301" i="4"/>
  <c r="BQ315" i="4" s="1"/>
  <c r="BP301" i="4"/>
  <c r="BP315" i="4" s="1"/>
  <c r="BO301" i="4"/>
  <c r="BO315" i="4" s="1"/>
  <c r="BR299" i="4"/>
  <c r="BQ299" i="4"/>
  <c r="BP299" i="4"/>
  <c r="BR296" i="4"/>
  <c r="BQ296" i="4"/>
  <c r="BP296" i="4"/>
  <c r="BR295" i="4"/>
  <c r="BQ295" i="4"/>
  <c r="BP295" i="4"/>
  <c r="BR228" i="4"/>
  <c r="BQ228" i="4"/>
  <c r="BP228" i="4"/>
  <c r="BR9" i="4"/>
  <c r="BR22" i="4" s="1"/>
  <c r="BR101" i="4" s="1"/>
  <c r="BR102" i="4" s="1"/>
  <c r="BQ9" i="4"/>
  <c r="BQ22" i="4" s="1"/>
  <c r="BQ101" i="4" s="1"/>
  <c r="BQ102" i="4" s="1"/>
  <c r="BP9" i="4"/>
  <c r="BP22" i="4" s="1"/>
  <c r="BP101" i="4" s="1"/>
  <c r="BP102" i="4" s="1"/>
  <c r="BO9" i="4"/>
  <c r="BO6" i="4"/>
  <c r="BP6" i="4"/>
  <c r="BQ6" i="4"/>
  <c r="BR6" i="4"/>
  <c r="BO7" i="4"/>
  <c r="BP7" i="4"/>
  <c r="BQ7" i="4"/>
  <c r="BR7" i="4"/>
  <c r="J434" i="4"/>
  <c r="J435" i="4" s="1"/>
  <c r="I434" i="4"/>
  <c r="I435" i="4" s="1"/>
  <c r="H434" i="4"/>
  <c r="H435" i="4" s="1"/>
  <c r="G434" i="4"/>
  <c r="BP348" i="4" l="1"/>
  <c r="BO429" i="4"/>
  <c r="BQ429" i="4"/>
  <c r="BR429" i="4"/>
  <c r="BP429" i="4"/>
  <c r="BS315" i="4"/>
  <c r="BS334" i="4"/>
  <c r="K434" i="4"/>
  <c r="BS301" i="4"/>
  <c r="BS327" i="4"/>
  <c r="BS328" i="4"/>
  <c r="BS319" i="4"/>
  <c r="BS320" i="4"/>
  <c r="BS341" i="4"/>
  <c r="BS342" i="4"/>
  <c r="BS428" i="4"/>
  <c r="BS353" i="4"/>
  <c r="BS7" i="4"/>
  <c r="BS6" i="4"/>
  <c r="BS389" i="4"/>
  <c r="BS433" i="4"/>
  <c r="BO22" i="4"/>
  <c r="BS22" i="4" s="1"/>
  <c r="BS9" i="4"/>
  <c r="BO326" i="4"/>
  <c r="BS316" i="4"/>
  <c r="BS434" i="4"/>
  <c r="BS332" i="4"/>
  <c r="BS333" i="4"/>
  <c r="G435" i="4"/>
  <c r="K435" i="4" s="1"/>
  <c r="BP326" i="4"/>
  <c r="BR326" i="4"/>
  <c r="BO340" i="4"/>
  <c r="BP251" i="4"/>
  <c r="BR251" i="4"/>
  <c r="BQ300" i="4"/>
  <c r="BQ340" i="4"/>
  <c r="BO348" i="4"/>
  <c r="BP340" i="4"/>
  <c r="BR340" i="4"/>
  <c r="BQ251" i="4"/>
  <c r="BP432" i="4"/>
  <c r="BR432" i="4"/>
  <c r="BP300" i="4"/>
  <c r="BR300" i="4"/>
  <c r="BO432" i="4"/>
  <c r="BQ432" i="4"/>
  <c r="BP8" i="4"/>
  <c r="BR8" i="4"/>
  <c r="BQ8" i="4"/>
  <c r="BO8" i="4"/>
  <c r="BP294" i="4" l="1"/>
  <c r="BS348" i="4"/>
  <c r="BQ435" i="4"/>
  <c r="BQ294" i="4"/>
  <c r="BR294" i="4"/>
  <c r="BS429" i="4"/>
  <c r="BO101" i="4"/>
  <c r="BO102" i="4" s="1"/>
  <c r="BS102" i="4" s="1"/>
  <c r="BS432" i="4"/>
  <c r="BS340" i="4"/>
  <c r="BS326" i="4"/>
  <c r="BS8" i="4"/>
  <c r="BO435" i="4"/>
  <c r="BR349" i="4"/>
  <c r="BP435" i="4"/>
  <c r="BR435" i="4"/>
  <c r="BP349" i="4"/>
  <c r="BQ349" i="4"/>
  <c r="J436" i="4"/>
  <c r="H436" i="4"/>
  <c r="I436" i="4"/>
  <c r="BS101" i="4" l="1"/>
  <c r="BS435" i="4"/>
  <c r="BR436" i="4"/>
  <c r="BQ436" i="4"/>
  <c r="BP436" i="4"/>
  <c r="BO228" i="4" l="1"/>
  <c r="BS228" i="4" l="1"/>
  <c r="BO231" i="4" l="1"/>
  <c r="BS231" i="4" l="1"/>
  <c r="BO243" i="4" l="1"/>
  <c r="BS243" i="4" l="1"/>
  <c r="BO251" i="4" l="1"/>
  <c r="BO294" i="4" s="1"/>
  <c r="BS294" i="4" l="1"/>
  <c r="BS251" i="4"/>
  <c r="BO295" i="4" l="1"/>
  <c r="BS295" i="4" l="1"/>
  <c r="BO296" i="4"/>
  <c r="BS296" i="4" l="1"/>
  <c r="BO299" i="4"/>
  <c r="BS299" i="4" l="1"/>
  <c r="BO300" i="4" l="1"/>
  <c r="BS300" i="4" l="1"/>
  <c r="BO349" i="4"/>
  <c r="G436" i="4"/>
  <c r="BS349" i="4" l="1"/>
  <c r="K436" i="4"/>
  <c r="BO436" i="4"/>
  <c r="BS43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  <author>KIMMJ</author>
  </authors>
  <commentList>
    <comment ref="AU10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9/1 22,000</t>
        </r>
        <r>
          <rPr>
            <sz val="9"/>
            <color indexed="81"/>
            <rFont val="돋움"/>
            <family val="3"/>
            <charset val="129"/>
          </rPr>
          <t>원권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발권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운영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실수</t>
        </r>
      </text>
    </comment>
    <comment ref="AA36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56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1,002,400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17,900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오발권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셋팅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실수</t>
        </r>
        <r>
          <rPr>
            <sz val="9"/>
            <color indexed="81"/>
            <rFont val="Tahoma"/>
            <family val="2"/>
          </rPr>
          <t>)</t>
        </r>
      </text>
    </comment>
    <comment ref="AA38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50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895,000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17,900</t>
        </r>
        <r>
          <rPr>
            <sz val="9"/>
            <color indexed="81"/>
            <rFont val="돋움"/>
            <family val="3"/>
            <charset val="129"/>
          </rPr>
          <t>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오발권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셋팅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실수</t>
        </r>
        <r>
          <rPr>
            <sz val="9"/>
            <color indexed="81"/>
            <rFont val="Tahoma"/>
            <family val="2"/>
          </rPr>
          <t>)</t>
        </r>
      </text>
    </comment>
    <comment ref="V94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4.21 </t>
        </r>
        <r>
          <rPr>
            <sz val="9"/>
            <color indexed="81"/>
            <rFont val="돋움"/>
            <family val="3"/>
            <charset val="129"/>
          </rPr>
          <t>영수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정문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오발권</t>
        </r>
        <r>
          <rPr>
            <sz val="9"/>
            <color indexed="81"/>
            <rFont val="Tahoma"/>
            <family val="2"/>
          </rPr>
          <t xml:space="preserve"> 34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>+34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원래는</t>
        </r>
        <r>
          <rPr>
            <sz val="9"/>
            <color indexed="81"/>
            <rFont val="Tahoma"/>
            <family val="2"/>
          </rPr>
          <t xml:space="preserve"> 34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>+30</t>
        </r>
        <r>
          <rPr>
            <sz val="9"/>
            <color indexed="81"/>
            <rFont val="돋움"/>
            <family val="3"/>
            <charset val="129"/>
          </rPr>
          <t>천원</t>
        </r>
      </text>
    </comment>
    <comment ref="X103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할인사유는</t>
        </r>
        <r>
          <rPr>
            <sz val="9"/>
            <color indexed="81"/>
            <rFont val="Tahoma"/>
            <family val="2"/>
          </rPr>
          <t xml:space="preserve"> SKMP</t>
        </r>
        <r>
          <rPr>
            <sz val="9"/>
            <color indexed="81"/>
            <rFont val="돋움"/>
            <family val="3"/>
            <charset val="129"/>
          </rPr>
          <t>본인</t>
        </r>
        <r>
          <rPr>
            <sz val="9"/>
            <color indexed="81"/>
            <rFont val="Tahoma"/>
            <family val="2"/>
          </rPr>
          <t>(50%)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실제할인은</t>
        </r>
        <r>
          <rPr>
            <sz val="9"/>
            <color indexed="81"/>
            <rFont val="Tahoma"/>
            <family val="2"/>
          </rPr>
          <t xml:space="preserve"> 40%</t>
        </r>
      </text>
    </comment>
    <comment ref="AK105" authorId="0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29,400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오발권</t>
        </r>
      </text>
    </comment>
    <comment ref="AP107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미인증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AR107" authorId="0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미인증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AP108" authorId="0" shapeId="0" xr:uid="{00000000-0006-0000-00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미인증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AR108" authorId="0" shapeId="0" xr:uid="{00000000-0006-0000-00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미인증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AP109" authorId="0" shapeId="0" xr:uid="{00000000-0006-0000-00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미인증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AP110" authorId="0" shapeId="0" xr:uid="{00000000-0006-0000-00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미인증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X118" authorId="0" shapeId="0" xr:uid="{00000000-0006-0000-0000-00000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살아있었던것으로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운영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>)</t>
        </r>
      </text>
    </comment>
    <comment ref="BJ136" authorId="0" shapeId="0" xr:uid="{00000000-0006-0000-0000-00000E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 xml:space="preserve">천원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20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>)</t>
        </r>
      </text>
    </comment>
    <comment ref="BJ140" authorId="0" shapeId="0" xr:uid="{00000000-0006-0000-0000-00000F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 xml:space="preserve">천원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20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>)</t>
        </r>
      </text>
    </comment>
    <comment ref="V152" authorId="0" shapeId="0" xr:uid="{00000000-0006-0000-0000-000010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
4/18 </t>
        </r>
        <r>
          <rPr>
            <sz val="9"/>
            <color indexed="81"/>
            <rFont val="돋움"/>
            <family val="3"/>
            <charset val="129"/>
          </rPr>
          <t>어른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명만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>,
1</t>
        </r>
        <r>
          <rPr>
            <sz val="9"/>
            <color indexed="81"/>
            <rFont val="돋움"/>
            <family val="3"/>
            <charset val="129"/>
          </rPr>
          <t>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미적용</t>
        </r>
      </text>
    </comment>
    <comment ref="BE199" authorId="0" shapeId="0" xr:uid="{00000000-0006-0000-0000-000011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25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확인시</t>
        </r>
        <r>
          <rPr>
            <sz val="9"/>
            <color indexed="81"/>
            <rFont val="Tahoma"/>
            <family val="2"/>
          </rPr>
          <t xml:space="preserve"> +1
</t>
        </r>
      </text>
    </comment>
    <comment ref="F254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255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돋움"/>
            <family val="3"/>
            <charset val="129"/>
          </rPr>
          <t xml:space="preserve">
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256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257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279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발권프로그램상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키즈가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어린이로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
유아계층으로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</t>
        </r>
      </text>
    </comment>
    <comment ref="F280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발권프로그램상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키즈가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어린이로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
유아계층으로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</t>
        </r>
      </text>
    </comment>
    <comment ref="AA298" authorId="0" shapeId="0" xr:uid="{00000000-0006-0000-0000-00001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인이상</t>
        </r>
      </text>
    </comment>
    <comment ref="AS343" authorId="0" shapeId="0" xr:uid="{00000000-0006-0000-0000-00001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초청이벤트</t>
        </r>
        <r>
          <rPr>
            <sz val="9"/>
            <color indexed="81"/>
            <rFont val="Tahoma"/>
            <family val="2"/>
          </rPr>
          <t xml:space="preserve"> 26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AS344" authorId="0" shapeId="0" xr:uid="{00000000-0006-0000-0000-00001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초청이벤트</t>
        </r>
        <r>
          <rPr>
            <sz val="9"/>
            <color indexed="81"/>
            <rFont val="Tahoma"/>
            <family val="2"/>
          </rPr>
          <t xml:space="preserve"> 8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AP384" authorId="0" shapeId="0" xr:uid="{00000000-0006-0000-0000-00001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-1
</t>
        </r>
        <r>
          <rPr>
            <sz val="9"/>
            <color indexed="81"/>
            <rFont val="돋움"/>
            <family val="3"/>
            <charset val="129"/>
          </rPr>
          <t>대행사로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</text>
    </comment>
    <comment ref="AP417" authorId="0" shapeId="0" xr:uid="{00000000-0006-0000-0000-00001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추석이후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AU421" authorId="0" shapeId="0" xr:uid="{00000000-0006-0000-0000-00001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티켓드림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지류권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판매
</t>
        </r>
        <r>
          <rPr>
            <sz val="9"/>
            <color indexed="81"/>
            <rFont val="Tahoma"/>
            <family val="2"/>
          </rPr>
          <t xml:space="preserve">AFTER1 </t>
        </r>
        <r>
          <rPr>
            <sz val="9"/>
            <color indexed="81"/>
            <rFont val="돋움"/>
            <family val="3"/>
            <charset val="129"/>
          </rPr>
          <t>없어서</t>
        </r>
        <r>
          <rPr>
            <sz val="9"/>
            <color indexed="81"/>
            <rFont val="Tahoma"/>
            <family val="2"/>
          </rPr>
          <t xml:space="preserve"> AFTER12 </t>
        </r>
        <r>
          <rPr>
            <sz val="9"/>
            <color indexed="81"/>
            <rFont val="돋움"/>
            <family val="3"/>
            <charset val="129"/>
          </rPr>
          <t>티켓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  <author>KIMMJ</author>
  </authors>
  <commentList>
    <comment ref="L48" authorId="0" shapeId="0" xr:uid="{F0EF582C-5D41-4778-8021-19058DAE5E4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KB</t>
        </r>
        <r>
          <rPr>
            <sz val="9"/>
            <color indexed="81"/>
            <rFont val="돋움"/>
            <family val="3"/>
            <charset val="129"/>
          </rPr>
          <t>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전산상의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</t>
        </r>
      </text>
    </comment>
    <comment ref="L50" authorId="0" shapeId="0" xr:uid="{31C7B716-9D1B-417C-BA69-E5590AA14383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KB</t>
        </r>
        <r>
          <rPr>
            <sz val="9"/>
            <color indexed="81"/>
            <rFont val="돋움"/>
            <family val="3"/>
            <charset val="129"/>
          </rPr>
          <t>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전산상의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</t>
        </r>
      </text>
    </comment>
    <comment ref="AU59" authorId="0" shapeId="0" xr:uid="{9AF42772-471A-4B7C-A855-3043E8EDD842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268</t>
        </r>
        <r>
          <rPr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>21,900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4,237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AU60" authorId="0" shapeId="0" xr:uid="{370BADA2-DD89-4B18-AC55-9E153102B488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94</t>
        </r>
        <r>
          <rPr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>18,900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1,668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AU61" authorId="0" shapeId="0" xr:uid="{335408E2-FCC1-4290-84D9-24F55E6BF984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211</t>
        </r>
        <r>
          <rPr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>21,900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3,473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AU62" authorId="0" shapeId="0" xr:uid="{43D2212B-2160-4A4A-AFB4-9E1AB65E580B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76</t>
        </r>
        <r>
          <rPr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>18,900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1,413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AP63" authorId="0" shapeId="0" xr:uid="{0AB923B8-501D-48B0-9002-5D5FF6436EB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1,833</t>
        </r>
        <r>
          <rPr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>21,900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10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AU63" authorId="0" shapeId="0" xr:uid="{EF2C97E6-8883-4962-B254-265F78D73BA7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130</t>
        </r>
        <r>
          <rPr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>21,900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1,802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AU64" authorId="0" shapeId="0" xr:uid="{E36D93C0-26E2-446E-8CC3-C507B50E43B4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28</t>
        </r>
        <r>
          <rPr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>18,900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367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AP65" authorId="0" shapeId="0" xr:uid="{C63EE903-F1E4-43BC-AE78-E5B7B3A211C7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1,317</t>
        </r>
        <r>
          <rPr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>21,900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8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AU65" authorId="0" shapeId="0" xr:uid="{A642F821-2D3A-4BD2-9147-7E3E6C03C932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98</t>
        </r>
        <r>
          <rPr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>21,900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1,349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AP66" authorId="0" shapeId="0" xr:uid="{0B6DAD12-3D71-47DA-BFD2-9B79F1302C94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신한카드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더블할인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야간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본인
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써져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동반으로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되어있어야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)</t>
        </r>
      </text>
    </comment>
    <comment ref="AU66" authorId="0" shapeId="0" xr:uid="{86153172-3D44-4695-B5CB-13746A0D4779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16</t>
        </r>
        <r>
          <rPr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>18,900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: 345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X106" authorId="0" shapeId="0" xr:uid="{8DDFD33E-126A-4EE0-86F2-6D1C0F92E80D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4/12 8,600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</t>
        </r>
      </text>
    </comment>
    <comment ref="AF113" authorId="0" shapeId="0" xr:uid="{3DC941B4-E488-4674-B533-7F8ACE4EB43D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▲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AK113" authorId="0" shapeId="0" xr:uid="{AB6DA7A9-805A-44FB-AB26-1097052850C9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▲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L114" authorId="0" shapeId="0" xr:uid="{A0EE8797-2186-409A-B51C-4C42F6430842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2/13 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34,000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</text>
    </comment>
    <comment ref="AA120" authorId="0" shapeId="0" xr:uid="{BD70F923-E074-42A7-A986-57F606F2E201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인패키지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발권해야되는데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명만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</t>
        </r>
      </text>
    </comment>
    <comment ref="V122" authorId="0" shapeId="0" xr:uid="{BB9D253C-068C-4D8B-B865-5139DEE65E93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인패키지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발권해야되는데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명만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</t>
        </r>
      </text>
    </comment>
    <comment ref="AA122" authorId="0" shapeId="0" xr:uid="{FA3169ED-7531-4071-86C0-0129FD8D852A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인패키지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발권해야되는데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명만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</t>
        </r>
      </text>
    </comment>
    <comment ref="Q127" authorId="0" shapeId="0" xr:uid="{A80C4125-7517-44C8-BBE7-FD18872D63AB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미인증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S127" authorId="0" shapeId="0" xr:uid="{EF0FA812-91A9-4DD3-9F0D-3E96921BBD67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미인증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Q172" authorId="0" shapeId="0" xr:uid="{D02BD80C-8D13-4175-B006-5EBD7B2AB1DC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돋움"/>
            <family val="3"/>
            <charset val="129"/>
          </rPr>
          <t>＠</t>
        </r>
        <r>
          <rPr>
            <sz val="9"/>
            <color indexed="81"/>
            <rFont val="Tahoma"/>
            <family val="2"/>
          </rPr>
          <t>15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>=120</t>
        </r>
        <r>
          <rPr>
            <sz val="9"/>
            <color indexed="81"/>
            <rFont val="돋움"/>
            <family val="3"/>
            <charset val="129"/>
          </rPr>
          <t xml:space="preserve">천원
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*@20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>=240</t>
        </r>
        <r>
          <rPr>
            <sz val="9"/>
            <color indexed="81"/>
            <rFont val="돋움"/>
            <family val="3"/>
            <charset val="129"/>
          </rPr>
          <t>천원</t>
        </r>
      </text>
    </comment>
    <comment ref="AK172" authorId="0" shapeId="0" xr:uid="{57E5FCEC-0DD6-43FB-AF97-BB1D8E55318F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7.22~ : 15,000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~7.21 : 20,000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Q176" authorId="0" shapeId="0" xr:uid="{94526D34-9A06-4A06-856C-A17E337B70E4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돋움"/>
            <family val="3"/>
            <charset val="129"/>
          </rPr>
          <t>＠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>=40</t>
        </r>
        <r>
          <rPr>
            <sz val="9"/>
            <color indexed="81"/>
            <rFont val="돋움"/>
            <family val="3"/>
            <charset val="129"/>
          </rPr>
          <t xml:space="preserve">천원
</t>
        </r>
        <r>
          <rPr>
            <sz val="9"/>
            <color indexed="81"/>
            <rFont val="Tahoma"/>
            <family val="2"/>
          </rPr>
          <t>25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*@20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>=500</t>
        </r>
        <r>
          <rPr>
            <sz val="9"/>
            <color indexed="81"/>
            <rFont val="돋움"/>
            <family val="3"/>
            <charset val="129"/>
          </rPr>
          <t>천원</t>
        </r>
      </text>
    </comment>
    <comment ref="S176" authorId="0" shapeId="0" xr:uid="{C3D002D2-22F0-4813-9F8C-CC03AD4DF6CD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돋움"/>
            <family val="3"/>
            <charset val="129"/>
          </rPr>
          <t>＠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>=30</t>
        </r>
        <r>
          <rPr>
            <sz val="9"/>
            <color indexed="81"/>
            <rFont val="돋움"/>
            <family val="3"/>
            <charset val="129"/>
          </rPr>
          <t xml:space="preserve">천원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*@20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>=20</t>
        </r>
        <r>
          <rPr>
            <sz val="9"/>
            <color indexed="81"/>
            <rFont val="돋움"/>
            <family val="3"/>
            <charset val="129"/>
          </rPr>
          <t>천원</t>
        </r>
      </text>
    </comment>
    <comment ref="AK176" authorId="0" shapeId="0" xr:uid="{7F947C9A-5130-44D9-BAC4-5BC262290222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7.22~ : 10,000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~7.21 : 20,000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AZ239" authorId="0" shapeId="0" xr:uid="{015B42FE-8AC7-4E64-9406-E84C6434A316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DC5 : 24,500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DC4 : 20,400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DC1 : 21,000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Q278" authorId="0" shapeId="0" xr:uid="{5FA4623D-06F1-4C09-85B8-AEFE4A328C5D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</text>
    </comment>
    <comment ref="F285" authorId="1" shapeId="0" xr:uid="{794401FE-F849-4328-9035-F8B1FAAA4753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286" authorId="1" shapeId="0" xr:uid="{DA43051B-3956-4213-ADC8-5A03536E3958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돋움"/>
            <family val="3"/>
            <charset val="129"/>
          </rPr>
          <t xml:space="preserve">
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287" authorId="1" shapeId="0" xr:uid="{438D1522-4D2A-4624-B741-A0C4933516DE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288" authorId="1" shapeId="0" xr:uid="{ABCA8C56-0917-499F-98E0-0B6C2AD62AAF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293" authorId="1" shapeId="0" xr:uid="{DE823CD4-1F8A-43E5-B685-9E62DAF082FA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294" authorId="1" shapeId="0" xr:uid="{1836CE02-C7E0-4691-996A-B1910C7FD7FC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돋움"/>
            <family val="3"/>
            <charset val="129"/>
          </rPr>
          <t xml:space="preserve">
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295" authorId="1" shapeId="0" xr:uid="{03D7CF2F-91AA-4707-9064-44A84C6BEDEB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296" authorId="1" shapeId="0" xr:uid="{02E0F36A-70B6-4EED-A514-26804CB76801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AH315" authorId="0" shapeId="0" xr:uid="{0932F7E8-4537-4F5B-AE94-23CAA67C8BDB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
성인으로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발권됨</t>
        </r>
      </text>
    </comment>
    <comment ref="BB315" authorId="0" shapeId="0" xr:uid="{2E4DF9F1-ABF8-48E3-BF65-E821B9DDDA33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발권상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</t>
        </r>
      </text>
    </comment>
    <comment ref="F319" authorId="1" shapeId="0" xr:uid="{D0938D71-3195-4DD2-9B4F-E4EC94A45834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발권프로그램상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키즈가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어린이로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
유아계층으로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</t>
        </r>
      </text>
    </comment>
    <comment ref="F320" authorId="1" shapeId="0" xr:uid="{2DAF3D9C-C650-46F8-8826-295599D90624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발권프로그램상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키즈가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어린이로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
유아계층으로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</t>
        </r>
      </text>
    </comment>
    <comment ref="S325" authorId="0" shapeId="0" xr:uid="{62709D82-AE8D-4F4D-9101-DC45FE0AFBE8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L435" authorId="0" shapeId="0" xr:uid="{398C71B4-7EAB-44FE-BE37-3D8A0B57987F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겨울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종일권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</text>
    </comment>
    <comment ref="Q435" authorId="0" shapeId="0" xr:uid="{551B9B94-007F-4BF8-874B-660AD658BC06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여름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종일권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매</t>
        </r>
      </text>
    </comment>
    <comment ref="L436" authorId="0" shapeId="0" xr:uid="{2BAA7408-D164-406C-8F09-5E1031E19BE9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대행사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평일권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여름</t>
        </r>
        <r>
          <rPr>
            <sz val="9"/>
            <color indexed="81"/>
            <rFont val="Tahoma"/>
            <family val="2"/>
          </rPr>
          <t>) 1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  <author>KIMMJ</author>
  </authors>
  <commentList>
    <comment ref="AF39" authorId="0" shapeId="0" xr:uid="{4D60306B-2034-4092-9081-4BDFEEFAB8E5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- 83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1,651,700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20,900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- 131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2,737,900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AF41" authorId="0" shapeId="0" xr:uid="{294C62DA-8312-4D59-BE06-017F2FD528E8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- 65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1,293,500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20,900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- 91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1,901,900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AF43" authorId="0" shapeId="0" xr:uid="{426E61D5-E9EB-48A4-AA05-21D2AB69C722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- 13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258,700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20,900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- 13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271,700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AF45" authorId="0" shapeId="0" xr:uid="{7B063D9E-A359-4426-9C41-E8389D72BACE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- 10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199,000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20,900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- 7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146,300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AF47" authorId="0" shapeId="0" xr:uid="{A5C24500-728B-4F50-9FE9-98FB4305DED6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- 142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2,825,800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17,900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- 167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2,989,300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AF49" authorId="0" shapeId="0" xr:uid="{426B4DC1-34DC-4FF9-ACA4-A6A13B5FA65E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- 117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2,328,300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17,900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- 145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2,595,500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AF51" authorId="0" shapeId="0" xr:uid="{E5A3A078-3405-428A-845A-986405324005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- 232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4,616,800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17,900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- 216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3,866,400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AF53" authorId="0" shapeId="0" xr:uid="{2636CD3A-51A9-450D-93F0-080E9893E1F5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- 180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3,582,000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20,900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- 183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3,275,700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AA166" authorId="0" shapeId="0" xr:uid="{10AFE48A-BDEF-4E02-97ED-C2390DADBF1B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동반</t>
        </r>
        <r>
          <rPr>
            <sz val="9"/>
            <color indexed="81"/>
            <rFont val="Tahoma"/>
            <family val="2"/>
          </rPr>
          <t>40%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BG295" authorId="0" shapeId="0" xr:uid="{90B1F11B-3513-4F6A-8992-E0F7635DEC58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어른으로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되있음</t>
        </r>
      </text>
    </comment>
    <comment ref="F332" authorId="1" shapeId="0" xr:uid="{72C5610B-F7E6-4B40-AA8A-8F2BABEDE4A2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333" authorId="1" shapeId="0" xr:uid="{870CE2E1-9C13-4EC2-AE74-1765AFBAE693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돋움"/>
            <family val="3"/>
            <charset val="129"/>
          </rPr>
          <t xml:space="preserve">
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334" authorId="1" shapeId="0" xr:uid="{BD982321-E29D-4138-A793-49033E2139FA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F335" authorId="1" shapeId="0" xr:uid="{6F561EF7-2417-40E6-AAFD-2D9C9B0A55CD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키즈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유아로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산입</t>
        </r>
      </text>
    </comment>
    <comment ref="AM353" authorId="0" shapeId="0" xr:uid="{C5030450-0F71-4ACB-9E08-E92C1D427C0E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어른으로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잘못되있음</t>
        </r>
      </text>
    </comment>
    <comment ref="F359" authorId="1" shapeId="0" xr:uid="{50290646-FD34-46A1-9693-FB5FCF762F51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발권프로그램상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키즈가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어린이로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
유아계층으로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</t>
        </r>
      </text>
    </comment>
    <comment ref="F360" authorId="1" shapeId="0" xr:uid="{E998B3B5-88EA-47EF-AA0E-1AF0F3C427B1}">
      <text>
        <r>
          <rPr>
            <b/>
            <sz val="9"/>
            <color indexed="81"/>
            <rFont val="Tahoma"/>
            <family val="2"/>
          </rPr>
          <t>KIMMJ: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발권프로그램상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키즈가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어린이로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발권
유아계층으로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</t>
        </r>
      </text>
    </comment>
  </commentList>
</comments>
</file>

<file path=xl/sharedStrings.xml><?xml version="1.0" encoding="utf-8"?>
<sst xmlns="http://schemas.openxmlformats.org/spreadsheetml/2006/main" count="1857" uniqueCount="853">
  <si>
    <t>할인</t>
    <phoneticPr fontId="1" type="noConversion"/>
  </si>
  <si>
    <t>프로모션</t>
    <phoneticPr fontId="1" type="noConversion"/>
  </si>
  <si>
    <t>1월</t>
    <phoneticPr fontId="1" type="noConversion"/>
  </si>
  <si>
    <t>구 분</t>
    <phoneticPr fontId="1" type="noConversion"/>
  </si>
  <si>
    <t>합 계</t>
    <phoneticPr fontId="1" type="noConversion"/>
  </si>
  <si>
    <t>기타</t>
    <phoneticPr fontId="1" type="noConversion"/>
  </si>
  <si>
    <t>3월</t>
    <phoneticPr fontId="1" type="noConversion"/>
  </si>
  <si>
    <t>어른</t>
    <phoneticPr fontId="1" type="noConversion"/>
  </si>
  <si>
    <t>청소년</t>
    <phoneticPr fontId="1" type="noConversion"/>
  </si>
  <si>
    <t>어린이</t>
    <phoneticPr fontId="1" type="noConversion"/>
  </si>
  <si>
    <t>유아</t>
    <phoneticPr fontId="1" type="noConversion"/>
  </si>
  <si>
    <t>입장객</t>
    <phoneticPr fontId="1" type="noConversion"/>
  </si>
  <si>
    <t>카드사</t>
    <phoneticPr fontId="1" type="noConversion"/>
  </si>
  <si>
    <t>제휴
카드</t>
    <phoneticPr fontId="1" type="noConversion"/>
  </si>
  <si>
    <t>합계</t>
    <phoneticPr fontId="1" type="noConversion"/>
  </si>
  <si>
    <t>일반</t>
    <phoneticPr fontId="1" type="noConversion"/>
  </si>
  <si>
    <t>학단</t>
    <phoneticPr fontId="1" type="noConversion"/>
  </si>
  <si>
    <t>외국인</t>
    <phoneticPr fontId="1" type="noConversion"/>
  </si>
  <si>
    <t>기타</t>
    <phoneticPr fontId="1" type="noConversion"/>
  </si>
  <si>
    <t>기업행사</t>
    <phoneticPr fontId="1" type="noConversion"/>
  </si>
  <si>
    <t>2월</t>
    <phoneticPr fontId="1" type="noConversion"/>
  </si>
  <si>
    <t>연간 합계</t>
    <phoneticPr fontId="1" type="noConversion"/>
  </si>
  <si>
    <t>총 합 계</t>
    <phoneticPr fontId="1" type="noConversion"/>
  </si>
  <si>
    <t>단체</t>
    <phoneticPr fontId="1" type="noConversion"/>
  </si>
  <si>
    <t>특판</t>
    <phoneticPr fontId="1" type="noConversion"/>
  </si>
  <si>
    <t>총 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</si>
  <si>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</si>
  <si>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</si>
  <si>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</si>
  <si>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</si>
  <si>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</si>
  <si>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</si>
  <si>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</si>
  <si>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</si>
  <si>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</si>
  <si>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순개인</t>
    <phoneticPr fontId="1" type="noConversion"/>
  </si>
  <si>
    <t>개인</t>
    <phoneticPr fontId="1" type="noConversion"/>
  </si>
  <si>
    <t>제휴</t>
    <phoneticPr fontId="1" type="noConversion"/>
  </si>
  <si>
    <t>대행사</t>
    <phoneticPr fontId="1" type="noConversion"/>
  </si>
  <si>
    <t>파크이용권(종일)</t>
    <phoneticPr fontId="1" type="noConversion"/>
  </si>
  <si>
    <t>파크이용권(야간)</t>
    <phoneticPr fontId="1" type="noConversion"/>
  </si>
  <si>
    <t>BC</t>
    <phoneticPr fontId="1" type="noConversion"/>
  </si>
  <si>
    <t>국민</t>
    <phoneticPr fontId="1" type="noConversion"/>
  </si>
  <si>
    <t>신한</t>
    <phoneticPr fontId="1" type="noConversion"/>
  </si>
  <si>
    <t>삼성</t>
    <phoneticPr fontId="1" type="noConversion"/>
  </si>
  <si>
    <t>시티</t>
    <phoneticPr fontId="1" type="noConversion"/>
  </si>
  <si>
    <t>하나</t>
    <phoneticPr fontId="1" type="noConversion"/>
  </si>
  <si>
    <t>농협</t>
    <phoneticPr fontId="1" type="noConversion"/>
  </si>
  <si>
    <t>현대</t>
    <phoneticPr fontId="1" type="noConversion"/>
  </si>
  <si>
    <t>할인(주간)</t>
    <phoneticPr fontId="1" type="noConversion"/>
  </si>
  <si>
    <t>할인(야간)</t>
    <phoneticPr fontId="1" type="noConversion"/>
  </si>
  <si>
    <t>동반할인(주간)</t>
    <phoneticPr fontId="1" type="noConversion"/>
  </si>
  <si>
    <t>동반할인(야간)</t>
    <phoneticPr fontId="1" type="noConversion"/>
  </si>
  <si>
    <t>무료입장(주간)</t>
    <phoneticPr fontId="1" type="noConversion"/>
  </si>
  <si>
    <t>소 계</t>
    <phoneticPr fontId="1" type="noConversion"/>
  </si>
  <si>
    <t>소 계</t>
    <phoneticPr fontId="1" type="noConversion"/>
  </si>
  <si>
    <t>M포인트(주간)</t>
    <phoneticPr fontId="1" type="noConversion"/>
  </si>
  <si>
    <t>합 계</t>
    <phoneticPr fontId="1" type="noConversion"/>
  </si>
  <si>
    <t>LGU+</t>
    <phoneticPr fontId="1" type="noConversion"/>
  </si>
  <si>
    <t>멤버쉽(VIP)-종일</t>
    <phoneticPr fontId="1" type="noConversion"/>
  </si>
  <si>
    <t>멤버쉽(VIP)-야간</t>
    <phoneticPr fontId="1" type="noConversion"/>
  </si>
  <si>
    <t>멤버쉽(일반)-종일</t>
    <phoneticPr fontId="1" type="noConversion"/>
  </si>
  <si>
    <t>멤버쉽(일반)-야간</t>
    <phoneticPr fontId="1" type="noConversion"/>
  </si>
  <si>
    <t>상시</t>
    <phoneticPr fontId="1" type="noConversion"/>
  </si>
  <si>
    <t>기아멤버스(본인)-종일</t>
    <phoneticPr fontId="1" type="noConversion"/>
  </si>
  <si>
    <t>기아멤버스(본인)-야간</t>
    <phoneticPr fontId="1" type="noConversion"/>
  </si>
  <si>
    <t>기아멤버스(동반)-종일</t>
    <phoneticPr fontId="1" type="noConversion"/>
  </si>
  <si>
    <t>복지-주간</t>
    <phoneticPr fontId="1" type="noConversion"/>
  </si>
  <si>
    <t>복지-야간</t>
    <phoneticPr fontId="1" type="noConversion"/>
  </si>
  <si>
    <t>기간</t>
    <phoneticPr fontId="1" type="noConversion"/>
  </si>
  <si>
    <t>미취학아동(주간)</t>
    <phoneticPr fontId="1" type="noConversion"/>
  </si>
  <si>
    <t>미취학아동(야간)</t>
    <phoneticPr fontId="1" type="noConversion"/>
  </si>
  <si>
    <t>재방문할인-종일</t>
    <phoneticPr fontId="1" type="noConversion"/>
  </si>
  <si>
    <t>재방문할인-야간</t>
    <phoneticPr fontId="1" type="noConversion"/>
  </si>
  <si>
    <t>연간이용권</t>
    <phoneticPr fontId="1" type="noConversion"/>
  </si>
  <si>
    <t>랜드권</t>
    <phoneticPr fontId="1" type="noConversion"/>
  </si>
  <si>
    <t>과천다사랑</t>
    <phoneticPr fontId="1" type="noConversion"/>
  </si>
  <si>
    <t>신규</t>
    <phoneticPr fontId="1" type="noConversion"/>
  </si>
  <si>
    <t>재가입1회</t>
    <phoneticPr fontId="1" type="noConversion"/>
  </si>
  <si>
    <t>재가입2회</t>
    <phoneticPr fontId="1" type="noConversion"/>
  </si>
  <si>
    <t>재가입3회</t>
    <phoneticPr fontId="1" type="noConversion"/>
  </si>
  <si>
    <t>둘모아</t>
    <phoneticPr fontId="1" type="noConversion"/>
  </si>
  <si>
    <t>다모아</t>
    <phoneticPr fontId="1" type="noConversion"/>
  </si>
  <si>
    <t>재가입</t>
    <phoneticPr fontId="1" type="noConversion"/>
  </si>
  <si>
    <t>실버-신규</t>
    <phoneticPr fontId="1" type="noConversion"/>
  </si>
  <si>
    <t>실버-재가입</t>
    <phoneticPr fontId="1" type="noConversion"/>
  </si>
  <si>
    <t>시즌권</t>
    <phoneticPr fontId="1" type="noConversion"/>
  </si>
  <si>
    <t>초등</t>
    <phoneticPr fontId="1" type="noConversion"/>
  </si>
  <si>
    <t>중고</t>
    <phoneticPr fontId="1" type="noConversion"/>
  </si>
  <si>
    <t>기타</t>
    <phoneticPr fontId="1" type="noConversion"/>
  </si>
  <si>
    <t>■ 발권시스템 매출 : 세부 (합계에는 카드/통신사 입장객 제외)</t>
    <phoneticPr fontId="1" type="noConversion"/>
  </si>
  <si>
    <t>유아</t>
    <phoneticPr fontId="1" type="noConversion"/>
  </si>
  <si>
    <t>학원</t>
    <phoneticPr fontId="1" type="noConversion"/>
  </si>
  <si>
    <t>유아단체(비수기)</t>
    <phoneticPr fontId="1" type="noConversion"/>
  </si>
  <si>
    <t>학원단체(비수기)</t>
    <phoneticPr fontId="1" type="noConversion"/>
  </si>
  <si>
    <t>국외</t>
    <phoneticPr fontId="1" type="noConversion"/>
  </si>
  <si>
    <t>국외 외국인(단체성수기)</t>
    <phoneticPr fontId="1" type="noConversion"/>
  </si>
  <si>
    <t>국외 외국인(단체비수기)</t>
    <phoneticPr fontId="1" type="noConversion"/>
  </si>
  <si>
    <t>파크이용권(종일)</t>
    <phoneticPr fontId="1" type="noConversion"/>
  </si>
  <si>
    <t>일반</t>
    <phoneticPr fontId="1" type="noConversion"/>
  </si>
  <si>
    <t>외국인쿠폰할인(1)-주간</t>
    <phoneticPr fontId="1" type="noConversion"/>
  </si>
  <si>
    <t>외국인쿠폰할인(1)-야간</t>
    <phoneticPr fontId="1" type="noConversion"/>
  </si>
  <si>
    <t>쿠폰</t>
    <phoneticPr fontId="1" type="noConversion"/>
  </si>
  <si>
    <t>국내 외국인(단체)</t>
    <phoneticPr fontId="1" type="noConversion"/>
  </si>
  <si>
    <t>교원우대-종일</t>
    <phoneticPr fontId="1" type="noConversion"/>
  </si>
  <si>
    <t>교원우대-After4</t>
    <phoneticPr fontId="1" type="noConversion"/>
  </si>
  <si>
    <t>VIP동반</t>
    <phoneticPr fontId="1" type="noConversion"/>
  </si>
  <si>
    <t>파크이용권(특판)</t>
    <phoneticPr fontId="1" type="noConversion"/>
  </si>
  <si>
    <t>직판</t>
    <phoneticPr fontId="1" type="noConversion"/>
  </si>
  <si>
    <t>파크이용권DC</t>
    <phoneticPr fontId="1" type="noConversion"/>
  </si>
  <si>
    <t>파크이용권DC2</t>
    <phoneticPr fontId="1" type="noConversion"/>
  </si>
  <si>
    <t>40%(주간)</t>
    <phoneticPr fontId="1" type="noConversion"/>
  </si>
  <si>
    <t>40%(야간)</t>
    <phoneticPr fontId="1" type="noConversion"/>
  </si>
  <si>
    <t>문화누리(본인)-종일</t>
    <phoneticPr fontId="1" type="noConversion"/>
  </si>
  <si>
    <t>문화누리(동반)-야간</t>
    <phoneticPr fontId="1" type="noConversion"/>
  </si>
  <si>
    <t>문화누리(본인)-야간</t>
    <phoneticPr fontId="1" type="noConversion"/>
  </si>
  <si>
    <t>문화누리(동반)-종일</t>
    <phoneticPr fontId="1" type="noConversion"/>
  </si>
  <si>
    <t>관계사50%-주간</t>
    <phoneticPr fontId="1" type="noConversion"/>
  </si>
  <si>
    <t>직원할인</t>
    <phoneticPr fontId="1" type="noConversion"/>
  </si>
  <si>
    <t>외국인(주/야)쿠폰할인(2)</t>
    <phoneticPr fontId="1" type="noConversion"/>
  </si>
  <si>
    <t>유효기간OFF할인(단체)</t>
    <phoneticPr fontId="1" type="noConversion"/>
  </si>
  <si>
    <t>파크이용권DC3</t>
    <phoneticPr fontId="1" type="noConversion"/>
  </si>
  <si>
    <t>파크이용권DC4</t>
    <phoneticPr fontId="1" type="noConversion"/>
  </si>
  <si>
    <t>M포인트(야간)</t>
    <phoneticPr fontId="1" type="noConversion"/>
  </si>
  <si>
    <t>국가유공자 50%-종일</t>
    <phoneticPr fontId="1" type="noConversion"/>
  </si>
  <si>
    <t>국가유공자 50%-야간</t>
    <phoneticPr fontId="1" type="noConversion"/>
  </si>
  <si>
    <t>일반단체(비수기)</t>
    <phoneticPr fontId="1" type="noConversion"/>
  </si>
  <si>
    <t>유효기간OFF할인(지류특판)</t>
    <phoneticPr fontId="1" type="noConversion"/>
  </si>
  <si>
    <t>파크이용권DC5</t>
    <phoneticPr fontId="1" type="noConversion"/>
  </si>
  <si>
    <t>더블할인(주간)</t>
    <phoneticPr fontId="1" type="noConversion"/>
  </si>
  <si>
    <t>더블할인(야간)</t>
    <phoneticPr fontId="1" type="noConversion"/>
  </si>
  <si>
    <t>일반단체(성수기)</t>
    <phoneticPr fontId="1" type="noConversion"/>
  </si>
  <si>
    <t>중고단체(성수기)</t>
    <phoneticPr fontId="1" type="noConversion"/>
  </si>
  <si>
    <t>초등단체(해피타임)</t>
    <phoneticPr fontId="1" type="noConversion"/>
  </si>
  <si>
    <t>학원단체(해피타임)</t>
    <phoneticPr fontId="1" type="noConversion"/>
  </si>
  <si>
    <t>연맹</t>
    <phoneticPr fontId="1" type="noConversion"/>
  </si>
  <si>
    <t>중고단체(지방)</t>
    <phoneticPr fontId="1" type="noConversion"/>
  </si>
  <si>
    <t>학원단체(성수기)</t>
    <phoneticPr fontId="1" type="noConversion"/>
  </si>
  <si>
    <t>관계사50%-야간</t>
    <phoneticPr fontId="1" type="noConversion"/>
  </si>
  <si>
    <t>대학생AFTER2</t>
    <phoneticPr fontId="1" type="noConversion"/>
  </si>
  <si>
    <t>중고단체(비수기)</t>
    <phoneticPr fontId="1" type="noConversion"/>
  </si>
  <si>
    <t>더블할인(주간)-동반</t>
    <phoneticPr fontId="1" type="noConversion"/>
  </si>
  <si>
    <t>더블할인(야간)-동반</t>
    <phoneticPr fontId="1" type="noConversion"/>
  </si>
  <si>
    <t>에어서울-야간</t>
    <phoneticPr fontId="1" type="noConversion"/>
  </si>
  <si>
    <t>에어서울-주간</t>
    <phoneticPr fontId="1" type="noConversion"/>
  </si>
  <si>
    <t>실버-재가입1회</t>
    <phoneticPr fontId="1" type="noConversion"/>
  </si>
  <si>
    <t>실버-재가입2회</t>
    <phoneticPr fontId="1" type="noConversion"/>
  </si>
  <si>
    <t>실버-재가입3회</t>
    <phoneticPr fontId="1" type="noConversion"/>
  </si>
  <si>
    <t>멤버쉽(일반)-종일 / 프로모션</t>
    <phoneticPr fontId="1" type="noConversion"/>
  </si>
  <si>
    <t>멤버쉽(일반)-야간 / 프로모션</t>
    <phoneticPr fontId="1" type="noConversion"/>
  </si>
  <si>
    <t>M포인트(주간)-프로모션</t>
    <phoneticPr fontId="1" type="noConversion"/>
  </si>
  <si>
    <t>M포인트(야간)-프로모션</t>
    <phoneticPr fontId="1" type="noConversion"/>
  </si>
  <si>
    <t>롯데</t>
    <phoneticPr fontId="1" type="noConversion"/>
  </si>
  <si>
    <t>SKT</t>
    <phoneticPr fontId="1" type="noConversion"/>
  </si>
  <si>
    <t>멤버쉽(본인)-종일</t>
    <phoneticPr fontId="1" type="noConversion"/>
  </si>
  <si>
    <t>멤버쉽(본인)-야간</t>
    <phoneticPr fontId="1" type="noConversion"/>
  </si>
  <si>
    <t>멤버쉽(동반)-종일</t>
    <phoneticPr fontId="1" type="noConversion"/>
  </si>
  <si>
    <t>멤버쉽(동반)-야간</t>
    <phoneticPr fontId="1" type="noConversion"/>
  </si>
  <si>
    <t>멤버쉽(동반)-종일 / 프로모션</t>
    <phoneticPr fontId="1" type="noConversion"/>
  </si>
  <si>
    <t>멤버쉽(동반)-야간 / 프로모션</t>
    <phoneticPr fontId="1" type="noConversion"/>
  </si>
  <si>
    <t>띠할인(본인)-주간</t>
    <phoneticPr fontId="1" type="noConversion"/>
  </si>
  <si>
    <t>띠할인(본인)-야간</t>
    <phoneticPr fontId="1" type="noConversion"/>
  </si>
  <si>
    <t>띠할인(동반)-주간</t>
    <phoneticPr fontId="1" type="noConversion"/>
  </si>
  <si>
    <t>띠할인(동반)-야간</t>
    <phoneticPr fontId="1" type="noConversion"/>
  </si>
  <si>
    <t>코스프레-주간</t>
  </si>
  <si>
    <t>코스프레 AFTER12</t>
  </si>
  <si>
    <t>초중고졸업입학(본인)-종일</t>
    <phoneticPr fontId="1" type="noConversion"/>
  </si>
  <si>
    <t>초중고졸업입학(본인)-야간</t>
    <phoneticPr fontId="1" type="noConversion"/>
  </si>
  <si>
    <t>초중고졸업입학(동반)-종일</t>
    <phoneticPr fontId="1" type="noConversion"/>
  </si>
  <si>
    <t>초중고졸업입학(동반)-야간</t>
    <phoneticPr fontId="1" type="noConversion"/>
  </si>
  <si>
    <t>초등단체(비수기)</t>
    <phoneticPr fontId="1" type="noConversion"/>
  </si>
  <si>
    <t>주말학원(1,2월)</t>
    <phoneticPr fontId="1" type="noConversion"/>
  </si>
  <si>
    <t>띠할인</t>
    <phoneticPr fontId="1" type="noConversion"/>
  </si>
  <si>
    <t>멤버쉽(본인)-종일 / 프로모션</t>
    <phoneticPr fontId="1" type="noConversion"/>
  </si>
  <si>
    <t>멤버쉽(본인)-야간 / 프로모션</t>
    <phoneticPr fontId="1" type="noConversion"/>
  </si>
  <si>
    <t xml:space="preserve">멤버쉽(본인)-종일 </t>
    <phoneticPr fontId="1" type="noConversion"/>
  </si>
  <si>
    <t xml:space="preserve">멤버쉽(동반)-종일 </t>
    <phoneticPr fontId="1" type="noConversion"/>
  </si>
  <si>
    <t>초등단체(성수기)</t>
    <phoneticPr fontId="1" type="noConversion"/>
  </si>
  <si>
    <t>중고대학생(주간)</t>
    <phoneticPr fontId="1" type="noConversion"/>
  </si>
  <si>
    <t>중고대학생(야간)</t>
    <phoneticPr fontId="1" type="noConversion"/>
  </si>
  <si>
    <t>대중교통(주간)</t>
    <phoneticPr fontId="1" type="noConversion"/>
  </si>
  <si>
    <t>대중교통(야간)</t>
    <phoneticPr fontId="1" type="noConversion"/>
  </si>
  <si>
    <t>재방문할인-종일(UP)</t>
    <phoneticPr fontId="1" type="noConversion"/>
  </si>
  <si>
    <t>재방문할인-야간(UP)</t>
    <phoneticPr fontId="1" type="noConversion"/>
  </si>
  <si>
    <t>대학교단체</t>
    <phoneticPr fontId="1" type="noConversion"/>
  </si>
  <si>
    <t>초등단체(지방)</t>
    <phoneticPr fontId="1" type="noConversion"/>
  </si>
  <si>
    <t>중고단체AFTER12</t>
    <phoneticPr fontId="1" type="noConversion"/>
  </si>
  <si>
    <t>유아단체(성수기)</t>
    <phoneticPr fontId="1" type="noConversion"/>
  </si>
  <si>
    <t>유아단체(해피타임)</t>
    <phoneticPr fontId="1" type="noConversion"/>
  </si>
  <si>
    <t>국외 외국인(경기관광공사 프로모션)</t>
    <phoneticPr fontId="1" type="noConversion"/>
  </si>
  <si>
    <t>중고단체(지방AFTER2)</t>
    <phoneticPr fontId="1" type="noConversion"/>
  </si>
  <si>
    <t>중고단체(입장)</t>
    <phoneticPr fontId="1" type="noConversion"/>
  </si>
  <si>
    <t>중고단체(축제)</t>
    <phoneticPr fontId="1" type="noConversion"/>
  </si>
  <si>
    <t>페이코 포인트할인(본인)</t>
    <phoneticPr fontId="1" type="noConversion"/>
  </si>
  <si>
    <t>페이코 포인트할인(동반)</t>
    <phoneticPr fontId="1" type="noConversion"/>
  </si>
  <si>
    <t>감성교복패키지(주간)</t>
    <phoneticPr fontId="1" type="noConversion"/>
  </si>
  <si>
    <t>더블할인(주간)</t>
    <phoneticPr fontId="1" type="noConversion"/>
  </si>
  <si>
    <t>더블할인(야간)</t>
    <phoneticPr fontId="1" type="noConversion"/>
  </si>
  <si>
    <t>더블할인(주간)-동반</t>
    <phoneticPr fontId="1" type="noConversion"/>
  </si>
  <si>
    <t>관계사</t>
    <phoneticPr fontId="1" type="noConversion"/>
  </si>
  <si>
    <t>KT</t>
    <phoneticPr fontId="1" type="noConversion"/>
  </si>
  <si>
    <t>통신사</t>
    <phoneticPr fontId="1" type="noConversion"/>
  </si>
  <si>
    <t>통신사</t>
    <phoneticPr fontId="1" type="noConversion"/>
  </si>
  <si>
    <t>멤버쉽(본인)-종일 / 프로모션</t>
  </si>
  <si>
    <t>멤버쉽(본인)-야간 / 프로모션</t>
  </si>
  <si>
    <t>멤버쉽(동반)-종일 / 프로모션</t>
  </si>
  <si>
    <t>멤버쉽(동반)-야간 / 프로모션</t>
  </si>
  <si>
    <t>기아멤버스(동반)-야간</t>
    <phoneticPr fontId="1" type="noConversion"/>
  </si>
  <si>
    <t>생일(본인-40%)-종일</t>
    <phoneticPr fontId="1" type="noConversion"/>
  </si>
  <si>
    <t>생일(본인-40%)-야간</t>
    <phoneticPr fontId="1" type="noConversion"/>
  </si>
  <si>
    <t>생일(동반-40%)-종일</t>
    <phoneticPr fontId="1" type="noConversion"/>
  </si>
  <si>
    <t>생일(동반-40%)-야간</t>
    <phoneticPr fontId="1" type="noConversion"/>
  </si>
  <si>
    <t>6개월 기간특가</t>
    <phoneticPr fontId="1" type="noConversion"/>
  </si>
  <si>
    <t>6개월 1일특가</t>
    <phoneticPr fontId="1" type="noConversion"/>
  </si>
  <si>
    <t>3개월 1일특가</t>
    <phoneticPr fontId="1" type="noConversion"/>
  </si>
  <si>
    <t>3개월 기간특가</t>
    <phoneticPr fontId="1" type="noConversion"/>
  </si>
  <si>
    <t>상시권 AFTER4</t>
    <phoneticPr fontId="1" type="noConversion"/>
  </si>
  <si>
    <t>기간특가 종일권</t>
    <phoneticPr fontId="1" type="noConversion"/>
  </si>
  <si>
    <t>상시권 종일권</t>
    <phoneticPr fontId="1" type="noConversion"/>
  </si>
  <si>
    <t>기간특가 AFTER2</t>
    <phoneticPr fontId="1" type="noConversion"/>
  </si>
  <si>
    <t>기간특가 AFTER4</t>
    <phoneticPr fontId="1" type="noConversion"/>
  </si>
  <si>
    <t>기간특가 AFTER6</t>
    <phoneticPr fontId="1" type="noConversion"/>
  </si>
  <si>
    <t>기간특가 어린이권</t>
    <phoneticPr fontId="1" type="noConversion"/>
  </si>
  <si>
    <t>1일특가 AFTER2</t>
    <phoneticPr fontId="1" type="noConversion"/>
  </si>
  <si>
    <t>1일특가 종일권(DOWN)</t>
    <phoneticPr fontId="1" type="noConversion"/>
  </si>
  <si>
    <t>라이버커머스 특가-방송외</t>
    <phoneticPr fontId="1" type="noConversion"/>
  </si>
  <si>
    <t>라이버커머스 특가-방송중</t>
    <phoneticPr fontId="1" type="noConversion"/>
  </si>
  <si>
    <t>유아단체(비수기)-1~2월</t>
    <phoneticPr fontId="1" type="noConversion"/>
  </si>
  <si>
    <t>가을 직판 종일권(22년)</t>
  </si>
  <si>
    <t>가을 직판 AFTER1(22년)</t>
  </si>
  <si>
    <t>가을 직판 AFTER4(22년)</t>
  </si>
  <si>
    <t>선물용(분기권)-17</t>
  </si>
  <si>
    <t>선물용(분기권)-18</t>
  </si>
  <si>
    <t>선물용(분기권)-19</t>
  </si>
  <si>
    <t>선물용(반기권)-20</t>
    <phoneticPr fontId="1" type="noConversion"/>
  </si>
  <si>
    <t>선물용(반기권)-21</t>
    <phoneticPr fontId="1" type="noConversion"/>
  </si>
  <si>
    <t>겨울 직판 종일권</t>
  </si>
  <si>
    <t>겨울 직판 AFTER1</t>
  </si>
  <si>
    <t>가을 종일권(22년)</t>
    <phoneticPr fontId="1" type="noConversion"/>
  </si>
  <si>
    <t>가을 AFTER1(22년)</t>
    <phoneticPr fontId="1" type="noConversion"/>
  </si>
  <si>
    <t>가을 AFTER4(22년)</t>
    <phoneticPr fontId="1" type="noConversion"/>
  </si>
  <si>
    <t>겨울 종일권</t>
    <phoneticPr fontId="1" type="noConversion"/>
  </si>
  <si>
    <t>겨울 AFTER1</t>
    <phoneticPr fontId="1" type="noConversion"/>
  </si>
  <si>
    <t>겨울 종일권(현장)</t>
    <phoneticPr fontId="1" type="noConversion"/>
  </si>
  <si>
    <t>겨울 AFTER1(현장)</t>
    <phoneticPr fontId="1" type="noConversion"/>
  </si>
  <si>
    <t>대행사 선물용(국민VIP)</t>
    <phoneticPr fontId="1" type="noConversion"/>
  </si>
  <si>
    <t>1일특가</t>
    <phoneticPr fontId="1" type="noConversion"/>
  </si>
  <si>
    <t>기간특가</t>
    <phoneticPr fontId="1" type="noConversion"/>
  </si>
  <si>
    <t>2인권패키지권</t>
    <phoneticPr fontId="1" type="noConversion"/>
  </si>
  <si>
    <t>기간특가 AFTER2(평일권)</t>
    <phoneticPr fontId="1" type="noConversion"/>
  </si>
  <si>
    <t>봄 직판 종일권</t>
    <phoneticPr fontId="1" type="noConversion"/>
  </si>
  <si>
    <t>봄 직판 평일권</t>
    <phoneticPr fontId="1" type="noConversion"/>
  </si>
  <si>
    <t>봄 직판 AFTER4</t>
    <phoneticPr fontId="1" type="noConversion"/>
  </si>
  <si>
    <t>봄 직판 AFTER1</t>
    <phoneticPr fontId="1" type="noConversion"/>
  </si>
  <si>
    <t>대행사 봄 종일권</t>
    <phoneticPr fontId="1" type="noConversion"/>
  </si>
  <si>
    <t>대행사 봄 평일권</t>
    <phoneticPr fontId="1" type="noConversion"/>
  </si>
  <si>
    <t>대행사 봄 AFTER1</t>
    <phoneticPr fontId="1" type="noConversion"/>
  </si>
  <si>
    <t>대행사 봄 AFTER4</t>
    <phoneticPr fontId="1" type="noConversion"/>
  </si>
  <si>
    <t>현대블루멤버스(본인)-종일</t>
    <phoneticPr fontId="1" type="noConversion"/>
  </si>
  <si>
    <t>현대블루멤버스(본인)-야간</t>
    <phoneticPr fontId="1" type="noConversion"/>
  </si>
  <si>
    <t>현대블루멤버스(동반)-종일</t>
    <phoneticPr fontId="1" type="noConversion"/>
  </si>
  <si>
    <t>현대블루멤버스(동반)-야간</t>
    <phoneticPr fontId="1" type="noConversion"/>
  </si>
  <si>
    <t>페이코포인트할인(본인)-종일</t>
    <phoneticPr fontId="1" type="noConversion"/>
  </si>
  <si>
    <t>페이코포인트할인(본인)-야간</t>
    <phoneticPr fontId="1" type="noConversion"/>
  </si>
  <si>
    <t>페이코포인트할인(동반)-종일</t>
    <phoneticPr fontId="1" type="noConversion"/>
  </si>
  <si>
    <t>페이코포인트할인(동반)-야간</t>
    <phoneticPr fontId="1" type="noConversion"/>
  </si>
  <si>
    <t>기간특가 AFTER2(평일권-UP)</t>
    <phoneticPr fontId="1" type="noConversion"/>
  </si>
  <si>
    <t>기간특가 어린이권(UP)</t>
    <phoneticPr fontId="1" type="noConversion"/>
  </si>
  <si>
    <t>주말학원(3월, 11~12월)</t>
    <phoneticPr fontId="1" type="noConversion"/>
  </si>
  <si>
    <t>교원우대-종일(UP)</t>
    <phoneticPr fontId="1" type="noConversion"/>
  </si>
  <si>
    <t>교원우대-After4(UP)</t>
    <phoneticPr fontId="1" type="noConversion"/>
  </si>
  <si>
    <t>현장판매</t>
    <phoneticPr fontId="1" type="noConversion"/>
  </si>
  <si>
    <t>대행사 봄 종일권(현장)</t>
    <phoneticPr fontId="1" type="noConversion"/>
  </si>
  <si>
    <t>대행사 봄 평일권(현장)</t>
    <phoneticPr fontId="1" type="noConversion"/>
  </si>
  <si>
    <t>대행사 봄 AFTER1(현장)</t>
    <phoneticPr fontId="1" type="noConversion"/>
  </si>
  <si>
    <t>대행사 봄 AFTER4(현장)</t>
    <phoneticPr fontId="1" type="noConversion"/>
  </si>
  <si>
    <t>홈페이지-더블할인(주간)</t>
    <phoneticPr fontId="1" type="noConversion"/>
  </si>
  <si>
    <t>홈페이지-더블할인(야간)</t>
    <phoneticPr fontId="1" type="noConversion"/>
  </si>
  <si>
    <t>홈페이지-더블할인(주간)-동반</t>
    <phoneticPr fontId="1" type="noConversion"/>
  </si>
  <si>
    <t>홈페이지-더블할인(야간)-동반</t>
    <phoneticPr fontId="1" type="noConversion"/>
  </si>
  <si>
    <t>2인패키지(주간)</t>
    <phoneticPr fontId="1" type="noConversion"/>
  </si>
  <si>
    <t>2인패키지(야간)</t>
    <phoneticPr fontId="1" type="noConversion"/>
  </si>
  <si>
    <t>홈페이지-2인패키지(주간)</t>
    <phoneticPr fontId="1" type="noConversion"/>
  </si>
  <si>
    <t>홈페이지-2인패키지(야간)</t>
    <phoneticPr fontId="1" type="noConversion"/>
  </si>
  <si>
    <t>홈페이지-40%(주간)</t>
    <phoneticPr fontId="1" type="noConversion"/>
  </si>
  <si>
    <t>홈페이지-40%(야간)</t>
    <phoneticPr fontId="1" type="noConversion"/>
  </si>
  <si>
    <t>2+1</t>
    <phoneticPr fontId="1" type="noConversion"/>
  </si>
  <si>
    <t>홈페이지-2+1</t>
    <phoneticPr fontId="1" type="noConversion"/>
  </si>
  <si>
    <t>홈페이지-미취학아동(주간)</t>
    <phoneticPr fontId="1" type="noConversion"/>
  </si>
  <si>
    <t>홈페이지-미취학아동(야간)</t>
    <phoneticPr fontId="1" type="noConversion"/>
  </si>
  <si>
    <t>홈페이지-중고대학생(주간)</t>
    <phoneticPr fontId="1" type="noConversion"/>
  </si>
  <si>
    <t>홈페이지-중고대학생(야간)</t>
    <phoneticPr fontId="1" type="noConversion"/>
  </si>
  <si>
    <t>홈페이지-생일축하-주간</t>
    <phoneticPr fontId="1" type="noConversion"/>
  </si>
  <si>
    <t>홈페이지-생일축하-야간</t>
    <phoneticPr fontId="1" type="noConversion"/>
  </si>
  <si>
    <t>홈페이지-대중교통(주간)</t>
    <phoneticPr fontId="1" type="noConversion"/>
  </si>
  <si>
    <t>홈페이지-35주년기념AFTER4</t>
    <phoneticPr fontId="1" type="noConversion"/>
  </si>
  <si>
    <t>복지(본인-50%)-종일</t>
    <phoneticPr fontId="1" type="noConversion"/>
  </si>
  <si>
    <t>복지(본인-50%)-야간</t>
    <phoneticPr fontId="1" type="noConversion"/>
  </si>
  <si>
    <t>복지(동반-50%)-종일</t>
    <phoneticPr fontId="1" type="noConversion"/>
  </si>
  <si>
    <t>복지(동반-50%)-야간</t>
    <phoneticPr fontId="1" type="noConversion"/>
  </si>
  <si>
    <t>과천지역할인</t>
    <phoneticPr fontId="1" type="noConversion"/>
  </si>
  <si>
    <t>35주년 1인 - 온라인</t>
    <phoneticPr fontId="1" type="noConversion"/>
  </si>
  <si>
    <t>35주년 대소공통 3인(1) - 온라인</t>
    <phoneticPr fontId="1" type="noConversion"/>
  </si>
  <si>
    <t>35주년 대소공통 3인(2) - 온라인</t>
    <phoneticPr fontId="1" type="noConversion"/>
  </si>
  <si>
    <t>35주년 대소공통 3인(3) - 온라인</t>
    <phoneticPr fontId="1" type="noConversion"/>
  </si>
  <si>
    <t>35주년 대소공통 2인 - 온라인</t>
    <phoneticPr fontId="1" type="noConversion"/>
  </si>
  <si>
    <t>중고특별할인</t>
    <phoneticPr fontId="1" type="noConversion"/>
  </si>
  <si>
    <t>봄 대교 종일권</t>
    <phoneticPr fontId="1" type="noConversion"/>
  </si>
  <si>
    <t>봄 대교 평일권</t>
    <phoneticPr fontId="1" type="noConversion"/>
  </si>
  <si>
    <t>봄 대교 AFTER1</t>
    <phoneticPr fontId="1" type="noConversion"/>
  </si>
  <si>
    <t>봄 대교 AFTER4</t>
    <phoneticPr fontId="1" type="noConversion"/>
  </si>
  <si>
    <t>홍페이지-더블할인(주간)</t>
    <phoneticPr fontId="1" type="noConversion"/>
  </si>
  <si>
    <t>홈페이지-더블할인(야간)</t>
    <phoneticPr fontId="1" type="noConversion"/>
  </si>
  <si>
    <t>홈페이지-더블할인(주간)-동반</t>
    <phoneticPr fontId="1" type="noConversion"/>
  </si>
  <si>
    <t>홈페이지-더블할인(야간)-동반</t>
    <phoneticPr fontId="1" type="noConversion"/>
  </si>
  <si>
    <t>홍페이지-KB Pay 더블할인(주간)</t>
    <phoneticPr fontId="1" type="noConversion"/>
  </si>
  <si>
    <t>홈페이지-KB Pay 더블할인(야간)</t>
    <phoneticPr fontId="1" type="noConversion"/>
  </si>
  <si>
    <t>홈페이지-KB Pay 더블할인(주간)-동반</t>
    <phoneticPr fontId="1" type="noConversion"/>
  </si>
  <si>
    <t>홈페이지-KB Pay 더블할인(야간)-동반</t>
    <phoneticPr fontId="1" type="noConversion"/>
  </si>
  <si>
    <t>KB Pay 더블할인(주간)</t>
    <phoneticPr fontId="1" type="noConversion"/>
  </si>
  <si>
    <t>KB Pay 더블할인(야간)</t>
    <phoneticPr fontId="1" type="noConversion"/>
  </si>
  <si>
    <t>KB Pay 더블할인(주간)-동반</t>
    <phoneticPr fontId="1" type="noConversion"/>
  </si>
  <si>
    <t>KB Pay 더블할인(야간)-동반</t>
    <phoneticPr fontId="1" type="noConversion"/>
  </si>
  <si>
    <t>35주년 쿠폰할인(본인)</t>
    <phoneticPr fontId="1" type="noConversion"/>
  </si>
  <si>
    <t>35주년 쿠폰할인(동반)</t>
    <phoneticPr fontId="1" type="noConversion"/>
  </si>
  <si>
    <t>35주년 동갑내기(1988)-본인</t>
    <phoneticPr fontId="1" type="noConversion"/>
  </si>
  <si>
    <t>35주년 동갑내기(1988)-동반</t>
    <phoneticPr fontId="1" type="noConversion"/>
  </si>
  <si>
    <t>과천시민30%-종일</t>
    <phoneticPr fontId="1" type="noConversion"/>
  </si>
  <si>
    <t>과천시민30%-야간</t>
    <phoneticPr fontId="1" type="noConversion"/>
  </si>
  <si>
    <t>1일특가 종일권</t>
    <phoneticPr fontId="1" type="noConversion"/>
  </si>
  <si>
    <t>1일특가 종일권(UP)</t>
    <phoneticPr fontId="1" type="noConversion"/>
  </si>
  <si>
    <t>개인특판</t>
    <phoneticPr fontId="1" type="noConversion"/>
  </si>
  <si>
    <t>라이버커머스 특가-방송중(UP)</t>
    <phoneticPr fontId="1" type="noConversion"/>
  </si>
  <si>
    <t>35주년 2인패키지권</t>
    <phoneticPr fontId="1" type="noConversion"/>
  </si>
  <si>
    <t>국내 외국인(특별할인)</t>
    <phoneticPr fontId="1" type="noConversion"/>
  </si>
  <si>
    <t>기업행사(대관X)</t>
    <phoneticPr fontId="1" type="noConversion"/>
  </si>
  <si>
    <t>기업행사(대관O)</t>
    <phoneticPr fontId="1" type="noConversion"/>
  </si>
  <si>
    <t>여름 직판 종일권</t>
    <phoneticPr fontId="1" type="noConversion"/>
  </si>
  <si>
    <t>여름 직판 평일권</t>
    <phoneticPr fontId="1" type="noConversion"/>
  </si>
  <si>
    <t>여름 직판 AFTER2</t>
    <phoneticPr fontId="1" type="noConversion"/>
  </si>
  <si>
    <t>한국광광공사 놀이대전 종일권</t>
    <phoneticPr fontId="1" type="noConversion"/>
  </si>
  <si>
    <t>대행사 여름 종일권</t>
    <phoneticPr fontId="1" type="noConversion"/>
  </si>
  <si>
    <t>대행사 여름 평일권</t>
    <phoneticPr fontId="1" type="noConversion"/>
  </si>
  <si>
    <t>대행사 여름 AFTER6</t>
    <phoneticPr fontId="1" type="noConversion"/>
  </si>
  <si>
    <t>대행사 여름 AFTER2</t>
    <phoneticPr fontId="1" type="noConversion"/>
  </si>
  <si>
    <t>Apple Pay 동반할인(주간)</t>
    <phoneticPr fontId="1" type="noConversion"/>
  </si>
  <si>
    <t>Apple Pay 할인(주간)</t>
    <phoneticPr fontId="1" type="noConversion"/>
  </si>
  <si>
    <t>Apple Pay 할인(야간)</t>
    <phoneticPr fontId="1" type="noConversion"/>
  </si>
  <si>
    <t>Apple Pay 동반할인(야간)</t>
    <phoneticPr fontId="1" type="noConversion"/>
  </si>
  <si>
    <t>워터팝 물총할인(본인)-주간</t>
    <phoneticPr fontId="1" type="noConversion"/>
  </si>
  <si>
    <t>워터팝 물총할인(본인)-야간</t>
    <phoneticPr fontId="1" type="noConversion"/>
  </si>
  <si>
    <t>워터팝 물총할인(동반)-주간</t>
    <phoneticPr fontId="1" type="noConversion"/>
  </si>
  <si>
    <t>워터팝 물총할인(동반)-야간</t>
    <phoneticPr fontId="1" type="noConversion"/>
  </si>
  <si>
    <t>PAYCO VIP 무료입장</t>
    <phoneticPr fontId="1" type="noConversion"/>
  </si>
  <si>
    <t>과천시청(법인)</t>
    <phoneticPr fontId="1" type="noConversion"/>
  </si>
  <si>
    <t>뮤직페스티벌입장</t>
    <phoneticPr fontId="1" type="noConversion"/>
  </si>
  <si>
    <t>서울관광재단(원패스)</t>
    <phoneticPr fontId="1" type="noConversion"/>
  </si>
  <si>
    <t>종일권(B2B라이브)</t>
    <phoneticPr fontId="1" type="noConversion"/>
  </si>
  <si>
    <t>대행사 여름 종일권(현장)</t>
    <phoneticPr fontId="1" type="noConversion"/>
  </si>
  <si>
    <t>대행사 여름 AFTER2(현장)</t>
    <phoneticPr fontId="1" type="noConversion"/>
  </si>
  <si>
    <t>대행사 여름 AFTER6(현장)</t>
    <phoneticPr fontId="1" type="noConversion"/>
  </si>
  <si>
    <t>AFTER5</t>
    <phoneticPr fontId="1" type="noConversion"/>
  </si>
  <si>
    <t>홈페이지-더블할인(주간)</t>
    <phoneticPr fontId="1" type="noConversion"/>
  </si>
  <si>
    <t>홈페이지-더블할인(야간)</t>
    <phoneticPr fontId="1" type="noConversion"/>
  </si>
  <si>
    <t>홈페이지-더블할인(주간)-동반</t>
    <phoneticPr fontId="1" type="noConversion"/>
  </si>
  <si>
    <t>홈페이지-워터팝 물총할인(본인)-주간</t>
    <phoneticPr fontId="1" type="noConversion"/>
  </si>
  <si>
    <t>홈페이지-워터팝 물총할인(동반)-주간</t>
    <phoneticPr fontId="1" type="noConversion"/>
  </si>
  <si>
    <t>과천다자녀50%-종일</t>
    <phoneticPr fontId="1" type="noConversion"/>
  </si>
  <si>
    <t>과천다자녀50%-야간</t>
    <phoneticPr fontId="1" type="noConversion"/>
  </si>
  <si>
    <t>기간특가 AFTER7</t>
    <phoneticPr fontId="1" type="noConversion"/>
  </si>
  <si>
    <t>일반단체(성수기)-UP</t>
    <phoneticPr fontId="1" type="noConversion"/>
  </si>
  <si>
    <t>가을 직판 종일권</t>
    <phoneticPr fontId="1" type="noConversion"/>
  </si>
  <si>
    <t>가을 직판 AFTER1</t>
    <phoneticPr fontId="1" type="noConversion"/>
  </si>
  <si>
    <t>여름 직판 AFTER6</t>
    <phoneticPr fontId="1" type="noConversion"/>
  </si>
  <si>
    <t>가을 직판 평일권</t>
    <phoneticPr fontId="1" type="noConversion"/>
  </si>
  <si>
    <t>가을 직판 AFTER4</t>
    <phoneticPr fontId="1" type="noConversion"/>
  </si>
  <si>
    <t>대행사 가을 종일권</t>
    <phoneticPr fontId="1" type="noConversion"/>
  </si>
  <si>
    <t>대행사 가을 평일권</t>
    <phoneticPr fontId="1" type="noConversion"/>
  </si>
  <si>
    <t>대행사 가을 AFTER1</t>
    <phoneticPr fontId="1" type="noConversion"/>
  </si>
  <si>
    <t>대행사 가을 AFTER4</t>
    <phoneticPr fontId="1" type="noConversion"/>
  </si>
  <si>
    <t>대행사 가을 종일권(현장)</t>
    <phoneticPr fontId="1" type="noConversion"/>
  </si>
  <si>
    <t>대행사 가을 AFTER1(현장)</t>
    <phoneticPr fontId="1" type="noConversion"/>
  </si>
  <si>
    <t>대행사 가을 AFTER4(현장)</t>
    <phoneticPr fontId="1" type="noConversion"/>
  </si>
  <si>
    <t>과천시민 2자녀할인-야간</t>
    <phoneticPr fontId="1" type="noConversion"/>
  </si>
  <si>
    <t>과천시민 3자녀할인-종일</t>
    <phoneticPr fontId="1" type="noConversion"/>
  </si>
  <si>
    <t>과천시민 3자녀할인-야간</t>
    <phoneticPr fontId="1" type="noConversion"/>
  </si>
  <si>
    <t>서울시민 2자녀할인-종일</t>
    <phoneticPr fontId="1" type="noConversion"/>
  </si>
  <si>
    <t>서울시민 2자녀할인-야간</t>
    <phoneticPr fontId="1" type="noConversion"/>
  </si>
  <si>
    <t>서울시민 3자녀할인-종일</t>
    <phoneticPr fontId="1" type="noConversion"/>
  </si>
  <si>
    <t>서울시민 3자녀할인-야간</t>
    <phoneticPr fontId="1" type="noConversion"/>
  </si>
  <si>
    <t>과천지역할인-실버</t>
    <phoneticPr fontId="1" type="noConversion"/>
  </si>
  <si>
    <t>과천시민 3자녀할인</t>
    <phoneticPr fontId="1" type="noConversion"/>
  </si>
  <si>
    <t>초등단체(지방AFTER2)</t>
    <phoneticPr fontId="1" type="noConversion"/>
  </si>
  <si>
    <t>한국광광공사 놀이대전 AFTER1</t>
    <phoneticPr fontId="1" type="noConversion"/>
  </si>
  <si>
    <t>대행사 가을 AFTER12</t>
    <phoneticPr fontId="1" type="noConversion"/>
  </si>
  <si>
    <t>연간교환권</t>
    <phoneticPr fontId="1" type="noConversion"/>
  </si>
  <si>
    <t>과천시민 지역할인(주간)</t>
    <phoneticPr fontId="1" type="noConversion"/>
  </si>
  <si>
    <t>과천시민 지역할인(야간)</t>
    <phoneticPr fontId="1" type="noConversion"/>
  </si>
  <si>
    <t>신세계면세점 프로모션</t>
    <phoneticPr fontId="1" type="noConversion"/>
  </si>
  <si>
    <t>아이스크림에듀 종일권</t>
    <phoneticPr fontId="1" type="noConversion"/>
  </si>
  <si>
    <t>수험생할인(주간)</t>
    <phoneticPr fontId="1" type="noConversion"/>
  </si>
  <si>
    <t>수험생할인(야간)</t>
    <phoneticPr fontId="1" type="noConversion"/>
  </si>
  <si>
    <t>B2B직판</t>
    <phoneticPr fontId="1" type="noConversion"/>
  </si>
  <si>
    <t>평일학원(3월, 11~12월)</t>
    <phoneticPr fontId="1" type="noConversion"/>
  </si>
  <si>
    <t>겨울 직판 종일권</t>
    <phoneticPr fontId="1" type="noConversion"/>
  </si>
  <si>
    <t>겨울 직판 평일권</t>
    <phoneticPr fontId="1" type="noConversion"/>
  </si>
  <si>
    <t>대행사 겨울 종일권</t>
    <phoneticPr fontId="1" type="noConversion"/>
  </si>
  <si>
    <t>대행사 겨울 평일권</t>
    <phoneticPr fontId="1" type="noConversion"/>
  </si>
  <si>
    <t>대행사 겨울 AFTER2</t>
    <phoneticPr fontId="1" type="noConversion"/>
  </si>
  <si>
    <t>과천시민 2자녀할인</t>
    <phoneticPr fontId="1" type="noConversion"/>
  </si>
  <si>
    <t>재가입1회특가</t>
    <phoneticPr fontId="1" type="noConversion"/>
  </si>
  <si>
    <t>재가입2회특가</t>
    <phoneticPr fontId="1" type="noConversion"/>
  </si>
  <si>
    <t>재가입2회특가-실버</t>
    <phoneticPr fontId="1" type="noConversion"/>
  </si>
  <si>
    <t>6개월 라이브커머스 특가</t>
    <phoneticPr fontId="1" type="noConversion"/>
  </si>
  <si>
    <t>어린이권 한정특가</t>
    <phoneticPr fontId="1" type="noConversion"/>
  </si>
  <si>
    <t>행복이벤트</t>
    <phoneticPr fontId="1" type="noConversion"/>
  </si>
  <si>
    <t>겨울 직판 AFTER2</t>
    <phoneticPr fontId="1" type="noConversion"/>
  </si>
  <si>
    <t>대행사 겨울 종일권(현장)</t>
    <phoneticPr fontId="1" type="noConversion"/>
  </si>
  <si>
    <t>대행사 겨울 평일권(현장)</t>
    <phoneticPr fontId="1" type="noConversion"/>
  </si>
  <si>
    <t>대행사 겨울 AFTER2(현장)</t>
    <phoneticPr fontId="1" type="noConversion"/>
  </si>
  <si>
    <t>파크이용권(특판) - 24천원</t>
    <phoneticPr fontId="1" type="noConversion"/>
  </si>
  <si>
    <t>온라인예매</t>
    <phoneticPr fontId="1" type="noConversion"/>
  </si>
  <si>
    <t>홈페이지예매</t>
    <phoneticPr fontId="1" type="noConversion"/>
  </si>
  <si>
    <t>파크이용권(종일)-UP</t>
    <phoneticPr fontId="1" type="noConversion"/>
  </si>
  <si>
    <t>파크이용권(야간)-UP</t>
    <phoneticPr fontId="1" type="noConversion"/>
  </si>
  <si>
    <t>더블할인(주간)-홈페이지(카드)</t>
    <phoneticPr fontId="1" type="noConversion"/>
  </si>
  <si>
    <t>더블할인(야간)-홈페이지(카드)</t>
    <phoneticPr fontId="1" type="noConversion"/>
  </si>
  <si>
    <t>더블할인(주간)-동반-홈페이지(카드)</t>
    <phoneticPr fontId="1" type="noConversion"/>
  </si>
  <si>
    <t>더블할인(야간)-동반-홈페이지(카드)</t>
    <phoneticPr fontId="1" type="noConversion"/>
  </si>
  <si>
    <t>KB Pay 더블할인(주간)-홈페이지(카드)</t>
    <phoneticPr fontId="1" type="noConversion"/>
  </si>
  <si>
    <t>KB Pay 더블할인(야간)-홈페이지(카드)</t>
    <phoneticPr fontId="1" type="noConversion"/>
  </si>
  <si>
    <t>KB Pay 더블할인(주간)-동반-홈페이지(카드)</t>
    <phoneticPr fontId="1" type="noConversion"/>
  </si>
  <si>
    <t>KB Pay 더블할인(야간)-동반-홈페이지(카드)</t>
    <phoneticPr fontId="1" type="noConversion"/>
  </si>
  <si>
    <t>할인(주간)-UP</t>
    <phoneticPr fontId="1" type="noConversion"/>
  </si>
  <si>
    <t>할인(야간)-UP</t>
    <phoneticPr fontId="1" type="noConversion"/>
  </si>
  <si>
    <t>할인(주간)-UP</t>
  </si>
  <si>
    <t>할인(야간)-UP</t>
  </si>
  <si>
    <t>우리</t>
    <phoneticPr fontId="1" type="noConversion"/>
  </si>
  <si>
    <t>40%(주간)-홈페이지(카드)</t>
    <phoneticPr fontId="1" type="noConversion"/>
  </si>
  <si>
    <t>40%(야간)-홈페이지(카드)</t>
    <phoneticPr fontId="1" type="noConversion"/>
  </si>
  <si>
    <t>홈페이지-40%(주간)-UP</t>
    <phoneticPr fontId="1" type="noConversion"/>
  </si>
  <si>
    <t>홈페이지-40%(야간)-UP</t>
    <phoneticPr fontId="1" type="noConversion"/>
  </si>
  <si>
    <t>홈페이지-2인패키지(주간)-1</t>
    <phoneticPr fontId="1" type="noConversion"/>
  </si>
  <si>
    <t>홈페이지-2인패키지(주간)-2</t>
    <phoneticPr fontId="1" type="noConversion"/>
  </si>
  <si>
    <t>홈페이지-2인패키지(야간)-1</t>
    <phoneticPr fontId="1" type="noConversion"/>
  </si>
  <si>
    <t>홈페이지-2인패키지(야간)-2</t>
    <phoneticPr fontId="1" type="noConversion"/>
  </si>
  <si>
    <t>2인패키지(주간)-1</t>
    <phoneticPr fontId="1" type="noConversion"/>
  </si>
  <si>
    <t>2인패키지(주간)-2</t>
    <phoneticPr fontId="1" type="noConversion"/>
  </si>
  <si>
    <t>2인패키지(야간)-1</t>
    <phoneticPr fontId="1" type="noConversion"/>
  </si>
  <si>
    <t>2인패키지(야간)-2</t>
    <phoneticPr fontId="1" type="noConversion"/>
  </si>
  <si>
    <t>T-day week(본인)-종일</t>
    <phoneticPr fontId="1" type="noConversion"/>
  </si>
  <si>
    <t>T-day week(동반)-종일</t>
    <phoneticPr fontId="1" type="noConversion"/>
  </si>
  <si>
    <t>멤버쉽(VIP본인)-종일 / 프로모션</t>
    <phoneticPr fontId="1" type="noConversion"/>
  </si>
  <si>
    <t>멤버쉽(VIP본인)-야간 / 프로모션</t>
    <phoneticPr fontId="1" type="noConversion"/>
  </si>
  <si>
    <t>멤버쉽(VIP동반)-종일 / 프로모션</t>
    <phoneticPr fontId="1" type="noConversion"/>
  </si>
  <si>
    <t>멤버쉽(VIP동반)-야간 / 프로모션</t>
    <phoneticPr fontId="1" type="noConversion"/>
  </si>
  <si>
    <t>멤버쉽(일반-본인)-종일 / 프로모션</t>
    <phoneticPr fontId="1" type="noConversion"/>
  </si>
  <si>
    <t>멤버쉽(일반-본인)-야간 / 프로모션</t>
    <phoneticPr fontId="1" type="noConversion"/>
  </si>
  <si>
    <t>멤버쉽(일반-동반)-종일 / 프로모션</t>
    <phoneticPr fontId="1" type="noConversion"/>
  </si>
  <si>
    <t>멤버쉽(일반-동반)-야간 / 프로모션</t>
    <phoneticPr fontId="1" type="noConversion"/>
  </si>
  <si>
    <t>국가유공자 50%-종일-UP</t>
    <phoneticPr fontId="1" type="noConversion"/>
  </si>
  <si>
    <t>국가유공자 50%-야간-UP</t>
    <phoneticPr fontId="1" type="noConversion"/>
  </si>
  <si>
    <t>복지(본인-50%)-종일-UP</t>
    <phoneticPr fontId="1" type="noConversion"/>
  </si>
  <si>
    <t>복지(본인-50%)-야간-UP</t>
    <phoneticPr fontId="1" type="noConversion"/>
  </si>
  <si>
    <t>복지(동반-50%)-종일-UP</t>
    <phoneticPr fontId="1" type="noConversion"/>
  </si>
  <si>
    <t>복지(동반-50%)-야간-UP</t>
    <phoneticPr fontId="1" type="noConversion"/>
  </si>
  <si>
    <t>생일(본인-40%)-종일-UP</t>
    <phoneticPr fontId="1" type="noConversion"/>
  </si>
  <si>
    <t>생일(본인-40%)-야간-UP</t>
    <phoneticPr fontId="1" type="noConversion"/>
  </si>
  <si>
    <t>생일(동반-40%)-종일-UP</t>
    <phoneticPr fontId="1" type="noConversion"/>
  </si>
  <si>
    <t>생일(동반-40%)-야간-UP</t>
    <phoneticPr fontId="1" type="noConversion"/>
  </si>
  <si>
    <t>생일(본인-40%)-종일-홈페이지(할인)</t>
    <phoneticPr fontId="1" type="noConversion"/>
  </si>
  <si>
    <t>과천시민 2자녀할인-종일</t>
    <phoneticPr fontId="1" type="noConversion"/>
  </si>
  <si>
    <t>미취학아동(주간)-평일</t>
    <phoneticPr fontId="1" type="noConversion"/>
  </si>
  <si>
    <t>미취학아동(야간)-평일</t>
    <phoneticPr fontId="1" type="noConversion"/>
  </si>
  <si>
    <t>중간고사할인-종일</t>
    <phoneticPr fontId="1" type="noConversion"/>
  </si>
  <si>
    <t>중간고사할인-야간</t>
    <phoneticPr fontId="1" type="noConversion"/>
  </si>
  <si>
    <t>홈페이지-중간고사할인-주간</t>
    <phoneticPr fontId="1" type="noConversion"/>
  </si>
  <si>
    <t>과천시민 지역할인-주간</t>
    <phoneticPr fontId="1" type="noConversion"/>
  </si>
  <si>
    <t>과천시민 지역할인-야간</t>
    <phoneticPr fontId="1" type="noConversion"/>
  </si>
  <si>
    <t>네이버페이(본인)-주간</t>
    <phoneticPr fontId="1" type="noConversion"/>
  </si>
  <si>
    <t>네이버페이(본인)-야간</t>
    <phoneticPr fontId="1" type="noConversion"/>
  </si>
  <si>
    <t>네이버페이(동반)-주간</t>
    <phoneticPr fontId="1" type="noConversion"/>
  </si>
  <si>
    <t>네이버페이(동반)-야간</t>
    <phoneticPr fontId="1" type="noConversion"/>
  </si>
  <si>
    <t>파크이용권 DC</t>
    <phoneticPr fontId="1" type="noConversion"/>
  </si>
  <si>
    <t>축제시즌 할인-주간</t>
    <phoneticPr fontId="1" type="noConversion"/>
  </si>
  <si>
    <t>카카오페이(본인)-주간</t>
    <phoneticPr fontId="1" type="noConversion"/>
  </si>
  <si>
    <t>카카오페이(본인)-야간</t>
    <phoneticPr fontId="1" type="noConversion"/>
  </si>
  <si>
    <t>카카오페이(동반)-주간</t>
    <phoneticPr fontId="1" type="noConversion"/>
  </si>
  <si>
    <t>카카오페이(동반)-야간</t>
    <phoneticPr fontId="1" type="noConversion"/>
  </si>
  <si>
    <t>홈페이지-우천 특별할인(본인)</t>
    <phoneticPr fontId="1" type="noConversion"/>
  </si>
  <si>
    <t>2025 수능 응시자 할인(본인)-주간</t>
    <phoneticPr fontId="1" type="noConversion"/>
  </si>
  <si>
    <t>2025 수능 응시자 할인(본인)-야간</t>
    <phoneticPr fontId="1" type="noConversion"/>
  </si>
  <si>
    <t>2025 수능 응시자 할인(동반)-주간</t>
    <phoneticPr fontId="1" type="noConversion"/>
  </si>
  <si>
    <t>2025 수능 응시자 할인(동반)-야간</t>
    <phoneticPr fontId="1" type="noConversion"/>
  </si>
  <si>
    <t>수/험/생 이름 할인-주간</t>
    <phoneticPr fontId="1" type="noConversion"/>
  </si>
  <si>
    <t>수/험/생 이름 할인-야간</t>
    <phoneticPr fontId="1" type="noConversion"/>
  </si>
  <si>
    <t>상시권 어린이권</t>
    <phoneticPr fontId="1" type="noConversion"/>
  </si>
  <si>
    <t>.</t>
    <phoneticPr fontId="1" type="noConversion"/>
  </si>
  <si>
    <t>상시권 종일권-UP</t>
    <phoneticPr fontId="1" type="noConversion"/>
  </si>
  <si>
    <t>상시권 AFTER4-UP</t>
    <phoneticPr fontId="1" type="noConversion"/>
  </si>
  <si>
    <t>기간특가 AFTER6(평일권)</t>
    <phoneticPr fontId="1" type="noConversion"/>
  </si>
  <si>
    <t>라이브커머스 특가-방송외</t>
    <phoneticPr fontId="1" type="noConversion"/>
  </si>
  <si>
    <t>라이브커머스 특가-방송중</t>
    <phoneticPr fontId="1" type="noConversion"/>
  </si>
  <si>
    <t>라이브커머스 특가-방송중(UP)</t>
    <phoneticPr fontId="1" type="noConversion"/>
  </si>
  <si>
    <t>2인패키지권(쿠팡WOW)</t>
    <phoneticPr fontId="1" type="noConversion"/>
  </si>
  <si>
    <t>2인패키지권(쿠팡WOW)-UP</t>
    <phoneticPr fontId="1" type="noConversion"/>
  </si>
  <si>
    <t>2인패키지 AFTER2(티몬) 평일권</t>
    <phoneticPr fontId="1" type="noConversion"/>
  </si>
  <si>
    <t>2인패키지 AFTER2(티몬) 전일권</t>
    <phoneticPr fontId="1" type="noConversion"/>
  </si>
  <si>
    <t>라이브커머스(크라켄한정)-방송중</t>
    <phoneticPr fontId="1" type="noConversion"/>
  </si>
  <si>
    <t>신규-UP</t>
    <phoneticPr fontId="1" type="noConversion"/>
  </si>
  <si>
    <t>재가입1회-UP</t>
    <phoneticPr fontId="1" type="noConversion"/>
  </si>
  <si>
    <t>재가입2회-UP</t>
    <phoneticPr fontId="1" type="noConversion"/>
  </si>
  <si>
    <t>재가입3회-UP</t>
    <phoneticPr fontId="1" type="noConversion"/>
  </si>
  <si>
    <t>실버-신규-UP</t>
    <phoneticPr fontId="1" type="noConversion"/>
  </si>
  <si>
    <t>실버-재가입1회-UP</t>
    <phoneticPr fontId="1" type="noConversion"/>
  </si>
  <si>
    <t>실버-재가입2회-UP</t>
    <phoneticPr fontId="1" type="noConversion"/>
  </si>
  <si>
    <t>실버-재가입3회-UP</t>
    <phoneticPr fontId="1" type="noConversion"/>
  </si>
  <si>
    <t>1일특가-UP</t>
    <phoneticPr fontId="1" type="noConversion"/>
  </si>
  <si>
    <t>기간특가-UP</t>
    <phoneticPr fontId="1" type="noConversion"/>
  </si>
  <si>
    <t>과천시민 2자녀할인-UP</t>
    <phoneticPr fontId="1" type="noConversion"/>
  </si>
  <si>
    <t>과천시민 3자녀할인-UP</t>
    <phoneticPr fontId="1" type="noConversion"/>
  </si>
  <si>
    <t>평일 연간이용권 - 1일 특가</t>
    <phoneticPr fontId="1" type="noConversion"/>
  </si>
  <si>
    <t>평일 연간이용권 - 기간 특가</t>
    <phoneticPr fontId="1" type="noConversion"/>
  </si>
  <si>
    <t>B2B직판(현장판매 포함)</t>
    <phoneticPr fontId="1" type="noConversion"/>
  </si>
  <si>
    <t>재가입1회특가-실버</t>
    <phoneticPr fontId="1" type="noConversion"/>
  </si>
  <si>
    <t>6개월 라이브커머스 특가</t>
  </si>
  <si>
    <t>5개월 기간특가</t>
    <phoneticPr fontId="1" type="noConversion"/>
  </si>
  <si>
    <t>5개월 1일특가</t>
    <phoneticPr fontId="1" type="noConversion"/>
  </si>
  <si>
    <t>복지단체(1~2월)</t>
    <phoneticPr fontId="1" type="noConversion"/>
  </si>
  <si>
    <t>복지단체(3월, 11~12월)</t>
    <phoneticPr fontId="1" type="noConversion"/>
  </si>
  <si>
    <t>복지단체(4~10월)</t>
    <phoneticPr fontId="1" type="noConversion"/>
  </si>
  <si>
    <t>대학교단체</t>
  </si>
  <si>
    <t>대학생AFTER2</t>
  </si>
  <si>
    <t>대학교단체(10인이상)-23년</t>
    <phoneticPr fontId="1" type="noConversion"/>
  </si>
  <si>
    <t>초등단체(해피타임, 4~10월 평일)</t>
    <phoneticPr fontId="1" type="noConversion"/>
  </si>
  <si>
    <t>초등단체(종일권, 4~10월 주말)</t>
    <phoneticPr fontId="1" type="noConversion"/>
  </si>
  <si>
    <t>초등단체(1~3월,11~12월)</t>
    <phoneticPr fontId="1" type="noConversion"/>
  </si>
  <si>
    <t>초등단체(지방, 4~10월)</t>
    <phoneticPr fontId="1" type="noConversion"/>
  </si>
  <si>
    <t>초등단체(지방, 1~3월,11~12월)</t>
    <phoneticPr fontId="1" type="noConversion"/>
  </si>
  <si>
    <t>중고단체(성수기, 4~10월)</t>
    <phoneticPr fontId="1" type="noConversion"/>
  </si>
  <si>
    <t>중고단체(1~3월,11~12월)</t>
    <phoneticPr fontId="1" type="noConversion"/>
  </si>
  <si>
    <t>중고단체(지방,4~10월)</t>
    <phoneticPr fontId="1" type="noConversion"/>
  </si>
  <si>
    <t>중고단체(지방,1~3월, 11~12월)</t>
    <phoneticPr fontId="1" type="noConversion"/>
  </si>
  <si>
    <t>유아단체(1~2월)</t>
    <phoneticPr fontId="1" type="noConversion"/>
  </si>
  <si>
    <t>유아단체(3월, 11~12월)</t>
    <phoneticPr fontId="1" type="noConversion"/>
  </si>
  <si>
    <t>유아단체(해피타임, 4~10월 평일)</t>
    <phoneticPr fontId="1" type="noConversion"/>
  </si>
  <si>
    <t>유아단체(종일권, 4~10월 주말)</t>
    <phoneticPr fontId="1" type="noConversion"/>
  </si>
  <si>
    <t>유아단체(6~8월 평일)</t>
    <phoneticPr fontId="1" type="noConversion"/>
  </si>
  <si>
    <t>학원단체(1~2월)</t>
    <phoneticPr fontId="1" type="noConversion"/>
  </si>
  <si>
    <t>학원단체(3월, 11~12월)</t>
    <phoneticPr fontId="1" type="noConversion"/>
  </si>
  <si>
    <t>학원단체(해피타임,4~10월 평일)</t>
    <phoneticPr fontId="1" type="noConversion"/>
  </si>
  <si>
    <t>학원단체(종일권, 4~10월 주말)</t>
    <phoneticPr fontId="1" type="noConversion"/>
  </si>
  <si>
    <t>OTA외국인</t>
    <phoneticPr fontId="1" type="noConversion"/>
  </si>
  <si>
    <t>OTA외국인-UP</t>
    <phoneticPr fontId="1" type="noConversion"/>
  </si>
  <si>
    <t>인바운드단체(일반제휴)</t>
    <phoneticPr fontId="1" type="noConversion"/>
  </si>
  <si>
    <t>인바운드단체-UP</t>
    <phoneticPr fontId="1" type="noConversion"/>
  </si>
  <si>
    <t>디스커버 서울패스</t>
  </si>
  <si>
    <t>제휴 일반 외국인</t>
    <phoneticPr fontId="1" type="noConversion"/>
  </si>
  <si>
    <t>추석명절외국인프로모션</t>
    <phoneticPr fontId="1" type="noConversion"/>
  </si>
  <si>
    <t>우리은행 쿠폰할인(주/야간)</t>
    <phoneticPr fontId="1" type="noConversion"/>
  </si>
  <si>
    <t>대교종일권</t>
    <phoneticPr fontId="1" type="noConversion"/>
  </si>
  <si>
    <t>기업행사(대관X)-UP</t>
    <phoneticPr fontId="1" type="noConversion"/>
  </si>
  <si>
    <t>가을 직판 종일권(23년)</t>
    <phoneticPr fontId="1" type="noConversion"/>
  </si>
  <si>
    <t>가을 직판 평일권(23년)</t>
    <phoneticPr fontId="1" type="noConversion"/>
  </si>
  <si>
    <t>가을 직판 AFTER1(23년)</t>
    <phoneticPr fontId="1" type="noConversion"/>
  </si>
  <si>
    <t>가을 직판 AFTER4(23년)</t>
    <phoneticPr fontId="1" type="noConversion"/>
  </si>
  <si>
    <t>겨울 직판 종일권(23년)</t>
    <phoneticPr fontId="1" type="noConversion"/>
  </si>
  <si>
    <t>겨울 직판 평일권(23년)</t>
    <phoneticPr fontId="1" type="noConversion"/>
  </si>
  <si>
    <t>겨울 직판 AFTER2(23년)</t>
    <phoneticPr fontId="1" type="noConversion"/>
  </si>
  <si>
    <t>선물용(반기권)-22</t>
    <phoneticPr fontId="1" type="noConversion"/>
  </si>
  <si>
    <t>선물용(1년권)-26</t>
    <phoneticPr fontId="1" type="noConversion"/>
  </si>
  <si>
    <t>현장제휴할인(네이처스케이프)</t>
    <phoneticPr fontId="1" type="noConversion"/>
  </si>
  <si>
    <t>서울관광재단(원패스)-야간</t>
    <phoneticPr fontId="1" type="noConversion"/>
  </si>
  <si>
    <t>여름 직판 AFTER4</t>
    <phoneticPr fontId="1" type="noConversion"/>
  </si>
  <si>
    <t>가을 대행사 종일권(23년)</t>
    <phoneticPr fontId="1" type="noConversion"/>
  </si>
  <si>
    <t>가을 대행사 평일권(23년)</t>
    <phoneticPr fontId="1" type="noConversion"/>
  </si>
  <si>
    <t>가을 대행사 AFTER1(23년)</t>
    <phoneticPr fontId="1" type="noConversion"/>
  </si>
  <si>
    <t>가을 대행사 AFTER4(23년)</t>
    <phoneticPr fontId="1" type="noConversion"/>
  </si>
  <si>
    <t>겨울 대행사 종일권(23년)</t>
    <phoneticPr fontId="1" type="noConversion"/>
  </si>
  <si>
    <t>겨울 대행사 평일권(23년)</t>
    <phoneticPr fontId="1" type="noConversion"/>
  </si>
  <si>
    <t>겨울 대행사 AFTER2(23년)</t>
    <phoneticPr fontId="1" type="noConversion"/>
  </si>
  <si>
    <t>겨울 대행사 종일권(23년)-현장</t>
    <phoneticPr fontId="1" type="noConversion"/>
  </si>
  <si>
    <t>겨울 대행사 평일권(23년)-현장</t>
    <phoneticPr fontId="1" type="noConversion"/>
  </si>
  <si>
    <t>겨울 대행사 AFTER2(23년)-현장</t>
    <phoneticPr fontId="1" type="noConversion"/>
  </si>
  <si>
    <t>대행사 종일권(현대이지웰 라이브)</t>
    <phoneticPr fontId="1" type="noConversion"/>
  </si>
  <si>
    <t>봄 대행사 AFTER4(오류)</t>
    <phoneticPr fontId="1" type="noConversion"/>
  </si>
  <si>
    <t>봄 대행사 종일권</t>
    <phoneticPr fontId="1" type="noConversion"/>
  </si>
  <si>
    <t>봄 대행사 평일권</t>
    <phoneticPr fontId="1" type="noConversion"/>
  </si>
  <si>
    <t>봄 대행사 AFTER1</t>
    <phoneticPr fontId="1" type="noConversion"/>
  </si>
  <si>
    <t>봄 대행사 AFTER4</t>
    <phoneticPr fontId="1" type="noConversion"/>
  </si>
  <si>
    <t>봄 대행사 종일권-현장</t>
    <phoneticPr fontId="1" type="noConversion"/>
  </si>
  <si>
    <t>봄 대행사 평일권-현장</t>
    <phoneticPr fontId="1" type="noConversion"/>
  </si>
  <si>
    <t>봄 대행사 AFTER1-현장</t>
    <phoneticPr fontId="1" type="noConversion"/>
  </si>
  <si>
    <t>봄 대행사 AFTER4-현장</t>
    <phoneticPr fontId="1" type="noConversion"/>
  </si>
  <si>
    <t>봄 대행사 종일권(오류)</t>
    <phoneticPr fontId="1" type="noConversion"/>
  </si>
  <si>
    <t>봄 대행사 평일권(오류)</t>
    <phoneticPr fontId="1" type="noConversion"/>
  </si>
  <si>
    <t>봄 대행사 AFTER1(오류)</t>
    <phoneticPr fontId="1" type="noConversion"/>
  </si>
  <si>
    <t>여름 대행사 종일권(오류)</t>
    <phoneticPr fontId="1" type="noConversion"/>
  </si>
  <si>
    <t>여름 대행사 평일권(오류)</t>
    <phoneticPr fontId="1" type="noConversion"/>
  </si>
  <si>
    <t>여름 대행사 종일권</t>
    <phoneticPr fontId="1" type="noConversion"/>
  </si>
  <si>
    <t>여름 대행사 평일권</t>
    <phoneticPr fontId="1" type="noConversion"/>
  </si>
  <si>
    <t>여름 대행사 AFTER4</t>
    <phoneticPr fontId="1" type="noConversion"/>
  </si>
  <si>
    <t>여름 대행사 종일권-현장</t>
    <phoneticPr fontId="1" type="noConversion"/>
  </si>
  <si>
    <t>여름 대행사 평일권-현장</t>
    <phoneticPr fontId="1" type="noConversion"/>
  </si>
  <si>
    <t>여름 대행사 AFTER4-현장</t>
    <phoneticPr fontId="1" type="noConversion"/>
  </si>
  <si>
    <t>가을 대행사 종일권</t>
    <phoneticPr fontId="1" type="noConversion"/>
  </si>
  <si>
    <t>가을 대행사 AFTER4</t>
    <phoneticPr fontId="1" type="noConversion"/>
  </si>
  <si>
    <t>가을 대행사 종일권-현장</t>
    <phoneticPr fontId="1" type="noConversion"/>
  </si>
  <si>
    <t>가을 대행사 AFTER4-현장</t>
    <phoneticPr fontId="1" type="noConversion"/>
  </si>
  <si>
    <t>가을 대행사 종일권(오류)</t>
    <phoneticPr fontId="1" type="noConversion"/>
  </si>
  <si>
    <t>가을 대행사 AFTER4(오류)</t>
    <phoneticPr fontId="1" type="noConversion"/>
  </si>
  <si>
    <t>가을 대행사 종일권-키즈노트</t>
    <phoneticPr fontId="1" type="noConversion"/>
  </si>
  <si>
    <t>겨울 대행사 종일권(오류)</t>
    <phoneticPr fontId="1" type="noConversion"/>
  </si>
  <si>
    <t>겨울 대행사 종일권</t>
    <phoneticPr fontId="1" type="noConversion"/>
  </si>
  <si>
    <t>겨울 대행사 평일권</t>
    <phoneticPr fontId="1" type="noConversion"/>
  </si>
  <si>
    <t>겨울 대행사 AFTER2</t>
    <phoneticPr fontId="1" type="noConversion"/>
  </si>
  <si>
    <t>겨울 대행사 종일권-현장</t>
    <phoneticPr fontId="1" type="noConversion"/>
  </si>
  <si>
    <t>겨울 대행사 평일권-현장</t>
    <phoneticPr fontId="1" type="noConversion"/>
  </si>
  <si>
    <t>겨울 대행사 AFTER2-현장</t>
    <phoneticPr fontId="1" type="noConversion"/>
  </si>
  <si>
    <t>파크이용권(특판)-UP</t>
    <phoneticPr fontId="1" type="noConversion"/>
  </si>
  <si>
    <t>연간</t>
    <phoneticPr fontId="1" type="noConversion"/>
  </si>
  <si>
    <t>할인(주간)-할인</t>
  </si>
  <si>
    <t>할인(야간)-할인</t>
  </si>
  <si>
    <t>동반할인(주간)</t>
  </si>
  <si>
    <t>동반할인(야간)</t>
  </si>
  <si>
    <t>더블할인(주간)</t>
  </si>
  <si>
    <t>더블할인(야간)</t>
  </si>
  <si>
    <t>더블할인(주간)-동반</t>
  </si>
  <si>
    <t>더블할인(야간)-동반</t>
  </si>
  <si>
    <t>더블할인(주간)-할인</t>
    <phoneticPr fontId="1" type="noConversion"/>
  </si>
  <si>
    <t>더블할인(야간)-할인</t>
    <phoneticPr fontId="1" type="noConversion"/>
  </si>
  <si>
    <t>더블할인(주간)-동반-할인</t>
    <phoneticPr fontId="1" type="noConversion"/>
  </si>
  <si>
    <t>더블할인(야간)-동반-할인</t>
    <phoneticPr fontId="1" type="noConversion"/>
  </si>
  <si>
    <t>홈페이지-더블할인(주간)-할인</t>
    <phoneticPr fontId="1" type="noConversion"/>
  </si>
  <si>
    <t>홈페이지-더블할인(야간)-할인</t>
    <phoneticPr fontId="1" type="noConversion"/>
  </si>
  <si>
    <t>홈페이지-더블할인(주간)-동반-할인</t>
    <phoneticPr fontId="1" type="noConversion"/>
  </si>
  <si>
    <t>홈페이지-더블할인(야간)-동반-할인</t>
    <phoneticPr fontId="1" type="noConversion"/>
  </si>
  <si>
    <t>할인(주간)-할인</t>
    <phoneticPr fontId="1" type="noConversion"/>
  </si>
  <si>
    <t>할인(야간)-할인</t>
    <phoneticPr fontId="1" type="noConversion"/>
  </si>
  <si>
    <t>홈페이지-KB PAY 더블할인(주간)</t>
    <phoneticPr fontId="1" type="noConversion"/>
  </si>
  <si>
    <t>홈페이지-KB PAY 더블할인(야간)</t>
    <phoneticPr fontId="1" type="noConversion"/>
  </si>
  <si>
    <t>홈페이지-KB PAY 더블할인(주간)-동반</t>
    <phoneticPr fontId="1" type="noConversion"/>
  </si>
  <si>
    <t>홈페이지-KB PAY 더블할인(야간)-동반</t>
    <phoneticPr fontId="1" type="noConversion"/>
  </si>
  <si>
    <t>KB PAY 더블할인(주간)</t>
    <phoneticPr fontId="1" type="noConversion"/>
  </si>
  <si>
    <t>KB PAY 더블할인(야간)</t>
    <phoneticPr fontId="1" type="noConversion"/>
  </si>
  <si>
    <t>KB PAY 더블할인(주간)-동반</t>
    <phoneticPr fontId="1" type="noConversion"/>
  </si>
  <si>
    <t>KB PAY 더블할인(야간)-동반</t>
    <phoneticPr fontId="1" type="noConversion"/>
  </si>
  <si>
    <t>할인(주간)</t>
  </si>
  <si>
    <t>할인(야간)</t>
  </si>
  <si>
    <t>PLAN 더블할인(주간)</t>
    <phoneticPr fontId="1" type="noConversion"/>
  </si>
  <si>
    <t>PLAN 더블할인(야간)</t>
  </si>
  <si>
    <t>PLAN 더블할인(주간)-동반</t>
    <phoneticPr fontId="1" type="noConversion"/>
  </si>
  <si>
    <t>PLAN 더블할인(야간)-동반</t>
    <phoneticPr fontId="1" type="noConversion"/>
  </si>
  <si>
    <t>홈페이지-더블할인(주간)</t>
  </si>
  <si>
    <t>홈페이지-더블할인(야간)</t>
  </si>
  <si>
    <t>홈페이지-더블할인(주간)-동반</t>
  </si>
  <si>
    <t>홈페이지-더블할인(야간)-동반</t>
  </si>
  <si>
    <t>50%(주간)</t>
    <phoneticPr fontId="1" type="noConversion"/>
  </si>
  <si>
    <t>50%(야간)</t>
    <phoneticPr fontId="1" type="noConversion"/>
  </si>
  <si>
    <t>홈페이지-40%(주간)</t>
  </si>
  <si>
    <t>홈페이지-40%(야간)</t>
  </si>
  <si>
    <t>홈페이지-50%(주간)</t>
    <phoneticPr fontId="1" type="noConversion"/>
  </si>
  <si>
    <t>홈페이지-50%(야간)</t>
    <phoneticPr fontId="1" type="noConversion"/>
  </si>
  <si>
    <t>SKT 0 day(본인)-종일</t>
  </si>
  <si>
    <t>SKT 0 day(동반)-종일</t>
    <phoneticPr fontId="1" type="noConversion"/>
  </si>
  <si>
    <t>멤버쉽(본인)-종일</t>
  </si>
  <si>
    <t>멤버쉽(본인)-야간</t>
  </si>
  <si>
    <t>멤버쉽(동반)-종일</t>
  </si>
  <si>
    <t>멤버쉽(동반)-야간</t>
  </si>
  <si>
    <t>생일(본인-50%)-종일</t>
    <phoneticPr fontId="1" type="noConversion"/>
  </si>
  <si>
    <t>생일(본인-50%)-야간</t>
    <phoneticPr fontId="1" type="noConversion"/>
  </si>
  <si>
    <t>생일(동반-50%)-종일</t>
    <phoneticPr fontId="1" type="noConversion"/>
  </si>
  <si>
    <t>생일(동반-50%)-야간</t>
    <phoneticPr fontId="1" type="noConversion"/>
  </si>
  <si>
    <t>홈페이지-생일(본인-40%)-종일</t>
    <phoneticPr fontId="1" type="noConversion"/>
  </si>
  <si>
    <t>홈페이지-생일(본인-40%)-야간</t>
    <phoneticPr fontId="1" type="noConversion"/>
  </si>
  <si>
    <t>홈페이지-생일(본인-50%)-종일</t>
    <phoneticPr fontId="1" type="noConversion"/>
  </si>
  <si>
    <t>홈페이지-생일(본인-50%)-야간</t>
    <phoneticPr fontId="1" type="noConversion"/>
  </si>
  <si>
    <t>문화누리(본인)-종일-UP</t>
    <phoneticPr fontId="1" type="noConversion"/>
  </si>
  <si>
    <t>문화누리(본인)-야간-UP</t>
    <phoneticPr fontId="1" type="noConversion"/>
  </si>
  <si>
    <t>문화누리(동반)-종일-UP</t>
    <phoneticPr fontId="1" type="noConversion"/>
  </si>
  <si>
    <t>문화누리(동반)-야간-UP</t>
    <phoneticPr fontId="1" type="noConversion"/>
  </si>
  <si>
    <t>홈페이지-SNS할인-혹한기</t>
    <phoneticPr fontId="1" type="noConversion"/>
  </si>
  <si>
    <t>홈페이지-SNS할인-여름특가</t>
    <phoneticPr fontId="1" type="noConversion"/>
  </si>
  <si>
    <t>홈페이지-SNS할인-설랜데이</t>
    <phoneticPr fontId="1" type="noConversion"/>
  </si>
  <si>
    <t>홈페이지-SNS할인-시크릿링크</t>
    <phoneticPr fontId="1" type="noConversion"/>
  </si>
  <si>
    <t>홈페이지-SNS할인-단기</t>
    <phoneticPr fontId="1" type="noConversion"/>
  </si>
  <si>
    <t>홈페이지-SNS할인-우천할인</t>
    <phoneticPr fontId="1" type="noConversion"/>
  </si>
  <si>
    <t>홈페이지-SNS할인-앱 푸시 전용 할인</t>
    <phoneticPr fontId="1" type="noConversion"/>
  </si>
  <si>
    <t>홈페이지-SNS할인-야간특가</t>
    <phoneticPr fontId="1" type="noConversion"/>
  </si>
  <si>
    <t>홈페이지-봄비벚꽃패스</t>
    <phoneticPr fontId="1" type="noConversion"/>
  </si>
  <si>
    <t>홈페이지-미리 카운트다운-야간</t>
    <phoneticPr fontId="1" type="noConversion"/>
  </si>
  <si>
    <t>홈페이지-중고 중간고사 할인-주간</t>
    <phoneticPr fontId="1" type="noConversion"/>
  </si>
  <si>
    <t>중고 중간고사 할인-주간</t>
    <phoneticPr fontId="1" type="noConversion"/>
  </si>
  <si>
    <t>중고 중간고사 할인-야간</t>
    <phoneticPr fontId="1" type="noConversion"/>
  </si>
  <si>
    <t>대중교통-주간</t>
    <phoneticPr fontId="1" type="noConversion"/>
  </si>
  <si>
    <t>대중교통-야간</t>
    <phoneticPr fontId="1" type="noConversion"/>
  </si>
  <si>
    <t>군인(병사)&amp;사회복무요원-주간</t>
    <phoneticPr fontId="1" type="noConversion"/>
  </si>
  <si>
    <t>군인(병사)&amp;사회복무요원-야간</t>
    <phoneticPr fontId="1" type="noConversion"/>
  </si>
  <si>
    <t>과천시민 지역할인(5,10월)-주간</t>
    <phoneticPr fontId="1" type="noConversion"/>
  </si>
  <si>
    <t>과천시민 지역할인(5,10월)-야간</t>
    <phoneticPr fontId="1" type="noConversion"/>
  </si>
  <si>
    <t>파크이용권 21.5</t>
    <phoneticPr fontId="1" type="noConversion"/>
  </si>
  <si>
    <t>투표인증할인</t>
    <phoneticPr fontId="1" type="noConversion"/>
  </si>
  <si>
    <t>광복절 특별할인</t>
    <phoneticPr fontId="1" type="noConversion"/>
  </si>
  <si>
    <t>N Pay 할인(본인)-주간</t>
    <phoneticPr fontId="1" type="noConversion"/>
  </si>
  <si>
    <t>N Pay 할인(본인)-야간</t>
    <phoneticPr fontId="1" type="noConversion"/>
  </si>
  <si>
    <t>N Pay 할인(동반)-주간</t>
    <phoneticPr fontId="1" type="noConversion"/>
  </si>
  <si>
    <t>N Pay 할인(동반)-야간</t>
    <phoneticPr fontId="1" type="noConversion"/>
  </si>
  <si>
    <t>크리스마스 코스튬 특가</t>
    <phoneticPr fontId="1" type="noConversion"/>
  </si>
  <si>
    <t>귀신동굴 이벤트 특가-야간</t>
  </si>
  <si>
    <t>수험생할인-주간</t>
    <phoneticPr fontId="1" type="noConversion"/>
  </si>
  <si>
    <t>수험생할인-야간</t>
    <phoneticPr fontId="1" type="noConversion"/>
  </si>
  <si>
    <t>기간특가 종일권</t>
  </si>
  <si>
    <t>기간특가 종일권-할인</t>
    <phoneticPr fontId="1" type="noConversion"/>
  </si>
  <si>
    <t>기간특가 AFTER2</t>
  </si>
  <si>
    <t>기간특가 AFTER2-할인</t>
    <phoneticPr fontId="1" type="noConversion"/>
  </si>
  <si>
    <t>기간특가 AFTER2(평일권)</t>
  </si>
  <si>
    <t>기간특가 AFTER2(평일권)-할인</t>
    <phoneticPr fontId="1" type="noConversion"/>
  </si>
  <si>
    <t>기간특가 AFTER2(평일권)-UP</t>
    <phoneticPr fontId="1" type="noConversion"/>
  </si>
  <si>
    <t>기간특가 AFTER6</t>
  </si>
  <si>
    <t>기간특가 AFTER6-할인</t>
    <phoneticPr fontId="1" type="noConversion"/>
  </si>
  <si>
    <t>기간특가 AFTER6(평일권)</t>
  </si>
  <si>
    <t>기간특가 어린이권-비수기</t>
    <phoneticPr fontId="1" type="noConversion"/>
  </si>
  <si>
    <t>기간특가 어린이권-할인</t>
    <phoneticPr fontId="1" type="noConversion"/>
  </si>
  <si>
    <t>1일특가 종일권</t>
  </si>
  <si>
    <t>1일특가 종일권-할인</t>
    <phoneticPr fontId="1" type="noConversion"/>
  </si>
  <si>
    <t>1일특가 종일권-UP</t>
    <phoneticPr fontId="1" type="noConversion"/>
  </si>
  <si>
    <t>1일특가 AFTER2</t>
  </si>
  <si>
    <t>1일특가 AFTER2-할인</t>
    <phoneticPr fontId="1" type="noConversion"/>
  </si>
  <si>
    <t>1일특가 AFTER2-UP</t>
    <phoneticPr fontId="1" type="noConversion"/>
  </si>
  <si>
    <t>1일특가 어린이권</t>
    <phoneticPr fontId="1" type="noConversion"/>
  </si>
  <si>
    <t>2인패키지권(쿠팡WOW)</t>
  </si>
  <si>
    <t>2인패키지권(쿠팡WOW)-할인</t>
    <phoneticPr fontId="1" type="noConversion"/>
  </si>
  <si>
    <t>라이브커머스 특가-방송외</t>
  </si>
  <si>
    <t>라이브커머스 특가-방송중</t>
  </si>
  <si>
    <t>라이브커머스 특가-방송중-할인</t>
    <phoneticPr fontId="1" type="noConversion"/>
  </si>
  <si>
    <t>네이버라이브 1일특가-방송중</t>
    <phoneticPr fontId="1" type="noConversion"/>
  </si>
  <si>
    <t>네이버라이브 1일특가-방송중-할인</t>
    <phoneticPr fontId="1" type="noConversion"/>
  </si>
  <si>
    <t>네이버라이브 1일특가-방송외</t>
    <phoneticPr fontId="1" type="noConversion"/>
  </si>
  <si>
    <t>네이버라이브 1일특가-방송외-할인</t>
    <phoneticPr fontId="1" type="noConversion"/>
  </si>
  <si>
    <t>네이버라이브 기간특가-방송외</t>
    <phoneticPr fontId="1" type="noConversion"/>
  </si>
  <si>
    <t>네이버라이브 기간특가-방송외-할인</t>
    <phoneticPr fontId="1" type="noConversion"/>
  </si>
  <si>
    <t>네이브라이브 기간특가-어린이권</t>
    <phoneticPr fontId="1" type="noConversion"/>
  </si>
  <si>
    <t>네이브라이브 기간특가-어린이권(할인)</t>
    <phoneticPr fontId="1" type="noConversion"/>
  </si>
  <si>
    <t>쇼핑라이브 1일특가-방송중</t>
    <phoneticPr fontId="1" type="noConversion"/>
  </si>
  <si>
    <t>쇼핑라이브 1일특가-방송중-할인</t>
    <phoneticPr fontId="1" type="noConversion"/>
  </si>
  <si>
    <t>쇼핑라이브 1일특가-AFTER2</t>
    <phoneticPr fontId="1" type="noConversion"/>
  </si>
  <si>
    <t>쇼핑라이브 1일특가-방송외</t>
    <phoneticPr fontId="1" type="noConversion"/>
  </si>
  <si>
    <t>쇼핑라이브 기간특가-방송외</t>
    <phoneticPr fontId="1" type="noConversion"/>
  </si>
  <si>
    <t>KB PAY 앱 런칭 프로모션</t>
    <phoneticPr fontId="1" type="noConversion"/>
  </si>
  <si>
    <t>휴가시즌 프로모션 종일권</t>
    <phoneticPr fontId="1" type="noConversion"/>
  </si>
  <si>
    <t>휴가시즌 프로모션 종일권 (평일권)</t>
    <phoneticPr fontId="1" type="noConversion"/>
  </si>
  <si>
    <t>종일권 3인패키지</t>
    <phoneticPr fontId="1" type="noConversion"/>
  </si>
  <si>
    <t>AFTER6 3인패키지</t>
    <phoneticPr fontId="1" type="noConversion"/>
  </si>
  <si>
    <t>AFTER6 2인패키지</t>
    <phoneticPr fontId="1" type="noConversion"/>
  </si>
  <si>
    <t>AFTER2 2인패키지</t>
    <phoneticPr fontId="1" type="noConversion"/>
  </si>
  <si>
    <t>1일특가-할인</t>
    <phoneticPr fontId="1" type="noConversion"/>
  </si>
  <si>
    <t>기간특가</t>
  </si>
  <si>
    <t>과천지역할인</t>
  </si>
  <si>
    <t>과천지역할인-실버</t>
  </si>
  <si>
    <t>1일특가-평일 연간</t>
    <phoneticPr fontId="1" type="noConversion"/>
  </si>
  <si>
    <t>1일특가-평일 연간 할인</t>
    <phoneticPr fontId="1" type="noConversion"/>
  </si>
  <si>
    <t>기간특가-평일 연간</t>
    <phoneticPr fontId="1" type="noConversion"/>
  </si>
  <si>
    <t>기간특가-평일 연간 할인</t>
    <phoneticPr fontId="1" type="noConversion"/>
  </si>
  <si>
    <t>라이브 1일특가-평일 연간</t>
    <phoneticPr fontId="1" type="noConversion"/>
  </si>
  <si>
    <t>라이브 1일특가-평일 연간 할인</t>
    <phoneticPr fontId="1" type="noConversion"/>
  </si>
  <si>
    <t>라이브 기간특가-평일 연간</t>
    <phoneticPr fontId="1" type="noConversion"/>
  </si>
  <si>
    <t>라이브 기간특가-평일 연간 할인</t>
    <phoneticPr fontId="1" type="noConversion"/>
  </si>
  <si>
    <t>라이브 1일특가-연간</t>
    <phoneticPr fontId="1" type="noConversion"/>
  </si>
  <si>
    <t>라이브 기간특가-연간</t>
    <phoneticPr fontId="1" type="noConversion"/>
  </si>
  <si>
    <t>온라인B2B</t>
    <phoneticPr fontId="1" type="noConversion"/>
  </si>
  <si>
    <t>1일특가-5개월</t>
    <phoneticPr fontId="1" type="noConversion"/>
  </si>
  <si>
    <t>기간특가-5개월</t>
    <phoneticPr fontId="1" type="noConversion"/>
  </si>
  <si>
    <t>1일특가-5개월 할인</t>
    <phoneticPr fontId="1" type="noConversion"/>
  </si>
  <si>
    <t>기간특가-5개월 할인</t>
    <phoneticPr fontId="1" type="noConversion"/>
  </si>
  <si>
    <t>대학생 종일권</t>
    <phoneticPr fontId="1" type="noConversion"/>
  </si>
  <si>
    <t>대학생 AFTER2</t>
    <phoneticPr fontId="1" type="noConversion"/>
  </si>
  <si>
    <t>복지단체(6~8월, 평일)</t>
    <phoneticPr fontId="1" type="noConversion"/>
  </si>
  <si>
    <t>대학생 특별할인(여름방학)</t>
    <phoneticPr fontId="1" type="noConversion"/>
  </si>
  <si>
    <t>단체대관행사</t>
    <phoneticPr fontId="1" type="noConversion"/>
  </si>
  <si>
    <t>초등단체(1~2월)</t>
    <phoneticPr fontId="1" type="noConversion"/>
  </si>
  <si>
    <t>초등단체(3월,11~12월)</t>
    <phoneticPr fontId="1" type="noConversion"/>
  </si>
  <si>
    <t>초등지방(3월,11~12월)</t>
    <phoneticPr fontId="1" type="noConversion"/>
  </si>
  <si>
    <t>초등단체(4~10월)</t>
    <phoneticPr fontId="1" type="noConversion"/>
  </si>
  <si>
    <t>초등해피타임(4~10월, 평일)</t>
    <phoneticPr fontId="1" type="noConversion"/>
  </si>
  <si>
    <t>초등지방(4~10월)</t>
    <phoneticPr fontId="1" type="noConversion"/>
  </si>
  <si>
    <t>초등지방 AFTER2</t>
    <phoneticPr fontId="1" type="noConversion"/>
  </si>
  <si>
    <t>중고단체(1~2월)</t>
    <phoneticPr fontId="1" type="noConversion"/>
  </si>
  <si>
    <t>중고단체(3월,11~12월)</t>
    <phoneticPr fontId="1" type="noConversion"/>
  </si>
  <si>
    <t>중고단체(4~10월)</t>
    <phoneticPr fontId="1" type="noConversion"/>
  </si>
  <si>
    <t>중고지방(4~10월)</t>
    <phoneticPr fontId="1" type="noConversion"/>
  </si>
  <si>
    <t>중고지방(비수기)</t>
    <phoneticPr fontId="1" type="noConversion"/>
  </si>
  <si>
    <t>중고 특별할인</t>
    <phoneticPr fontId="1" type="noConversion"/>
  </si>
  <si>
    <t>중고단체AFTER2</t>
    <phoneticPr fontId="1" type="noConversion"/>
  </si>
  <si>
    <t>중고단체축제</t>
    <phoneticPr fontId="1" type="noConversion"/>
  </si>
  <si>
    <t>중고단체입장</t>
    <phoneticPr fontId="1" type="noConversion"/>
  </si>
  <si>
    <t>유아단체(3월,11~12월)</t>
    <phoneticPr fontId="1" type="noConversion"/>
  </si>
  <si>
    <t>유아해피타임(4~10월, 평일)</t>
    <phoneticPr fontId="1" type="noConversion"/>
  </si>
  <si>
    <t>유아단체(4~10월, 주말)</t>
    <phoneticPr fontId="1" type="noConversion"/>
  </si>
  <si>
    <t>유아단체(6~8월, 평일)</t>
    <phoneticPr fontId="1" type="noConversion"/>
  </si>
  <si>
    <t>유아단체(7~8월, 평일)</t>
    <phoneticPr fontId="1" type="noConversion"/>
  </si>
  <si>
    <t>학원단체(3월,11~12월)</t>
    <phoneticPr fontId="1" type="noConversion"/>
  </si>
  <si>
    <t>학원해피타임(4~10월, 평일)</t>
    <phoneticPr fontId="1" type="noConversion"/>
  </si>
  <si>
    <t>학원단체(4~10월, 주말)</t>
    <phoneticPr fontId="1" type="noConversion"/>
  </si>
  <si>
    <t>학원단체(6~8월, 평일)</t>
    <phoneticPr fontId="1" type="noConversion"/>
  </si>
  <si>
    <t>디스커버 서울패스</t>
    <phoneticPr fontId="1" type="noConversion"/>
  </si>
  <si>
    <t>KKDAY 프로모션</t>
    <phoneticPr fontId="1" type="noConversion"/>
  </si>
  <si>
    <t>인바운드 단체(일반방문)</t>
    <phoneticPr fontId="1" type="noConversion"/>
  </si>
  <si>
    <t>인바운드 단체(일반제휴)</t>
    <phoneticPr fontId="1" type="noConversion"/>
  </si>
  <si>
    <t>메가세일 프로모션</t>
    <phoneticPr fontId="1" type="noConversion"/>
  </si>
  <si>
    <t>외국인쿠폰할인-주간</t>
    <phoneticPr fontId="1" type="noConversion"/>
  </si>
  <si>
    <t>외국인쿠폰할인-야간</t>
    <phoneticPr fontId="1" type="noConversion"/>
  </si>
  <si>
    <t>우리은행 쿠폰할인-주/야간</t>
    <phoneticPr fontId="1" type="noConversion"/>
  </si>
  <si>
    <t>명절외국인 프로모션</t>
    <phoneticPr fontId="1" type="noConversion"/>
  </si>
  <si>
    <t>교원우대-AFTER4</t>
    <phoneticPr fontId="1" type="noConversion"/>
  </si>
  <si>
    <t>VIP동반</t>
  </si>
  <si>
    <t>교사예약-종일권</t>
    <phoneticPr fontId="1" type="noConversion"/>
  </si>
  <si>
    <t>교사예약-AFTER4</t>
    <phoneticPr fontId="1" type="noConversion"/>
  </si>
  <si>
    <t>교사현장-종일권</t>
    <phoneticPr fontId="1" type="noConversion"/>
  </si>
  <si>
    <t>교사현장-AFTER4</t>
    <phoneticPr fontId="1" type="noConversion"/>
  </si>
  <si>
    <t>복지사우대-종일권</t>
    <phoneticPr fontId="1" type="noConversion"/>
  </si>
  <si>
    <t>복지사우대-AFTER4</t>
    <phoneticPr fontId="1" type="noConversion"/>
  </si>
  <si>
    <t>기업행사(대관O)</t>
  </si>
  <si>
    <t>뮤직페스티벌입장</t>
  </si>
  <si>
    <t>가을 직판 종일권(24년)</t>
    <phoneticPr fontId="1" type="noConversion"/>
  </si>
  <si>
    <t>가을 직판 AFTER4(24년)</t>
    <phoneticPr fontId="1" type="noConversion"/>
  </si>
  <si>
    <t>겨울 직판 종일권(24년)</t>
    <phoneticPr fontId="1" type="noConversion"/>
  </si>
  <si>
    <t>겨울 직판 평일권(24년)</t>
    <phoneticPr fontId="1" type="noConversion"/>
  </si>
  <si>
    <t>겨울 직판 AFTER2(24년)</t>
    <phoneticPr fontId="1" type="noConversion"/>
  </si>
  <si>
    <t>봄 직판 종일권-삼성전자</t>
    <phoneticPr fontId="1" type="noConversion"/>
  </si>
  <si>
    <t>종일권-서울교통공사</t>
    <phoneticPr fontId="1" type="noConversion"/>
  </si>
  <si>
    <t>겨을 직판 AFTER2</t>
    <phoneticPr fontId="1" type="noConversion"/>
  </si>
  <si>
    <t>LG U+ 멤버십 이벤트 종일권</t>
    <phoneticPr fontId="1" type="noConversion"/>
  </si>
  <si>
    <t>가을 대행사 종일권(24년)</t>
    <phoneticPr fontId="1" type="noConversion"/>
  </si>
  <si>
    <t>가을 대행사 AFTER4(24년)</t>
    <phoneticPr fontId="1" type="noConversion"/>
  </si>
  <si>
    <t>가을 대행사 종일권(키즈노트)_24년</t>
    <phoneticPr fontId="1" type="noConversion"/>
  </si>
  <si>
    <t>겨울 대행사 종일권(24년)</t>
    <phoneticPr fontId="1" type="noConversion"/>
  </si>
  <si>
    <t>겨울 대행사 평일권(24년)</t>
    <phoneticPr fontId="1" type="noConversion"/>
  </si>
  <si>
    <t>겨울 대행사 AFTER2(24년)</t>
    <phoneticPr fontId="1" type="noConversion"/>
  </si>
  <si>
    <t>겨울 대행사 종일권(24년)-현장</t>
    <phoneticPr fontId="1" type="noConversion"/>
  </si>
  <si>
    <t>겨울 대행사 평일권(24년)-현장</t>
    <phoneticPr fontId="1" type="noConversion"/>
  </si>
  <si>
    <t>겨울 대행사 AFTER2(24년)-현장</t>
    <phoneticPr fontId="1" type="noConversion"/>
  </si>
  <si>
    <t>봄 대행사 종일권(키즈노트)</t>
    <phoneticPr fontId="1" type="noConversion"/>
  </si>
  <si>
    <t>봄 대행사 종일권(키즈노트)-프로모션</t>
    <phoneticPr fontId="1" type="noConversion"/>
  </si>
  <si>
    <t>봄 대행사 미취학(키즈노트)-프로모션</t>
    <phoneticPr fontId="1" type="noConversion"/>
  </si>
  <si>
    <t>여름 대행사 AFTER2</t>
    <phoneticPr fontId="1" type="noConversion"/>
  </si>
  <si>
    <t>여름 대행사 AFTER6</t>
    <phoneticPr fontId="1" type="noConversion"/>
  </si>
  <si>
    <t>여름 대행사 AFTER2-현장</t>
    <phoneticPr fontId="1" type="noConversion"/>
  </si>
  <si>
    <t>여름 대행사 AFTER6-현장</t>
    <phoneticPr fontId="1" type="noConversion"/>
  </si>
  <si>
    <t>여름 대행사 종일권-프로모션</t>
    <phoneticPr fontId="1" type="noConversion"/>
  </si>
  <si>
    <t>여름 대행사 AFTER4-프로모션</t>
    <phoneticPr fontId="1" type="noConversion"/>
  </si>
  <si>
    <t>가을 대행사 AFTER1</t>
    <phoneticPr fontId="1" type="noConversion"/>
  </si>
  <si>
    <t>가을 대행사 AFTER1-현장</t>
    <phoneticPr fontId="1" type="noConversion"/>
  </si>
  <si>
    <t>대행사 AFTER2 2인패키지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</si>
</sst>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_-;&quot;▲&quot;\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9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</borders>
  <cellStyleXfs count="2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3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176" fontId="6" fillId="7" borderId="1" xfId="0" applyNumberFormat="1" applyFont="1" applyFill="1" applyBorder="1" applyAlignment="1">
      <alignment horizontal="center" vertical="center"/>
    </xf>
    <xf numFmtId="176" fontId="6" fillId="7" borderId="15" xfId="0" applyNumberFormat="1" applyFont="1" applyFill="1" applyBorder="1" applyAlignment="1">
      <alignment horizontal="center" vertical="center"/>
    </xf>
    <xf numFmtId="176" fontId="6" fillId="7" borderId="16" xfId="0" applyNumberFormat="1" applyFont="1" applyFill="1" applyBorder="1" applyAlignment="1">
      <alignment horizontal="center" vertical="center"/>
    </xf>
    <xf numFmtId="176" fontId="9" fillId="4" borderId="17" xfId="0" applyNumberFormat="1" applyFont="1" applyFill="1" applyBorder="1">
      <alignment vertical="center"/>
    </xf>
    <xf numFmtId="176" fontId="9" fillId="4" borderId="18" xfId="0" applyNumberFormat="1" applyFont="1" applyFill="1" applyBorder="1">
      <alignment vertical="center"/>
    </xf>
    <xf numFmtId="176" fontId="9" fillId="4" borderId="2" xfId="0" applyNumberFormat="1" applyFont="1" applyFill="1" applyBorder="1">
      <alignment vertical="center"/>
    </xf>
    <xf numFmtId="176" fontId="9" fillId="4" borderId="19" xfId="0" applyNumberFormat="1" applyFont="1" applyFill="1" applyBorder="1">
      <alignment vertical="center"/>
    </xf>
    <xf numFmtId="176" fontId="9" fillId="4" borderId="20" xfId="0" applyNumberFormat="1" applyFont="1" applyFill="1" applyBorder="1">
      <alignment vertical="center"/>
    </xf>
    <xf numFmtId="176" fontId="9" fillId="4" borderId="3" xfId="0" applyNumberFormat="1" applyFont="1" applyFill="1" applyBorder="1">
      <alignment vertical="center"/>
    </xf>
    <xf numFmtId="176" fontId="9" fillId="4" borderId="21" xfId="0" applyNumberFormat="1" applyFont="1" applyFill="1" applyBorder="1">
      <alignment vertical="center"/>
    </xf>
    <xf numFmtId="176" fontId="9" fillId="4" borderId="22" xfId="0" applyNumberFormat="1" applyFont="1" applyFill="1" applyBorder="1">
      <alignment vertical="center"/>
    </xf>
    <xf numFmtId="176" fontId="9" fillId="4" borderId="13" xfId="0" applyNumberFormat="1" applyFont="1" applyFill="1" applyBorder="1">
      <alignment vertical="center"/>
    </xf>
    <xf numFmtId="176" fontId="9" fillId="4" borderId="25" xfId="0" applyNumberFormat="1" applyFont="1" applyFill="1" applyBorder="1">
      <alignment vertical="center"/>
    </xf>
    <xf numFmtId="176" fontId="9" fillId="4" borderId="26" xfId="0" applyNumberFormat="1" applyFont="1" applyFill="1" applyBorder="1">
      <alignment vertical="center"/>
    </xf>
    <xf numFmtId="176" fontId="9" fillId="4" borderId="6" xfId="0" applyNumberFormat="1" applyFont="1" applyFill="1" applyBorder="1">
      <alignment vertical="center"/>
    </xf>
    <xf numFmtId="176" fontId="10" fillId="5" borderId="15" xfId="0" applyNumberFormat="1" applyFont="1" applyFill="1" applyBorder="1">
      <alignment vertical="center"/>
    </xf>
    <xf numFmtId="176" fontId="10" fillId="5" borderId="16" xfId="0" applyNumberFormat="1" applyFont="1" applyFill="1" applyBorder="1">
      <alignment vertical="center"/>
    </xf>
    <xf numFmtId="176" fontId="10" fillId="5" borderId="1" xfId="0" applyNumberFormat="1" applyFont="1" applyFill="1" applyBorder="1">
      <alignment vertical="center"/>
    </xf>
    <xf numFmtId="176" fontId="10" fillId="8" borderId="15" xfId="0" applyNumberFormat="1" applyFont="1" applyFill="1" applyBorder="1">
      <alignment vertical="center"/>
    </xf>
    <xf numFmtId="176" fontId="10" fillId="8" borderId="16" xfId="0" applyNumberFormat="1" applyFont="1" applyFill="1" applyBorder="1">
      <alignment vertical="center"/>
    </xf>
    <xf numFmtId="176" fontId="10" fillId="8" borderId="1" xfId="0" applyNumberFormat="1" applyFont="1" applyFill="1" applyBorder="1">
      <alignment vertical="center"/>
    </xf>
    <xf numFmtId="176" fontId="10" fillId="13" borderId="23" xfId="0" applyNumberFormat="1" applyFont="1" applyFill="1" applyBorder="1">
      <alignment vertical="center"/>
    </xf>
    <xf numFmtId="176" fontId="10" fillId="13" borderId="24" xfId="0" applyNumberFormat="1" applyFont="1" applyFill="1" applyBorder="1">
      <alignment vertical="center"/>
    </xf>
    <xf numFmtId="176" fontId="10" fillId="13" borderId="11" xfId="0" applyNumberFormat="1" applyFont="1" applyFill="1" applyBorder="1">
      <alignment vertical="center"/>
    </xf>
    <xf numFmtId="176" fontId="6" fillId="7" borderId="37" xfId="0" applyNumberFormat="1" applyFont="1" applyFill="1" applyBorder="1" applyAlignment="1">
      <alignment horizontal="center" vertical="center"/>
    </xf>
    <xf numFmtId="176" fontId="6" fillId="7" borderId="38" xfId="0" applyNumberFormat="1" applyFont="1" applyFill="1" applyBorder="1" applyAlignment="1">
      <alignment horizontal="center" vertical="center"/>
    </xf>
    <xf numFmtId="176" fontId="9" fillId="4" borderId="39" xfId="0" applyNumberFormat="1" applyFont="1" applyFill="1" applyBorder="1">
      <alignment vertical="center"/>
    </xf>
    <xf numFmtId="176" fontId="9" fillId="4" borderId="40" xfId="0" applyNumberFormat="1" applyFont="1" applyFill="1" applyBorder="1">
      <alignment vertical="center"/>
    </xf>
    <xf numFmtId="176" fontId="9" fillId="4" borderId="41" xfId="0" applyNumberFormat="1" applyFont="1" applyFill="1" applyBorder="1">
      <alignment vertical="center"/>
    </xf>
    <xf numFmtId="176" fontId="9" fillId="4" borderId="42" xfId="0" applyNumberFormat="1" applyFont="1" applyFill="1" applyBorder="1">
      <alignment vertical="center"/>
    </xf>
    <xf numFmtId="176" fontId="9" fillId="4" borderId="45" xfId="0" applyNumberFormat="1" applyFont="1" applyFill="1" applyBorder="1">
      <alignment vertical="center"/>
    </xf>
    <xf numFmtId="176" fontId="9" fillId="4" borderId="46" xfId="0" applyNumberFormat="1" applyFont="1" applyFill="1" applyBorder="1">
      <alignment vertical="center"/>
    </xf>
    <xf numFmtId="176" fontId="9" fillId="4" borderId="47" xfId="0" applyNumberFormat="1" applyFont="1" applyFill="1" applyBorder="1">
      <alignment vertical="center"/>
    </xf>
    <xf numFmtId="176" fontId="9" fillId="4" borderId="48" xfId="0" applyNumberFormat="1" applyFont="1" applyFill="1" applyBorder="1">
      <alignment vertical="center"/>
    </xf>
    <xf numFmtId="176" fontId="10" fillId="5" borderId="37" xfId="0" applyNumberFormat="1" applyFont="1" applyFill="1" applyBorder="1">
      <alignment vertical="center"/>
    </xf>
    <xf numFmtId="176" fontId="10" fillId="5" borderId="38" xfId="0" applyNumberFormat="1" applyFont="1" applyFill="1" applyBorder="1">
      <alignment vertical="center"/>
    </xf>
    <xf numFmtId="176" fontId="10" fillId="8" borderId="37" xfId="0" applyNumberFormat="1" applyFont="1" applyFill="1" applyBorder="1">
      <alignment vertical="center"/>
    </xf>
    <xf numFmtId="176" fontId="10" fillId="8" borderId="38" xfId="0" applyNumberFormat="1" applyFont="1" applyFill="1" applyBorder="1">
      <alignment vertical="center"/>
    </xf>
    <xf numFmtId="176" fontId="10" fillId="13" borderId="43" xfId="0" applyNumberFormat="1" applyFont="1" applyFill="1" applyBorder="1">
      <alignment vertical="center"/>
    </xf>
    <xf numFmtId="176" fontId="10" fillId="13" borderId="44" xfId="0" applyNumberFormat="1" applyFont="1" applyFill="1" applyBorder="1">
      <alignment vertical="center"/>
    </xf>
    <xf numFmtId="176" fontId="9" fillId="4" borderId="49" xfId="0" applyNumberFormat="1" applyFont="1" applyFill="1" applyBorder="1">
      <alignment vertical="center"/>
    </xf>
    <xf numFmtId="176" fontId="9" fillId="4" borderId="32" xfId="0" applyNumberFormat="1" applyFont="1" applyFill="1" applyBorder="1">
      <alignment vertical="center"/>
    </xf>
    <xf numFmtId="176" fontId="9" fillId="4" borderId="33" xfId="0" applyNumberFormat="1" applyFont="1" applyFill="1" applyBorder="1">
      <alignment vertical="center"/>
    </xf>
    <xf numFmtId="176" fontId="9" fillId="4" borderId="12" xfId="0" applyNumberFormat="1" applyFont="1" applyFill="1" applyBorder="1">
      <alignment vertical="center"/>
    </xf>
    <xf numFmtId="176" fontId="9" fillId="4" borderId="50" xfId="0" applyNumberFormat="1" applyFont="1" applyFill="1" applyBorder="1">
      <alignment vertical="center"/>
    </xf>
    <xf numFmtId="176" fontId="9" fillId="4" borderId="52" xfId="0" applyNumberFormat="1" applyFont="1" applyFill="1" applyBorder="1">
      <alignment vertical="center"/>
    </xf>
    <xf numFmtId="176" fontId="9" fillId="4" borderId="53" xfId="0" applyNumberFormat="1" applyFont="1" applyFill="1" applyBorder="1">
      <alignment vertical="center"/>
    </xf>
    <xf numFmtId="176" fontId="9" fillId="4" borderId="54" xfId="0" applyNumberFormat="1" applyFont="1" applyFill="1" applyBorder="1">
      <alignment vertical="center"/>
    </xf>
    <xf numFmtId="176" fontId="9" fillId="4" borderId="9" xfId="0" applyNumberFormat="1" applyFont="1" applyFill="1" applyBorder="1">
      <alignment vertical="center"/>
    </xf>
    <xf numFmtId="176" fontId="9" fillId="4" borderId="55" xfId="0" applyNumberFormat="1" applyFont="1" applyFill="1" applyBorder="1">
      <alignment vertical="center"/>
    </xf>
    <xf numFmtId="176" fontId="10" fillId="12" borderId="37" xfId="0" applyNumberFormat="1" applyFont="1" applyFill="1" applyBorder="1">
      <alignment vertical="center"/>
    </xf>
    <xf numFmtId="176" fontId="10" fillId="12" borderId="15" xfId="0" applyNumberFormat="1" applyFont="1" applyFill="1" applyBorder="1">
      <alignment vertical="center"/>
    </xf>
    <xf numFmtId="176" fontId="10" fillId="12" borderId="16" xfId="0" applyNumberFormat="1" applyFont="1" applyFill="1" applyBorder="1">
      <alignment vertical="center"/>
    </xf>
    <xf numFmtId="176" fontId="10" fillId="12" borderId="1" xfId="0" applyNumberFormat="1" applyFont="1" applyFill="1" applyBorder="1">
      <alignment vertical="center"/>
    </xf>
    <xf numFmtId="176" fontId="10" fillId="12" borderId="38" xfId="0" applyNumberFormat="1" applyFont="1" applyFill="1" applyBorder="1">
      <alignment vertical="center"/>
    </xf>
    <xf numFmtId="176" fontId="10" fillId="13" borderId="37" xfId="0" applyNumberFormat="1" applyFont="1" applyFill="1" applyBorder="1">
      <alignment vertical="center"/>
    </xf>
    <xf numFmtId="176" fontId="10" fillId="13" borderId="15" xfId="0" applyNumberFormat="1" applyFont="1" applyFill="1" applyBorder="1">
      <alignment vertical="center"/>
    </xf>
    <xf numFmtId="176" fontId="10" fillId="13" borderId="16" xfId="0" applyNumberFormat="1" applyFont="1" applyFill="1" applyBorder="1">
      <alignment vertical="center"/>
    </xf>
    <xf numFmtId="176" fontId="10" fillId="13" borderId="1" xfId="0" applyNumberFormat="1" applyFont="1" applyFill="1" applyBorder="1">
      <alignment vertical="center"/>
    </xf>
    <xf numFmtId="176" fontId="10" fillId="13" borderId="38" xfId="0" applyNumberFormat="1" applyFont="1" applyFill="1" applyBorder="1">
      <alignment vertical="center"/>
    </xf>
    <xf numFmtId="176" fontId="6" fillId="7" borderId="57" xfId="0" applyNumberFormat="1" applyFont="1" applyFill="1" applyBorder="1" applyAlignment="1">
      <alignment horizontal="center" vertical="center"/>
    </xf>
    <xf numFmtId="176" fontId="9" fillId="4" borderId="58" xfId="0" applyNumberFormat="1" applyFont="1" applyFill="1" applyBorder="1">
      <alignment vertical="center"/>
    </xf>
    <xf numFmtId="176" fontId="9" fillId="4" borderId="59" xfId="0" applyNumberFormat="1" applyFont="1" applyFill="1" applyBorder="1">
      <alignment vertical="center"/>
    </xf>
    <xf numFmtId="176" fontId="9" fillId="4" borderId="60" xfId="0" applyNumberFormat="1" applyFont="1" applyFill="1" applyBorder="1">
      <alignment vertical="center"/>
    </xf>
    <xf numFmtId="176" fontId="10" fillId="8" borderId="57" xfId="0" applyNumberFormat="1" applyFont="1" applyFill="1" applyBorder="1">
      <alignment vertical="center"/>
    </xf>
    <xf numFmtId="176" fontId="10" fillId="5" borderId="57" xfId="0" applyNumberFormat="1" applyFont="1" applyFill="1" applyBorder="1">
      <alignment vertical="center"/>
    </xf>
    <xf numFmtId="176" fontId="9" fillId="4" borderId="61" xfId="0" applyNumberFormat="1" applyFont="1" applyFill="1" applyBorder="1">
      <alignment vertical="center"/>
    </xf>
    <xf numFmtId="176" fontId="9" fillId="4" borderId="63" xfId="0" applyNumberFormat="1" applyFont="1" applyFill="1" applyBorder="1">
      <alignment vertical="center"/>
    </xf>
    <xf numFmtId="176" fontId="10" fillId="12" borderId="57" xfId="0" applyNumberFormat="1" applyFont="1" applyFill="1" applyBorder="1">
      <alignment vertical="center"/>
    </xf>
    <xf numFmtId="176" fontId="10" fillId="13" borderId="57" xfId="0" applyNumberFormat="1" applyFont="1" applyFill="1" applyBorder="1">
      <alignment vertical="center"/>
    </xf>
    <xf numFmtId="176" fontId="10" fillId="13" borderId="62" xfId="0" applyNumberFormat="1" applyFont="1" applyFill="1" applyBorder="1">
      <alignment vertical="center"/>
    </xf>
    <xf numFmtId="0" fontId="10" fillId="0" borderId="0" xfId="0" applyFont="1">
      <alignment vertical="center"/>
    </xf>
    <xf numFmtId="176" fontId="10" fillId="9" borderId="66" xfId="0" applyNumberFormat="1" applyFont="1" applyFill="1" applyBorder="1">
      <alignment vertical="center"/>
    </xf>
    <xf numFmtId="176" fontId="10" fillId="9" borderId="67" xfId="0" applyNumberFormat="1" applyFont="1" applyFill="1" applyBorder="1">
      <alignment vertical="center"/>
    </xf>
    <xf numFmtId="176" fontId="10" fillId="9" borderId="68" xfId="0" applyNumberFormat="1" applyFont="1" applyFill="1" applyBorder="1">
      <alignment vertical="center"/>
    </xf>
    <xf numFmtId="176" fontId="10" fillId="9" borderId="64" xfId="0" applyNumberFormat="1" applyFont="1" applyFill="1" applyBorder="1">
      <alignment vertical="center"/>
    </xf>
    <xf numFmtId="176" fontId="10" fillId="9" borderId="69" xfId="0" applyNumberFormat="1" applyFont="1" applyFill="1" applyBorder="1">
      <alignment vertical="center"/>
    </xf>
    <xf numFmtId="176" fontId="10" fillId="10" borderId="66" xfId="0" applyNumberFormat="1" applyFont="1" applyFill="1" applyBorder="1">
      <alignment vertical="center"/>
    </xf>
    <xf numFmtId="176" fontId="10" fillId="10" borderId="67" xfId="0" applyNumberFormat="1" applyFont="1" applyFill="1" applyBorder="1">
      <alignment vertical="center"/>
    </xf>
    <xf numFmtId="176" fontId="10" fillId="10" borderId="68" xfId="0" applyNumberFormat="1" applyFont="1" applyFill="1" applyBorder="1">
      <alignment vertical="center"/>
    </xf>
    <xf numFmtId="176" fontId="10" fillId="10" borderId="64" xfId="0" applyNumberFormat="1" applyFont="1" applyFill="1" applyBorder="1">
      <alignment vertical="center"/>
    </xf>
    <xf numFmtId="176" fontId="10" fillId="10" borderId="69" xfId="0" applyNumberFormat="1" applyFont="1" applyFill="1" applyBorder="1">
      <alignment vertical="center"/>
    </xf>
    <xf numFmtId="176" fontId="10" fillId="11" borderId="66" xfId="0" applyNumberFormat="1" applyFont="1" applyFill="1" applyBorder="1">
      <alignment vertical="center"/>
    </xf>
    <xf numFmtId="176" fontId="10" fillId="11" borderId="67" xfId="0" applyNumberFormat="1" applyFont="1" applyFill="1" applyBorder="1">
      <alignment vertical="center"/>
    </xf>
    <xf numFmtId="176" fontId="10" fillId="11" borderId="68" xfId="0" applyNumberFormat="1" applyFont="1" applyFill="1" applyBorder="1">
      <alignment vertical="center"/>
    </xf>
    <xf numFmtId="176" fontId="10" fillId="11" borderId="64" xfId="0" applyNumberFormat="1" applyFont="1" applyFill="1" applyBorder="1">
      <alignment vertical="center"/>
    </xf>
    <xf numFmtId="176" fontId="10" fillId="11" borderId="69" xfId="0" applyNumberFormat="1" applyFont="1" applyFill="1" applyBorder="1">
      <alignment vertical="center"/>
    </xf>
    <xf numFmtId="176" fontId="10" fillId="14" borderId="78" xfId="0" applyNumberFormat="1" applyFont="1" applyFill="1" applyBorder="1">
      <alignment vertical="center"/>
    </xf>
    <xf numFmtId="176" fontId="10" fillId="14" borderId="79" xfId="0" applyNumberFormat="1" applyFont="1" applyFill="1" applyBorder="1">
      <alignment vertical="center"/>
    </xf>
    <xf numFmtId="176" fontId="10" fillId="14" borderId="80" xfId="0" applyNumberFormat="1" applyFont="1" applyFill="1" applyBorder="1">
      <alignment vertical="center"/>
    </xf>
    <xf numFmtId="176" fontId="10" fillId="14" borderId="81" xfId="0" applyNumberFormat="1" applyFont="1" applyFill="1" applyBorder="1">
      <alignment vertical="center"/>
    </xf>
    <xf numFmtId="176" fontId="10" fillId="14" borderId="82" xfId="0" applyNumberFormat="1" applyFont="1" applyFill="1" applyBorder="1">
      <alignment vertical="center"/>
    </xf>
    <xf numFmtId="0" fontId="6" fillId="13" borderId="31" xfId="0" applyFont="1" applyFill="1" applyBorder="1">
      <alignment vertical="center"/>
    </xf>
    <xf numFmtId="0" fontId="11" fillId="0" borderId="0" xfId="0" applyFont="1">
      <alignment vertical="center"/>
    </xf>
    <xf numFmtId="176" fontId="10" fillId="2" borderId="37" xfId="0" applyNumberFormat="1" applyFont="1" applyFill="1" applyBorder="1">
      <alignment vertical="center"/>
    </xf>
    <xf numFmtId="176" fontId="10" fillId="2" borderId="15" xfId="0" applyNumberFormat="1" applyFont="1" applyFill="1" applyBorder="1">
      <alignment vertical="center"/>
    </xf>
    <xf numFmtId="176" fontId="10" fillId="2" borderId="16" xfId="0" applyNumberFormat="1" applyFont="1" applyFill="1" applyBorder="1">
      <alignment vertical="center"/>
    </xf>
    <xf numFmtId="176" fontId="10" fillId="2" borderId="1" xfId="0" applyNumberFormat="1" applyFont="1" applyFill="1" applyBorder="1">
      <alignment vertical="center"/>
    </xf>
    <xf numFmtId="176" fontId="10" fillId="2" borderId="38" xfId="0" applyNumberFormat="1" applyFont="1" applyFill="1" applyBorder="1">
      <alignment vertical="center"/>
    </xf>
    <xf numFmtId="176" fontId="10" fillId="2" borderId="57" xfId="0" applyNumberFormat="1" applyFont="1" applyFill="1" applyBorder="1">
      <alignment vertical="center"/>
    </xf>
    <xf numFmtId="0" fontId="7" fillId="4" borderId="34" xfId="0" applyFont="1" applyFill="1" applyBorder="1">
      <alignment vertical="center"/>
    </xf>
    <xf numFmtId="176" fontId="10" fillId="10" borderId="86" xfId="0" applyNumberFormat="1" applyFont="1" applyFill="1" applyBorder="1">
      <alignment vertical="center"/>
    </xf>
    <xf numFmtId="176" fontId="10" fillId="14" borderId="87" xfId="0" applyNumberFormat="1" applyFont="1" applyFill="1" applyBorder="1">
      <alignment vertical="center"/>
    </xf>
    <xf numFmtId="176" fontId="9" fillId="4" borderId="89" xfId="0" applyNumberFormat="1" applyFont="1" applyFill="1" applyBorder="1">
      <alignment vertical="center"/>
    </xf>
    <xf numFmtId="176" fontId="9" fillId="4" borderId="90" xfId="0" applyNumberFormat="1" applyFont="1" applyFill="1" applyBorder="1">
      <alignment vertical="center"/>
    </xf>
    <xf numFmtId="176" fontId="9" fillId="4" borderId="84" xfId="0" applyNumberFormat="1" applyFont="1" applyFill="1" applyBorder="1">
      <alignment vertical="center"/>
    </xf>
    <xf numFmtId="176" fontId="9" fillId="4" borderId="88" xfId="0" applyNumberFormat="1" applyFont="1" applyFill="1" applyBorder="1">
      <alignment vertical="center"/>
    </xf>
    <xf numFmtId="176" fontId="9" fillId="4" borderId="91" xfId="0" applyNumberFormat="1" applyFont="1" applyFill="1" applyBorder="1">
      <alignment vertical="center"/>
    </xf>
    <xf numFmtId="176" fontId="9" fillId="4" borderId="92" xfId="0" applyNumberFormat="1" applyFont="1" applyFill="1" applyBorder="1">
      <alignment vertical="center"/>
    </xf>
    <xf numFmtId="0" fontId="6" fillId="2" borderId="36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12" borderId="31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3" borderId="31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7" fillId="4" borderId="40" xfId="0" applyFont="1" applyFill="1" applyBorder="1">
      <alignment vertical="center"/>
    </xf>
    <xf numFmtId="0" fontId="7" fillId="4" borderId="42" xfId="0" applyFont="1" applyFill="1" applyBorder="1">
      <alignment vertical="center"/>
    </xf>
    <xf numFmtId="0" fontId="7" fillId="4" borderId="44" xfId="0" applyFont="1" applyFill="1" applyBorder="1">
      <alignment vertical="center"/>
    </xf>
    <xf numFmtId="0" fontId="7" fillId="4" borderId="46" xfId="0" applyFont="1" applyFill="1" applyBorder="1">
      <alignment vertical="center"/>
    </xf>
    <xf numFmtId="0" fontId="7" fillId="4" borderId="48" xfId="0" applyFont="1" applyFill="1" applyBorder="1">
      <alignment vertical="center"/>
    </xf>
    <xf numFmtId="0" fontId="6" fillId="3" borderId="85" xfId="0" applyFont="1" applyFill="1" applyBorder="1">
      <alignment vertical="center"/>
    </xf>
    <xf numFmtId="176" fontId="10" fillId="3" borderId="43" xfId="0" applyNumberFormat="1" applyFont="1" applyFill="1" applyBorder="1">
      <alignment vertical="center"/>
    </xf>
    <xf numFmtId="176" fontId="10" fillId="3" borderId="23" xfId="0" applyNumberFormat="1" applyFont="1" applyFill="1" applyBorder="1">
      <alignment vertical="center"/>
    </xf>
    <xf numFmtId="176" fontId="10" fillId="3" borderId="24" xfId="0" applyNumberFormat="1" applyFont="1" applyFill="1" applyBorder="1">
      <alignment vertical="center"/>
    </xf>
    <xf numFmtId="176" fontId="10" fillId="3" borderId="11" xfId="0" applyNumberFormat="1" applyFont="1" applyFill="1" applyBorder="1">
      <alignment vertical="center"/>
    </xf>
    <xf numFmtId="176" fontId="10" fillId="3" borderId="44" xfId="0" applyNumberFormat="1" applyFont="1" applyFill="1" applyBorder="1">
      <alignment vertical="center"/>
    </xf>
    <xf numFmtId="176" fontId="10" fillId="3" borderId="62" xfId="0" applyNumberFormat="1" applyFont="1" applyFill="1" applyBorder="1">
      <alignment vertical="center"/>
    </xf>
    <xf numFmtId="0" fontId="7" fillId="4" borderId="50" xfId="0" applyFont="1" applyFill="1" applyBorder="1">
      <alignment vertical="center"/>
    </xf>
    <xf numFmtId="0" fontId="7" fillId="4" borderId="55" xfId="0" applyFont="1" applyFill="1" applyBorder="1">
      <alignment vertical="center"/>
    </xf>
    <xf numFmtId="0" fontId="7" fillId="4" borderId="84" xfId="0" applyFont="1" applyFill="1" applyBorder="1">
      <alignment vertical="center"/>
    </xf>
    <xf numFmtId="176" fontId="9" fillId="4" borderId="43" xfId="0" applyNumberFormat="1" applyFont="1" applyFill="1" applyBorder="1">
      <alignment vertical="center"/>
    </xf>
    <xf numFmtId="176" fontId="9" fillId="4" borderId="23" xfId="0" applyNumberFormat="1" applyFont="1" applyFill="1" applyBorder="1">
      <alignment vertical="center"/>
    </xf>
    <xf numFmtId="176" fontId="9" fillId="4" borderId="24" xfId="0" applyNumberFormat="1" applyFont="1" applyFill="1" applyBorder="1">
      <alignment vertical="center"/>
    </xf>
    <xf numFmtId="176" fontId="9" fillId="4" borderId="11" xfId="0" applyNumberFormat="1" applyFont="1" applyFill="1" applyBorder="1">
      <alignment vertical="center"/>
    </xf>
    <xf numFmtId="176" fontId="9" fillId="4" borderId="44" xfId="0" applyNumberFormat="1" applyFont="1" applyFill="1" applyBorder="1">
      <alignment vertical="center"/>
    </xf>
    <xf numFmtId="176" fontId="9" fillId="4" borderId="62" xfId="0" applyNumberFormat="1" applyFont="1" applyFill="1" applyBorder="1">
      <alignment vertical="center"/>
    </xf>
    <xf numFmtId="0" fontId="7" fillId="4" borderId="94" xfId="0" applyFont="1" applyFill="1" applyBorder="1">
      <alignment vertical="center"/>
    </xf>
    <xf numFmtId="0" fontId="7" fillId="4" borderId="51" xfId="0" applyFont="1" applyFill="1" applyBorder="1">
      <alignment vertical="center"/>
    </xf>
    <xf numFmtId="0" fontId="7" fillId="4" borderId="0" xfId="0" applyFont="1" applyFill="1">
      <alignment vertical="center"/>
    </xf>
    <xf numFmtId="0" fontId="7" fillId="4" borderId="31" xfId="0" applyFont="1" applyFill="1" applyBorder="1">
      <alignment vertical="center"/>
    </xf>
    <xf numFmtId="0" fontId="7" fillId="0" borderId="40" xfId="0" applyFont="1" applyBorder="1">
      <alignment vertical="center"/>
    </xf>
    <xf numFmtId="0" fontId="7" fillId="4" borderId="38" xfId="0" applyFont="1" applyFill="1" applyBorder="1">
      <alignment vertical="center"/>
    </xf>
    <xf numFmtId="176" fontId="10" fillId="4" borderId="39" xfId="0" applyNumberFormat="1" applyFont="1" applyFill="1" applyBorder="1">
      <alignment vertical="center"/>
    </xf>
    <xf numFmtId="0" fontId="7" fillId="4" borderId="27" xfId="0" applyFont="1" applyFill="1" applyBorder="1">
      <alignment vertical="center"/>
    </xf>
    <xf numFmtId="0" fontId="7" fillId="4" borderId="7" xfId="0" applyFont="1" applyFill="1" applyBorder="1">
      <alignment vertical="center"/>
    </xf>
    <xf numFmtId="176" fontId="10" fillId="15" borderId="18" xfId="0" applyNumberFormat="1" applyFont="1" applyFill="1" applyBorder="1">
      <alignment vertical="center"/>
    </xf>
    <xf numFmtId="176" fontId="10" fillId="15" borderId="26" xfId="0" applyNumberFormat="1" applyFont="1" applyFill="1" applyBorder="1">
      <alignment vertical="center"/>
    </xf>
    <xf numFmtId="176" fontId="10" fillId="4" borderId="21" xfId="0" applyNumberFormat="1" applyFont="1" applyFill="1" applyBorder="1">
      <alignment vertical="center"/>
    </xf>
    <xf numFmtId="176" fontId="9" fillId="4" borderId="37" xfId="0" applyNumberFormat="1" applyFont="1" applyFill="1" applyBorder="1">
      <alignment vertical="center"/>
    </xf>
    <xf numFmtId="176" fontId="9" fillId="4" borderId="15" xfId="0" applyNumberFormat="1" applyFont="1" applyFill="1" applyBorder="1">
      <alignment vertical="center"/>
    </xf>
    <xf numFmtId="176" fontId="9" fillId="4" borderId="16" xfId="0" applyNumberFormat="1" applyFont="1" applyFill="1" applyBorder="1">
      <alignment vertical="center"/>
    </xf>
    <xf numFmtId="176" fontId="9" fillId="4" borderId="1" xfId="0" applyNumberFormat="1" applyFont="1" applyFill="1" applyBorder="1">
      <alignment vertical="center"/>
    </xf>
    <xf numFmtId="176" fontId="9" fillId="4" borderId="38" xfId="0" applyNumberFormat="1" applyFont="1" applyFill="1" applyBorder="1">
      <alignment vertical="center"/>
    </xf>
    <xf numFmtId="176" fontId="9" fillId="4" borderId="57" xfId="0" applyNumberFormat="1" applyFont="1" applyFill="1" applyBorder="1">
      <alignment vertical="center"/>
    </xf>
    <xf numFmtId="176" fontId="10" fillId="12" borderId="43" xfId="0" applyNumberFormat="1" applyFont="1" applyFill="1" applyBorder="1">
      <alignment vertical="center"/>
    </xf>
    <xf numFmtId="176" fontId="10" fillId="12" borderId="23" xfId="0" applyNumberFormat="1" applyFont="1" applyFill="1" applyBorder="1">
      <alignment vertical="center"/>
    </xf>
    <xf numFmtId="176" fontId="10" fillId="12" borderId="24" xfId="0" applyNumberFormat="1" applyFont="1" applyFill="1" applyBorder="1">
      <alignment vertical="center"/>
    </xf>
    <xf numFmtId="176" fontId="10" fillId="12" borderId="11" xfId="0" applyNumberFormat="1" applyFont="1" applyFill="1" applyBorder="1">
      <alignment vertical="center"/>
    </xf>
    <xf numFmtId="176" fontId="10" fillId="12" borderId="44" xfId="0" applyNumberFormat="1" applyFont="1" applyFill="1" applyBorder="1">
      <alignment vertical="center"/>
    </xf>
    <xf numFmtId="176" fontId="10" fillId="12" borderId="62" xfId="0" applyNumberFormat="1" applyFont="1" applyFill="1" applyBorder="1">
      <alignment vertical="center"/>
    </xf>
    <xf numFmtId="0" fontId="6" fillId="6" borderId="1" xfId="0" applyFont="1" applyFill="1" applyBorder="1" applyAlignment="1">
      <alignment horizontal="center" vertical="center"/>
    </xf>
    <xf numFmtId="176" fontId="10" fillId="8" borderId="5" xfId="0" applyNumberFormat="1" applyFont="1" applyFill="1" applyBorder="1">
      <alignment vertical="center"/>
    </xf>
    <xf numFmtId="176" fontId="9" fillId="4" borderId="95" xfId="0" applyNumberFormat="1" applyFont="1" applyFill="1" applyBorder="1">
      <alignment vertical="center"/>
    </xf>
    <xf numFmtId="176" fontId="10" fillId="9" borderId="86" xfId="0" applyNumberFormat="1" applyFont="1" applyFill="1" applyBorder="1">
      <alignment vertical="center"/>
    </xf>
    <xf numFmtId="176" fontId="10" fillId="11" borderId="86" xfId="0" applyNumberFormat="1" applyFont="1" applyFill="1" applyBorder="1">
      <alignment vertical="center"/>
    </xf>
    <xf numFmtId="176" fontId="10" fillId="4" borderId="45" xfId="0" applyNumberFormat="1" applyFont="1" applyFill="1" applyBorder="1">
      <alignment vertical="center"/>
    </xf>
    <xf numFmtId="0" fontId="7" fillId="6" borderId="46" xfId="0" applyFont="1" applyFill="1" applyBorder="1">
      <alignment vertical="center"/>
    </xf>
    <xf numFmtId="176" fontId="9" fillId="6" borderId="45" xfId="0" applyNumberFormat="1" applyFont="1" applyFill="1" applyBorder="1">
      <alignment vertical="center"/>
    </xf>
    <xf numFmtId="176" fontId="9" fillId="6" borderId="25" xfId="0" applyNumberFormat="1" applyFont="1" applyFill="1" applyBorder="1">
      <alignment vertical="center"/>
    </xf>
    <xf numFmtId="176" fontId="9" fillId="6" borderId="26" xfId="0" applyNumberFormat="1" applyFont="1" applyFill="1" applyBorder="1">
      <alignment vertical="center"/>
    </xf>
    <xf numFmtId="176" fontId="9" fillId="6" borderId="6" xfId="0" applyNumberFormat="1" applyFont="1" applyFill="1" applyBorder="1">
      <alignment vertical="center"/>
    </xf>
    <xf numFmtId="176" fontId="9" fillId="6" borderId="46" xfId="0" applyNumberFormat="1" applyFont="1" applyFill="1" applyBorder="1">
      <alignment vertical="center"/>
    </xf>
    <xf numFmtId="176" fontId="9" fillId="6" borderId="61" xfId="0" applyNumberFormat="1" applyFont="1" applyFill="1" applyBorder="1">
      <alignment vertical="center"/>
    </xf>
    <xf numFmtId="0" fontId="7" fillId="6" borderId="42" xfId="0" applyFont="1" applyFill="1" applyBorder="1">
      <alignment vertical="center"/>
    </xf>
    <xf numFmtId="176" fontId="9" fillId="6" borderId="41" xfId="0" applyNumberFormat="1" applyFont="1" applyFill="1" applyBorder="1">
      <alignment vertical="center"/>
    </xf>
    <xf numFmtId="176" fontId="9" fillId="6" borderId="21" xfId="0" applyNumberFormat="1" applyFont="1" applyFill="1" applyBorder="1">
      <alignment vertical="center"/>
    </xf>
    <xf numFmtId="176" fontId="9" fillId="6" borderId="22" xfId="0" applyNumberFormat="1" applyFont="1" applyFill="1" applyBorder="1">
      <alignment vertical="center"/>
    </xf>
    <xf numFmtId="176" fontId="9" fillId="6" borderId="13" xfId="0" applyNumberFormat="1" applyFont="1" applyFill="1" applyBorder="1">
      <alignment vertical="center"/>
    </xf>
    <xf numFmtId="176" fontId="9" fillId="6" borderId="42" xfId="0" applyNumberFormat="1" applyFont="1" applyFill="1" applyBorder="1">
      <alignment vertical="center"/>
    </xf>
    <xf numFmtId="176" fontId="9" fillId="6" borderId="59" xfId="0" applyNumberFormat="1" applyFont="1" applyFill="1" applyBorder="1">
      <alignment vertical="center"/>
    </xf>
    <xf numFmtId="0" fontId="7" fillId="6" borderId="48" xfId="0" applyFont="1" applyFill="1" applyBorder="1">
      <alignment vertical="center"/>
    </xf>
    <xf numFmtId="176" fontId="9" fillId="6" borderId="47" xfId="0" applyNumberFormat="1" applyFont="1" applyFill="1" applyBorder="1">
      <alignment vertical="center"/>
    </xf>
    <xf numFmtId="176" fontId="9" fillId="6" borderId="19" xfId="0" applyNumberFormat="1" applyFont="1" applyFill="1" applyBorder="1">
      <alignment vertical="center"/>
    </xf>
    <xf numFmtId="176" fontId="9" fillId="6" borderId="20" xfId="0" applyNumberFormat="1" applyFont="1" applyFill="1" applyBorder="1">
      <alignment vertical="center"/>
    </xf>
    <xf numFmtId="176" fontId="9" fillId="6" borderId="3" xfId="0" applyNumberFormat="1" applyFont="1" applyFill="1" applyBorder="1">
      <alignment vertical="center"/>
    </xf>
    <xf numFmtId="176" fontId="9" fillId="6" borderId="48" xfId="0" applyNumberFormat="1" applyFont="1" applyFill="1" applyBorder="1">
      <alignment vertical="center"/>
    </xf>
    <xf numFmtId="176" fontId="9" fillId="6" borderId="63" xfId="0" applyNumberFormat="1" applyFont="1" applyFill="1" applyBorder="1">
      <alignment vertical="center"/>
    </xf>
    <xf numFmtId="176" fontId="10" fillId="15" borderId="21" xfId="0" applyNumberFormat="1" applyFont="1" applyFill="1" applyBorder="1">
      <alignment vertical="center"/>
    </xf>
    <xf numFmtId="176" fontId="10" fillId="15" borderId="41" xfId="0" applyNumberFormat="1" applyFont="1" applyFill="1" applyBorder="1">
      <alignment vertical="center"/>
    </xf>
    <xf numFmtId="176" fontId="10" fillId="15" borderId="45" xfId="0" applyNumberFormat="1" applyFont="1" applyFill="1" applyBorder="1">
      <alignment vertical="center"/>
    </xf>
    <xf numFmtId="176" fontId="9" fillId="15" borderId="41" xfId="0" applyNumberFormat="1" applyFont="1" applyFill="1" applyBorder="1">
      <alignment vertical="center"/>
    </xf>
    <xf numFmtId="0" fontId="8" fillId="0" borderId="0" xfId="0" applyFont="1">
      <alignment vertical="center"/>
    </xf>
    <xf numFmtId="176" fontId="9" fillId="0" borderId="0" xfId="0" applyNumberFormat="1" applyFont="1">
      <alignment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13" borderId="29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3" borderId="14" xfId="0" applyFont="1" applyFill="1" applyBorder="1" applyAlignment="1">
      <alignment horizontal="center" vertical="center"/>
    </xf>
    <xf numFmtId="0" fontId="6" fillId="13" borderId="31" xfId="0" applyFont="1" applyFill="1" applyBorder="1" applyAlignment="1">
      <alignment horizontal="center" vertical="center"/>
    </xf>
    <xf numFmtId="0" fontId="6" fillId="13" borderId="28" xfId="0" applyFont="1" applyFill="1" applyBorder="1" applyAlignment="1">
      <alignment horizontal="center" vertical="center"/>
    </xf>
    <xf numFmtId="0" fontId="6" fillId="13" borderId="3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 wrapText="1"/>
    </xf>
    <xf numFmtId="0" fontId="6" fillId="8" borderId="30" xfId="0" applyFont="1" applyFill="1" applyBorder="1" applyAlignment="1">
      <alignment horizontal="center" vertical="center" wrapText="1"/>
    </xf>
    <xf numFmtId="0" fontId="6" fillId="8" borderId="29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3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12" borderId="83" xfId="0" applyFont="1" applyFill="1" applyBorder="1" applyAlignment="1">
      <alignment horizontal="center" vertical="center"/>
    </xf>
    <xf numFmtId="0" fontId="6" fillId="12" borderId="93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0" fontId="6" fillId="12" borderId="31" xfId="0" applyFont="1" applyFill="1" applyBorder="1" applyAlignment="1">
      <alignment horizontal="center" vertical="center"/>
    </xf>
    <xf numFmtId="0" fontId="6" fillId="12" borderId="28" xfId="0" applyFont="1" applyFill="1" applyBorder="1" applyAlignment="1">
      <alignment horizontal="center" vertical="center"/>
    </xf>
    <xf numFmtId="0" fontId="6" fillId="12" borderId="30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176" fontId="6" fillId="7" borderId="56" xfId="0" applyNumberFormat="1" applyFont="1" applyFill="1" applyBorder="1" applyAlignment="1">
      <alignment horizontal="center" vertical="center"/>
    </xf>
    <xf numFmtId="176" fontId="6" fillId="7" borderId="8" xfId="0" applyNumberFormat="1" applyFont="1" applyFill="1" applyBorder="1" applyAlignment="1">
      <alignment horizontal="center" vertical="center"/>
    </xf>
    <xf numFmtId="176" fontId="6" fillId="7" borderId="36" xfId="0" applyNumberFormat="1" applyFont="1" applyFill="1" applyBorder="1" applyAlignment="1">
      <alignment horizontal="center" vertical="center"/>
    </xf>
    <xf numFmtId="176" fontId="6" fillId="7" borderId="35" xfId="0" applyNumberFormat="1" applyFont="1" applyFill="1" applyBorder="1" applyAlignment="1">
      <alignment horizontal="center" vertical="center"/>
    </xf>
    <xf numFmtId="176" fontId="6" fillId="7" borderId="4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11" borderId="73" xfId="0" applyFont="1" applyFill="1" applyBorder="1" applyAlignment="1">
      <alignment horizontal="center" vertical="center"/>
    </xf>
    <xf numFmtId="0" fontId="6" fillId="11" borderId="74" xfId="0" applyFont="1" applyFill="1" applyBorder="1" applyAlignment="1">
      <alignment horizontal="center" vertical="center"/>
    </xf>
    <xf numFmtId="0" fontId="6" fillId="11" borderId="75" xfId="0" applyFont="1" applyFill="1" applyBorder="1" applyAlignment="1">
      <alignment horizontal="center" vertical="center"/>
    </xf>
    <xf numFmtId="0" fontId="10" fillId="14" borderId="72" xfId="0" applyFont="1" applyFill="1" applyBorder="1" applyAlignment="1">
      <alignment horizontal="center" vertical="center"/>
    </xf>
    <xf numFmtId="0" fontId="10" fillId="14" borderId="76" xfId="0" applyFont="1" applyFill="1" applyBorder="1" applyAlignment="1">
      <alignment horizontal="center" vertical="center"/>
    </xf>
    <xf numFmtId="0" fontId="10" fillId="14" borderId="77" xfId="0" applyFont="1" applyFill="1" applyBorder="1" applyAlignment="1">
      <alignment horizontal="center" vertical="center"/>
    </xf>
    <xf numFmtId="0" fontId="10" fillId="9" borderId="65" xfId="0" applyFont="1" applyFill="1" applyBorder="1" applyAlignment="1">
      <alignment horizontal="center" vertical="center"/>
    </xf>
    <xf numFmtId="0" fontId="10" fillId="9" borderId="70" xfId="0" applyFont="1" applyFill="1" applyBorder="1" applyAlignment="1">
      <alignment horizontal="center" vertical="center"/>
    </xf>
    <xf numFmtId="0" fontId="10" fillId="10" borderId="65" xfId="0" applyFont="1" applyFill="1" applyBorder="1" applyAlignment="1">
      <alignment horizontal="center" vertical="center"/>
    </xf>
    <xf numFmtId="0" fontId="10" fillId="10" borderId="70" xfId="0" applyFont="1" applyFill="1" applyBorder="1" applyAlignment="1">
      <alignment horizontal="center" vertical="center"/>
    </xf>
    <xf numFmtId="0" fontId="6" fillId="10" borderId="73" xfId="0" applyFont="1" applyFill="1" applyBorder="1" applyAlignment="1">
      <alignment horizontal="center" vertical="center"/>
    </xf>
    <xf numFmtId="0" fontId="6" fillId="10" borderId="74" xfId="0" applyFont="1" applyFill="1" applyBorder="1" applyAlignment="1">
      <alignment horizontal="center" vertical="center"/>
    </xf>
    <xf numFmtId="0" fontId="6" fillId="10" borderId="75" xfId="0" applyFont="1" applyFill="1" applyBorder="1" applyAlignment="1">
      <alignment horizontal="center" vertical="center"/>
    </xf>
    <xf numFmtId="0" fontId="10" fillId="11" borderId="65" xfId="0" applyFont="1" applyFill="1" applyBorder="1" applyAlignment="1">
      <alignment horizontal="center" vertical="center"/>
    </xf>
    <xf numFmtId="0" fontId="10" fillId="11" borderId="70" xfId="0" applyFont="1" applyFill="1" applyBorder="1" applyAlignment="1">
      <alignment horizontal="center" vertical="center"/>
    </xf>
    <xf numFmtId="0" fontId="6" fillId="9" borderId="28" xfId="0" applyFont="1" applyFill="1" applyBorder="1" applyAlignment="1">
      <alignment horizontal="center" vertical="center"/>
    </xf>
    <xf numFmtId="0" fontId="6" fillId="9" borderId="29" xfId="0" applyFont="1" applyFill="1" applyBorder="1" applyAlignment="1">
      <alignment horizontal="center" vertical="center"/>
    </xf>
    <xf numFmtId="0" fontId="6" fillId="9" borderId="71" xfId="0" applyFont="1" applyFill="1" applyBorder="1" applyAlignment="1">
      <alignment horizontal="center" vertical="center"/>
    </xf>
    <xf numFmtId="0" fontId="6" fillId="13" borderId="28" xfId="0" applyFont="1" applyFill="1" applyBorder="1" applyAlignment="1">
      <alignment horizontal="center" vertical="center" wrapText="1"/>
    </xf>
    <xf numFmtId="0" fontId="6" fillId="13" borderId="29" xfId="0" applyFont="1" applyFill="1" applyBorder="1" applyAlignment="1">
      <alignment horizontal="center" vertical="center" wrapText="1"/>
    </xf>
    <xf numFmtId="176" fontId="8" fillId="0" borderId="0" xfId="0" applyNumberFormat="1" applyFont="1">
      <alignment vertical="center"/>
    </xf>
    <xf numFmtId="41" fontId="9" fillId="0" borderId="0" xfId="1" applyFont="1">
      <alignment vertical="center"/>
    </xf>
    <xf numFmtId="176" fontId="10" fillId="15" borderId="47" xfId="0" applyNumberFormat="1" applyFont="1" applyFill="1" applyBorder="1">
      <alignment vertical="center"/>
    </xf>
    <xf numFmtId="176" fontId="10" fillId="6" borderId="45" xfId="0" applyNumberFormat="1" applyFont="1" applyFill="1" applyBorder="1">
      <alignment vertical="center"/>
    </xf>
    <xf numFmtId="176" fontId="10" fillId="6" borderId="41" xfId="0" applyNumberFormat="1" applyFont="1" applyFill="1" applyBorder="1">
      <alignment vertical="center"/>
    </xf>
    <xf numFmtId="176" fontId="14" fillId="4" borderId="41" xfId="0" applyNumberFormat="1" applyFont="1" applyFill="1" applyBorder="1">
      <alignment vertical="center"/>
    </xf>
    <xf numFmtId="0" fontId="6" fillId="3" borderId="36" xfId="0" applyFont="1" applyFill="1" applyBorder="1">
      <alignment vertical="center"/>
    </xf>
    <xf numFmtId="176" fontId="10" fillId="3" borderId="37" xfId="0" applyNumberFormat="1" applyFont="1" applyFill="1" applyBorder="1">
      <alignment vertical="center"/>
    </xf>
    <xf numFmtId="176" fontId="10" fillId="3" borderId="15" xfId="0" applyNumberFormat="1" applyFont="1" applyFill="1" applyBorder="1">
      <alignment vertical="center"/>
    </xf>
    <xf numFmtId="176" fontId="10" fillId="3" borderId="16" xfId="0" applyNumberFormat="1" applyFont="1" applyFill="1" applyBorder="1">
      <alignment vertical="center"/>
    </xf>
    <xf numFmtId="176" fontId="10" fillId="3" borderId="1" xfId="0" applyNumberFormat="1" applyFont="1" applyFill="1" applyBorder="1">
      <alignment vertical="center"/>
    </xf>
    <xf numFmtId="176" fontId="10" fillId="3" borderId="38" xfId="0" applyNumberFormat="1" applyFont="1" applyFill="1" applyBorder="1">
      <alignment vertical="center"/>
    </xf>
    <xf numFmtId="176" fontId="10" fillId="3" borderId="57" xfId="0" applyNumberFormat="1" applyFont="1" applyFill="1" applyBorder="1">
      <alignment vertical="center"/>
    </xf>
    <xf numFmtId="176" fontId="10" fillId="15" borderId="52" xfId="0" applyNumberFormat="1" applyFont="1" applyFill="1" applyBorder="1">
      <alignment vertical="center"/>
    </xf>
    <xf numFmtId="176" fontId="10" fillId="4" borderId="26" xfId="0" applyNumberFormat="1" applyFont="1" applyFill="1" applyBorder="1">
      <alignment vertical="center"/>
    </xf>
    <xf numFmtId="176" fontId="10" fillId="15" borderId="25" xfId="0" applyNumberFormat="1" applyFont="1" applyFill="1" applyBorder="1">
      <alignment vertical="center"/>
    </xf>
    <xf numFmtId="0" fontId="7" fillId="4" borderId="96" xfId="0" applyFont="1" applyFill="1" applyBorder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>
      <alignment vertical="center"/>
    </xf>
    <xf numFmtId="176" fontId="10" fillId="0" borderId="0" xfId="0" applyNumberFormat="1" applyFont="1">
      <alignment vertical="center"/>
    </xf>
    <xf numFmtId="176" fontId="9" fillId="15" borderId="49" xfId="0" applyNumberFormat="1" applyFont="1" applyFill="1" applyBorder="1">
      <alignment vertical="center"/>
    </xf>
    <xf numFmtId="176" fontId="10" fillId="15" borderId="53" xfId="0" applyNumberFormat="1" applyFont="1" applyFill="1" applyBorder="1">
      <alignment vertical="center"/>
    </xf>
    <xf numFmtId="176" fontId="9" fillId="15" borderId="26" xfId="0" applyNumberFormat="1" applyFont="1" applyFill="1" applyBorder="1">
      <alignment vertical="center"/>
    </xf>
    <xf numFmtId="176" fontId="9" fillId="15" borderId="25" xfId="0" applyNumberFormat="1" applyFont="1" applyFill="1" applyBorder="1">
      <alignment vertical="center"/>
    </xf>
    <xf numFmtId="0" fontId="7" fillId="4" borderId="97" xfId="0" applyFont="1" applyFill="1" applyBorder="1">
      <alignment vertical="center"/>
    </xf>
    <xf numFmtId="176" fontId="9" fillId="16" borderId="22" xfId="0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44"/>
  <sheetViews>
    <sheetView zoomScale="90" zoomScaleNormal="90" workbookViewId="0">
      <pane xSplit="6" ySplit="5" topLeftCell="AW412" activePane="bottomRight" state="frozen"/>
      <selection pane="topRight" activeCell="E1" sqref="E1"/>
      <selection pane="bottomLeft" activeCell="A5" sqref="A5"/>
      <selection pane="bottomRight" activeCell="AY443" sqref="AY443"/>
    </sheetView>
  </sheetViews>
  <sheetFormatPr defaultRowHeight="16.5" x14ac:dyDescent="0.3"/>
  <cols>
    <col min="1" max="1" width="3.125" customWidth="1"/>
    <col min="3" max="4" width="6.375" style="1" bestFit="1" customWidth="1"/>
    <col min="5" max="5" width="6.375" style="1" customWidth="1"/>
    <col min="6" max="6" width="29.75" customWidth="1"/>
    <col min="7" max="70" width="8.125" style="2" customWidth="1"/>
    <col min="71" max="71" width="12.125" style="2" customWidth="1"/>
  </cols>
  <sheetData>
    <row r="1" spans="1:71" ht="20.25" x14ac:dyDescent="0.3">
      <c r="A1" s="3" t="s">
        <v>90</v>
      </c>
    </row>
    <row r="3" spans="1:71" x14ac:dyDescent="0.3">
      <c r="B3" s="247" t="s">
        <v>3</v>
      </c>
      <c r="C3" s="247"/>
      <c r="D3" s="247"/>
      <c r="E3" s="248"/>
      <c r="F3" s="248"/>
      <c r="G3" s="245" t="s">
        <v>2</v>
      </c>
      <c r="H3" s="243"/>
      <c r="I3" s="243"/>
      <c r="J3" s="243"/>
      <c r="K3" s="243"/>
      <c r="L3" s="245" t="s">
        <v>20</v>
      </c>
      <c r="M3" s="243"/>
      <c r="N3" s="243"/>
      <c r="O3" s="243"/>
      <c r="P3" s="243"/>
      <c r="Q3" s="245" t="s">
        <v>6</v>
      </c>
      <c r="R3" s="243"/>
      <c r="S3" s="243"/>
      <c r="T3" s="243"/>
      <c r="U3" s="243"/>
      <c r="V3" s="245" t="s">
        <v>26</v>
      </c>
      <c r="W3" s="243"/>
      <c r="X3" s="243"/>
      <c r="Y3" s="243"/>
      <c r="Z3" s="243"/>
      <c r="AA3" s="245" t="s">
        <v>27</v>
      </c>
      <c r="AB3" s="243"/>
      <c r="AC3" s="243"/>
      <c r="AD3" s="243"/>
      <c r="AE3" s="243"/>
      <c r="AF3" s="245" t="s">
        <v>28</v>
      </c>
      <c r="AG3" s="243"/>
      <c r="AH3" s="243"/>
      <c r="AI3" s="243"/>
      <c r="AJ3" s="243"/>
      <c r="AK3" s="245" t="s">
        <v>29</v>
      </c>
      <c r="AL3" s="243"/>
      <c r="AM3" s="243"/>
      <c r="AN3" s="243"/>
      <c r="AO3" s="243"/>
      <c r="AP3" s="245" t="s">
        <v>30</v>
      </c>
      <c r="AQ3" s="243"/>
      <c r="AR3" s="243"/>
      <c r="AS3" s="243"/>
      <c r="AT3" s="243"/>
      <c r="AU3" s="245" t="s">
        <v>31</v>
      </c>
      <c r="AV3" s="243"/>
      <c r="AW3" s="243"/>
      <c r="AX3" s="243"/>
      <c r="AY3" s="243"/>
      <c r="AZ3" s="245" t="s">
        <v>32</v>
      </c>
      <c r="BA3" s="243"/>
      <c r="BB3" s="243"/>
      <c r="BC3" s="243"/>
      <c r="BD3" s="243"/>
      <c r="BE3" s="245" t="s">
        <v>33</v>
      </c>
      <c r="BF3" s="243"/>
      <c r="BG3" s="243"/>
      <c r="BH3" s="243"/>
      <c r="BI3" s="243"/>
      <c r="BJ3" s="245" t="s">
        <v>34</v>
      </c>
      <c r="BK3" s="243"/>
      <c r="BL3" s="243"/>
      <c r="BM3" s="243"/>
      <c r="BN3" s="243"/>
      <c r="BO3" s="242" t="s">
        <v>21</v>
      </c>
      <c r="BP3" s="243"/>
      <c r="BQ3" s="243"/>
      <c r="BR3" s="243"/>
      <c r="BS3" s="244"/>
    </row>
    <row r="4" spans="1:71" x14ac:dyDescent="0.3">
      <c r="B4" s="247"/>
      <c r="C4" s="247"/>
      <c r="D4" s="247"/>
      <c r="E4" s="248"/>
      <c r="F4" s="248"/>
      <c r="G4" s="245" t="s">
        <v>11</v>
      </c>
      <c r="H4" s="243"/>
      <c r="I4" s="243"/>
      <c r="J4" s="243"/>
      <c r="K4" s="246"/>
      <c r="L4" s="245" t="s">
        <v>11</v>
      </c>
      <c r="M4" s="243"/>
      <c r="N4" s="243"/>
      <c r="O4" s="243"/>
      <c r="P4" s="246"/>
      <c r="Q4" s="245" t="s">
        <v>11</v>
      </c>
      <c r="R4" s="243"/>
      <c r="S4" s="243"/>
      <c r="T4" s="243"/>
      <c r="U4" s="246"/>
      <c r="V4" s="245" t="s">
        <v>11</v>
      </c>
      <c r="W4" s="243"/>
      <c r="X4" s="243"/>
      <c r="Y4" s="243"/>
      <c r="Z4" s="246"/>
      <c r="AA4" s="245" t="s">
        <v>11</v>
      </c>
      <c r="AB4" s="243"/>
      <c r="AC4" s="243"/>
      <c r="AD4" s="243"/>
      <c r="AE4" s="246"/>
      <c r="AF4" s="245" t="s">
        <v>11</v>
      </c>
      <c r="AG4" s="243"/>
      <c r="AH4" s="243"/>
      <c r="AI4" s="243"/>
      <c r="AJ4" s="246"/>
      <c r="AK4" s="245" t="s">
        <v>11</v>
      </c>
      <c r="AL4" s="243"/>
      <c r="AM4" s="243"/>
      <c r="AN4" s="243"/>
      <c r="AO4" s="246"/>
      <c r="AP4" s="245" t="s">
        <v>11</v>
      </c>
      <c r="AQ4" s="243"/>
      <c r="AR4" s="243"/>
      <c r="AS4" s="243"/>
      <c r="AT4" s="246"/>
      <c r="AU4" s="245" t="s">
        <v>11</v>
      </c>
      <c r="AV4" s="243"/>
      <c r="AW4" s="243"/>
      <c r="AX4" s="243"/>
      <c r="AY4" s="246"/>
      <c r="AZ4" s="245" t="s">
        <v>11</v>
      </c>
      <c r="BA4" s="243"/>
      <c r="BB4" s="243"/>
      <c r="BC4" s="243"/>
      <c r="BD4" s="246"/>
      <c r="BE4" s="245" t="s">
        <v>11</v>
      </c>
      <c r="BF4" s="243"/>
      <c r="BG4" s="243"/>
      <c r="BH4" s="243"/>
      <c r="BI4" s="246"/>
      <c r="BJ4" s="245" t="s">
        <v>11</v>
      </c>
      <c r="BK4" s="243"/>
      <c r="BL4" s="243"/>
      <c r="BM4" s="243"/>
      <c r="BN4" s="246"/>
      <c r="BO4" s="242" t="s">
        <v>11</v>
      </c>
      <c r="BP4" s="243"/>
      <c r="BQ4" s="243"/>
      <c r="BR4" s="243"/>
      <c r="BS4" s="244"/>
    </row>
    <row r="5" spans="1:71" x14ac:dyDescent="0.3">
      <c r="B5" s="247"/>
      <c r="C5" s="247"/>
      <c r="D5" s="247"/>
      <c r="E5" s="248"/>
      <c r="F5" s="248"/>
      <c r="G5" s="28" t="s">
        <v>7</v>
      </c>
      <c r="H5" s="5" t="s">
        <v>8</v>
      </c>
      <c r="I5" s="5" t="s">
        <v>9</v>
      </c>
      <c r="J5" s="6" t="s">
        <v>10</v>
      </c>
      <c r="K5" s="4" t="s">
        <v>14</v>
      </c>
      <c r="L5" s="28" t="s">
        <v>7</v>
      </c>
      <c r="M5" s="5" t="s">
        <v>8</v>
      </c>
      <c r="N5" s="5" t="s">
        <v>9</v>
      </c>
      <c r="O5" s="6" t="s">
        <v>10</v>
      </c>
      <c r="P5" s="4" t="s">
        <v>14</v>
      </c>
      <c r="Q5" s="28" t="s">
        <v>7</v>
      </c>
      <c r="R5" s="5" t="s">
        <v>8</v>
      </c>
      <c r="S5" s="5" t="s">
        <v>9</v>
      </c>
      <c r="T5" s="6" t="s">
        <v>10</v>
      </c>
      <c r="U5" s="4" t="s">
        <v>14</v>
      </c>
      <c r="V5" s="28" t="s">
        <v>7</v>
      </c>
      <c r="W5" s="5" t="s">
        <v>8</v>
      </c>
      <c r="X5" s="5" t="s">
        <v>9</v>
      </c>
      <c r="Y5" s="6" t="s">
        <v>10</v>
      </c>
      <c r="Z5" s="4" t="s">
        <v>14</v>
      </c>
      <c r="AA5" s="28" t="s">
        <v>7</v>
      </c>
      <c r="AB5" s="5" t="s">
        <v>8</v>
      </c>
      <c r="AC5" s="5" t="s">
        <v>9</v>
      </c>
      <c r="AD5" s="6" t="s">
        <v>10</v>
      </c>
      <c r="AE5" s="4" t="s">
        <v>14</v>
      </c>
      <c r="AF5" s="28" t="s">
        <v>7</v>
      </c>
      <c r="AG5" s="5" t="s">
        <v>8</v>
      </c>
      <c r="AH5" s="5" t="s">
        <v>9</v>
      </c>
      <c r="AI5" s="6" t="s">
        <v>10</v>
      </c>
      <c r="AJ5" s="4" t="s">
        <v>14</v>
      </c>
      <c r="AK5" s="28" t="s">
        <v>7</v>
      </c>
      <c r="AL5" s="5" t="s">
        <v>8</v>
      </c>
      <c r="AM5" s="5" t="s">
        <v>9</v>
      </c>
      <c r="AN5" s="6" t="s">
        <v>10</v>
      </c>
      <c r="AO5" s="4" t="s">
        <v>14</v>
      </c>
      <c r="AP5" s="28" t="s">
        <v>7</v>
      </c>
      <c r="AQ5" s="5" t="s">
        <v>8</v>
      </c>
      <c r="AR5" s="5" t="s">
        <v>9</v>
      </c>
      <c r="AS5" s="6" t="s">
        <v>10</v>
      </c>
      <c r="AT5" s="4" t="s">
        <v>14</v>
      </c>
      <c r="AU5" s="28" t="s">
        <v>7</v>
      </c>
      <c r="AV5" s="5" t="s">
        <v>8</v>
      </c>
      <c r="AW5" s="5" t="s">
        <v>9</v>
      </c>
      <c r="AX5" s="6" t="s">
        <v>10</v>
      </c>
      <c r="AY5" s="4" t="s">
        <v>14</v>
      </c>
      <c r="AZ5" s="28" t="s">
        <v>7</v>
      </c>
      <c r="BA5" s="5" t="s">
        <v>8</v>
      </c>
      <c r="BB5" s="5" t="s">
        <v>9</v>
      </c>
      <c r="BC5" s="6" t="s">
        <v>10</v>
      </c>
      <c r="BD5" s="4" t="s">
        <v>14</v>
      </c>
      <c r="BE5" s="28" t="s">
        <v>7</v>
      </c>
      <c r="BF5" s="5" t="s">
        <v>8</v>
      </c>
      <c r="BG5" s="5" t="s">
        <v>9</v>
      </c>
      <c r="BH5" s="6" t="s">
        <v>10</v>
      </c>
      <c r="BI5" s="4" t="s">
        <v>14</v>
      </c>
      <c r="BJ5" s="28" t="s">
        <v>7</v>
      </c>
      <c r="BK5" s="5" t="s">
        <v>8</v>
      </c>
      <c r="BL5" s="5" t="s">
        <v>9</v>
      </c>
      <c r="BM5" s="6" t="s">
        <v>10</v>
      </c>
      <c r="BN5" s="4" t="s">
        <v>14</v>
      </c>
      <c r="BO5" s="64" t="s">
        <v>7</v>
      </c>
      <c r="BP5" s="5" t="s">
        <v>8</v>
      </c>
      <c r="BQ5" s="5" t="s">
        <v>9</v>
      </c>
      <c r="BR5" s="6" t="s">
        <v>10</v>
      </c>
      <c r="BS5" s="29" t="s">
        <v>14</v>
      </c>
    </row>
    <row r="6" spans="1:71" x14ac:dyDescent="0.3">
      <c r="B6" s="268" t="s">
        <v>36</v>
      </c>
      <c r="C6" s="229" t="s">
        <v>35</v>
      </c>
      <c r="D6" s="249"/>
      <c r="E6" s="249"/>
      <c r="F6" s="120" t="s">
        <v>39</v>
      </c>
      <c r="G6" s="32">
        <v>107</v>
      </c>
      <c r="H6" s="13">
        <v>2</v>
      </c>
      <c r="I6" s="13">
        <v>59</v>
      </c>
      <c r="J6" s="14"/>
      <c r="K6" s="15">
        <f t="shared" ref="K6:K101" si="0">SUM(G6:J6)</f>
        <v>168</v>
      </c>
      <c r="L6" s="32">
        <v>95</v>
      </c>
      <c r="M6" s="13">
        <v>14</v>
      </c>
      <c r="N6" s="13">
        <v>92</v>
      </c>
      <c r="O6" s="14"/>
      <c r="P6" s="15">
        <f t="shared" ref="P6:P19" si="1">SUM(L6:O6)</f>
        <v>201</v>
      </c>
      <c r="Q6" s="32">
        <v>138</v>
      </c>
      <c r="R6" s="13">
        <v>5</v>
      </c>
      <c r="S6" s="13">
        <v>93</v>
      </c>
      <c r="T6" s="14"/>
      <c r="U6" s="15">
        <f t="shared" ref="U6:U19" si="2">SUM(Q6:T6)</f>
        <v>236</v>
      </c>
      <c r="V6" s="32">
        <v>201</v>
      </c>
      <c r="W6" s="13">
        <v>26</v>
      </c>
      <c r="X6" s="13">
        <v>179</v>
      </c>
      <c r="Y6" s="14"/>
      <c r="Z6" s="15">
        <f t="shared" ref="Z6:Z19" si="3">SUM(V6:Y6)</f>
        <v>406</v>
      </c>
      <c r="AA6" s="32">
        <v>169</v>
      </c>
      <c r="AB6" s="13">
        <v>36</v>
      </c>
      <c r="AC6" s="13">
        <v>113</v>
      </c>
      <c r="AD6" s="14"/>
      <c r="AE6" s="15">
        <f t="shared" ref="AE6:AE19" si="4">SUM(AA6:AD6)</f>
        <v>318</v>
      </c>
      <c r="AF6" s="32">
        <v>184</v>
      </c>
      <c r="AG6" s="13">
        <v>16</v>
      </c>
      <c r="AH6" s="13">
        <v>102</v>
      </c>
      <c r="AI6" s="14"/>
      <c r="AJ6" s="15">
        <f t="shared" ref="AJ6:AJ19" si="5">SUM(AF6:AI6)</f>
        <v>302</v>
      </c>
      <c r="AK6" s="32">
        <v>70</v>
      </c>
      <c r="AL6" s="13">
        <v>12</v>
      </c>
      <c r="AM6" s="13">
        <v>58</v>
      </c>
      <c r="AN6" s="14"/>
      <c r="AO6" s="15">
        <f t="shared" ref="AO6:AO19" si="6">SUM(AK6:AN6)</f>
        <v>140</v>
      </c>
      <c r="AP6" s="32">
        <v>75</v>
      </c>
      <c r="AQ6" s="13">
        <v>4</v>
      </c>
      <c r="AR6" s="13">
        <v>85</v>
      </c>
      <c r="AS6" s="14"/>
      <c r="AT6" s="15">
        <f t="shared" ref="AT6:AT19" si="7">SUM(AP6:AS6)</f>
        <v>164</v>
      </c>
      <c r="AU6" s="32">
        <v>137</v>
      </c>
      <c r="AV6" s="13">
        <v>6</v>
      </c>
      <c r="AW6" s="13">
        <v>102</v>
      </c>
      <c r="AX6" s="14"/>
      <c r="AY6" s="15">
        <f t="shared" ref="AY6:AY19" si="8">SUM(AU6:AX6)</f>
        <v>245</v>
      </c>
      <c r="AZ6" s="32">
        <v>196</v>
      </c>
      <c r="BA6" s="13">
        <v>21</v>
      </c>
      <c r="BB6" s="13">
        <v>144</v>
      </c>
      <c r="BC6" s="14"/>
      <c r="BD6" s="15">
        <f t="shared" ref="BD6:BD19" si="9">SUM(AZ6:BC6)</f>
        <v>361</v>
      </c>
      <c r="BE6" s="32">
        <v>58</v>
      </c>
      <c r="BF6" s="13">
        <v>9</v>
      </c>
      <c r="BG6" s="13">
        <v>59</v>
      </c>
      <c r="BH6" s="14"/>
      <c r="BI6" s="15">
        <f t="shared" ref="BI6:BI19" si="10">SUM(BE6:BH6)</f>
        <v>126</v>
      </c>
      <c r="BJ6" s="32">
        <v>64</v>
      </c>
      <c r="BK6" s="13">
        <v>4</v>
      </c>
      <c r="BL6" s="13">
        <v>66</v>
      </c>
      <c r="BM6" s="14"/>
      <c r="BN6" s="15">
        <f t="shared" ref="BN6:BN19" si="11">SUM(BJ6:BM6)</f>
        <v>134</v>
      </c>
      <c r="BO6" s="66">
        <f t="shared" ref="BO6:BR7" si="12">SUM(G6,L6,Q6,V6,AA6,AF6,AK6,AP6,AU6,AZ6,BE6,BJ6)</f>
        <v>1494</v>
      </c>
      <c r="BP6" s="13">
        <f t="shared" si="12"/>
        <v>155</v>
      </c>
      <c r="BQ6" s="13">
        <f t="shared" si="12"/>
        <v>1152</v>
      </c>
      <c r="BR6" s="14">
        <f t="shared" si="12"/>
        <v>0</v>
      </c>
      <c r="BS6" s="33">
        <f t="shared" ref="BS6:BS101" si="13">SUM(BO6:BR6)</f>
        <v>2801</v>
      </c>
    </row>
    <row r="7" spans="1:71" x14ac:dyDescent="0.3">
      <c r="B7" s="269"/>
      <c r="C7" s="230"/>
      <c r="D7" s="250"/>
      <c r="E7" s="250"/>
      <c r="F7" s="121" t="s">
        <v>40</v>
      </c>
      <c r="G7" s="32">
        <v>29</v>
      </c>
      <c r="H7" s="13"/>
      <c r="I7" s="13">
        <v>7</v>
      </c>
      <c r="J7" s="14"/>
      <c r="K7" s="15">
        <f t="shared" si="0"/>
        <v>36</v>
      </c>
      <c r="L7" s="32">
        <v>16</v>
      </c>
      <c r="M7" s="13"/>
      <c r="N7" s="13">
        <v>3</v>
      </c>
      <c r="O7" s="14"/>
      <c r="P7" s="15">
        <f t="shared" si="1"/>
        <v>19</v>
      </c>
      <c r="Q7" s="32">
        <v>24</v>
      </c>
      <c r="R7" s="13">
        <v>1</v>
      </c>
      <c r="S7" s="13">
        <v>10</v>
      </c>
      <c r="T7" s="14"/>
      <c r="U7" s="15">
        <f t="shared" si="2"/>
        <v>35</v>
      </c>
      <c r="V7" s="32">
        <v>56</v>
      </c>
      <c r="W7" s="13">
        <v>1</v>
      </c>
      <c r="X7" s="13">
        <v>23</v>
      </c>
      <c r="Y7" s="14"/>
      <c r="Z7" s="15">
        <f t="shared" si="3"/>
        <v>80</v>
      </c>
      <c r="AA7" s="32">
        <v>35</v>
      </c>
      <c r="AB7" s="13">
        <v>7</v>
      </c>
      <c r="AC7" s="13">
        <v>27</v>
      </c>
      <c r="AD7" s="14"/>
      <c r="AE7" s="15">
        <f t="shared" si="4"/>
        <v>69</v>
      </c>
      <c r="AF7" s="32">
        <v>50</v>
      </c>
      <c r="AG7" s="13">
        <v>1</v>
      </c>
      <c r="AH7" s="13">
        <v>27</v>
      </c>
      <c r="AI7" s="14"/>
      <c r="AJ7" s="15">
        <f t="shared" si="5"/>
        <v>78</v>
      </c>
      <c r="AK7" s="32">
        <v>17</v>
      </c>
      <c r="AL7" s="13"/>
      <c r="AM7" s="13">
        <v>21</v>
      </c>
      <c r="AN7" s="14"/>
      <c r="AO7" s="15">
        <f t="shared" si="6"/>
        <v>38</v>
      </c>
      <c r="AP7" s="32">
        <v>19</v>
      </c>
      <c r="AQ7" s="13">
        <v>2</v>
      </c>
      <c r="AR7" s="13">
        <v>10</v>
      </c>
      <c r="AS7" s="14"/>
      <c r="AT7" s="15">
        <f t="shared" si="7"/>
        <v>31</v>
      </c>
      <c r="AU7" s="32">
        <v>29</v>
      </c>
      <c r="AV7" s="13">
        <v>2</v>
      </c>
      <c r="AW7" s="13">
        <v>15</v>
      </c>
      <c r="AX7" s="14"/>
      <c r="AY7" s="15">
        <f t="shared" si="8"/>
        <v>46</v>
      </c>
      <c r="AZ7" s="32">
        <v>38</v>
      </c>
      <c r="BA7" s="13">
        <v>2</v>
      </c>
      <c r="BB7" s="13">
        <v>18</v>
      </c>
      <c r="BC7" s="14"/>
      <c r="BD7" s="15">
        <f t="shared" si="9"/>
        <v>58</v>
      </c>
      <c r="BE7" s="32">
        <v>15</v>
      </c>
      <c r="BF7" s="13">
        <v>2</v>
      </c>
      <c r="BG7" s="13">
        <v>12</v>
      </c>
      <c r="BH7" s="14"/>
      <c r="BI7" s="15">
        <f t="shared" si="10"/>
        <v>29</v>
      </c>
      <c r="BJ7" s="32">
        <v>20</v>
      </c>
      <c r="BK7" s="13"/>
      <c r="BL7" s="13">
        <v>7</v>
      </c>
      <c r="BM7" s="14"/>
      <c r="BN7" s="15">
        <f t="shared" si="11"/>
        <v>27</v>
      </c>
      <c r="BO7" s="66">
        <f t="shared" si="12"/>
        <v>348</v>
      </c>
      <c r="BP7" s="13">
        <f t="shared" si="12"/>
        <v>18</v>
      </c>
      <c r="BQ7" s="13">
        <f t="shared" si="12"/>
        <v>180</v>
      </c>
      <c r="BR7" s="14">
        <f t="shared" si="12"/>
        <v>0</v>
      </c>
      <c r="BS7" s="33">
        <f t="shared" si="13"/>
        <v>546</v>
      </c>
    </row>
    <row r="8" spans="1:71" x14ac:dyDescent="0.3">
      <c r="B8" s="269"/>
      <c r="C8" s="231"/>
      <c r="D8" s="251"/>
      <c r="E8" s="251"/>
      <c r="F8" s="114" t="s">
        <v>57</v>
      </c>
      <c r="G8" s="40">
        <f>SUM(G6:G7)</f>
        <v>136</v>
      </c>
      <c r="H8" s="22">
        <f>SUM(H6:H7)</f>
        <v>2</v>
      </c>
      <c r="I8" s="22">
        <f>SUM(I6:I7)</f>
        <v>66</v>
      </c>
      <c r="J8" s="23">
        <f>SUM(J6:J7)</f>
        <v>0</v>
      </c>
      <c r="K8" s="24">
        <f t="shared" si="0"/>
        <v>204</v>
      </c>
      <c r="L8" s="40">
        <f>SUM(L6:L7)</f>
        <v>111</v>
      </c>
      <c r="M8" s="22">
        <f>SUM(M6:M7)</f>
        <v>14</v>
      </c>
      <c r="N8" s="22">
        <f>SUM(N6:N7)</f>
        <v>95</v>
      </c>
      <c r="O8" s="23">
        <f>SUM(O6:O7)</f>
        <v>0</v>
      </c>
      <c r="P8" s="24">
        <f t="shared" si="1"/>
        <v>220</v>
      </c>
      <c r="Q8" s="40">
        <f>SUM(Q6:Q7)</f>
        <v>162</v>
      </c>
      <c r="R8" s="22">
        <f>SUM(R6:R7)</f>
        <v>6</v>
      </c>
      <c r="S8" s="22">
        <f>SUM(S6:S7)</f>
        <v>103</v>
      </c>
      <c r="T8" s="23">
        <f>SUM(T6:T7)</f>
        <v>0</v>
      </c>
      <c r="U8" s="24">
        <f t="shared" si="2"/>
        <v>271</v>
      </c>
      <c r="V8" s="40">
        <f>SUM(V6:V7)</f>
        <v>257</v>
      </c>
      <c r="W8" s="22">
        <f>SUM(W6:W7)</f>
        <v>27</v>
      </c>
      <c r="X8" s="22">
        <f>SUM(X6:X7)</f>
        <v>202</v>
      </c>
      <c r="Y8" s="23">
        <f>SUM(Y6:Y7)</f>
        <v>0</v>
      </c>
      <c r="Z8" s="24">
        <f t="shared" si="3"/>
        <v>486</v>
      </c>
      <c r="AA8" s="40">
        <f>SUM(AA6:AA7)</f>
        <v>204</v>
      </c>
      <c r="AB8" s="22">
        <f>SUM(AB6:AB7)</f>
        <v>43</v>
      </c>
      <c r="AC8" s="22">
        <f>SUM(AC6:AC7)</f>
        <v>140</v>
      </c>
      <c r="AD8" s="23">
        <f>SUM(AD6:AD7)</f>
        <v>0</v>
      </c>
      <c r="AE8" s="24">
        <f t="shared" si="4"/>
        <v>387</v>
      </c>
      <c r="AF8" s="40">
        <f>SUM(AF6:AF7)</f>
        <v>234</v>
      </c>
      <c r="AG8" s="22">
        <f>SUM(AG6:AG7)</f>
        <v>17</v>
      </c>
      <c r="AH8" s="22">
        <f>SUM(AH6:AH7)</f>
        <v>129</v>
      </c>
      <c r="AI8" s="23">
        <f>SUM(AI6:AI7)</f>
        <v>0</v>
      </c>
      <c r="AJ8" s="24">
        <f t="shared" si="5"/>
        <v>380</v>
      </c>
      <c r="AK8" s="40">
        <f>SUM(AK6:AK7)</f>
        <v>87</v>
      </c>
      <c r="AL8" s="22">
        <f>SUM(AL6:AL7)</f>
        <v>12</v>
      </c>
      <c r="AM8" s="22">
        <f>SUM(AM6:AM7)</f>
        <v>79</v>
      </c>
      <c r="AN8" s="23">
        <f>SUM(AN6:AN7)</f>
        <v>0</v>
      </c>
      <c r="AO8" s="24">
        <f t="shared" si="6"/>
        <v>178</v>
      </c>
      <c r="AP8" s="40">
        <f>SUM(AP6:AP7)</f>
        <v>94</v>
      </c>
      <c r="AQ8" s="22">
        <f>SUM(AQ6:AQ7)</f>
        <v>6</v>
      </c>
      <c r="AR8" s="22">
        <f>SUM(AR6:AR7)</f>
        <v>95</v>
      </c>
      <c r="AS8" s="23">
        <f>SUM(AS6:AS7)</f>
        <v>0</v>
      </c>
      <c r="AT8" s="24">
        <f t="shared" si="7"/>
        <v>195</v>
      </c>
      <c r="AU8" s="40">
        <f>SUM(AU6:AU7)</f>
        <v>166</v>
      </c>
      <c r="AV8" s="22">
        <f>SUM(AV6:AV7)</f>
        <v>8</v>
      </c>
      <c r="AW8" s="22">
        <f>SUM(AW6:AW7)</f>
        <v>117</v>
      </c>
      <c r="AX8" s="23">
        <f>SUM(AX6:AX7)</f>
        <v>0</v>
      </c>
      <c r="AY8" s="24">
        <f t="shared" si="8"/>
        <v>291</v>
      </c>
      <c r="AZ8" s="40">
        <f>SUM(AZ6:AZ7)</f>
        <v>234</v>
      </c>
      <c r="BA8" s="22">
        <f>SUM(BA6:BA7)</f>
        <v>23</v>
      </c>
      <c r="BB8" s="22">
        <f>SUM(BB6:BB7)</f>
        <v>162</v>
      </c>
      <c r="BC8" s="23">
        <f>SUM(BC6:BC7)</f>
        <v>0</v>
      </c>
      <c r="BD8" s="24">
        <f t="shared" si="9"/>
        <v>419</v>
      </c>
      <c r="BE8" s="40">
        <f>SUM(BE6:BE7)</f>
        <v>73</v>
      </c>
      <c r="BF8" s="22">
        <f>SUM(BF6:BF7)</f>
        <v>11</v>
      </c>
      <c r="BG8" s="22">
        <f>SUM(BG6:BG7)</f>
        <v>71</v>
      </c>
      <c r="BH8" s="23">
        <f>SUM(BH6:BH7)</f>
        <v>0</v>
      </c>
      <c r="BI8" s="24">
        <f t="shared" si="10"/>
        <v>155</v>
      </c>
      <c r="BJ8" s="40">
        <f>SUM(BJ6:BJ7)</f>
        <v>84</v>
      </c>
      <c r="BK8" s="22">
        <f>SUM(BK6:BK7)</f>
        <v>4</v>
      </c>
      <c r="BL8" s="22">
        <f>SUM(BL6:BL7)</f>
        <v>73</v>
      </c>
      <c r="BM8" s="23">
        <f>SUM(BM6:BM7)</f>
        <v>0</v>
      </c>
      <c r="BN8" s="24">
        <f t="shared" si="11"/>
        <v>161</v>
      </c>
      <c r="BO8" s="68">
        <f>SUM(BO6:BO7)</f>
        <v>1842</v>
      </c>
      <c r="BP8" s="22">
        <f>SUM(BP6:BP7)</f>
        <v>173</v>
      </c>
      <c r="BQ8" s="22">
        <f>SUM(BQ6:BQ7)</f>
        <v>1332</v>
      </c>
      <c r="BR8" s="23">
        <f>SUM(BR6:BR7)</f>
        <v>0</v>
      </c>
      <c r="BS8" s="41">
        <f t="shared" si="13"/>
        <v>3347</v>
      </c>
    </row>
    <row r="9" spans="1:71" x14ac:dyDescent="0.3">
      <c r="B9" s="269"/>
      <c r="C9" s="229" t="s">
        <v>12</v>
      </c>
      <c r="D9" s="232" t="s">
        <v>13</v>
      </c>
      <c r="E9" s="241" t="s">
        <v>41</v>
      </c>
      <c r="F9" s="120" t="s">
        <v>53</v>
      </c>
      <c r="G9" s="30">
        <v>3</v>
      </c>
      <c r="H9" s="7"/>
      <c r="I9" s="7"/>
      <c r="J9" s="8"/>
      <c r="K9" s="9">
        <f t="shared" si="0"/>
        <v>3</v>
      </c>
      <c r="L9" s="30">
        <v>7</v>
      </c>
      <c r="M9" s="7"/>
      <c r="N9" s="7"/>
      <c r="O9" s="8"/>
      <c r="P9" s="9">
        <f t="shared" si="1"/>
        <v>7</v>
      </c>
      <c r="Q9" s="30">
        <v>20</v>
      </c>
      <c r="R9" s="7"/>
      <c r="S9" s="7"/>
      <c r="T9" s="8"/>
      <c r="U9" s="9">
        <f t="shared" si="2"/>
        <v>20</v>
      </c>
      <c r="V9" s="30"/>
      <c r="W9" s="7"/>
      <c r="X9" s="7"/>
      <c r="Y9" s="8"/>
      <c r="Z9" s="9">
        <f t="shared" si="3"/>
        <v>0</v>
      </c>
      <c r="AA9" s="30"/>
      <c r="AB9" s="7"/>
      <c r="AC9" s="7"/>
      <c r="AD9" s="8"/>
      <c r="AE9" s="9">
        <f t="shared" si="4"/>
        <v>0</v>
      </c>
      <c r="AF9" s="30"/>
      <c r="AG9" s="7"/>
      <c r="AH9" s="7"/>
      <c r="AI9" s="8"/>
      <c r="AJ9" s="9">
        <f t="shared" si="5"/>
        <v>0</v>
      </c>
      <c r="AK9" s="30"/>
      <c r="AL9" s="7"/>
      <c r="AM9" s="7"/>
      <c r="AN9" s="8"/>
      <c r="AO9" s="9">
        <f t="shared" si="6"/>
        <v>0</v>
      </c>
      <c r="AP9" s="30"/>
      <c r="AQ9" s="7"/>
      <c r="AR9" s="7"/>
      <c r="AS9" s="8"/>
      <c r="AT9" s="9">
        <f t="shared" si="7"/>
        <v>0</v>
      </c>
      <c r="AU9" s="30"/>
      <c r="AV9" s="7"/>
      <c r="AW9" s="7"/>
      <c r="AX9" s="8"/>
      <c r="AY9" s="9">
        <f t="shared" si="8"/>
        <v>0</v>
      </c>
      <c r="AZ9" s="30"/>
      <c r="BA9" s="7"/>
      <c r="BB9" s="7"/>
      <c r="BC9" s="8"/>
      <c r="BD9" s="9">
        <f t="shared" si="9"/>
        <v>0</v>
      </c>
      <c r="BE9" s="30"/>
      <c r="BF9" s="7"/>
      <c r="BG9" s="7"/>
      <c r="BH9" s="8"/>
      <c r="BI9" s="9">
        <f t="shared" si="10"/>
        <v>0</v>
      </c>
      <c r="BJ9" s="30"/>
      <c r="BK9" s="7"/>
      <c r="BL9" s="7"/>
      <c r="BM9" s="8"/>
      <c r="BN9" s="9">
        <f t="shared" si="11"/>
        <v>0</v>
      </c>
      <c r="BO9" s="65">
        <f t="shared" ref="BO9:BO21" si="14">SUM(G9,L9,Q9,V9,AA9,AF9,AK9,AP9,AU9,AZ9,BE9,BJ9)</f>
        <v>30</v>
      </c>
      <c r="BP9" s="7">
        <f t="shared" ref="BP9:BP21" si="15">SUM(H9,M9,R9,W9,AB9,AG9,AL9,AQ9,AV9,BA9,BF9,BK9)</f>
        <v>0</v>
      </c>
      <c r="BQ9" s="7">
        <f t="shared" ref="BQ9:BQ21" si="16">SUM(I9,N9,S9,X9,AC9,AH9,AM9,AR9,AW9,BB9,BG9,BL9)</f>
        <v>0</v>
      </c>
      <c r="BR9" s="8">
        <f t="shared" ref="BR9:BR21" si="17">SUM(J9,O9,T9,Y9,AD9,AI9,AN9,AS9,AX9,BC9,BH9,BM9)</f>
        <v>0</v>
      </c>
      <c r="BS9" s="31">
        <f t="shared" si="13"/>
        <v>30</v>
      </c>
    </row>
    <row r="10" spans="1:71" x14ac:dyDescent="0.3">
      <c r="B10" s="269"/>
      <c r="C10" s="230"/>
      <c r="D10" s="233"/>
      <c r="E10" s="239"/>
      <c r="F10" s="121" t="s">
        <v>49</v>
      </c>
      <c r="G10" s="32"/>
      <c r="H10" s="13"/>
      <c r="I10" s="13"/>
      <c r="J10" s="14"/>
      <c r="K10" s="15">
        <f t="shared" si="0"/>
        <v>0</v>
      </c>
      <c r="L10" s="32">
        <v>31</v>
      </c>
      <c r="M10" s="13"/>
      <c r="N10" s="13"/>
      <c r="O10" s="14"/>
      <c r="P10" s="15">
        <f t="shared" si="1"/>
        <v>31</v>
      </c>
      <c r="Q10" s="32">
        <v>296</v>
      </c>
      <c r="R10" s="13"/>
      <c r="S10" s="13"/>
      <c r="T10" s="14"/>
      <c r="U10" s="15">
        <f t="shared" si="2"/>
        <v>296</v>
      </c>
      <c r="V10" s="32">
        <v>391</v>
      </c>
      <c r="W10" s="13"/>
      <c r="X10" s="13"/>
      <c r="Y10" s="14"/>
      <c r="Z10" s="15">
        <f t="shared" si="3"/>
        <v>391</v>
      </c>
      <c r="AA10" s="32">
        <v>315</v>
      </c>
      <c r="AB10" s="13"/>
      <c r="AC10" s="13"/>
      <c r="AD10" s="14"/>
      <c r="AE10" s="15">
        <f t="shared" si="4"/>
        <v>315</v>
      </c>
      <c r="AF10" s="32">
        <v>541</v>
      </c>
      <c r="AG10" s="13"/>
      <c r="AH10" s="13"/>
      <c r="AI10" s="14"/>
      <c r="AJ10" s="15">
        <f t="shared" si="5"/>
        <v>541</v>
      </c>
      <c r="AK10" s="32"/>
      <c r="AL10" s="13"/>
      <c r="AM10" s="13"/>
      <c r="AN10" s="14"/>
      <c r="AO10" s="15">
        <f t="shared" si="6"/>
        <v>0</v>
      </c>
      <c r="AP10" s="32"/>
      <c r="AQ10" s="13"/>
      <c r="AR10" s="13"/>
      <c r="AS10" s="14"/>
      <c r="AT10" s="15">
        <f t="shared" si="7"/>
        <v>0</v>
      </c>
      <c r="AU10" s="193">
        <v>329</v>
      </c>
      <c r="AV10" s="13"/>
      <c r="AW10" s="13"/>
      <c r="AX10" s="14"/>
      <c r="AY10" s="15">
        <f t="shared" si="8"/>
        <v>329</v>
      </c>
      <c r="AZ10" s="32">
        <v>403</v>
      </c>
      <c r="BA10" s="13"/>
      <c r="BB10" s="13"/>
      <c r="BC10" s="14"/>
      <c r="BD10" s="15">
        <f t="shared" si="9"/>
        <v>403</v>
      </c>
      <c r="BE10" s="32">
        <v>124</v>
      </c>
      <c r="BF10" s="13"/>
      <c r="BG10" s="13"/>
      <c r="BH10" s="14"/>
      <c r="BI10" s="15">
        <f t="shared" si="10"/>
        <v>124</v>
      </c>
      <c r="BJ10" s="32"/>
      <c r="BK10" s="13"/>
      <c r="BL10" s="13"/>
      <c r="BM10" s="14"/>
      <c r="BN10" s="15">
        <f t="shared" si="11"/>
        <v>0</v>
      </c>
      <c r="BO10" s="66">
        <f t="shared" si="14"/>
        <v>2430</v>
      </c>
      <c r="BP10" s="13">
        <f t="shared" si="15"/>
        <v>0</v>
      </c>
      <c r="BQ10" s="13">
        <f t="shared" si="16"/>
        <v>0</v>
      </c>
      <c r="BR10" s="14">
        <f t="shared" si="17"/>
        <v>0</v>
      </c>
      <c r="BS10" s="33">
        <f t="shared" si="13"/>
        <v>2430</v>
      </c>
    </row>
    <row r="11" spans="1:71" x14ac:dyDescent="0.3">
      <c r="B11" s="269"/>
      <c r="C11" s="230"/>
      <c r="D11" s="233"/>
      <c r="E11" s="239"/>
      <c r="F11" s="121" t="s">
        <v>50</v>
      </c>
      <c r="G11" s="32"/>
      <c r="H11" s="13"/>
      <c r="I11" s="13"/>
      <c r="J11" s="14"/>
      <c r="K11" s="15">
        <f t="shared" si="0"/>
        <v>0</v>
      </c>
      <c r="L11" s="32">
        <v>10</v>
      </c>
      <c r="M11" s="13"/>
      <c r="N11" s="13"/>
      <c r="O11" s="14"/>
      <c r="P11" s="15">
        <f t="shared" si="1"/>
        <v>10</v>
      </c>
      <c r="Q11" s="32">
        <v>56</v>
      </c>
      <c r="R11" s="13"/>
      <c r="S11" s="13"/>
      <c r="T11" s="14"/>
      <c r="U11" s="15">
        <f t="shared" si="2"/>
        <v>56</v>
      </c>
      <c r="V11" s="32">
        <v>90</v>
      </c>
      <c r="W11" s="13"/>
      <c r="X11" s="13"/>
      <c r="Y11" s="14"/>
      <c r="Z11" s="15">
        <f t="shared" si="3"/>
        <v>90</v>
      </c>
      <c r="AA11" s="32">
        <v>68</v>
      </c>
      <c r="AB11" s="13"/>
      <c r="AC11" s="13"/>
      <c r="AD11" s="14"/>
      <c r="AE11" s="15">
        <f t="shared" si="4"/>
        <v>68</v>
      </c>
      <c r="AF11" s="32">
        <v>155</v>
      </c>
      <c r="AG11" s="13"/>
      <c r="AH11" s="13"/>
      <c r="AI11" s="14"/>
      <c r="AJ11" s="15">
        <f t="shared" si="5"/>
        <v>155</v>
      </c>
      <c r="AK11" s="32"/>
      <c r="AL11" s="13"/>
      <c r="AM11" s="13"/>
      <c r="AN11" s="14"/>
      <c r="AO11" s="15">
        <f t="shared" si="6"/>
        <v>0</v>
      </c>
      <c r="AP11" s="32"/>
      <c r="AQ11" s="13"/>
      <c r="AR11" s="13"/>
      <c r="AS11" s="14"/>
      <c r="AT11" s="15">
        <f t="shared" si="7"/>
        <v>0</v>
      </c>
      <c r="AU11" s="32">
        <v>103</v>
      </c>
      <c r="AV11" s="13"/>
      <c r="AW11" s="13"/>
      <c r="AX11" s="14"/>
      <c r="AY11" s="15">
        <f t="shared" si="8"/>
        <v>103</v>
      </c>
      <c r="AZ11" s="32">
        <v>121</v>
      </c>
      <c r="BA11" s="13"/>
      <c r="BB11" s="13"/>
      <c r="BC11" s="14"/>
      <c r="BD11" s="15">
        <f t="shared" si="9"/>
        <v>121</v>
      </c>
      <c r="BE11" s="32">
        <v>26</v>
      </c>
      <c r="BF11" s="13"/>
      <c r="BG11" s="13"/>
      <c r="BH11" s="14"/>
      <c r="BI11" s="15">
        <f t="shared" si="10"/>
        <v>26</v>
      </c>
      <c r="BJ11" s="32"/>
      <c r="BK11" s="13"/>
      <c r="BL11" s="13"/>
      <c r="BM11" s="14"/>
      <c r="BN11" s="15">
        <f t="shared" si="11"/>
        <v>0</v>
      </c>
      <c r="BO11" s="66">
        <f t="shared" si="14"/>
        <v>629</v>
      </c>
      <c r="BP11" s="13">
        <f t="shared" si="15"/>
        <v>0</v>
      </c>
      <c r="BQ11" s="13">
        <f t="shared" si="16"/>
        <v>0</v>
      </c>
      <c r="BR11" s="14">
        <f t="shared" si="17"/>
        <v>0</v>
      </c>
      <c r="BS11" s="33">
        <f t="shared" si="13"/>
        <v>629</v>
      </c>
    </row>
    <row r="12" spans="1:71" x14ac:dyDescent="0.3">
      <c r="B12" s="269"/>
      <c r="C12" s="230"/>
      <c r="D12" s="233"/>
      <c r="E12" s="239"/>
      <c r="F12" s="121" t="s">
        <v>51</v>
      </c>
      <c r="G12" s="32"/>
      <c r="H12" s="13"/>
      <c r="I12" s="13"/>
      <c r="J12" s="14"/>
      <c r="K12" s="15">
        <f t="shared" si="0"/>
        <v>0</v>
      </c>
      <c r="L12" s="32">
        <v>16</v>
      </c>
      <c r="M12" s="13"/>
      <c r="N12" s="13"/>
      <c r="O12" s="14"/>
      <c r="P12" s="15">
        <f t="shared" si="1"/>
        <v>16</v>
      </c>
      <c r="Q12" s="32"/>
      <c r="R12" s="13"/>
      <c r="S12" s="13"/>
      <c r="T12" s="14"/>
      <c r="U12" s="15">
        <f t="shared" si="2"/>
        <v>0</v>
      </c>
      <c r="V12" s="32"/>
      <c r="W12" s="13"/>
      <c r="X12" s="13"/>
      <c r="Y12" s="14"/>
      <c r="Z12" s="15">
        <f t="shared" si="3"/>
        <v>0</v>
      </c>
      <c r="AA12" s="32"/>
      <c r="AB12" s="13"/>
      <c r="AC12" s="13"/>
      <c r="AD12" s="14"/>
      <c r="AE12" s="15">
        <f t="shared" si="4"/>
        <v>0</v>
      </c>
      <c r="AF12" s="32">
        <v>333</v>
      </c>
      <c r="AG12" s="13"/>
      <c r="AH12" s="13"/>
      <c r="AI12" s="14"/>
      <c r="AJ12" s="15">
        <f t="shared" si="5"/>
        <v>333</v>
      </c>
      <c r="AK12" s="32"/>
      <c r="AL12" s="13"/>
      <c r="AM12" s="13"/>
      <c r="AN12" s="14"/>
      <c r="AO12" s="15">
        <f t="shared" si="6"/>
        <v>0</v>
      </c>
      <c r="AP12" s="32"/>
      <c r="AQ12" s="13"/>
      <c r="AR12" s="13"/>
      <c r="AS12" s="14"/>
      <c r="AT12" s="15">
        <f t="shared" si="7"/>
        <v>0</v>
      </c>
      <c r="AU12" s="32"/>
      <c r="AV12" s="13"/>
      <c r="AW12" s="13"/>
      <c r="AX12" s="14"/>
      <c r="AY12" s="15">
        <f t="shared" si="8"/>
        <v>0</v>
      </c>
      <c r="AZ12" s="32"/>
      <c r="BA12" s="13"/>
      <c r="BB12" s="13"/>
      <c r="BC12" s="14"/>
      <c r="BD12" s="15">
        <f t="shared" si="9"/>
        <v>0</v>
      </c>
      <c r="BE12" s="32"/>
      <c r="BF12" s="13"/>
      <c r="BG12" s="13"/>
      <c r="BH12" s="14"/>
      <c r="BI12" s="15">
        <f t="shared" si="10"/>
        <v>0</v>
      </c>
      <c r="BJ12" s="32"/>
      <c r="BK12" s="13"/>
      <c r="BL12" s="13"/>
      <c r="BM12" s="14"/>
      <c r="BN12" s="15">
        <f t="shared" si="11"/>
        <v>0</v>
      </c>
      <c r="BO12" s="66">
        <f t="shared" si="14"/>
        <v>349</v>
      </c>
      <c r="BP12" s="13">
        <f t="shared" si="15"/>
        <v>0</v>
      </c>
      <c r="BQ12" s="13">
        <f t="shared" si="16"/>
        <v>0</v>
      </c>
      <c r="BR12" s="14">
        <f t="shared" si="17"/>
        <v>0</v>
      </c>
      <c r="BS12" s="33">
        <f t="shared" si="13"/>
        <v>349</v>
      </c>
    </row>
    <row r="13" spans="1:71" x14ac:dyDescent="0.3">
      <c r="B13" s="269"/>
      <c r="C13" s="230"/>
      <c r="D13" s="233"/>
      <c r="E13" s="239"/>
      <c r="F13" s="121" t="s">
        <v>52</v>
      </c>
      <c r="G13" s="32"/>
      <c r="H13" s="13"/>
      <c r="I13" s="13"/>
      <c r="J13" s="14"/>
      <c r="K13" s="15">
        <f t="shared" si="0"/>
        <v>0</v>
      </c>
      <c r="L13" s="32">
        <v>8</v>
      </c>
      <c r="M13" s="13"/>
      <c r="N13" s="13"/>
      <c r="O13" s="14"/>
      <c r="P13" s="15">
        <f t="shared" si="1"/>
        <v>8</v>
      </c>
      <c r="Q13" s="32"/>
      <c r="R13" s="13"/>
      <c r="S13" s="13"/>
      <c r="T13" s="14"/>
      <c r="U13" s="15">
        <f t="shared" si="2"/>
        <v>0</v>
      </c>
      <c r="V13" s="32"/>
      <c r="W13" s="13"/>
      <c r="X13" s="13"/>
      <c r="Y13" s="14"/>
      <c r="Z13" s="15">
        <f t="shared" si="3"/>
        <v>0</v>
      </c>
      <c r="AA13" s="32"/>
      <c r="AB13" s="13"/>
      <c r="AC13" s="13"/>
      <c r="AD13" s="14"/>
      <c r="AE13" s="15">
        <f t="shared" si="4"/>
        <v>0</v>
      </c>
      <c r="AF13" s="32">
        <v>105</v>
      </c>
      <c r="AG13" s="13"/>
      <c r="AH13" s="13"/>
      <c r="AI13" s="14"/>
      <c r="AJ13" s="15">
        <f t="shared" si="5"/>
        <v>105</v>
      </c>
      <c r="AK13" s="32"/>
      <c r="AL13" s="13"/>
      <c r="AM13" s="13"/>
      <c r="AN13" s="14"/>
      <c r="AO13" s="15">
        <f t="shared" si="6"/>
        <v>0</v>
      </c>
      <c r="AP13" s="32"/>
      <c r="AQ13" s="13"/>
      <c r="AR13" s="13"/>
      <c r="AS13" s="14"/>
      <c r="AT13" s="15">
        <f t="shared" si="7"/>
        <v>0</v>
      </c>
      <c r="AU13" s="32"/>
      <c r="AV13" s="13"/>
      <c r="AW13" s="13"/>
      <c r="AX13" s="14"/>
      <c r="AY13" s="15">
        <f t="shared" si="8"/>
        <v>0</v>
      </c>
      <c r="AZ13" s="32"/>
      <c r="BA13" s="13"/>
      <c r="BB13" s="13"/>
      <c r="BC13" s="14"/>
      <c r="BD13" s="15">
        <f t="shared" si="9"/>
        <v>0</v>
      </c>
      <c r="BE13" s="32"/>
      <c r="BF13" s="13"/>
      <c r="BG13" s="13"/>
      <c r="BH13" s="14"/>
      <c r="BI13" s="15">
        <f t="shared" si="10"/>
        <v>0</v>
      </c>
      <c r="BJ13" s="32"/>
      <c r="BK13" s="13"/>
      <c r="BL13" s="13"/>
      <c r="BM13" s="14"/>
      <c r="BN13" s="15">
        <f t="shared" si="11"/>
        <v>0</v>
      </c>
      <c r="BO13" s="66">
        <f t="shared" si="14"/>
        <v>113</v>
      </c>
      <c r="BP13" s="13">
        <f t="shared" si="15"/>
        <v>0</v>
      </c>
      <c r="BQ13" s="13">
        <f t="shared" si="16"/>
        <v>0</v>
      </c>
      <c r="BR13" s="14">
        <f t="shared" si="17"/>
        <v>0</v>
      </c>
      <c r="BS13" s="33">
        <f t="shared" si="13"/>
        <v>113</v>
      </c>
    </row>
    <row r="14" spans="1:71" x14ac:dyDescent="0.3">
      <c r="B14" s="269"/>
      <c r="C14" s="230"/>
      <c r="D14" s="233"/>
      <c r="E14" s="239"/>
      <c r="F14" s="121" t="s">
        <v>129</v>
      </c>
      <c r="G14" s="32">
        <v>3007</v>
      </c>
      <c r="H14" s="13"/>
      <c r="I14" s="13"/>
      <c r="J14" s="14"/>
      <c r="K14" s="15">
        <f t="shared" ref="K14:K17" si="18">SUM(G14:J14)</f>
        <v>3007</v>
      </c>
      <c r="L14" s="32">
        <v>5077</v>
      </c>
      <c r="M14" s="13"/>
      <c r="N14" s="13"/>
      <c r="O14" s="14"/>
      <c r="P14" s="15">
        <f t="shared" ref="P14:P17" si="19">SUM(L14:O14)</f>
        <v>5077</v>
      </c>
      <c r="Q14" s="32">
        <v>358</v>
      </c>
      <c r="R14" s="13"/>
      <c r="S14" s="13"/>
      <c r="T14" s="14"/>
      <c r="U14" s="15">
        <f t="shared" ref="U14:U17" si="20">SUM(Q14:T14)</f>
        <v>358</v>
      </c>
      <c r="V14" s="32"/>
      <c r="W14" s="13"/>
      <c r="X14" s="13"/>
      <c r="Y14" s="14"/>
      <c r="Z14" s="15">
        <f t="shared" ref="Z14:Z17" si="21">SUM(V14:Y14)</f>
        <v>0</v>
      </c>
      <c r="AA14" s="32"/>
      <c r="AB14" s="13"/>
      <c r="AC14" s="13"/>
      <c r="AD14" s="14"/>
      <c r="AE14" s="15">
        <f t="shared" ref="AE14:AE17" si="22">SUM(AA14:AD14)</f>
        <v>0</v>
      </c>
      <c r="AF14" s="32"/>
      <c r="AG14" s="13"/>
      <c r="AH14" s="13"/>
      <c r="AI14" s="14"/>
      <c r="AJ14" s="15">
        <f t="shared" ref="AJ14:AJ17" si="23">SUM(AF14:AI14)</f>
        <v>0</v>
      </c>
      <c r="AK14" s="32">
        <v>1228</v>
      </c>
      <c r="AL14" s="13"/>
      <c r="AM14" s="13"/>
      <c r="AN14" s="14"/>
      <c r="AO14" s="15">
        <f t="shared" ref="AO14:AO17" si="24">SUM(AK14:AN14)</f>
        <v>1228</v>
      </c>
      <c r="AP14" s="32">
        <v>2138</v>
      </c>
      <c r="AQ14" s="13"/>
      <c r="AR14" s="13"/>
      <c r="AS14" s="14"/>
      <c r="AT14" s="15">
        <f t="shared" ref="AT14:AT17" si="25">SUM(AP14:AS14)</f>
        <v>2138</v>
      </c>
      <c r="AU14" s="32"/>
      <c r="AV14" s="13"/>
      <c r="AW14" s="13"/>
      <c r="AX14" s="14"/>
      <c r="AY14" s="15">
        <f t="shared" ref="AY14:AY17" si="26">SUM(AU14:AX14)</f>
        <v>0</v>
      </c>
      <c r="AZ14" s="32"/>
      <c r="BA14" s="13"/>
      <c r="BB14" s="13"/>
      <c r="BC14" s="14"/>
      <c r="BD14" s="15">
        <f t="shared" ref="BD14:BD17" si="27">SUM(AZ14:BC14)</f>
        <v>0</v>
      </c>
      <c r="BE14" s="32"/>
      <c r="BF14" s="13"/>
      <c r="BG14" s="13"/>
      <c r="BH14" s="14"/>
      <c r="BI14" s="15">
        <f t="shared" ref="BI14:BI17" si="28">SUM(BE14:BH14)</f>
        <v>0</v>
      </c>
      <c r="BJ14" s="32">
        <v>1644</v>
      </c>
      <c r="BK14" s="13"/>
      <c r="BL14" s="13"/>
      <c r="BM14" s="14"/>
      <c r="BN14" s="15">
        <f t="shared" ref="BN14:BN17" si="29">SUM(BJ14:BM14)</f>
        <v>1644</v>
      </c>
      <c r="BO14" s="66">
        <f t="shared" si="14"/>
        <v>13452</v>
      </c>
      <c r="BP14" s="13">
        <f t="shared" si="15"/>
        <v>0</v>
      </c>
      <c r="BQ14" s="13">
        <f t="shared" si="16"/>
        <v>0</v>
      </c>
      <c r="BR14" s="14">
        <f t="shared" si="17"/>
        <v>0</v>
      </c>
      <c r="BS14" s="33">
        <f t="shared" si="13"/>
        <v>13452</v>
      </c>
    </row>
    <row r="15" spans="1:71" x14ac:dyDescent="0.3">
      <c r="B15" s="269"/>
      <c r="C15" s="230"/>
      <c r="D15" s="233"/>
      <c r="E15" s="239"/>
      <c r="F15" s="121" t="s">
        <v>130</v>
      </c>
      <c r="G15" s="32">
        <v>223</v>
      </c>
      <c r="H15" s="13"/>
      <c r="I15" s="13"/>
      <c r="J15" s="14"/>
      <c r="K15" s="15">
        <f t="shared" si="18"/>
        <v>223</v>
      </c>
      <c r="L15" s="32">
        <v>422</v>
      </c>
      <c r="M15" s="13"/>
      <c r="N15" s="13"/>
      <c r="O15" s="14"/>
      <c r="P15" s="15">
        <f t="shared" si="19"/>
        <v>422</v>
      </c>
      <c r="Q15" s="32">
        <v>20</v>
      </c>
      <c r="R15" s="13"/>
      <c r="S15" s="13"/>
      <c r="T15" s="14"/>
      <c r="U15" s="15">
        <f t="shared" si="20"/>
        <v>20</v>
      </c>
      <c r="V15" s="32"/>
      <c r="W15" s="13"/>
      <c r="X15" s="13"/>
      <c r="Y15" s="14"/>
      <c r="Z15" s="15">
        <f t="shared" si="21"/>
        <v>0</v>
      </c>
      <c r="AA15" s="32"/>
      <c r="AB15" s="13"/>
      <c r="AC15" s="13"/>
      <c r="AD15" s="14"/>
      <c r="AE15" s="15">
        <f t="shared" si="22"/>
        <v>0</v>
      </c>
      <c r="AF15" s="32"/>
      <c r="AG15" s="13"/>
      <c r="AH15" s="13"/>
      <c r="AI15" s="14"/>
      <c r="AJ15" s="15">
        <f t="shared" si="23"/>
        <v>0</v>
      </c>
      <c r="AK15" s="32">
        <v>464</v>
      </c>
      <c r="AL15" s="13"/>
      <c r="AM15" s="13"/>
      <c r="AN15" s="14"/>
      <c r="AO15" s="15">
        <f t="shared" si="24"/>
        <v>464</v>
      </c>
      <c r="AP15" s="32">
        <v>838</v>
      </c>
      <c r="AQ15" s="13"/>
      <c r="AR15" s="13"/>
      <c r="AS15" s="14"/>
      <c r="AT15" s="15">
        <f t="shared" si="25"/>
        <v>838</v>
      </c>
      <c r="AU15" s="32"/>
      <c r="AV15" s="13"/>
      <c r="AW15" s="13"/>
      <c r="AX15" s="14"/>
      <c r="AY15" s="15">
        <f t="shared" si="26"/>
        <v>0</v>
      </c>
      <c r="AZ15" s="32"/>
      <c r="BA15" s="13"/>
      <c r="BB15" s="13"/>
      <c r="BC15" s="14"/>
      <c r="BD15" s="15">
        <f t="shared" si="27"/>
        <v>0</v>
      </c>
      <c r="BE15" s="32"/>
      <c r="BF15" s="13"/>
      <c r="BG15" s="13"/>
      <c r="BH15" s="14"/>
      <c r="BI15" s="15">
        <f t="shared" si="28"/>
        <v>0</v>
      </c>
      <c r="BJ15" s="32">
        <v>331</v>
      </c>
      <c r="BK15" s="13"/>
      <c r="BL15" s="13"/>
      <c r="BM15" s="14"/>
      <c r="BN15" s="15">
        <f t="shared" si="29"/>
        <v>331</v>
      </c>
      <c r="BO15" s="66">
        <f t="shared" si="14"/>
        <v>2298</v>
      </c>
      <c r="BP15" s="13">
        <f t="shared" si="15"/>
        <v>0</v>
      </c>
      <c r="BQ15" s="13">
        <f t="shared" si="16"/>
        <v>0</v>
      </c>
      <c r="BR15" s="14">
        <f t="shared" si="17"/>
        <v>0</v>
      </c>
      <c r="BS15" s="33">
        <f t="shared" si="13"/>
        <v>2298</v>
      </c>
    </row>
    <row r="16" spans="1:71" x14ac:dyDescent="0.3">
      <c r="B16" s="269"/>
      <c r="C16" s="230"/>
      <c r="D16" s="233"/>
      <c r="E16" s="239"/>
      <c r="F16" s="121" t="s">
        <v>141</v>
      </c>
      <c r="G16" s="32">
        <v>2241</v>
      </c>
      <c r="H16" s="13"/>
      <c r="I16" s="13"/>
      <c r="J16" s="14"/>
      <c r="K16" s="15">
        <f t="shared" si="18"/>
        <v>2241</v>
      </c>
      <c r="L16" s="32">
        <v>3750</v>
      </c>
      <c r="M16" s="13"/>
      <c r="N16" s="13"/>
      <c r="O16" s="14"/>
      <c r="P16" s="15">
        <f t="shared" si="19"/>
        <v>3750</v>
      </c>
      <c r="Q16" s="32">
        <v>255</v>
      </c>
      <c r="R16" s="13"/>
      <c r="S16" s="13"/>
      <c r="T16" s="14"/>
      <c r="U16" s="15">
        <f t="shared" si="20"/>
        <v>255</v>
      </c>
      <c r="V16" s="32"/>
      <c r="W16" s="13"/>
      <c r="X16" s="13"/>
      <c r="Y16" s="14"/>
      <c r="Z16" s="15">
        <f t="shared" si="21"/>
        <v>0</v>
      </c>
      <c r="AA16" s="32"/>
      <c r="AB16" s="13"/>
      <c r="AC16" s="13"/>
      <c r="AD16" s="14"/>
      <c r="AE16" s="15">
        <f t="shared" si="22"/>
        <v>0</v>
      </c>
      <c r="AF16" s="32"/>
      <c r="AG16" s="13"/>
      <c r="AH16" s="13"/>
      <c r="AI16" s="14"/>
      <c r="AJ16" s="15">
        <f t="shared" si="23"/>
        <v>0</v>
      </c>
      <c r="AK16" s="32">
        <v>901</v>
      </c>
      <c r="AL16" s="13"/>
      <c r="AM16" s="13"/>
      <c r="AN16" s="14"/>
      <c r="AO16" s="15">
        <f t="shared" si="24"/>
        <v>901</v>
      </c>
      <c r="AP16" s="32">
        <v>1675</v>
      </c>
      <c r="AQ16" s="13"/>
      <c r="AR16" s="13"/>
      <c r="AS16" s="14"/>
      <c r="AT16" s="15">
        <f t="shared" si="25"/>
        <v>1675</v>
      </c>
      <c r="AU16" s="32"/>
      <c r="AV16" s="13"/>
      <c r="AW16" s="13"/>
      <c r="AX16" s="14"/>
      <c r="AY16" s="15">
        <f t="shared" si="26"/>
        <v>0</v>
      </c>
      <c r="AZ16" s="32"/>
      <c r="BA16" s="13"/>
      <c r="BB16" s="13"/>
      <c r="BC16" s="14"/>
      <c r="BD16" s="15">
        <f t="shared" si="27"/>
        <v>0</v>
      </c>
      <c r="BE16" s="32"/>
      <c r="BF16" s="13"/>
      <c r="BG16" s="13"/>
      <c r="BH16" s="14"/>
      <c r="BI16" s="15">
        <f t="shared" si="28"/>
        <v>0</v>
      </c>
      <c r="BJ16" s="32">
        <v>1264</v>
      </c>
      <c r="BK16" s="13"/>
      <c r="BL16" s="13"/>
      <c r="BM16" s="14"/>
      <c r="BN16" s="15">
        <f t="shared" si="29"/>
        <v>1264</v>
      </c>
      <c r="BO16" s="66">
        <f t="shared" si="14"/>
        <v>10086</v>
      </c>
      <c r="BP16" s="13">
        <f t="shared" si="15"/>
        <v>0</v>
      </c>
      <c r="BQ16" s="13">
        <f t="shared" si="16"/>
        <v>0</v>
      </c>
      <c r="BR16" s="14">
        <f t="shared" si="17"/>
        <v>0</v>
      </c>
      <c r="BS16" s="33">
        <f t="shared" si="13"/>
        <v>10086</v>
      </c>
    </row>
    <row r="17" spans="2:71" x14ac:dyDescent="0.3">
      <c r="B17" s="269"/>
      <c r="C17" s="230"/>
      <c r="D17" s="233"/>
      <c r="E17" s="239"/>
      <c r="F17" s="123" t="s">
        <v>142</v>
      </c>
      <c r="G17" s="34">
        <v>182</v>
      </c>
      <c r="H17" s="16"/>
      <c r="I17" s="16"/>
      <c r="J17" s="17"/>
      <c r="K17" s="18">
        <f t="shared" si="18"/>
        <v>182</v>
      </c>
      <c r="L17" s="34">
        <v>344</v>
      </c>
      <c r="M17" s="16"/>
      <c r="N17" s="16"/>
      <c r="O17" s="17"/>
      <c r="P17" s="18">
        <f t="shared" si="19"/>
        <v>344</v>
      </c>
      <c r="Q17" s="34">
        <v>14</v>
      </c>
      <c r="R17" s="16"/>
      <c r="S17" s="16"/>
      <c r="T17" s="17"/>
      <c r="U17" s="18">
        <f t="shared" si="20"/>
        <v>14</v>
      </c>
      <c r="V17" s="34"/>
      <c r="W17" s="16"/>
      <c r="X17" s="16"/>
      <c r="Y17" s="17"/>
      <c r="Z17" s="18">
        <f t="shared" si="21"/>
        <v>0</v>
      </c>
      <c r="AA17" s="34"/>
      <c r="AB17" s="16"/>
      <c r="AC17" s="16"/>
      <c r="AD17" s="17"/>
      <c r="AE17" s="18">
        <f t="shared" si="22"/>
        <v>0</v>
      </c>
      <c r="AF17" s="34"/>
      <c r="AG17" s="16"/>
      <c r="AH17" s="16"/>
      <c r="AI17" s="17"/>
      <c r="AJ17" s="18">
        <f t="shared" si="23"/>
        <v>0</v>
      </c>
      <c r="AK17" s="34">
        <v>360</v>
      </c>
      <c r="AL17" s="16"/>
      <c r="AM17" s="16"/>
      <c r="AN17" s="17"/>
      <c r="AO17" s="18">
        <f t="shared" si="24"/>
        <v>360</v>
      </c>
      <c r="AP17" s="34">
        <v>685</v>
      </c>
      <c r="AQ17" s="16"/>
      <c r="AR17" s="16"/>
      <c r="AS17" s="17"/>
      <c r="AT17" s="18">
        <f t="shared" si="25"/>
        <v>685</v>
      </c>
      <c r="AU17" s="34"/>
      <c r="AV17" s="16"/>
      <c r="AW17" s="16"/>
      <c r="AX17" s="17"/>
      <c r="AY17" s="18">
        <f t="shared" si="26"/>
        <v>0</v>
      </c>
      <c r="AZ17" s="34"/>
      <c r="BA17" s="16"/>
      <c r="BB17" s="16"/>
      <c r="BC17" s="17"/>
      <c r="BD17" s="18">
        <f t="shared" si="27"/>
        <v>0</v>
      </c>
      <c r="BE17" s="34"/>
      <c r="BF17" s="16"/>
      <c r="BG17" s="16"/>
      <c r="BH17" s="17"/>
      <c r="BI17" s="18">
        <f t="shared" si="28"/>
        <v>0</v>
      </c>
      <c r="BJ17" s="34">
        <v>276</v>
      </c>
      <c r="BK17" s="16"/>
      <c r="BL17" s="16"/>
      <c r="BM17" s="17"/>
      <c r="BN17" s="18">
        <f t="shared" si="29"/>
        <v>276</v>
      </c>
      <c r="BO17" s="70">
        <f t="shared" si="14"/>
        <v>1861</v>
      </c>
      <c r="BP17" s="16">
        <f t="shared" si="15"/>
        <v>0</v>
      </c>
      <c r="BQ17" s="16">
        <f t="shared" si="16"/>
        <v>0</v>
      </c>
      <c r="BR17" s="17">
        <f t="shared" si="17"/>
        <v>0</v>
      </c>
      <c r="BS17" s="35">
        <f t="shared" si="13"/>
        <v>1861</v>
      </c>
    </row>
    <row r="18" spans="2:71" x14ac:dyDescent="0.3">
      <c r="B18" s="269"/>
      <c r="C18" s="230"/>
      <c r="D18" s="233"/>
      <c r="E18" s="239"/>
      <c r="F18" s="171" t="s">
        <v>362</v>
      </c>
      <c r="G18" s="172"/>
      <c r="H18" s="173"/>
      <c r="I18" s="173"/>
      <c r="J18" s="174"/>
      <c r="K18" s="175">
        <f t="shared" ref="K18:K19" si="30">SUM(G18:J18)</f>
        <v>0</v>
      </c>
      <c r="L18" s="172"/>
      <c r="M18" s="173"/>
      <c r="N18" s="173"/>
      <c r="O18" s="174"/>
      <c r="P18" s="175">
        <f t="shared" si="1"/>
        <v>0</v>
      </c>
      <c r="Q18" s="172"/>
      <c r="R18" s="173"/>
      <c r="S18" s="173"/>
      <c r="T18" s="174"/>
      <c r="U18" s="175">
        <f t="shared" si="2"/>
        <v>0</v>
      </c>
      <c r="V18" s="172"/>
      <c r="W18" s="173"/>
      <c r="X18" s="173"/>
      <c r="Y18" s="174"/>
      <c r="Z18" s="175">
        <f t="shared" si="3"/>
        <v>0</v>
      </c>
      <c r="AA18" s="172"/>
      <c r="AB18" s="173"/>
      <c r="AC18" s="173"/>
      <c r="AD18" s="174"/>
      <c r="AE18" s="175">
        <f t="shared" si="4"/>
        <v>0</v>
      </c>
      <c r="AF18" s="172"/>
      <c r="AG18" s="173"/>
      <c r="AH18" s="173"/>
      <c r="AI18" s="174"/>
      <c r="AJ18" s="175">
        <f t="shared" si="5"/>
        <v>0</v>
      </c>
      <c r="AK18" s="172">
        <v>402</v>
      </c>
      <c r="AL18" s="173"/>
      <c r="AM18" s="173"/>
      <c r="AN18" s="174"/>
      <c r="AO18" s="175">
        <f t="shared" si="6"/>
        <v>402</v>
      </c>
      <c r="AP18" s="172">
        <v>752</v>
      </c>
      <c r="AQ18" s="173"/>
      <c r="AR18" s="173"/>
      <c r="AS18" s="174"/>
      <c r="AT18" s="175">
        <f t="shared" si="7"/>
        <v>752</v>
      </c>
      <c r="AU18" s="172"/>
      <c r="AV18" s="173"/>
      <c r="AW18" s="173"/>
      <c r="AX18" s="174"/>
      <c r="AY18" s="175">
        <f t="shared" si="8"/>
        <v>0</v>
      </c>
      <c r="AZ18" s="172"/>
      <c r="BA18" s="173"/>
      <c r="BB18" s="173"/>
      <c r="BC18" s="174"/>
      <c r="BD18" s="175">
        <f t="shared" si="9"/>
        <v>0</v>
      </c>
      <c r="BE18" s="172"/>
      <c r="BF18" s="173"/>
      <c r="BG18" s="173"/>
      <c r="BH18" s="174"/>
      <c r="BI18" s="175">
        <f t="shared" si="10"/>
        <v>0</v>
      </c>
      <c r="BJ18" s="172">
        <v>574</v>
      </c>
      <c r="BK18" s="173"/>
      <c r="BL18" s="173"/>
      <c r="BM18" s="174"/>
      <c r="BN18" s="175">
        <f t="shared" si="11"/>
        <v>574</v>
      </c>
      <c r="BO18" s="177">
        <f t="shared" si="14"/>
        <v>1728</v>
      </c>
      <c r="BP18" s="173">
        <f t="shared" si="15"/>
        <v>0</v>
      </c>
      <c r="BQ18" s="173">
        <f t="shared" si="16"/>
        <v>0</v>
      </c>
      <c r="BR18" s="174">
        <f t="shared" si="17"/>
        <v>0</v>
      </c>
      <c r="BS18" s="176">
        <f t="shared" ref="BS18:BS19" si="31">SUM(BO18:BR18)</f>
        <v>1728</v>
      </c>
    </row>
    <row r="19" spans="2:71" x14ac:dyDescent="0.3">
      <c r="B19" s="269"/>
      <c r="C19" s="230"/>
      <c r="D19" s="233"/>
      <c r="E19" s="239"/>
      <c r="F19" s="178" t="s">
        <v>363</v>
      </c>
      <c r="G19" s="179"/>
      <c r="H19" s="180"/>
      <c r="I19" s="180"/>
      <c r="J19" s="181"/>
      <c r="K19" s="182">
        <f t="shared" si="30"/>
        <v>0</v>
      </c>
      <c r="L19" s="179"/>
      <c r="M19" s="180"/>
      <c r="N19" s="180"/>
      <c r="O19" s="181"/>
      <c r="P19" s="182">
        <f t="shared" si="1"/>
        <v>0</v>
      </c>
      <c r="Q19" s="179"/>
      <c r="R19" s="180"/>
      <c r="S19" s="180"/>
      <c r="T19" s="181"/>
      <c r="U19" s="182">
        <f t="shared" si="2"/>
        <v>0</v>
      </c>
      <c r="V19" s="179"/>
      <c r="W19" s="180"/>
      <c r="X19" s="180"/>
      <c r="Y19" s="181"/>
      <c r="Z19" s="182">
        <f t="shared" si="3"/>
        <v>0</v>
      </c>
      <c r="AA19" s="179"/>
      <c r="AB19" s="180"/>
      <c r="AC19" s="180"/>
      <c r="AD19" s="181"/>
      <c r="AE19" s="182">
        <f t="shared" si="4"/>
        <v>0</v>
      </c>
      <c r="AF19" s="179"/>
      <c r="AG19" s="180"/>
      <c r="AH19" s="180"/>
      <c r="AI19" s="181"/>
      <c r="AJ19" s="182">
        <f t="shared" si="5"/>
        <v>0</v>
      </c>
      <c r="AK19" s="179">
        <v>84</v>
      </c>
      <c r="AL19" s="180"/>
      <c r="AM19" s="180"/>
      <c r="AN19" s="181"/>
      <c r="AO19" s="182">
        <f t="shared" si="6"/>
        <v>84</v>
      </c>
      <c r="AP19" s="179">
        <v>247</v>
      </c>
      <c r="AQ19" s="180"/>
      <c r="AR19" s="180"/>
      <c r="AS19" s="181"/>
      <c r="AT19" s="182">
        <f t="shared" si="7"/>
        <v>247</v>
      </c>
      <c r="AU19" s="179"/>
      <c r="AV19" s="180"/>
      <c r="AW19" s="180"/>
      <c r="AX19" s="181"/>
      <c r="AY19" s="182">
        <f t="shared" si="8"/>
        <v>0</v>
      </c>
      <c r="AZ19" s="179"/>
      <c r="BA19" s="180"/>
      <c r="BB19" s="180"/>
      <c r="BC19" s="181"/>
      <c r="BD19" s="182">
        <f t="shared" si="9"/>
        <v>0</v>
      </c>
      <c r="BE19" s="179"/>
      <c r="BF19" s="180"/>
      <c r="BG19" s="180"/>
      <c r="BH19" s="181"/>
      <c r="BI19" s="182">
        <f t="shared" si="10"/>
        <v>0</v>
      </c>
      <c r="BJ19" s="179">
        <v>59</v>
      </c>
      <c r="BK19" s="180"/>
      <c r="BL19" s="180"/>
      <c r="BM19" s="181"/>
      <c r="BN19" s="182">
        <f t="shared" si="11"/>
        <v>59</v>
      </c>
      <c r="BO19" s="184">
        <f t="shared" si="14"/>
        <v>390</v>
      </c>
      <c r="BP19" s="180">
        <f t="shared" si="15"/>
        <v>0</v>
      </c>
      <c r="BQ19" s="180">
        <f t="shared" si="16"/>
        <v>0</v>
      </c>
      <c r="BR19" s="181">
        <f t="shared" si="17"/>
        <v>0</v>
      </c>
      <c r="BS19" s="183">
        <f t="shared" si="31"/>
        <v>390</v>
      </c>
    </row>
    <row r="20" spans="2:71" x14ac:dyDescent="0.3">
      <c r="B20" s="269"/>
      <c r="C20" s="230"/>
      <c r="D20" s="233"/>
      <c r="E20" s="239"/>
      <c r="F20" s="178" t="s">
        <v>364</v>
      </c>
      <c r="G20" s="179"/>
      <c r="H20" s="180"/>
      <c r="I20" s="180"/>
      <c r="J20" s="181"/>
      <c r="K20" s="182">
        <f t="shared" ref="K20:K21" si="32">SUM(G20:J20)</f>
        <v>0</v>
      </c>
      <c r="L20" s="179"/>
      <c r="M20" s="180"/>
      <c r="N20" s="180"/>
      <c r="O20" s="181"/>
      <c r="P20" s="182">
        <f t="shared" ref="P20:P21" si="33">SUM(L20:O20)</f>
        <v>0</v>
      </c>
      <c r="Q20" s="179"/>
      <c r="R20" s="180"/>
      <c r="S20" s="180"/>
      <c r="T20" s="181"/>
      <c r="U20" s="182">
        <f t="shared" ref="U20:U21" si="34">SUM(Q20:T20)</f>
        <v>0</v>
      </c>
      <c r="V20" s="179"/>
      <c r="W20" s="180"/>
      <c r="X20" s="180"/>
      <c r="Y20" s="181"/>
      <c r="Z20" s="182">
        <f t="shared" ref="Z20:Z21" si="35">SUM(V20:Y20)</f>
        <v>0</v>
      </c>
      <c r="AA20" s="179"/>
      <c r="AB20" s="180"/>
      <c r="AC20" s="180"/>
      <c r="AD20" s="181"/>
      <c r="AE20" s="182">
        <f t="shared" ref="AE20:AE21" si="36">SUM(AA20:AD20)</f>
        <v>0</v>
      </c>
      <c r="AF20" s="179"/>
      <c r="AG20" s="180"/>
      <c r="AH20" s="180"/>
      <c r="AI20" s="181"/>
      <c r="AJ20" s="182">
        <f t="shared" ref="AJ20:AJ21" si="37">SUM(AF20:AI20)</f>
        <v>0</v>
      </c>
      <c r="AK20" s="179">
        <v>306</v>
      </c>
      <c r="AL20" s="180"/>
      <c r="AM20" s="180"/>
      <c r="AN20" s="181"/>
      <c r="AO20" s="182">
        <f t="shared" ref="AO20:AO21" si="38">SUM(AK20:AN20)</f>
        <v>306</v>
      </c>
      <c r="AP20" s="179">
        <v>607</v>
      </c>
      <c r="AQ20" s="180"/>
      <c r="AR20" s="180"/>
      <c r="AS20" s="181"/>
      <c r="AT20" s="182">
        <f t="shared" ref="AT20:AT21" si="39">SUM(AP20:AS20)</f>
        <v>607</v>
      </c>
      <c r="AU20" s="179"/>
      <c r="AV20" s="180"/>
      <c r="AW20" s="180"/>
      <c r="AX20" s="181"/>
      <c r="AY20" s="182">
        <f t="shared" ref="AY20:AY21" si="40">SUM(AU20:AX20)</f>
        <v>0</v>
      </c>
      <c r="AZ20" s="179"/>
      <c r="BA20" s="180"/>
      <c r="BB20" s="180"/>
      <c r="BC20" s="181"/>
      <c r="BD20" s="182">
        <f t="shared" ref="BD20:BD21" si="41">SUM(AZ20:BC20)</f>
        <v>0</v>
      </c>
      <c r="BE20" s="179"/>
      <c r="BF20" s="180"/>
      <c r="BG20" s="180"/>
      <c r="BH20" s="181"/>
      <c r="BI20" s="182">
        <f t="shared" ref="BI20:BI21" si="42">SUM(BE20:BH20)</f>
        <v>0</v>
      </c>
      <c r="BJ20" s="179">
        <v>470</v>
      </c>
      <c r="BK20" s="180"/>
      <c r="BL20" s="180"/>
      <c r="BM20" s="181"/>
      <c r="BN20" s="182">
        <f t="shared" ref="BN20:BN21" si="43">SUM(BJ20:BM20)</f>
        <v>470</v>
      </c>
      <c r="BO20" s="184">
        <f t="shared" si="14"/>
        <v>1383</v>
      </c>
      <c r="BP20" s="180">
        <f t="shared" si="15"/>
        <v>0</v>
      </c>
      <c r="BQ20" s="180">
        <f t="shared" si="16"/>
        <v>0</v>
      </c>
      <c r="BR20" s="181">
        <f t="shared" si="17"/>
        <v>0</v>
      </c>
      <c r="BS20" s="183">
        <f t="shared" ref="BS20:BS21" si="44">SUM(BO20:BR20)</f>
        <v>1383</v>
      </c>
    </row>
    <row r="21" spans="2:71" x14ac:dyDescent="0.3">
      <c r="B21" s="269"/>
      <c r="C21" s="230"/>
      <c r="D21" s="233"/>
      <c r="E21" s="239"/>
      <c r="F21" s="185" t="s">
        <v>314</v>
      </c>
      <c r="G21" s="186"/>
      <c r="H21" s="187"/>
      <c r="I21" s="187"/>
      <c r="J21" s="188"/>
      <c r="K21" s="189">
        <f t="shared" si="32"/>
        <v>0</v>
      </c>
      <c r="L21" s="186"/>
      <c r="M21" s="187"/>
      <c r="N21" s="187"/>
      <c r="O21" s="188"/>
      <c r="P21" s="189">
        <f t="shared" si="33"/>
        <v>0</v>
      </c>
      <c r="Q21" s="186"/>
      <c r="R21" s="187"/>
      <c r="S21" s="187"/>
      <c r="T21" s="188"/>
      <c r="U21" s="189">
        <f t="shared" si="34"/>
        <v>0</v>
      </c>
      <c r="V21" s="186"/>
      <c r="W21" s="187"/>
      <c r="X21" s="187"/>
      <c r="Y21" s="188"/>
      <c r="Z21" s="189">
        <f t="shared" si="35"/>
        <v>0</v>
      </c>
      <c r="AA21" s="186"/>
      <c r="AB21" s="187"/>
      <c r="AC21" s="187"/>
      <c r="AD21" s="188"/>
      <c r="AE21" s="189">
        <f t="shared" si="36"/>
        <v>0</v>
      </c>
      <c r="AF21" s="186"/>
      <c r="AG21" s="187"/>
      <c r="AH21" s="187"/>
      <c r="AI21" s="188"/>
      <c r="AJ21" s="189">
        <f t="shared" si="37"/>
        <v>0</v>
      </c>
      <c r="AK21" s="186">
        <v>71</v>
      </c>
      <c r="AL21" s="187"/>
      <c r="AM21" s="187"/>
      <c r="AN21" s="188"/>
      <c r="AO21" s="189">
        <f t="shared" si="38"/>
        <v>71</v>
      </c>
      <c r="AP21" s="186">
        <v>201</v>
      </c>
      <c r="AQ21" s="187"/>
      <c r="AR21" s="187"/>
      <c r="AS21" s="188"/>
      <c r="AT21" s="189">
        <f t="shared" si="39"/>
        <v>201</v>
      </c>
      <c r="AU21" s="186"/>
      <c r="AV21" s="187"/>
      <c r="AW21" s="187"/>
      <c r="AX21" s="188"/>
      <c r="AY21" s="189">
        <f t="shared" si="40"/>
        <v>0</v>
      </c>
      <c r="AZ21" s="186"/>
      <c r="BA21" s="187"/>
      <c r="BB21" s="187"/>
      <c r="BC21" s="188"/>
      <c r="BD21" s="189">
        <f t="shared" si="41"/>
        <v>0</v>
      </c>
      <c r="BE21" s="186"/>
      <c r="BF21" s="187"/>
      <c r="BG21" s="187"/>
      <c r="BH21" s="188"/>
      <c r="BI21" s="189">
        <f t="shared" si="42"/>
        <v>0</v>
      </c>
      <c r="BJ21" s="186">
        <v>54</v>
      </c>
      <c r="BK21" s="187"/>
      <c r="BL21" s="187"/>
      <c r="BM21" s="188"/>
      <c r="BN21" s="189">
        <f t="shared" si="43"/>
        <v>54</v>
      </c>
      <c r="BO21" s="191">
        <f t="shared" si="14"/>
        <v>326</v>
      </c>
      <c r="BP21" s="187">
        <f t="shared" si="15"/>
        <v>0</v>
      </c>
      <c r="BQ21" s="187">
        <f t="shared" si="16"/>
        <v>0</v>
      </c>
      <c r="BR21" s="188">
        <f t="shared" si="17"/>
        <v>0</v>
      </c>
      <c r="BS21" s="190">
        <f t="shared" si="44"/>
        <v>326</v>
      </c>
    </row>
    <row r="22" spans="2:71" x14ac:dyDescent="0.3">
      <c r="B22" s="269"/>
      <c r="C22" s="230"/>
      <c r="D22" s="233"/>
      <c r="E22" s="240"/>
      <c r="F22" s="125" t="s">
        <v>55</v>
      </c>
      <c r="G22" s="126">
        <f>SUM(G9:G21)</f>
        <v>5656</v>
      </c>
      <c r="H22" s="127">
        <f>SUM(H9:H21)</f>
        <v>0</v>
      </c>
      <c r="I22" s="127">
        <f>SUM(I9:I21)</f>
        <v>0</v>
      </c>
      <c r="J22" s="128">
        <f>SUM(J9:J21)</f>
        <v>0</v>
      </c>
      <c r="K22" s="129">
        <f t="shared" si="0"/>
        <v>5656</v>
      </c>
      <c r="L22" s="126">
        <f>SUM(L9:L21)</f>
        <v>9665</v>
      </c>
      <c r="M22" s="127">
        <f>SUM(M9:M21)</f>
        <v>0</v>
      </c>
      <c r="N22" s="127">
        <f>SUM(N9:N21)</f>
        <v>0</v>
      </c>
      <c r="O22" s="128">
        <f>SUM(O9:O21)</f>
        <v>0</v>
      </c>
      <c r="P22" s="129">
        <f t="shared" ref="P22:P26" si="45">SUM(L22:O22)</f>
        <v>9665</v>
      </c>
      <c r="Q22" s="126">
        <f>SUM(Q9:Q21)</f>
        <v>1019</v>
      </c>
      <c r="R22" s="127">
        <f>SUM(R9:R21)</f>
        <v>0</v>
      </c>
      <c r="S22" s="127">
        <f>SUM(S9:S21)</f>
        <v>0</v>
      </c>
      <c r="T22" s="128">
        <f>SUM(T9:T21)</f>
        <v>0</v>
      </c>
      <c r="U22" s="129">
        <f t="shared" ref="U22:U26" si="46">SUM(Q22:T22)</f>
        <v>1019</v>
      </c>
      <c r="V22" s="126">
        <f>SUM(V9:V21)</f>
        <v>481</v>
      </c>
      <c r="W22" s="127">
        <f>SUM(W9:W21)</f>
        <v>0</v>
      </c>
      <c r="X22" s="127">
        <f>SUM(X9:X21)</f>
        <v>0</v>
      </c>
      <c r="Y22" s="128">
        <f>SUM(Y9:Y21)</f>
        <v>0</v>
      </c>
      <c r="Z22" s="129">
        <f t="shared" ref="Z22:Z26" si="47">SUM(V22:Y22)</f>
        <v>481</v>
      </c>
      <c r="AA22" s="126">
        <f>SUM(AA9:AA21)</f>
        <v>383</v>
      </c>
      <c r="AB22" s="127">
        <f>SUM(AB9:AB21)</f>
        <v>0</v>
      </c>
      <c r="AC22" s="127">
        <f>SUM(AC9:AC21)</f>
        <v>0</v>
      </c>
      <c r="AD22" s="128">
        <f>SUM(AD9:AD21)</f>
        <v>0</v>
      </c>
      <c r="AE22" s="129">
        <f t="shared" ref="AE22:AE26" si="48">SUM(AA22:AD22)</f>
        <v>383</v>
      </c>
      <c r="AF22" s="126">
        <f>SUM(AF9:AF21)</f>
        <v>1134</v>
      </c>
      <c r="AG22" s="127">
        <f>SUM(AG9:AG21)</f>
        <v>0</v>
      </c>
      <c r="AH22" s="127">
        <f>SUM(AH9:AH21)</f>
        <v>0</v>
      </c>
      <c r="AI22" s="128">
        <f>SUM(AI9:AI21)</f>
        <v>0</v>
      </c>
      <c r="AJ22" s="129">
        <f t="shared" ref="AJ22:AJ26" si="49">SUM(AF22:AI22)</f>
        <v>1134</v>
      </c>
      <c r="AK22" s="126">
        <f>SUM(AK9:AK21)</f>
        <v>3816</v>
      </c>
      <c r="AL22" s="127">
        <f>SUM(AL9:AL21)</f>
        <v>0</v>
      </c>
      <c r="AM22" s="127">
        <f>SUM(AM9:AM21)</f>
        <v>0</v>
      </c>
      <c r="AN22" s="128">
        <f>SUM(AN9:AN21)</f>
        <v>0</v>
      </c>
      <c r="AO22" s="129">
        <f t="shared" ref="AO22:AO26" si="50">SUM(AK22:AN22)</f>
        <v>3816</v>
      </c>
      <c r="AP22" s="126">
        <f>SUM(AP9:AP21)</f>
        <v>7143</v>
      </c>
      <c r="AQ22" s="127">
        <f>SUM(AQ9:AQ21)</f>
        <v>0</v>
      </c>
      <c r="AR22" s="127">
        <f>SUM(AR9:AR21)</f>
        <v>0</v>
      </c>
      <c r="AS22" s="128">
        <f>SUM(AS9:AS21)</f>
        <v>0</v>
      </c>
      <c r="AT22" s="129">
        <f t="shared" ref="AT22:AT26" si="51">SUM(AP22:AS22)</f>
        <v>7143</v>
      </c>
      <c r="AU22" s="126">
        <f>SUM(AU9:AU21)</f>
        <v>432</v>
      </c>
      <c r="AV22" s="127">
        <f>SUM(AV9:AV21)</f>
        <v>0</v>
      </c>
      <c r="AW22" s="127">
        <f>SUM(AW9:AW21)</f>
        <v>0</v>
      </c>
      <c r="AX22" s="128">
        <f>SUM(AX9:AX21)</f>
        <v>0</v>
      </c>
      <c r="AY22" s="129">
        <f t="shared" ref="AY22:AY26" si="52">SUM(AU22:AX22)</f>
        <v>432</v>
      </c>
      <c r="AZ22" s="126">
        <f>SUM(AZ9:AZ21)</f>
        <v>524</v>
      </c>
      <c r="BA22" s="127">
        <f>SUM(BA9:BA21)</f>
        <v>0</v>
      </c>
      <c r="BB22" s="127">
        <f>SUM(BB9:BB21)</f>
        <v>0</v>
      </c>
      <c r="BC22" s="128">
        <f>SUM(BC9:BC21)</f>
        <v>0</v>
      </c>
      <c r="BD22" s="129">
        <f t="shared" ref="BD22:BD26" si="53">SUM(AZ22:BC22)</f>
        <v>524</v>
      </c>
      <c r="BE22" s="126">
        <f>SUM(BE9:BE21)</f>
        <v>150</v>
      </c>
      <c r="BF22" s="127">
        <f>SUM(BF9:BF21)</f>
        <v>0</v>
      </c>
      <c r="BG22" s="127">
        <f>SUM(BG9:BG21)</f>
        <v>0</v>
      </c>
      <c r="BH22" s="128">
        <f>SUM(BH9:BH21)</f>
        <v>0</v>
      </c>
      <c r="BI22" s="129">
        <f t="shared" ref="BI22:BI26" si="54">SUM(BE22:BH22)</f>
        <v>150</v>
      </c>
      <c r="BJ22" s="126">
        <f>SUM(BJ9:BJ21)</f>
        <v>4672</v>
      </c>
      <c r="BK22" s="127">
        <f>SUM(BK9:BK21)</f>
        <v>0</v>
      </c>
      <c r="BL22" s="127">
        <f>SUM(BL9:BL21)</f>
        <v>0</v>
      </c>
      <c r="BM22" s="128">
        <f>SUM(BM9:BM21)</f>
        <v>0</v>
      </c>
      <c r="BN22" s="129">
        <f t="shared" ref="BN22:BN26" si="55">SUM(BJ22:BM22)</f>
        <v>4672</v>
      </c>
      <c r="BO22" s="131">
        <f>SUM(BO9:BO21)</f>
        <v>35075</v>
      </c>
      <c r="BP22" s="127">
        <f>SUM(BP9:BP21)</f>
        <v>0</v>
      </c>
      <c r="BQ22" s="127">
        <f>SUM(BQ9:BQ21)</f>
        <v>0</v>
      </c>
      <c r="BR22" s="128">
        <f>SUM(BR9:BR21)</f>
        <v>0</v>
      </c>
      <c r="BS22" s="130">
        <f t="shared" si="13"/>
        <v>35075</v>
      </c>
    </row>
    <row r="23" spans="2:71" x14ac:dyDescent="0.3">
      <c r="B23" s="269"/>
      <c r="C23" s="230"/>
      <c r="D23" s="233"/>
      <c r="E23" s="241" t="s">
        <v>42</v>
      </c>
      <c r="F23" s="120" t="s">
        <v>49</v>
      </c>
      <c r="G23" s="30">
        <v>747</v>
      </c>
      <c r="H23" s="7"/>
      <c r="I23" s="7"/>
      <c r="J23" s="8"/>
      <c r="K23" s="9">
        <f t="shared" si="0"/>
        <v>747</v>
      </c>
      <c r="L23" s="30">
        <v>1151</v>
      </c>
      <c r="M23" s="7"/>
      <c r="N23" s="7"/>
      <c r="O23" s="8"/>
      <c r="P23" s="9">
        <f t="shared" si="45"/>
        <v>1151</v>
      </c>
      <c r="Q23" s="30">
        <v>639</v>
      </c>
      <c r="R23" s="7"/>
      <c r="S23" s="7"/>
      <c r="T23" s="8"/>
      <c r="U23" s="9">
        <f t="shared" si="46"/>
        <v>639</v>
      </c>
      <c r="V23" s="30">
        <v>727</v>
      </c>
      <c r="W23" s="7"/>
      <c r="X23" s="7"/>
      <c r="Y23" s="8"/>
      <c r="Z23" s="9">
        <f t="shared" si="47"/>
        <v>727</v>
      </c>
      <c r="AA23" s="30"/>
      <c r="AB23" s="7"/>
      <c r="AC23" s="7"/>
      <c r="AD23" s="8"/>
      <c r="AE23" s="9">
        <f t="shared" si="48"/>
        <v>0</v>
      </c>
      <c r="AF23" s="30"/>
      <c r="AG23" s="7"/>
      <c r="AH23" s="7"/>
      <c r="AI23" s="8"/>
      <c r="AJ23" s="9">
        <f t="shared" si="49"/>
        <v>0</v>
      </c>
      <c r="AK23" s="30">
        <v>447</v>
      </c>
      <c r="AL23" s="7"/>
      <c r="AM23" s="7"/>
      <c r="AN23" s="8"/>
      <c r="AO23" s="9">
        <f t="shared" si="50"/>
        <v>447</v>
      </c>
      <c r="AP23" s="30">
        <v>817</v>
      </c>
      <c r="AQ23" s="7"/>
      <c r="AR23" s="7"/>
      <c r="AS23" s="8"/>
      <c r="AT23" s="9">
        <f t="shared" si="51"/>
        <v>817</v>
      </c>
      <c r="AU23" s="30"/>
      <c r="AV23" s="7"/>
      <c r="AW23" s="7"/>
      <c r="AX23" s="8"/>
      <c r="AY23" s="9">
        <f t="shared" si="52"/>
        <v>0</v>
      </c>
      <c r="AZ23" s="30">
        <v>450</v>
      </c>
      <c r="BA23" s="7"/>
      <c r="BB23" s="7"/>
      <c r="BC23" s="8"/>
      <c r="BD23" s="9">
        <f t="shared" si="53"/>
        <v>450</v>
      </c>
      <c r="BE23" s="30">
        <v>337</v>
      </c>
      <c r="BF23" s="7"/>
      <c r="BG23" s="7"/>
      <c r="BH23" s="8"/>
      <c r="BI23" s="9">
        <f t="shared" si="54"/>
        <v>337</v>
      </c>
      <c r="BJ23" s="30">
        <v>777</v>
      </c>
      <c r="BK23" s="7"/>
      <c r="BL23" s="7"/>
      <c r="BM23" s="8"/>
      <c r="BN23" s="9">
        <f t="shared" si="55"/>
        <v>777</v>
      </c>
      <c r="BO23" s="65">
        <f t="shared" ref="BO23:BO42" si="56">SUM(G23,L23,Q23,V23,AA23,AF23,AK23,AP23,AU23,AZ23,BE23,BJ23)</f>
        <v>6092</v>
      </c>
      <c r="BP23" s="7">
        <f t="shared" ref="BP23:BP42" si="57">SUM(H23,M23,R23,W23,AB23,AG23,AL23,AQ23,AV23,BA23,BF23,BK23)</f>
        <v>0</v>
      </c>
      <c r="BQ23" s="7">
        <f t="shared" ref="BQ23:BQ42" si="58">SUM(I23,N23,S23,X23,AC23,AH23,AM23,AR23,AW23,BB23,BG23,BL23)</f>
        <v>0</v>
      </c>
      <c r="BR23" s="8">
        <f t="shared" ref="BR23:BR42" si="59">SUM(J23,O23,T23,Y23,AD23,AI23,AN23,AS23,AX23,BC23,BH23,BM23)</f>
        <v>0</v>
      </c>
      <c r="BS23" s="31">
        <f t="shared" si="13"/>
        <v>6092</v>
      </c>
    </row>
    <row r="24" spans="2:71" x14ac:dyDescent="0.3">
      <c r="B24" s="269"/>
      <c r="C24" s="230"/>
      <c r="D24" s="233"/>
      <c r="E24" s="239"/>
      <c r="F24" s="121" t="s">
        <v>50</v>
      </c>
      <c r="G24" s="32">
        <v>55</v>
      </c>
      <c r="H24" s="13"/>
      <c r="I24" s="13"/>
      <c r="J24" s="14"/>
      <c r="K24" s="15">
        <f t="shared" si="0"/>
        <v>55</v>
      </c>
      <c r="L24" s="32">
        <v>119</v>
      </c>
      <c r="M24" s="13"/>
      <c r="N24" s="13"/>
      <c r="O24" s="14"/>
      <c r="P24" s="15">
        <f t="shared" si="45"/>
        <v>119</v>
      </c>
      <c r="Q24" s="32">
        <v>123</v>
      </c>
      <c r="R24" s="13"/>
      <c r="S24" s="13"/>
      <c r="T24" s="14"/>
      <c r="U24" s="15">
        <f t="shared" si="46"/>
        <v>123</v>
      </c>
      <c r="V24" s="32">
        <v>205</v>
      </c>
      <c r="W24" s="13"/>
      <c r="X24" s="13"/>
      <c r="Y24" s="14"/>
      <c r="Z24" s="15">
        <f t="shared" si="47"/>
        <v>205</v>
      </c>
      <c r="AA24" s="32"/>
      <c r="AB24" s="13"/>
      <c r="AC24" s="13"/>
      <c r="AD24" s="14"/>
      <c r="AE24" s="15">
        <f t="shared" si="48"/>
        <v>0</v>
      </c>
      <c r="AF24" s="32"/>
      <c r="AG24" s="13"/>
      <c r="AH24" s="13"/>
      <c r="AI24" s="14"/>
      <c r="AJ24" s="15">
        <f t="shared" si="49"/>
        <v>0</v>
      </c>
      <c r="AK24" s="32">
        <v>167</v>
      </c>
      <c r="AL24" s="13"/>
      <c r="AM24" s="13"/>
      <c r="AN24" s="14"/>
      <c r="AO24" s="15">
        <f t="shared" si="50"/>
        <v>167</v>
      </c>
      <c r="AP24" s="32">
        <v>338</v>
      </c>
      <c r="AQ24" s="13"/>
      <c r="AR24" s="13"/>
      <c r="AS24" s="14"/>
      <c r="AT24" s="15">
        <f t="shared" si="51"/>
        <v>338</v>
      </c>
      <c r="AU24" s="32"/>
      <c r="AV24" s="13"/>
      <c r="AW24" s="13"/>
      <c r="AX24" s="14"/>
      <c r="AY24" s="15">
        <f t="shared" si="52"/>
        <v>0</v>
      </c>
      <c r="AZ24" s="32">
        <v>118</v>
      </c>
      <c r="BA24" s="13"/>
      <c r="BB24" s="13"/>
      <c r="BC24" s="14"/>
      <c r="BD24" s="15">
        <f t="shared" si="53"/>
        <v>118</v>
      </c>
      <c r="BE24" s="32">
        <v>71</v>
      </c>
      <c r="BF24" s="13"/>
      <c r="BG24" s="13"/>
      <c r="BH24" s="14"/>
      <c r="BI24" s="15">
        <f t="shared" si="54"/>
        <v>71</v>
      </c>
      <c r="BJ24" s="32">
        <v>148</v>
      </c>
      <c r="BK24" s="13"/>
      <c r="BL24" s="13"/>
      <c r="BM24" s="14"/>
      <c r="BN24" s="15">
        <f t="shared" si="55"/>
        <v>148</v>
      </c>
      <c r="BO24" s="66">
        <f t="shared" si="56"/>
        <v>1344</v>
      </c>
      <c r="BP24" s="13">
        <f t="shared" si="57"/>
        <v>0</v>
      </c>
      <c r="BQ24" s="13">
        <f t="shared" si="58"/>
        <v>0</v>
      </c>
      <c r="BR24" s="14">
        <f t="shared" si="59"/>
        <v>0</v>
      </c>
      <c r="BS24" s="33">
        <f t="shared" si="13"/>
        <v>1344</v>
      </c>
    </row>
    <row r="25" spans="2:71" x14ac:dyDescent="0.3">
      <c r="B25" s="269"/>
      <c r="C25" s="230"/>
      <c r="D25" s="233"/>
      <c r="E25" s="239"/>
      <c r="F25" s="121" t="s">
        <v>51</v>
      </c>
      <c r="G25" s="32">
        <v>480</v>
      </c>
      <c r="H25" s="13"/>
      <c r="I25" s="13"/>
      <c r="J25" s="14"/>
      <c r="K25" s="15">
        <f t="shared" si="0"/>
        <v>480</v>
      </c>
      <c r="L25" s="32">
        <v>733</v>
      </c>
      <c r="M25" s="13"/>
      <c r="N25" s="13"/>
      <c r="O25" s="14"/>
      <c r="P25" s="15">
        <f t="shared" si="45"/>
        <v>733</v>
      </c>
      <c r="Q25" s="32"/>
      <c r="R25" s="13"/>
      <c r="S25" s="13"/>
      <c r="T25" s="14"/>
      <c r="U25" s="15">
        <f t="shared" si="46"/>
        <v>0</v>
      </c>
      <c r="V25" s="32"/>
      <c r="W25" s="13"/>
      <c r="X25" s="13"/>
      <c r="Y25" s="14"/>
      <c r="Z25" s="15">
        <f t="shared" si="47"/>
        <v>0</v>
      </c>
      <c r="AA25" s="32"/>
      <c r="AB25" s="13"/>
      <c r="AC25" s="13"/>
      <c r="AD25" s="14"/>
      <c r="AE25" s="15">
        <f t="shared" si="48"/>
        <v>0</v>
      </c>
      <c r="AF25" s="32"/>
      <c r="AG25" s="13"/>
      <c r="AH25" s="13"/>
      <c r="AI25" s="14"/>
      <c r="AJ25" s="15">
        <f t="shared" si="49"/>
        <v>0</v>
      </c>
      <c r="AK25" s="32">
        <v>309</v>
      </c>
      <c r="AL25" s="13"/>
      <c r="AM25" s="13"/>
      <c r="AN25" s="14"/>
      <c r="AO25" s="15">
        <f t="shared" si="50"/>
        <v>309</v>
      </c>
      <c r="AP25" s="32">
        <v>557</v>
      </c>
      <c r="AQ25" s="13"/>
      <c r="AR25" s="13"/>
      <c r="AS25" s="14"/>
      <c r="AT25" s="15">
        <f t="shared" si="51"/>
        <v>557</v>
      </c>
      <c r="AU25" s="32"/>
      <c r="AV25" s="13"/>
      <c r="AW25" s="13"/>
      <c r="AX25" s="14"/>
      <c r="AY25" s="15">
        <f t="shared" si="52"/>
        <v>0</v>
      </c>
      <c r="AZ25" s="32"/>
      <c r="BA25" s="13"/>
      <c r="BB25" s="13"/>
      <c r="BC25" s="14"/>
      <c r="BD25" s="15">
        <f t="shared" si="53"/>
        <v>0</v>
      </c>
      <c r="BE25" s="32"/>
      <c r="BF25" s="13"/>
      <c r="BG25" s="13"/>
      <c r="BH25" s="14"/>
      <c r="BI25" s="15">
        <f t="shared" si="54"/>
        <v>0</v>
      </c>
      <c r="BJ25" s="32">
        <v>568</v>
      </c>
      <c r="BK25" s="13"/>
      <c r="BL25" s="13"/>
      <c r="BM25" s="14"/>
      <c r="BN25" s="15">
        <f t="shared" si="55"/>
        <v>568</v>
      </c>
      <c r="BO25" s="66">
        <f t="shared" si="56"/>
        <v>2647</v>
      </c>
      <c r="BP25" s="13">
        <f t="shared" si="57"/>
        <v>0</v>
      </c>
      <c r="BQ25" s="13">
        <f t="shared" si="58"/>
        <v>0</v>
      </c>
      <c r="BR25" s="14">
        <f t="shared" si="59"/>
        <v>0</v>
      </c>
      <c r="BS25" s="33">
        <f t="shared" si="13"/>
        <v>2647</v>
      </c>
    </row>
    <row r="26" spans="2:71" x14ac:dyDescent="0.3">
      <c r="B26" s="269"/>
      <c r="C26" s="230"/>
      <c r="D26" s="233"/>
      <c r="E26" s="239"/>
      <c r="F26" s="121" t="s">
        <v>52</v>
      </c>
      <c r="G26" s="32">
        <v>40</v>
      </c>
      <c r="H26" s="13"/>
      <c r="I26" s="13"/>
      <c r="J26" s="14"/>
      <c r="K26" s="15">
        <f t="shared" si="0"/>
        <v>40</v>
      </c>
      <c r="L26" s="32">
        <v>85</v>
      </c>
      <c r="M26" s="13"/>
      <c r="N26" s="13"/>
      <c r="O26" s="14"/>
      <c r="P26" s="15">
        <f t="shared" si="45"/>
        <v>85</v>
      </c>
      <c r="Q26" s="32"/>
      <c r="R26" s="13"/>
      <c r="S26" s="13"/>
      <c r="T26" s="14"/>
      <c r="U26" s="15">
        <f t="shared" si="46"/>
        <v>0</v>
      </c>
      <c r="V26" s="32"/>
      <c r="W26" s="13"/>
      <c r="X26" s="13"/>
      <c r="Y26" s="14"/>
      <c r="Z26" s="15">
        <f t="shared" si="47"/>
        <v>0</v>
      </c>
      <c r="AA26" s="32"/>
      <c r="AB26" s="13"/>
      <c r="AC26" s="13"/>
      <c r="AD26" s="14"/>
      <c r="AE26" s="15">
        <f t="shared" si="48"/>
        <v>0</v>
      </c>
      <c r="AF26" s="32"/>
      <c r="AG26" s="13"/>
      <c r="AH26" s="13"/>
      <c r="AI26" s="14"/>
      <c r="AJ26" s="15">
        <f t="shared" si="49"/>
        <v>0</v>
      </c>
      <c r="AK26" s="32">
        <v>135</v>
      </c>
      <c r="AL26" s="13"/>
      <c r="AM26" s="13"/>
      <c r="AN26" s="14"/>
      <c r="AO26" s="15">
        <f t="shared" si="50"/>
        <v>135</v>
      </c>
      <c r="AP26" s="32">
        <v>253</v>
      </c>
      <c r="AQ26" s="13"/>
      <c r="AR26" s="13"/>
      <c r="AS26" s="14"/>
      <c r="AT26" s="15">
        <f t="shared" si="51"/>
        <v>253</v>
      </c>
      <c r="AU26" s="32"/>
      <c r="AV26" s="13"/>
      <c r="AW26" s="13"/>
      <c r="AX26" s="14"/>
      <c r="AY26" s="15">
        <f t="shared" si="52"/>
        <v>0</v>
      </c>
      <c r="AZ26" s="32"/>
      <c r="BA26" s="13"/>
      <c r="BB26" s="13"/>
      <c r="BC26" s="14"/>
      <c r="BD26" s="15">
        <f t="shared" si="53"/>
        <v>0</v>
      </c>
      <c r="BE26" s="32"/>
      <c r="BF26" s="13"/>
      <c r="BG26" s="13"/>
      <c r="BH26" s="14"/>
      <c r="BI26" s="15">
        <f t="shared" si="54"/>
        <v>0</v>
      </c>
      <c r="BJ26" s="32">
        <v>117</v>
      </c>
      <c r="BK26" s="13"/>
      <c r="BL26" s="13"/>
      <c r="BM26" s="14"/>
      <c r="BN26" s="15">
        <f t="shared" si="55"/>
        <v>117</v>
      </c>
      <c r="BO26" s="66">
        <f t="shared" si="56"/>
        <v>630</v>
      </c>
      <c r="BP26" s="13">
        <f t="shared" si="57"/>
        <v>0</v>
      </c>
      <c r="BQ26" s="13">
        <f t="shared" si="58"/>
        <v>0</v>
      </c>
      <c r="BR26" s="14">
        <f t="shared" si="59"/>
        <v>0</v>
      </c>
      <c r="BS26" s="33">
        <f t="shared" si="13"/>
        <v>630</v>
      </c>
    </row>
    <row r="27" spans="2:71" x14ac:dyDescent="0.3">
      <c r="B27" s="269"/>
      <c r="C27" s="230"/>
      <c r="D27" s="233"/>
      <c r="E27" s="239"/>
      <c r="F27" s="121" t="s">
        <v>129</v>
      </c>
      <c r="G27" s="32"/>
      <c r="H27" s="13"/>
      <c r="I27" s="13"/>
      <c r="J27" s="14"/>
      <c r="K27" s="15">
        <f t="shared" ref="K27" si="60">SUM(G27:J27)</f>
        <v>0</v>
      </c>
      <c r="L27" s="32"/>
      <c r="M27" s="13"/>
      <c r="N27" s="13"/>
      <c r="O27" s="14"/>
      <c r="P27" s="15">
        <f t="shared" ref="P27" si="61">SUM(L27:O27)</f>
        <v>0</v>
      </c>
      <c r="Q27" s="32"/>
      <c r="R27" s="13"/>
      <c r="S27" s="13"/>
      <c r="T27" s="14"/>
      <c r="U27" s="15">
        <f t="shared" ref="U27" si="62">SUM(Q27:T27)</f>
        <v>0</v>
      </c>
      <c r="V27" s="32"/>
      <c r="W27" s="13"/>
      <c r="X27" s="13"/>
      <c r="Y27" s="14"/>
      <c r="Z27" s="15">
        <f t="shared" ref="Z27" si="63">SUM(V27:Y27)</f>
        <v>0</v>
      </c>
      <c r="AA27" s="32">
        <v>2913</v>
      </c>
      <c r="AB27" s="13"/>
      <c r="AC27" s="13"/>
      <c r="AD27" s="14"/>
      <c r="AE27" s="15">
        <f t="shared" ref="AE27" si="64">SUM(AA27:AD27)</f>
        <v>2913</v>
      </c>
      <c r="AF27" s="32">
        <v>3195</v>
      </c>
      <c r="AG27" s="13"/>
      <c r="AH27" s="13"/>
      <c r="AI27" s="14"/>
      <c r="AJ27" s="15">
        <f t="shared" ref="AJ27" si="65">SUM(AF27:AI27)</f>
        <v>3195</v>
      </c>
      <c r="AK27" s="32">
        <v>219</v>
      </c>
      <c r="AL27" s="13"/>
      <c r="AM27" s="13"/>
      <c r="AN27" s="14"/>
      <c r="AO27" s="15">
        <f t="shared" ref="AO27" si="66">SUM(AK27:AN27)</f>
        <v>219</v>
      </c>
      <c r="AP27" s="32"/>
      <c r="AQ27" s="13"/>
      <c r="AR27" s="13"/>
      <c r="AS27" s="14"/>
      <c r="AT27" s="15">
        <f t="shared" ref="AT27" si="67">SUM(AP27:AS27)</f>
        <v>0</v>
      </c>
      <c r="AU27" s="32">
        <v>2953</v>
      </c>
      <c r="AV27" s="13"/>
      <c r="AW27" s="13"/>
      <c r="AX27" s="14"/>
      <c r="AY27" s="15">
        <f t="shared" ref="AY27" si="68">SUM(AU27:AX27)</f>
        <v>2953</v>
      </c>
      <c r="AZ27" s="32">
        <v>2824</v>
      </c>
      <c r="BA27" s="13"/>
      <c r="BB27" s="13"/>
      <c r="BC27" s="14"/>
      <c r="BD27" s="15">
        <f t="shared" ref="BD27" si="69">SUM(AZ27:BC27)</f>
        <v>2824</v>
      </c>
      <c r="BE27" s="32"/>
      <c r="BF27" s="13"/>
      <c r="BG27" s="13"/>
      <c r="BH27" s="14"/>
      <c r="BI27" s="15">
        <f t="shared" ref="BI27" si="70">SUM(BE27:BH27)</f>
        <v>0</v>
      </c>
      <c r="BJ27" s="32"/>
      <c r="BK27" s="13"/>
      <c r="BL27" s="13"/>
      <c r="BM27" s="14"/>
      <c r="BN27" s="15">
        <f t="shared" ref="BN27" si="71">SUM(BJ27:BM27)</f>
        <v>0</v>
      </c>
      <c r="BO27" s="66">
        <f t="shared" si="56"/>
        <v>12104</v>
      </c>
      <c r="BP27" s="13">
        <f t="shared" si="57"/>
        <v>0</v>
      </c>
      <c r="BQ27" s="13">
        <f t="shared" si="58"/>
        <v>0</v>
      </c>
      <c r="BR27" s="14">
        <f t="shared" si="59"/>
        <v>0</v>
      </c>
      <c r="BS27" s="33">
        <f t="shared" ref="BS27" si="72">SUM(BO27:BR27)</f>
        <v>12104</v>
      </c>
    </row>
    <row r="28" spans="2:71" x14ac:dyDescent="0.3">
      <c r="B28" s="269"/>
      <c r="C28" s="230"/>
      <c r="D28" s="233"/>
      <c r="E28" s="239"/>
      <c r="F28" s="121" t="s">
        <v>130</v>
      </c>
      <c r="G28" s="32"/>
      <c r="H28" s="13"/>
      <c r="I28" s="13"/>
      <c r="J28" s="14"/>
      <c r="K28" s="15">
        <f t="shared" ref="K28" si="73">SUM(G28:J28)</f>
        <v>0</v>
      </c>
      <c r="L28" s="32"/>
      <c r="M28" s="13"/>
      <c r="N28" s="13"/>
      <c r="O28" s="14"/>
      <c r="P28" s="15">
        <f t="shared" ref="P28" si="74">SUM(L28:O28)</f>
        <v>0</v>
      </c>
      <c r="Q28" s="32"/>
      <c r="R28" s="13"/>
      <c r="S28" s="13"/>
      <c r="T28" s="14"/>
      <c r="U28" s="15">
        <f t="shared" ref="U28" si="75">SUM(Q28:T28)</f>
        <v>0</v>
      </c>
      <c r="V28" s="32"/>
      <c r="W28" s="13"/>
      <c r="X28" s="13"/>
      <c r="Y28" s="14"/>
      <c r="Z28" s="15">
        <f t="shared" ref="Z28" si="76">SUM(V28:Y28)</f>
        <v>0</v>
      </c>
      <c r="AA28" s="32">
        <v>552</v>
      </c>
      <c r="AB28" s="13"/>
      <c r="AC28" s="13"/>
      <c r="AD28" s="14"/>
      <c r="AE28" s="15">
        <f t="shared" ref="AE28" si="77">SUM(AA28:AD28)</f>
        <v>552</v>
      </c>
      <c r="AF28" s="32">
        <v>863</v>
      </c>
      <c r="AG28" s="13"/>
      <c r="AH28" s="13"/>
      <c r="AI28" s="14"/>
      <c r="AJ28" s="15">
        <f t="shared" ref="AJ28" si="78">SUM(AF28:AI28)</f>
        <v>863</v>
      </c>
      <c r="AK28" s="32">
        <v>65</v>
      </c>
      <c r="AL28" s="13"/>
      <c r="AM28" s="13"/>
      <c r="AN28" s="14"/>
      <c r="AO28" s="15">
        <f t="shared" ref="AO28" si="79">SUM(AK28:AN28)</f>
        <v>65</v>
      </c>
      <c r="AP28" s="32"/>
      <c r="AQ28" s="13"/>
      <c r="AR28" s="13"/>
      <c r="AS28" s="14"/>
      <c r="AT28" s="15">
        <f t="shared" ref="AT28" si="80">SUM(AP28:AS28)</f>
        <v>0</v>
      </c>
      <c r="AU28" s="32">
        <v>962</v>
      </c>
      <c r="AV28" s="13"/>
      <c r="AW28" s="13"/>
      <c r="AX28" s="14"/>
      <c r="AY28" s="15">
        <f t="shared" ref="AY28" si="81">SUM(AU28:AX28)</f>
        <v>962</v>
      </c>
      <c r="AZ28" s="32">
        <v>727</v>
      </c>
      <c r="BA28" s="13"/>
      <c r="BB28" s="13"/>
      <c r="BC28" s="14"/>
      <c r="BD28" s="15">
        <f t="shared" ref="BD28" si="82">SUM(AZ28:BC28)</f>
        <v>727</v>
      </c>
      <c r="BE28" s="32"/>
      <c r="BF28" s="13"/>
      <c r="BG28" s="13"/>
      <c r="BH28" s="14"/>
      <c r="BI28" s="15">
        <f t="shared" ref="BI28" si="83">SUM(BE28:BH28)</f>
        <v>0</v>
      </c>
      <c r="BJ28" s="32"/>
      <c r="BK28" s="13"/>
      <c r="BL28" s="13"/>
      <c r="BM28" s="14"/>
      <c r="BN28" s="15">
        <f t="shared" ref="BN28" si="84">SUM(BJ28:BM28)</f>
        <v>0</v>
      </c>
      <c r="BO28" s="66">
        <f t="shared" si="56"/>
        <v>3169</v>
      </c>
      <c r="BP28" s="13">
        <f t="shared" si="57"/>
        <v>0</v>
      </c>
      <c r="BQ28" s="13">
        <f t="shared" si="58"/>
        <v>0</v>
      </c>
      <c r="BR28" s="14">
        <f t="shared" si="59"/>
        <v>0</v>
      </c>
      <c r="BS28" s="33">
        <f t="shared" ref="BS28:BS29" si="85">SUM(BO28:BR28)</f>
        <v>3169</v>
      </c>
    </row>
    <row r="29" spans="2:71" x14ac:dyDescent="0.3">
      <c r="B29" s="269"/>
      <c r="C29" s="230"/>
      <c r="D29" s="233"/>
      <c r="E29" s="239"/>
      <c r="F29" s="121" t="s">
        <v>141</v>
      </c>
      <c r="G29" s="32"/>
      <c r="H29" s="13"/>
      <c r="I29" s="13"/>
      <c r="J29" s="14"/>
      <c r="K29" s="15">
        <f t="shared" ref="K29" si="86">SUM(G29:J29)</f>
        <v>0</v>
      </c>
      <c r="L29" s="32"/>
      <c r="M29" s="13"/>
      <c r="N29" s="13"/>
      <c r="O29" s="14"/>
      <c r="P29" s="15">
        <f t="shared" ref="P29" si="87">SUM(L29:O29)</f>
        <v>0</v>
      </c>
      <c r="Q29" s="32"/>
      <c r="R29" s="13"/>
      <c r="S29" s="13"/>
      <c r="T29" s="14"/>
      <c r="U29" s="15">
        <f t="shared" ref="U29" si="88">SUM(Q29:T29)</f>
        <v>0</v>
      </c>
      <c r="V29" s="32"/>
      <c r="W29" s="13"/>
      <c r="X29" s="13"/>
      <c r="Y29" s="14"/>
      <c r="Z29" s="15">
        <f t="shared" ref="Z29" si="89">SUM(V29:Y29)</f>
        <v>0</v>
      </c>
      <c r="AA29" s="32">
        <v>2063</v>
      </c>
      <c r="AB29" s="13"/>
      <c r="AC29" s="13"/>
      <c r="AD29" s="14"/>
      <c r="AE29" s="15">
        <f t="shared" ref="AE29" si="90">SUM(AA29:AD29)</f>
        <v>2063</v>
      </c>
      <c r="AF29" s="32">
        <v>2408</v>
      </c>
      <c r="AG29" s="13"/>
      <c r="AH29" s="13"/>
      <c r="AI29" s="14"/>
      <c r="AJ29" s="15">
        <f t="shared" ref="AJ29" si="91">SUM(AF29:AI29)</f>
        <v>2408</v>
      </c>
      <c r="AK29" s="32">
        <v>160</v>
      </c>
      <c r="AL29" s="13"/>
      <c r="AM29" s="13"/>
      <c r="AN29" s="14"/>
      <c r="AO29" s="15">
        <f t="shared" ref="AO29" si="92">SUM(AK29:AN29)</f>
        <v>160</v>
      </c>
      <c r="AP29" s="32"/>
      <c r="AQ29" s="13"/>
      <c r="AR29" s="13"/>
      <c r="AS29" s="14"/>
      <c r="AT29" s="15">
        <f t="shared" ref="AT29" si="93">SUM(AP29:AS29)</f>
        <v>0</v>
      </c>
      <c r="AU29" s="32">
        <v>2276</v>
      </c>
      <c r="AV29" s="13"/>
      <c r="AW29" s="13"/>
      <c r="AX29" s="14"/>
      <c r="AY29" s="15">
        <f t="shared" ref="AY29" si="94">SUM(AU29:AX29)</f>
        <v>2276</v>
      </c>
      <c r="AZ29" s="32">
        <v>2066</v>
      </c>
      <c r="BA29" s="13"/>
      <c r="BB29" s="13"/>
      <c r="BC29" s="14"/>
      <c r="BD29" s="15">
        <f t="shared" ref="BD29" si="95">SUM(AZ29:BC29)</f>
        <v>2066</v>
      </c>
      <c r="BE29" s="32"/>
      <c r="BF29" s="13"/>
      <c r="BG29" s="13"/>
      <c r="BH29" s="14"/>
      <c r="BI29" s="15">
        <f t="shared" ref="BI29" si="96">SUM(BE29:BH29)</f>
        <v>0</v>
      </c>
      <c r="BJ29" s="32"/>
      <c r="BK29" s="13"/>
      <c r="BL29" s="13"/>
      <c r="BM29" s="14"/>
      <c r="BN29" s="15">
        <f t="shared" ref="BN29" si="97">SUM(BJ29:BM29)</f>
        <v>0</v>
      </c>
      <c r="BO29" s="66">
        <f t="shared" si="56"/>
        <v>8973</v>
      </c>
      <c r="BP29" s="13">
        <f t="shared" si="57"/>
        <v>0</v>
      </c>
      <c r="BQ29" s="13">
        <f t="shared" si="58"/>
        <v>0</v>
      </c>
      <c r="BR29" s="14">
        <f t="shared" si="59"/>
        <v>0</v>
      </c>
      <c r="BS29" s="33">
        <f t="shared" si="85"/>
        <v>8973</v>
      </c>
    </row>
    <row r="30" spans="2:71" x14ac:dyDescent="0.3">
      <c r="B30" s="269"/>
      <c r="C30" s="230"/>
      <c r="D30" s="233"/>
      <c r="E30" s="239"/>
      <c r="F30" s="121" t="s">
        <v>142</v>
      </c>
      <c r="G30" s="32"/>
      <c r="H30" s="13"/>
      <c r="I30" s="13"/>
      <c r="J30" s="14"/>
      <c r="K30" s="15">
        <f t="shared" ref="K30:K37" si="98">SUM(G30:J30)</f>
        <v>0</v>
      </c>
      <c r="L30" s="32"/>
      <c r="M30" s="13"/>
      <c r="N30" s="13"/>
      <c r="O30" s="14"/>
      <c r="P30" s="15">
        <f t="shared" ref="P30:P37" si="99">SUM(L30:O30)</f>
        <v>0</v>
      </c>
      <c r="Q30" s="32"/>
      <c r="R30" s="13"/>
      <c r="S30" s="13"/>
      <c r="T30" s="14"/>
      <c r="U30" s="15">
        <f t="shared" ref="U30:U37" si="100">SUM(Q30:T30)</f>
        <v>0</v>
      </c>
      <c r="V30" s="32"/>
      <c r="W30" s="13"/>
      <c r="X30" s="13"/>
      <c r="Y30" s="14"/>
      <c r="Z30" s="15">
        <f t="shared" ref="Z30:Z37" si="101">SUM(V30:Y30)</f>
        <v>0</v>
      </c>
      <c r="AA30" s="32">
        <v>716</v>
      </c>
      <c r="AB30" s="13"/>
      <c r="AC30" s="13"/>
      <c r="AD30" s="14"/>
      <c r="AE30" s="15">
        <f t="shared" ref="AE30:AE37" si="102">SUM(AA30:AD30)</f>
        <v>716</v>
      </c>
      <c r="AF30" s="32">
        <v>682</v>
      </c>
      <c r="AG30" s="13"/>
      <c r="AH30" s="13"/>
      <c r="AI30" s="14"/>
      <c r="AJ30" s="15">
        <f t="shared" ref="AJ30:AJ37" si="103">SUM(AF30:AI30)</f>
        <v>682</v>
      </c>
      <c r="AK30" s="32">
        <v>45</v>
      </c>
      <c r="AL30" s="13"/>
      <c r="AM30" s="13"/>
      <c r="AN30" s="14"/>
      <c r="AO30" s="15">
        <f t="shared" ref="AO30:AO37" si="104">SUM(AK30:AN30)</f>
        <v>45</v>
      </c>
      <c r="AP30" s="32"/>
      <c r="AQ30" s="13"/>
      <c r="AR30" s="13"/>
      <c r="AS30" s="14"/>
      <c r="AT30" s="15">
        <f t="shared" ref="AT30:AT37" si="105">SUM(AP30:AS30)</f>
        <v>0</v>
      </c>
      <c r="AU30" s="32">
        <v>758</v>
      </c>
      <c r="AV30" s="13"/>
      <c r="AW30" s="13"/>
      <c r="AX30" s="14"/>
      <c r="AY30" s="15">
        <f t="shared" ref="AY30:AY37" si="106">SUM(AU30:AX30)</f>
        <v>758</v>
      </c>
      <c r="AZ30" s="32">
        <v>562</v>
      </c>
      <c r="BA30" s="13"/>
      <c r="BB30" s="13"/>
      <c r="BC30" s="14"/>
      <c r="BD30" s="15">
        <f t="shared" ref="BD30:BD37" si="107">SUM(AZ30:BC30)</f>
        <v>562</v>
      </c>
      <c r="BE30" s="32"/>
      <c r="BF30" s="13"/>
      <c r="BG30" s="13"/>
      <c r="BH30" s="14"/>
      <c r="BI30" s="15">
        <f t="shared" ref="BI30:BI37" si="108">SUM(BE30:BH30)</f>
        <v>0</v>
      </c>
      <c r="BJ30" s="32"/>
      <c r="BK30" s="13"/>
      <c r="BL30" s="13"/>
      <c r="BM30" s="14"/>
      <c r="BN30" s="15">
        <f t="shared" ref="BN30:BN37" si="109">SUM(BJ30:BM30)</f>
        <v>0</v>
      </c>
      <c r="BO30" s="66">
        <f t="shared" si="56"/>
        <v>2763</v>
      </c>
      <c r="BP30" s="13">
        <f t="shared" si="57"/>
        <v>0</v>
      </c>
      <c r="BQ30" s="13">
        <f t="shared" si="58"/>
        <v>0</v>
      </c>
      <c r="BR30" s="14">
        <f t="shared" si="59"/>
        <v>0</v>
      </c>
      <c r="BS30" s="33">
        <f t="shared" ref="BS30:BS37" si="110">SUM(BO30:BR30)</f>
        <v>2763</v>
      </c>
    </row>
    <row r="31" spans="2:71" x14ac:dyDescent="0.3">
      <c r="B31" s="269"/>
      <c r="C31" s="230"/>
      <c r="D31" s="233"/>
      <c r="E31" s="239"/>
      <c r="F31" s="121" t="s">
        <v>319</v>
      </c>
      <c r="G31" s="32"/>
      <c r="H31" s="13"/>
      <c r="I31" s="13"/>
      <c r="J31" s="14"/>
      <c r="K31" s="15">
        <f t="shared" si="98"/>
        <v>0</v>
      </c>
      <c r="L31" s="32"/>
      <c r="M31" s="13"/>
      <c r="N31" s="13"/>
      <c r="O31" s="14"/>
      <c r="P31" s="15">
        <f t="shared" si="99"/>
        <v>0</v>
      </c>
      <c r="Q31" s="32"/>
      <c r="R31" s="13"/>
      <c r="S31" s="13"/>
      <c r="T31" s="14"/>
      <c r="U31" s="15">
        <f t="shared" si="100"/>
        <v>0</v>
      </c>
      <c r="V31" s="32"/>
      <c r="W31" s="13"/>
      <c r="X31" s="13"/>
      <c r="Y31" s="14"/>
      <c r="Z31" s="15">
        <f t="shared" si="101"/>
        <v>0</v>
      </c>
      <c r="AA31" s="32">
        <v>1077</v>
      </c>
      <c r="AB31" s="13"/>
      <c r="AC31" s="13"/>
      <c r="AD31" s="14"/>
      <c r="AE31" s="15">
        <f t="shared" si="102"/>
        <v>1077</v>
      </c>
      <c r="AF31" s="32">
        <v>1270</v>
      </c>
      <c r="AG31" s="13"/>
      <c r="AH31" s="13"/>
      <c r="AI31" s="14"/>
      <c r="AJ31" s="15">
        <f t="shared" si="103"/>
        <v>1270</v>
      </c>
      <c r="AK31" s="32">
        <v>71</v>
      </c>
      <c r="AL31" s="13"/>
      <c r="AM31" s="13"/>
      <c r="AN31" s="14"/>
      <c r="AO31" s="15">
        <f t="shared" si="104"/>
        <v>71</v>
      </c>
      <c r="AP31" s="32"/>
      <c r="AQ31" s="13"/>
      <c r="AR31" s="13"/>
      <c r="AS31" s="14"/>
      <c r="AT31" s="15">
        <f t="shared" si="105"/>
        <v>0</v>
      </c>
      <c r="AU31" s="32">
        <v>1543</v>
      </c>
      <c r="AV31" s="13"/>
      <c r="AW31" s="13"/>
      <c r="AX31" s="14"/>
      <c r="AY31" s="15">
        <f t="shared" si="106"/>
        <v>1543</v>
      </c>
      <c r="AZ31" s="32">
        <v>1430</v>
      </c>
      <c r="BA31" s="13"/>
      <c r="BB31" s="13"/>
      <c r="BC31" s="14"/>
      <c r="BD31" s="15">
        <f t="shared" si="107"/>
        <v>1430</v>
      </c>
      <c r="BE31" s="32"/>
      <c r="BF31" s="13"/>
      <c r="BG31" s="13"/>
      <c r="BH31" s="14"/>
      <c r="BI31" s="15">
        <f t="shared" si="108"/>
        <v>0</v>
      </c>
      <c r="BJ31" s="32"/>
      <c r="BK31" s="13"/>
      <c r="BL31" s="13"/>
      <c r="BM31" s="14"/>
      <c r="BN31" s="15">
        <f t="shared" si="109"/>
        <v>0</v>
      </c>
      <c r="BO31" s="66">
        <f t="shared" si="56"/>
        <v>5391</v>
      </c>
      <c r="BP31" s="13">
        <f t="shared" si="57"/>
        <v>0</v>
      </c>
      <c r="BQ31" s="13">
        <f t="shared" si="58"/>
        <v>0</v>
      </c>
      <c r="BR31" s="14">
        <f t="shared" si="59"/>
        <v>0</v>
      </c>
      <c r="BS31" s="33">
        <f t="shared" si="110"/>
        <v>5391</v>
      </c>
    </row>
    <row r="32" spans="2:71" x14ac:dyDescent="0.3">
      <c r="B32" s="269"/>
      <c r="C32" s="230"/>
      <c r="D32" s="233"/>
      <c r="E32" s="239"/>
      <c r="F32" s="121" t="s">
        <v>320</v>
      </c>
      <c r="G32" s="32"/>
      <c r="H32" s="13"/>
      <c r="I32" s="13"/>
      <c r="J32" s="14"/>
      <c r="K32" s="15">
        <f t="shared" si="98"/>
        <v>0</v>
      </c>
      <c r="L32" s="32"/>
      <c r="M32" s="13"/>
      <c r="N32" s="13"/>
      <c r="O32" s="14"/>
      <c r="P32" s="15">
        <f t="shared" si="99"/>
        <v>0</v>
      </c>
      <c r="Q32" s="32"/>
      <c r="R32" s="13"/>
      <c r="S32" s="13"/>
      <c r="T32" s="14"/>
      <c r="U32" s="15">
        <f t="shared" si="100"/>
        <v>0</v>
      </c>
      <c r="V32" s="32"/>
      <c r="W32" s="13"/>
      <c r="X32" s="13"/>
      <c r="Y32" s="14"/>
      <c r="Z32" s="15">
        <f t="shared" si="101"/>
        <v>0</v>
      </c>
      <c r="AA32" s="32">
        <v>348</v>
      </c>
      <c r="AB32" s="13"/>
      <c r="AC32" s="13"/>
      <c r="AD32" s="14"/>
      <c r="AE32" s="15">
        <f t="shared" si="102"/>
        <v>348</v>
      </c>
      <c r="AF32" s="32">
        <v>453</v>
      </c>
      <c r="AG32" s="13"/>
      <c r="AH32" s="13"/>
      <c r="AI32" s="14"/>
      <c r="AJ32" s="15">
        <f t="shared" si="103"/>
        <v>453</v>
      </c>
      <c r="AK32" s="32">
        <v>36</v>
      </c>
      <c r="AL32" s="13"/>
      <c r="AM32" s="13"/>
      <c r="AN32" s="14"/>
      <c r="AO32" s="15">
        <f t="shared" si="104"/>
        <v>36</v>
      </c>
      <c r="AP32" s="32"/>
      <c r="AQ32" s="13"/>
      <c r="AR32" s="13"/>
      <c r="AS32" s="14"/>
      <c r="AT32" s="15">
        <f t="shared" si="105"/>
        <v>0</v>
      </c>
      <c r="AU32" s="32">
        <v>583</v>
      </c>
      <c r="AV32" s="13"/>
      <c r="AW32" s="13"/>
      <c r="AX32" s="14"/>
      <c r="AY32" s="15">
        <f t="shared" si="106"/>
        <v>583</v>
      </c>
      <c r="AZ32" s="32">
        <v>473</v>
      </c>
      <c r="BA32" s="13"/>
      <c r="BB32" s="13"/>
      <c r="BC32" s="14"/>
      <c r="BD32" s="15">
        <f t="shared" si="107"/>
        <v>473</v>
      </c>
      <c r="BE32" s="32"/>
      <c r="BF32" s="13"/>
      <c r="BG32" s="13"/>
      <c r="BH32" s="14"/>
      <c r="BI32" s="15">
        <f t="shared" si="108"/>
        <v>0</v>
      </c>
      <c r="BJ32" s="32"/>
      <c r="BK32" s="13"/>
      <c r="BL32" s="13"/>
      <c r="BM32" s="14"/>
      <c r="BN32" s="15">
        <f t="shared" si="109"/>
        <v>0</v>
      </c>
      <c r="BO32" s="66">
        <f t="shared" si="56"/>
        <v>1893</v>
      </c>
      <c r="BP32" s="13">
        <f t="shared" si="57"/>
        <v>0</v>
      </c>
      <c r="BQ32" s="13">
        <f t="shared" si="58"/>
        <v>0</v>
      </c>
      <c r="BR32" s="14">
        <f t="shared" si="59"/>
        <v>0</v>
      </c>
      <c r="BS32" s="33">
        <f t="shared" si="110"/>
        <v>1893</v>
      </c>
    </row>
    <row r="33" spans="2:71" x14ac:dyDescent="0.3">
      <c r="B33" s="269"/>
      <c r="C33" s="230"/>
      <c r="D33" s="233"/>
      <c r="E33" s="239"/>
      <c r="F33" s="121" t="s">
        <v>321</v>
      </c>
      <c r="G33" s="32"/>
      <c r="H33" s="13"/>
      <c r="I33" s="13"/>
      <c r="J33" s="14"/>
      <c r="K33" s="15">
        <f t="shared" si="98"/>
        <v>0</v>
      </c>
      <c r="L33" s="32"/>
      <c r="M33" s="13"/>
      <c r="N33" s="13"/>
      <c r="O33" s="14"/>
      <c r="P33" s="15">
        <f t="shared" si="99"/>
        <v>0</v>
      </c>
      <c r="Q33" s="32"/>
      <c r="R33" s="13"/>
      <c r="S33" s="13"/>
      <c r="T33" s="14"/>
      <c r="U33" s="15">
        <f t="shared" si="100"/>
        <v>0</v>
      </c>
      <c r="V33" s="32"/>
      <c r="W33" s="13"/>
      <c r="X33" s="13"/>
      <c r="Y33" s="14"/>
      <c r="Z33" s="15">
        <f t="shared" si="101"/>
        <v>0</v>
      </c>
      <c r="AA33" s="32">
        <v>861</v>
      </c>
      <c r="AB33" s="13"/>
      <c r="AC33" s="13"/>
      <c r="AD33" s="14"/>
      <c r="AE33" s="15">
        <f t="shared" si="102"/>
        <v>861</v>
      </c>
      <c r="AF33" s="32">
        <v>1041</v>
      </c>
      <c r="AG33" s="13"/>
      <c r="AH33" s="13"/>
      <c r="AI33" s="14"/>
      <c r="AJ33" s="15">
        <f t="shared" si="103"/>
        <v>1041</v>
      </c>
      <c r="AK33" s="32">
        <v>60</v>
      </c>
      <c r="AL33" s="13"/>
      <c r="AM33" s="13"/>
      <c r="AN33" s="14"/>
      <c r="AO33" s="15">
        <f t="shared" si="104"/>
        <v>60</v>
      </c>
      <c r="AP33" s="32"/>
      <c r="AQ33" s="13"/>
      <c r="AR33" s="13"/>
      <c r="AS33" s="14"/>
      <c r="AT33" s="15">
        <f t="shared" si="105"/>
        <v>0</v>
      </c>
      <c r="AU33" s="32">
        <v>1337</v>
      </c>
      <c r="AV33" s="13"/>
      <c r="AW33" s="13"/>
      <c r="AX33" s="14"/>
      <c r="AY33" s="15">
        <f t="shared" si="106"/>
        <v>1337</v>
      </c>
      <c r="AZ33" s="32">
        <v>1264</v>
      </c>
      <c r="BA33" s="13"/>
      <c r="BB33" s="13"/>
      <c r="BC33" s="14"/>
      <c r="BD33" s="15">
        <f t="shared" si="107"/>
        <v>1264</v>
      </c>
      <c r="BE33" s="32"/>
      <c r="BF33" s="13"/>
      <c r="BG33" s="13"/>
      <c r="BH33" s="14"/>
      <c r="BI33" s="15">
        <f t="shared" si="108"/>
        <v>0</v>
      </c>
      <c r="BJ33" s="32"/>
      <c r="BK33" s="13"/>
      <c r="BL33" s="13"/>
      <c r="BM33" s="14"/>
      <c r="BN33" s="15">
        <f t="shared" si="109"/>
        <v>0</v>
      </c>
      <c r="BO33" s="66">
        <f t="shared" si="56"/>
        <v>4563</v>
      </c>
      <c r="BP33" s="13">
        <f t="shared" si="57"/>
        <v>0</v>
      </c>
      <c r="BQ33" s="13">
        <f t="shared" si="58"/>
        <v>0</v>
      </c>
      <c r="BR33" s="14">
        <f t="shared" si="59"/>
        <v>0</v>
      </c>
      <c r="BS33" s="33">
        <f t="shared" si="110"/>
        <v>4563</v>
      </c>
    </row>
    <row r="34" spans="2:71" x14ac:dyDescent="0.3">
      <c r="B34" s="269"/>
      <c r="C34" s="230"/>
      <c r="D34" s="233"/>
      <c r="E34" s="239"/>
      <c r="F34" s="121" t="s">
        <v>322</v>
      </c>
      <c r="G34" s="32"/>
      <c r="H34" s="13"/>
      <c r="I34" s="13"/>
      <c r="J34" s="14"/>
      <c r="K34" s="15">
        <f t="shared" ref="K34" si="111">SUM(G34:J34)</f>
        <v>0</v>
      </c>
      <c r="L34" s="32"/>
      <c r="M34" s="13"/>
      <c r="N34" s="13"/>
      <c r="O34" s="14"/>
      <c r="P34" s="15">
        <f t="shared" ref="P34" si="112">SUM(L34:O34)</f>
        <v>0</v>
      </c>
      <c r="Q34" s="32"/>
      <c r="R34" s="13"/>
      <c r="S34" s="13"/>
      <c r="T34" s="14"/>
      <c r="U34" s="15">
        <f t="shared" ref="U34" si="113">SUM(Q34:T34)</f>
        <v>0</v>
      </c>
      <c r="V34" s="32"/>
      <c r="W34" s="13"/>
      <c r="X34" s="13"/>
      <c r="Y34" s="14"/>
      <c r="Z34" s="15">
        <f t="shared" ref="Z34" si="114">SUM(V34:Y34)</f>
        <v>0</v>
      </c>
      <c r="AA34" s="32">
        <v>296</v>
      </c>
      <c r="AB34" s="13"/>
      <c r="AC34" s="13"/>
      <c r="AD34" s="14"/>
      <c r="AE34" s="15">
        <f t="shared" ref="AE34" si="115">SUM(AA34:AD34)</f>
        <v>296</v>
      </c>
      <c r="AF34" s="32">
        <v>362</v>
      </c>
      <c r="AG34" s="13"/>
      <c r="AH34" s="13"/>
      <c r="AI34" s="14"/>
      <c r="AJ34" s="15">
        <f t="shared" ref="AJ34" si="116">SUM(AF34:AI34)</f>
        <v>362</v>
      </c>
      <c r="AK34" s="32">
        <v>32</v>
      </c>
      <c r="AL34" s="13"/>
      <c r="AM34" s="13"/>
      <c r="AN34" s="14"/>
      <c r="AO34" s="15">
        <f t="shared" ref="AO34" si="117">SUM(AK34:AN34)</f>
        <v>32</v>
      </c>
      <c r="AP34" s="32"/>
      <c r="AQ34" s="13"/>
      <c r="AR34" s="13"/>
      <c r="AS34" s="14"/>
      <c r="AT34" s="15">
        <f t="shared" ref="AT34" si="118">SUM(AP34:AS34)</f>
        <v>0</v>
      </c>
      <c r="AU34" s="32">
        <v>503</v>
      </c>
      <c r="AV34" s="13"/>
      <c r="AW34" s="13"/>
      <c r="AX34" s="14"/>
      <c r="AY34" s="15">
        <f t="shared" ref="AY34" si="119">SUM(AU34:AX34)</f>
        <v>503</v>
      </c>
      <c r="AZ34" s="32">
        <v>420</v>
      </c>
      <c r="BA34" s="13"/>
      <c r="BB34" s="13"/>
      <c r="BC34" s="14"/>
      <c r="BD34" s="15">
        <f t="shared" ref="BD34" si="120">SUM(AZ34:BC34)</f>
        <v>420</v>
      </c>
      <c r="BE34" s="32"/>
      <c r="BF34" s="13"/>
      <c r="BG34" s="13"/>
      <c r="BH34" s="14"/>
      <c r="BI34" s="15">
        <f t="shared" ref="BI34" si="121">SUM(BE34:BH34)</f>
        <v>0</v>
      </c>
      <c r="BJ34" s="32"/>
      <c r="BK34" s="13"/>
      <c r="BL34" s="13"/>
      <c r="BM34" s="14"/>
      <c r="BN34" s="15">
        <f t="shared" ref="BN34" si="122">SUM(BJ34:BM34)</f>
        <v>0</v>
      </c>
      <c r="BO34" s="66">
        <f t="shared" si="56"/>
        <v>1613</v>
      </c>
      <c r="BP34" s="13">
        <f t="shared" si="57"/>
        <v>0</v>
      </c>
      <c r="BQ34" s="13">
        <f t="shared" si="58"/>
        <v>0</v>
      </c>
      <c r="BR34" s="14">
        <f t="shared" si="59"/>
        <v>0</v>
      </c>
      <c r="BS34" s="33">
        <f t="shared" ref="BS34" si="123">SUM(BO34:BR34)</f>
        <v>1613</v>
      </c>
    </row>
    <row r="35" spans="2:71" x14ac:dyDescent="0.3">
      <c r="B35" s="269"/>
      <c r="C35" s="230"/>
      <c r="D35" s="233"/>
      <c r="E35" s="239"/>
      <c r="F35" s="178" t="s">
        <v>311</v>
      </c>
      <c r="G35" s="179"/>
      <c r="H35" s="180"/>
      <c r="I35" s="180"/>
      <c r="J35" s="181"/>
      <c r="K35" s="182">
        <f t="shared" si="98"/>
        <v>0</v>
      </c>
      <c r="L35" s="179"/>
      <c r="M35" s="180"/>
      <c r="N35" s="180"/>
      <c r="O35" s="181"/>
      <c r="P35" s="182">
        <f t="shared" si="99"/>
        <v>0</v>
      </c>
      <c r="Q35" s="179"/>
      <c r="R35" s="180"/>
      <c r="S35" s="180"/>
      <c r="T35" s="181"/>
      <c r="U35" s="182">
        <f t="shared" si="100"/>
        <v>0</v>
      </c>
      <c r="V35" s="179"/>
      <c r="W35" s="180"/>
      <c r="X35" s="180"/>
      <c r="Y35" s="181"/>
      <c r="Z35" s="182">
        <f t="shared" si="101"/>
        <v>0</v>
      </c>
      <c r="AA35" s="179">
        <v>472</v>
      </c>
      <c r="AB35" s="180"/>
      <c r="AC35" s="180"/>
      <c r="AD35" s="181"/>
      <c r="AE35" s="182">
        <f t="shared" si="102"/>
        <v>472</v>
      </c>
      <c r="AF35" s="179">
        <v>527</v>
      </c>
      <c r="AG35" s="180"/>
      <c r="AH35" s="180"/>
      <c r="AI35" s="181"/>
      <c r="AJ35" s="182">
        <f t="shared" si="103"/>
        <v>527</v>
      </c>
      <c r="AK35" s="179">
        <v>40</v>
      </c>
      <c r="AL35" s="180"/>
      <c r="AM35" s="180"/>
      <c r="AN35" s="181"/>
      <c r="AO35" s="182">
        <f t="shared" si="104"/>
        <v>40</v>
      </c>
      <c r="AP35" s="179"/>
      <c r="AQ35" s="180"/>
      <c r="AR35" s="180"/>
      <c r="AS35" s="181"/>
      <c r="AT35" s="182">
        <f t="shared" si="105"/>
        <v>0</v>
      </c>
      <c r="AU35" s="179">
        <v>448</v>
      </c>
      <c r="AV35" s="180"/>
      <c r="AW35" s="180"/>
      <c r="AX35" s="181"/>
      <c r="AY35" s="182">
        <f t="shared" si="106"/>
        <v>448</v>
      </c>
      <c r="AZ35" s="179">
        <v>498</v>
      </c>
      <c r="BA35" s="180"/>
      <c r="BB35" s="180"/>
      <c r="BC35" s="181"/>
      <c r="BD35" s="182">
        <f t="shared" si="107"/>
        <v>498</v>
      </c>
      <c r="BE35" s="179"/>
      <c r="BF35" s="180"/>
      <c r="BG35" s="180"/>
      <c r="BH35" s="181"/>
      <c r="BI35" s="182">
        <f t="shared" si="108"/>
        <v>0</v>
      </c>
      <c r="BJ35" s="179"/>
      <c r="BK35" s="180"/>
      <c r="BL35" s="180"/>
      <c r="BM35" s="181"/>
      <c r="BN35" s="182">
        <f t="shared" si="109"/>
        <v>0</v>
      </c>
      <c r="BO35" s="184">
        <f t="shared" si="56"/>
        <v>1985</v>
      </c>
      <c r="BP35" s="180">
        <f t="shared" si="57"/>
        <v>0</v>
      </c>
      <c r="BQ35" s="180">
        <f t="shared" si="58"/>
        <v>0</v>
      </c>
      <c r="BR35" s="181">
        <f t="shared" si="59"/>
        <v>0</v>
      </c>
      <c r="BS35" s="183">
        <f t="shared" si="110"/>
        <v>1985</v>
      </c>
    </row>
    <row r="36" spans="2:71" x14ac:dyDescent="0.3">
      <c r="B36" s="269"/>
      <c r="C36" s="230"/>
      <c r="D36" s="233"/>
      <c r="E36" s="239"/>
      <c r="F36" s="178" t="s">
        <v>312</v>
      </c>
      <c r="G36" s="179"/>
      <c r="H36" s="180"/>
      <c r="I36" s="180"/>
      <c r="J36" s="181"/>
      <c r="K36" s="182">
        <f t="shared" si="98"/>
        <v>0</v>
      </c>
      <c r="L36" s="179"/>
      <c r="M36" s="180"/>
      <c r="N36" s="180"/>
      <c r="O36" s="181"/>
      <c r="P36" s="182">
        <f t="shared" si="99"/>
        <v>0</v>
      </c>
      <c r="Q36" s="179"/>
      <c r="R36" s="180"/>
      <c r="S36" s="180"/>
      <c r="T36" s="181"/>
      <c r="U36" s="182">
        <f t="shared" si="100"/>
        <v>0</v>
      </c>
      <c r="V36" s="179"/>
      <c r="W36" s="180"/>
      <c r="X36" s="180"/>
      <c r="Y36" s="181"/>
      <c r="Z36" s="182">
        <f t="shared" si="101"/>
        <v>0</v>
      </c>
      <c r="AA36" s="193">
        <f>126</f>
        <v>126</v>
      </c>
      <c r="AB36" s="180"/>
      <c r="AC36" s="180"/>
      <c r="AD36" s="181"/>
      <c r="AE36" s="182">
        <f t="shared" si="102"/>
        <v>126</v>
      </c>
      <c r="AF36" s="179">
        <v>97</v>
      </c>
      <c r="AG36" s="180"/>
      <c r="AH36" s="180"/>
      <c r="AI36" s="181"/>
      <c r="AJ36" s="182">
        <f t="shared" si="103"/>
        <v>97</v>
      </c>
      <c r="AK36" s="179">
        <v>5</v>
      </c>
      <c r="AL36" s="180"/>
      <c r="AM36" s="180"/>
      <c r="AN36" s="181"/>
      <c r="AO36" s="182">
        <f t="shared" si="104"/>
        <v>5</v>
      </c>
      <c r="AP36" s="179"/>
      <c r="AQ36" s="180"/>
      <c r="AR36" s="180"/>
      <c r="AS36" s="181"/>
      <c r="AT36" s="182">
        <f t="shared" si="105"/>
        <v>0</v>
      </c>
      <c r="AU36" s="179">
        <v>93</v>
      </c>
      <c r="AV36" s="180"/>
      <c r="AW36" s="180"/>
      <c r="AX36" s="181"/>
      <c r="AY36" s="182">
        <f t="shared" si="106"/>
        <v>93</v>
      </c>
      <c r="AZ36" s="179">
        <v>75</v>
      </c>
      <c r="BA36" s="180"/>
      <c r="BB36" s="180"/>
      <c r="BC36" s="181"/>
      <c r="BD36" s="182">
        <f t="shared" si="107"/>
        <v>75</v>
      </c>
      <c r="BE36" s="179"/>
      <c r="BF36" s="180"/>
      <c r="BG36" s="180"/>
      <c r="BH36" s="181"/>
      <c r="BI36" s="182">
        <f t="shared" si="108"/>
        <v>0</v>
      </c>
      <c r="BJ36" s="179"/>
      <c r="BK36" s="180"/>
      <c r="BL36" s="180"/>
      <c r="BM36" s="181"/>
      <c r="BN36" s="182">
        <f t="shared" si="109"/>
        <v>0</v>
      </c>
      <c r="BO36" s="184">
        <f t="shared" si="56"/>
        <v>396</v>
      </c>
      <c r="BP36" s="180">
        <f t="shared" si="57"/>
        <v>0</v>
      </c>
      <c r="BQ36" s="180">
        <f t="shared" si="58"/>
        <v>0</v>
      </c>
      <c r="BR36" s="181">
        <f t="shared" si="59"/>
        <v>0</v>
      </c>
      <c r="BS36" s="183">
        <f t="shared" si="110"/>
        <v>396</v>
      </c>
    </row>
    <row r="37" spans="2:71" x14ac:dyDescent="0.3">
      <c r="B37" s="269"/>
      <c r="C37" s="230"/>
      <c r="D37" s="233"/>
      <c r="E37" s="239"/>
      <c r="F37" s="178" t="s">
        <v>313</v>
      </c>
      <c r="G37" s="179"/>
      <c r="H37" s="180"/>
      <c r="I37" s="180"/>
      <c r="J37" s="181"/>
      <c r="K37" s="182">
        <f t="shared" si="98"/>
        <v>0</v>
      </c>
      <c r="L37" s="179"/>
      <c r="M37" s="180"/>
      <c r="N37" s="180"/>
      <c r="O37" s="181"/>
      <c r="P37" s="182">
        <f t="shared" si="99"/>
        <v>0</v>
      </c>
      <c r="Q37" s="179"/>
      <c r="R37" s="180"/>
      <c r="S37" s="180"/>
      <c r="T37" s="181"/>
      <c r="U37" s="182">
        <f t="shared" si="100"/>
        <v>0</v>
      </c>
      <c r="V37" s="179"/>
      <c r="W37" s="180"/>
      <c r="X37" s="180"/>
      <c r="Y37" s="181"/>
      <c r="Z37" s="182">
        <f t="shared" si="101"/>
        <v>0</v>
      </c>
      <c r="AA37" s="179">
        <v>305</v>
      </c>
      <c r="AB37" s="180"/>
      <c r="AC37" s="180"/>
      <c r="AD37" s="181"/>
      <c r="AE37" s="182">
        <f t="shared" si="102"/>
        <v>305</v>
      </c>
      <c r="AF37" s="179">
        <v>368</v>
      </c>
      <c r="AG37" s="180"/>
      <c r="AH37" s="180"/>
      <c r="AI37" s="181"/>
      <c r="AJ37" s="182">
        <f t="shared" si="103"/>
        <v>368</v>
      </c>
      <c r="AK37" s="179">
        <v>19</v>
      </c>
      <c r="AL37" s="180"/>
      <c r="AM37" s="180"/>
      <c r="AN37" s="181"/>
      <c r="AO37" s="182">
        <f t="shared" si="104"/>
        <v>19</v>
      </c>
      <c r="AP37" s="179"/>
      <c r="AQ37" s="180"/>
      <c r="AR37" s="180"/>
      <c r="AS37" s="181"/>
      <c r="AT37" s="182">
        <f t="shared" si="105"/>
        <v>0</v>
      </c>
      <c r="AU37" s="179">
        <v>315</v>
      </c>
      <c r="AV37" s="180"/>
      <c r="AW37" s="180"/>
      <c r="AX37" s="181"/>
      <c r="AY37" s="182">
        <f t="shared" si="106"/>
        <v>315</v>
      </c>
      <c r="AZ37" s="179">
        <v>320</v>
      </c>
      <c r="BA37" s="180"/>
      <c r="BB37" s="180"/>
      <c r="BC37" s="181"/>
      <c r="BD37" s="182">
        <f t="shared" si="107"/>
        <v>320</v>
      </c>
      <c r="BE37" s="179"/>
      <c r="BF37" s="180"/>
      <c r="BG37" s="180"/>
      <c r="BH37" s="181"/>
      <c r="BI37" s="182">
        <f t="shared" si="108"/>
        <v>0</v>
      </c>
      <c r="BJ37" s="179"/>
      <c r="BK37" s="180"/>
      <c r="BL37" s="180"/>
      <c r="BM37" s="181"/>
      <c r="BN37" s="182">
        <f t="shared" si="109"/>
        <v>0</v>
      </c>
      <c r="BO37" s="184">
        <f t="shared" si="56"/>
        <v>1327</v>
      </c>
      <c r="BP37" s="180">
        <f t="shared" si="57"/>
        <v>0</v>
      </c>
      <c r="BQ37" s="180">
        <f t="shared" si="58"/>
        <v>0</v>
      </c>
      <c r="BR37" s="181">
        <f t="shared" si="59"/>
        <v>0</v>
      </c>
      <c r="BS37" s="183">
        <f t="shared" si="110"/>
        <v>1327</v>
      </c>
    </row>
    <row r="38" spans="2:71" x14ac:dyDescent="0.3">
      <c r="B38" s="269"/>
      <c r="C38" s="230"/>
      <c r="D38" s="233"/>
      <c r="E38" s="239"/>
      <c r="F38" s="178" t="s">
        <v>314</v>
      </c>
      <c r="G38" s="179"/>
      <c r="H38" s="180"/>
      <c r="I38" s="180"/>
      <c r="J38" s="181"/>
      <c r="K38" s="182">
        <f t="shared" ref="K38:K41" si="124">SUM(G38:J38)</f>
        <v>0</v>
      </c>
      <c r="L38" s="179"/>
      <c r="M38" s="180"/>
      <c r="N38" s="180"/>
      <c r="O38" s="181"/>
      <c r="P38" s="182">
        <f t="shared" ref="P38:P41" si="125">SUM(L38:O38)</f>
        <v>0</v>
      </c>
      <c r="Q38" s="179"/>
      <c r="R38" s="180"/>
      <c r="S38" s="180"/>
      <c r="T38" s="181"/>
      <c r="U38" s="182">
        <f t="shared" ref="U38:U41" si="126">SUM(Q38:T38)</f>
        <v>0</v>
      </c>
      <c r="V38" s="179"/>
      <c r="W38" s="180"/>
      <c r="X38" s="180"/>
      <c r="Y38" s="181"/>
      <c r="Z38" s="182">
        <f t="shared" ref="Z38:Z41" si="127">SUM(V38:Y38)</f>
        <v>0</v>
      </c>
      <c r="AA38" s="193">
        <f>95</f>
        <v>95</v>
      </c>
      <c r="AB38" s="180"/>
      <c r="AC38" s="180"/>
      <c r="AD38" s="181"/>
      <c r="AE38" s="182">
        <f t="shared" ref="AE38:AE41" si="128">SUM(AA38:AD38)</f>
        <v>95</v>
      </c>
      <c r="AF38" s="179">
        <v>69</v>
      </c>
      <c r="AG38" s="180"/>
      <c r="AH38" s="180"/>
      <c r="AI38" s="181"/>
      <c r="AJ38" s="182">
        <f t="shared" ref="AJ38:AJ41" si="129">SUM(AF38:AI38)</f>
        <v>69</v>
      </c>
      <c r="AK38" s="179">
        <v>4</v>
      </c>
      <c r="AL38" s="180"/>
      <c r="AM38" s="180"/>
      <c r="AN38" s="181"/>
      <c r="AO38" s="182">
        <f t="shared" ref="AO38:AO41" si="130">SUM(AK38:AN38)</f>
        <v>4</v>
      </c>
      <c r="AP38" s="179"/>
      <c r="AQ38" s="180"/>
      <c r="AR38" s="180"/>
      <c r="AS38" s="181"/>
      <c r="AT38" s="182">
        <f t="shared" ref="AT38:AT41" si="131">SUM(AP38:AS38)</f>
        <v>0</v>
      </c>
      <c r="AU38" s="179">
        <v>61</v>
      </c>
      <c r="AV38" s="180"/>
      <c r="AW38" s="180"/>
      <c r="AX38" s="181"/>
      <c r="AY38" s="182">
        <f t="shared" ref="AY38:AY41" si="132">SUM(AU38:AX38)</f>
        <v>61</v>
      </c>
      <c r="AZ38" s="179">
        <v>61</v>
      </c>
      <c r="BA38" s="180"/>
      <c r="BB38" s="180"/>
      <c r="BC38" s="181"/>
      <c r="BD38" s="182">
        <f t="shared" ref="BD38:BD41" si="133">SUM(AZ38:BC38)</f>
        <v>61</v>
      </c>
      <c r="BE38" s="179"/>
      <c r="BF38" s="180"/>
      <c r="BG38" s="180"/>
      <c r="BH38" s="181"/>
      <c r="BI38" s="182">
        <f t="shared" ref="BI38:BI41" si="134">SUM(BE38:BH38)</f>
        <v>0</v>
      </c>
      <c r="BJ38" s="179"/>
      <c r="BK38" s="180"/>
      <c r="BL38" s="180"/>
      <c r="BM38" s="181"/>
      <c r="BN38" s="182">
        <f t="shared" ref="BN38:BN41" si="135">SUM(BJ38:BM38)</f>
        <v>0</v>
      </c>
      <c r="BO38" s="184">
        <f t="shared" si="56"/>
        <v>290</v>
      </c>
      <c r="BP38" s="180">
        <f t="shared" si="57"/>
        <v>0</v>
      </c>
      <c r="BQ38" s="180">
        <f t="shared" si="58"/>
        <v>0</v>
      </c>
      <c r="BR38" s="181">
        <f t="shared" si="59"/>
        <v>0</v>
      </c>
      <c r="BS38" s="183">
        <f t="shared" ref="BS38:BS41" si="136">SUM(BO38:BR38)</f>
        <v>290</v>
      </c>
    </row>
    <row r="39" spans="2:71" x14ac:dyDescent="0.3">
      <c r="B39" s="269"/>
      <c r="C39" s="230"/>
      <c r="D39" s="233"/>
      <c r="E39" s="239"/>
      <c r="F39" s="178" t="s">
        <v>315</v>
      </c>
      <c r="G39" s="179"/>
      <c r="H39" s="180"/>
      <c r="I39" s="180"/>
      <c r="J39" s="181"/>
      <c r="K39" s="182">
        <f t="shared" si="124"/>
        <v>0</v>
      </c>
      <c r="L39" s="179"/>
      <c r="M39" s="180"/>
      <c r="N39" s="180"/>
      <c r="O39" s="181"/>
      <c r="P39" s="182">
        <f t="shared" si="125"/>
        <v>0</v>
      </c>
      <c r="Q39" s="179"/>
      <c r="R39" s="180"/>
      <c r="S39" s="180"/>
      <c r="T39" s="181"/>
      <c r="U39" s="182">
        <f t="shared" si="126"/>
        <v>0</v>
      </c>
      <c r="V39" s="179"/>
      <c r="W39" s="180"/>
      <c r="X39" s="180"/>
      <c r="Y39" s="181"/>
      <c r="Z39" s="182">
        <f t="shared" si="127"/>
        <v>0</v>
      </c>
      <c r="AA39" s="179">
        <v>1722</v>
      </c>
      <c r="AB39" s="180"/>
      <c r="AC39" s="180"/>
      <c r="AD39" s="181"/>
      <c r="AE39" s="182">
        <f t="shared" si="128"/>
        <v>1722</v>
      </c>
      <c r="AF39" s="179">
        <v>2006</v>
      </c>
      <c r="AG39" s="180"/>
      <c r="AH39" s="180"/>
      <c r="AI39" s="181"/>
      <c r="AJ39" s="182">
        <f t="shared" si="129"/>
        <v>2006</v>
      </c>
      <c r="AK39" s="179">
        <v>114</v>
      </c>
      <c r="AL39" s="180"/>
      <c r="AM39" s="180"/>
      <c r="AN39" s="181"/>
      <c r="AO39" s="182">
        <f t="shared" si="130"/>
        <v>114</v>
      </c>
      <c r="AP39" s="179"/>
      <c r="AQ39" s="180"/>
      <c r="AR39" s="180"/>
      <c r="AS39" s="181"/>
      <c r="AT39" s="182">
        <f t="shared" si="131"/>
        <v>0</v>
      </c>
      <c r="AU39" s="179">
        <v>1948</v>
      </c>
      <c r="AV39" s="180"/>
      <c r="AW39" s="180"/>
      <c r="AX39" s="181"/>
      <c r="AY39" s="182">
        <f t="shared" si="132"/>
        <v>1948</v>
      </c>
      <c r="AZ39" s="179">
        <v>2374</v>
      </c>
      <c r="BA39" s="180"/>
      <c r="BB39" s="180"/>
      <c r="BC39" s="181"/>
      <c r="BD39" s="182">
        <f t="shared" si="133"/>
        <v>2374</v>
      </c>
      <c r="BE39" s="179"/>
      <c r="BF39" s="180"/>
      <c r="BG39" s="180"/>
      <c r="BH39" s="181"/>
      <c r="BI39" s="182">
        <f t="shared" si="134"/>
        <v>0</v>
      </c>
      <c r="BJ39" s="179"/>
      <c r="BK39" s="180"/>
      <c r="BL39" s="180"/>
      <c r="BM39" s="181"/>
      <c r="BN39" s="182">
        <f t="shared" si="135"/>
        <v>0</v>
      </c>
      <c r="BO39" s="184">
        <f t="shared" si="56"/>
        <v>8164</v>
      </c>
      <c r="BP39" s="180">
        <f t="shared" si="57"/>
        <v>0</v>
      </c>
      <c r="BQ39" s="180">
        <f t="shared" si="58"/>
        <v>0</v>
      </c>
      <c r="BR39" s="181">
        <f t="shared" si="59"/>
        <v>0</v>
      </c>
      <c r="BS39" s="183">
        <f t="shared" si="136"/>
        <v>8164</v>
      </c>
    </row>
    <row r="40" spans="2:71" x14ac:dyDescent="0.3">
      <c r="B40" s="269"/>
      <c r="C40" s="230"/>
      <c r="D40" s="233"/>
      <c r="E40" s="239"/>
      <c r="F40" s="178" t="s">
        <v>316</v>
      </c>
      <c r="G40" s="179"/>
      <c r="H40" s="180"/>
      <c r="I40" s="180"/>
      <c r="J40" s="181"/>
      <c r="K40" s="182">
        <f t="shared" si="124"/>
        <v>0</v>
      </c>
      <c r="L40" s="179"/>
      <c r="M40" s="180"/>
      <c r="N40" s="180"/>
      <c r="O40" s="181"/>
      <c r="P40" s="182">
        <f t="shared" si="125"/>
        <v>0</v>
      </c>
      <c r="Q40" s="179"/>
      <c r="R40" s="180"/>
      <c r="S40" s="180"/>
      <c r="T40" s="181"/>
      <c r="U40" s="182">
        <f t="shared" si="126"/>
        <v>0</v>
      </c>
      <c r="V40" s="179"/>
      <c r="W40" s="180"/>
      <c r="X40" s="180"/>
      <c r="Y40" s="181"/>
      <c r="Z40" s="182">
        <f t="shared" si="127"/>
        <v>0</v>
      </c>
      <c r="AA40" s="179">
        <v>314</v>
      </c>
      <c r="AB40" s="180"/>
      <c r="AC40" s="180"/>
      <c r="AD40" s="181"/>
      <c r="AE40" s="182">
        <f t="shared" si="128"/>
        <v>314</v>
      </c>
      <c r="AF40" s="179">
        <v>386</v>
      </c>
      <c r="AG40" s="180"/>
      <c r="AH40" s="180"/>
      <c r="AI40" s="181"/>
      <c r="AJ40" s="182">
        <f t="shared" si="129"/>
        <v>386</v>
      </c>
      <c r="AK40" s="179">
        <v>35</v>
      </c>
      <c r="AL40" s="180"/>
      <c r="AM40" s="180"/>
      <c r="AN40" s="181"/>
      <c r="AO40" s="182">
        <f t="shared" si="130"/>
        <v>35</v>
      </c>
      <c r="AP40" s="179"/>
      <c r="AQ40" s="180"/>
      <c r="AR40" s="180"/>
      <c r="AS40" s="181"/>
      <c r="AT40" s="182">
        <f t="shared" si="131"/>
        <v>0</v>
      </c>
      <c r="AU40" s="179">
        <v>454</v>
      </c>
      <c r="AV40" s="180"/>
      <c r="AW40" s="180"/>
      <c r="AX40" s="181"/>
      <c r="AY40" s="182">
        <f t="shared" si="132"/>
        <v>454</v>
      </c>
      <c r="AZ40" s="179">
        <v>390</v>
      </c>
      <c r="BA40" s="180"/>
      <c r="BB40" s="180"/>
      <c r="BC40" s="181"/>
      <c r="BD40" s="182">
        <f t="shared" si="133"/>
        <v>390</v>
      </c>
      <c r="BE40" s="179"/>
      <c r="BF40" s="180"/>
      <c r="BG40" s="180"/>
      <c r="BH40" s="181"/>
      <c r="BI40" s="182">
        <f t="shared" si="134"/>
        <v>0</v>
      </c>
      <c r="BJ40" s="179"/>
      <c r="BK40" s="180"/>
      <c r="BL40" s="180"/>
      <c r="BM40" s="181"/>
      <c r="BN40" s="182">
        <f t="shared" si="135"/>
        <v>0</v>
      </c>
      <c r="BO40" s="184">
        <f t="shared" si="56"/>
        <v>1579</v>
      </c>
      <c r="BP40" s="180">
        <f t="shared" si="57"/>
        <v>0</v>
      </c>
      <c r="BQ40" s="180">
        <f t="shared" si="58"/>
        <v>0</v>
      </c>
      <c r="BR40" s="181">
        <f t="shared" si="59"/>
        <v>0</v>
      </c>
      <c r="BS40" s="183">
        <f t="shared" si="136"/>
        <v>1579</v>
      </c>
    </row>
    <row r="41" spans="2:71" x14ac:dyDescent="0.3">
      <c r="B41" s="269"/>
      <c r="C41" s="230"/>
      <c r="D41" s="233"/>
      <c r="E41" s="239"/>
      <c r="F41" s="178" t="s">
        <v>317</v>
      </c>
      <c r="G41" s="179"/>
      <c r="H41" s="180"/>
      <c r="I41" s="180"/>
      <c r="J41" s="181"/>
      <c r="K41" s="182">
        <f t="shared" si="124"/>
        <v>0</v>
      </c>
      <c r="L41" s="179"/>
      <c r="M41" s="180"/>
      <c r="N41" s="180"/>
      <c r="O41" s="181"/>
      <c r="P41" s="182">
        <f t="shared" si="125"/>
        <v>0</v>
      </c>
      <c r="Q41" s="179"/>
      <c r="R41" s="180"/>
      <c r="S41" s="180"/>
      <c r="T41" s="181"/>
      <c r="U41" s="182">
        <f t="shared" si="126"/>
        <v>0</v>
      </c>
      <c r="V41" s="179"/>
      <c r="W41" s="180"/>
      <c r="X41" s="180"/>
      <c r="Y41" s="181"/>
      <c r="Z41" s="182">
        <f t="shared" si="127"/>
        <v>0</v>
      </c>
      <c r="AA41" s="179">
        <v>1416</v>
      </c>
      <c r="AB41" s="180"/>
      <c r="AC41" s="180"/>
      <c r="AD41" s="181"/>
      <c r="AE41" s="182">
        <f t="shared" si="128"/>
        <v>1416</v>
      </c>
      <c r="AF41" s="179">
        <v>1709</v>
      </c>
      <c r="AG41" s="180"/>
      <c r="AH41" s="180"/>
      <c r="AI41" s="181"/>
      <c r="AJ41" s="182">
        <f t="shared" si="129"/>
        <v>1709</v>
      </c>
      <c r="AK41" s="179">
        <v>92</v>
      </c>
      <c r="AL41" s="180"/>
      <c r="AM41" s="180"/>
      <c r="AN41" s="181"/>
      <c r="AO41" s="182">
        <f t="shared" si="130"/>
        <v>92</v>
      </c>
      <c r="AP41" s="179"/>
      <c r="AQ41" s="180"/>
      <c r="AR41" s="180"/>
      <c r="AS41" s="181"/>
      <c r="AT41" s="182">
        <f t="shared" si="131"/>
        <v>0</v>
      </c>
      <c r="AU41" s="179">
        <v>1679</v>
      </c>
      <c r="AV41" s="180"/>
      <c r="AW41" s="180"/>
      <c r="AX41" s="181"/>
      <c r="AY41" s="182">
        <f t="shared" si="132"/>
        <v>1679</v>
      </c>
      <c r="AZ41" s="179">
        <v>2039</v>
      </c>
      <c r="BA41" s="180"/>
      <c r="BB41" s="180"/>
      <c r="BC41" s="181"/>
      <c r="BD41" s="182">
        <f t="shared" si="133"/>
        <v>2039</v>
      </c>
      <c r="BE41" s="179"/>
      <c r="BF41" s="180"/>
      <c r="BG41" s="180"/>
      <c r="BH41" s="181"/>
      <c r="BI41" s="182">
        <f t="shared" si="134"/>
        <v>0</v>
      </c>
      <c r="BJ41" s="179"/>
      <c r="BK41" s="180"/>
      <c r="BL41" s="180"/>
      <c r="BM41" s="181"/>
      <c r="BN41" s="182">
        <f t="shared" si="135"/>
        <v>0</v>
      </c>
      <c r="BO41" s="184">
        <f t="shared" si="56"/>
        <v>6935</v>
      </c>
      <c r="BP41" s="180">
        <f t="shared" si="57"/>
        <v>0</v>
      </c>
      <c r="BQ41" s="180">
        <f t="shared" si="58"/>
        <v>0</v>
      </c>
      <c r="BR41" s="181">
        <f t="shared" si="59"/>
        <v>0</v>
      </c>
      <c r="BS41" s="183">
        <f t="shared" si="136"/>
        <v>6935</v>
      </c>
    </row>
    <row r="42" spans="2:71" x14ac:dyDescent="0.3">
      <c r="B42" s="269"/>
      <c r="C42" s="230"/>
      <c r="D42" s="233"/>
      <c r="E42" s="239"/>
      <c r="F42" s="185" t="s">
        <v>318</v>
      </c>
      <c r="G42" s="186"/>
      <c r="H42" s="187"/>
      <c r="I42" s="187"/>
      <c r="J42" s="188"/>
      <c r="K42" s="189">
        <f t="shared" ref="K42" si="137">SUM(G42:J42)</f>
        <v>0</v>
      </c>
      <c r="L42" s="186"/>
      <c r="M42" s="187"/>
      <c r="N42" s="187"/>
      <c r="O42" s="188"/>
      <c r="P42" s="189">
        <f t="shared" ref="P42" si="138">SUM(L42:O42)</f>
        <v>0</v>
      </c>
      <c r="Q42" s="186"/>
      <c r="R42" s="187"/>
      <c r="S42" s="187"/>
      <c r="T42" s="188"/>
      <c r="U42" s="189">
        <f t="shared" ref="U42" si="139">SUM(Q42:T42)</f>
        <v>0</v>
      </c>
      <c r="V42" s="186"/>
      <c r="W42" s="187"/>
      <c r="X42" s="187"/>
      <c r="Y42" s="188"/>
      <c r="Z42" s="189">
        <f t="shared" ref="Z42" si="140">SUM(V42:Y42)</f>
        <v>0</v>
      </c>
      <c r="AA42" s="186">
        <v>273</v>
      </c>
      <c r="AB42" s="187"/>
      <c r="AC42" s="187"/>
      <c r="AD42" s="188"/>
      <c r="AE42" s="189">
        <f t="shared" ref="AE42" si="141">SUM(AA42:AD42)</f>
        <v>273</v>
      </c>
      <c r="AF42" s="186">
        <v>344</v>
      </c>
      <c r="AG42" s="187"/>
      <c r="AH42" s="187"/>
      <c r="AI42" s="188"/>
      <c r="AJ42" s="189">
        <f t="shared" ref="AJ42" si="142">SUM(AF42:AI42)</f>
        <v>344</v>
      </c>
      <c r="AK42" s="186">
        <v>27</v>
      </c>
      <c r="AL42" s="187"/>
      <c r="AM42" s="187"/>
      <c r="AN42" s="188"/>
      <c r="AO42" s="189">
        <f t="shared" ref="AO42" si="143">SUM(AK42:AN42)</f>
        <v>27</v>
      </c>
      <c r="AP42" s="186"/>
      <c r="AQ42" s="187"/>
      <c r="AR42" s="187"/>
      <c r="AS42" s="188"/>
      <c r="AT42" s="189">
        <f t="shared" ref="AT42" si="144">SUM(AP42:AS42)</f>
        <v>0</v>
      </c>
      <c r="AU42" s="186">
        <v>415</v>
      </c>
      <c r="AV42" s="187"/>
      <c r="AW42" s="187"/>
      <c r="AX42" s="188"/>
      <c r="AY42" s="189">
        <f t="shared" ref="AY42" si="145">SUM(AU42:AX42)</f>
        <v>415</v>
      </c>
      <c r="AZ42" s="186">
        <v>351</v>
      </c>
      <c r="BA42" s="187"/>
      <c r="BB42" s="187"/>
      <c r="BC42" s="188"/>
      <c r="BD42" s="189">
        <f t="shared" ref="BD42" si="146">SUM(AZ42:BC42)</f>
        <v>351</v>
      </c>
      <c r="BE42" s="186"/>
      <c r="BF42" s="187"/>
      <c r="BG42" s="187"/>
      <c r="BH42" s="188"/>
      <c r="BI42" s="189">
        <f t="shared" ref="BI42" si="147">SUM(BE42:BH42)</f>
        <v>0</v>
      </c>
      <c r="BJ42" s="186"/>
      <c r="BK42" s="187"/>
      <c r="BL42" s="187"/>
      <c r="BM42" s="188"/>
      <c r="BN42" s="189">
        <f t="shared" ref="BN42" si="148">SUM(BJ42:BM42)</f>
        <v>0</v>
      </c>
      <c r="BO42" s="191">
        <f t="shared" si="56"/>
        <v>1410</v>
      </c>
      <c r="BP42" s="187">
        <f t="shared" si="57"/>
        <v>0</v>
      </c>
      <c r="BQ42" s="187">
        <f t="shared" si="58"/>
        <v>0</v>
      </c>
      <c r="BR42" s="188">
        <f t="shared" si="59"/>
        <v>0</v>
      </c>
      <c r="BS42" s="190">
        <f t="shared" ref="BS42" si="149">SUM(BO42:BR42)</f>
        <v>1410</v>
      </c>
    </row>
    <row r="43" spans="2:71" x14ac:dyDescent="0.3">
      <c r="B43" s="269"/>
      <c r="C43" s="230"/>
      <c r="D43" s="233"/>
      <c r="E43" s="240"/>
      <c r="F43" s="125" t="s">
        <v>55</v>
      </c>
      <c r="G43" s="126">
        <f>SUM(G23:G42)</f>
        <v>1322</v>
      </c>
      <c r="H43" s="127">
        <f>SUM(H23:H42)</f>
        <v>0</v>
      </c>
      <c r="I43" s="127">
        <f>SUM(I23:I42)</f>
        <v>0</v>
      </c>
      <c r="J43" s="128">
        <f>SUM(J23:J42)</f>
        <v>0</v>
      </c>
      <c r="K43" s="129">
        <f t="shared" si="0"/>
        <v>1322</v>
      </c>
      <c r="L43" s="126">
        <f>SUM(L23:L42)</f>
        <v>2088</v>
      </c>
      <c r="M43" s="127">
        <f>SUM(M23:M42)</f>
        <v>0</v>
      </c>
      <c r="N43" s="127">
        <f>SUM(N23:N42)</f>
        <v>0</v>
      </c>
      <c r="O43" s="128">
        <f>SUM(O23:O42)</f>
        <v>0</v>
      </c>
      <c r="P43" s="129">
        <f t="shared" ref="P43:P89" si="150">SUM(L43:O43)</f>
        <v>2088</v>
      </c>
      <c r="Q43" s="126">
        <f>SUM(Q23:Q42)</f>
        <v>762</v>
      </c>
      <c r="R43" s="127">
        <f>SUM(R23:R42)</f>
        <v>0</v>
      </c>
      <c r="S43" s="127">
        <f>SUM(S23:S42)</f>
        <v>0</v>
      </c>
      <c r="T43" s="128">
        <f>SUM(T23:T42)</f>
        <v>0</v>
      </c>
      <c r="U43" s="129">
        <f t="shared" ref="U43:U89" si="151">SUM(Q43:T43)</f>
        <v>762</v>
      </c>
      <c r="V43" s="126">
        <f>SUM(V23:V42)</f>
        <v>932</v>
      </c>
      <c r="W43" s="127">
        <f>SUM(W23:W42)</f>
        <v>0</v>
      </c>
      <c r="X43" s="127">
        <f>SUM(X23:X42)</f>
        <v>0</v>
      </c>
      <c r="Y43" s="128">
        <f>SUM(Y23:Y42)</f>
        <v>0</v>
      </c>
      <c r="Z43" s="129">
        <f t="shared" ref="Z43:Z89" si="152">SUM(V43:Y43)</f>
        <v>932</v>
      </c>
      <c r="AA43" s="126">
        <f>SUM(AA23:AA42)</f>
        <v>13549</v>
      </c>
      <c r="AB43" s="127">
        <f>SUM(AB23:AB42)</f>
        <v>0</v>
      </c>
      <c r="AC43" s="127">
        <f>SUM(AC23:AC42)</f>
        <v>0</v>
      </c>
      <c r="AD43" s="128">
        <f>SUM(AD23:AD42)</f>
        <v>0</v>
      </c>
      <c r="AE43" s="129">
        <f t="shared" ref="AE43:AE89" si="153">SUM(AA43:AD43)</f>
        <v>13549</v>
      </c>
      <c r="AF43" s="126">
        <f>SUM(AF23:AF42)</f>
        <v>15780</v>
      </c>
      <c r="AG43" s="127">
        <f>SUM(AG23:AG42)</f>
        <v>0</v>
      </c>
      <c r="AH43" s="127">
        <f>SUM(AH23:AH42)</f>
        <v>0</v>
      </c>
      <c r="AI43" s="128">
        <f>SUM(AI23:AI42)</f>
        <v>0</v>
      </c>
      <c r="AJ43" s="129">
        <f t="shared" ref="AJ43:AJ89" si="154">SUM(AF43:AI43)</f>
        <v>15780</v>
      </c>
      <c r="AK43" s="126">
        <f>SUM(AK23:AK42)</f>
        <v>2082</v>
      </c>
      <c r="AL43" s="127">
        <f>SUM(AL23:AL42)</f>
        <v>0</v>
      </c>
      <c r="AM43" s="127">
        <f>SUM(AM23:AM42)</f>
        <v>0</v>
      </c>
      <c r="AN43" s="128">
        <f>SUM(AN23:AN42)</f>
        <v>0</v>
      </c>
      <c r="AO43" s="129">
        <f t="shared" ref="AO43:AO89" si="155">SUM(AK43:AN43)</f>
        <v>2082</v>
      </c>
      <c r="AP43" s="126">
        <f>SUM(AP23:AP42)</f>
        <v>1965</v>
      </c>
      <c r="AQ43" s="127">
        <f>SUM(AQ23:AQ42)</f>
        <v>0</v>
      </c>
      <c r="AR43" s="127">
        <f>SUM(AR23:AR42)</f>
        <v>0</v>
      </c>
      <c r="AS43" s="128">
        <f>SUM(AS23:AS42)</f>
        <v>0</v>
      </c>
      <c r="AT43" s="129">
        <f t="shared" ref="AT43:AT89" si="156">SUM(AP43:AS43)</f>
        <v>1965</v>
      </c>
      <c r="AU43" s="126">
        <f>SUM(AU23:AU42)</f>
        <v>16328</v>
      </c>
      <c r="AV43" s="127">
        <f>SUM(AV23:AV42)</f>
        <v>0</v>
      </c>
      <c r="AW43" s="127">
        <f>SUM(AW23:AW42)</f>
        <v>0</v>
      </c>
      <c r="AX43" s="128">
        <f>SUM(AX23:AX42)</f>
        <v>0</v>
      </c>
      <c r="AY43" s="129">
        <f t="shared" ref="AY43:AY89" si="157">SUM(AU43:AX43)</f>
        <v>16328</v>
      </c>
      <c r="AZ43" s="126">
        <f>SUM(AZ23:AZ42)</f>
        <v>16442</v>
      </c>
      <c r="BA43" s="127">
        <f>SUM(BA23:BA42)</f>
        <v>0</v>
      </c>
      <c r="BB43" s="127">
        <f>SUM(BB23:BB42)</f>
        <v>0</v>
      </c>
      <c r="BC43" s="128">
        <f>SUM(BC23:BC42)</f>
        <v>0</v>
      </c>
      <c r="BD43" s="129">
        <f t="shared" ref="BD43:BD89" si="158">SUM(AZ43:BC43)</f>
        <v>16442</v>
      </c>
      <c r="BE43" s="126">
        <f>SUM(BE23:BE42)</f>
        <v>408</v>
      </c>
      <c r="BF43" s="127">
        <f>SUM(BF23:BF42)</f>
        <v>0</v>
      </c>
      <c r="BG43" s="127">
        <f>SUM(BG23:BG42)</f>
        <v>0</v>
      </c>
      <c r="BH43" s="128">
        <f>SUM(BH23:BH42)</f>
        <v>0</v>
      </c>
      <c r="BI43" s="129">
        <f t="shared" ref="BI43:BI89" si="159">SUM(BE43:BH43)</f>
        <v>408</v>
      </c>
      <c r="BJ43" s="126">
        <f>SUM(BJ23:BJ42)</f>
        <v>1610</v>
      </c>
      <c r="BK43" s="127">
        <f>SUM(BK23:BK42)</f>
        <v>0</v>
      </c>
      <c r="BL43" s="127">
        <f>SUM(BL23:BL42)</f>
        <v>0</v>
      </c>
      <c r="BM43" s="128">
        <f>SUM(BM23:BM42)</f>
        <v>0</v>
      </c>
      <c r="BN43" s="129">
        <f t="shared" ref="BN43:BN89" si="160">SUM(BJ43:BM43)</f>
        <v>1610</v>
      </c>
      <c r="BO43" s="131">
        <f>SUM(BO23:BO42)</f>
        <v>73268</v>
      </c>
      <c r="BP43" s="127">
        <f>SUM(BP23:BP42)</f>
        <v>0</v>
      </c>
      <c r="BQ43" s="127">
        <f>SUM(BQ23:BQ42)</f>
        <v>0</v>
      </c>
      <c r="BR43" s="128">
        <f>SUM(BR23:BR42)</f>
        <v>0</v>
      </c>
      <c r="BS43" s="130">
        <f t="shared" si="13"/>
        <v>73268</v>
      </c>
    </row>
    <row r="44" spans="2:71" x14ac:dyDescent="0.3">
      <c r="B44" s="269"/>
      <c r="C44" s="230"/>
      <c r="D44" s="233"/>
      <c r="E44" s="241" t="s">
        <v>43</v>
      </c>
      <c r="F44" s="120" t="s">
        <v>49</v>
      </c>
      <c r="G44" s="30">
        <v>406</v>
      </c>
      <c r="H44" s="7"/>
      <c r="I44" s="7"/>
      <c r="J44" s="8"/>
      <c r="K44" s="9">
        <f t="shared" si="0"/>
        <v>406</v>
      </c>
      <c r="L44" s="30">
        <v>728</v>
      </c>
      <c r="M44" s="7"/>
      <c r="N44" s="7"/>
      <c r="O44" s="8"/>
      <c r="P44" s="9">
        <f t="shared" si="150"/>
        <v>728</v>
      </c>
      <c r="Q44" s="30"/>
      <c r="R44" s="7"/>
      <c r="S44" s="7"/>
      <c r="T44" s="8"/>
      <c r="U44" s="9">
        <f t="shared" si="151"/>
        <v>0</v>
      </c>
      <c r="V44" s="30"/>
      <c r="W44" s="7"/>
      <c r="X44" s="7"/>
      <c r="Y44" s="8"/>
      <c r="Z44" s="9">
        <f t="shared" si="152"/>
        <v>0</v>
      </c>
      <c r="AA44" s="30">
        <v>357</v>
      </c>
      <c r="AB44" s="7"/>
      <c r="AC44" s="7"/>
      <c r="AD44" s="8"/>
      <c r="AE44" s="9">
        <f t="shared" si="153"/>
        <v>357</v>
      </c>
      <c r="AF44" s="30">
        <v>735</v>
      </c>
      <c r="AG44" s="7"/>
      <c r="AH44" s="7"/>
      <c r="AI44" s="8"/>
      <c r="AJ44" s="9">
        <f t="shared" si="154"/>
        <v>735</v>
      </c>
      <c r="AK44" s="30">
        <v>303</v>
      </c>
      <c r="AL44" s="7"/>
      <c r="AM44" s="7"/>
      <c r="AN44" s="8"/>
      <c r="AO44" s="9">
        <f t="shared" si="155"/>
        <v>303</v>
      </c>
      <c r="AP44" s="30">
        <v>480</v>
      </c>
      <c r="AQ44" s="7"/>
      <c r="AR44" s="7"/>
      <c r="AS44" s="8"/>
      <c r="AT44" s="9">
        <f t="shared" si="156"/>
        <v>480</v>
      </c>
      <c r="AU44" s="30">
        <v>340</v>
      </c>
      <c r="AV44" s="7"/>
      <c r="AW44" s="7"/>
      <c r="AX44" s="8"/>
      <c r="AY44" s="9">
        <f t="shared" si="157"/>
        <v>340</v>
      </c>
      <c r="AZ44" s="30"/>
      <c r="BA44" s="7"/>
      <c r="BB44" s="7"/>
      <c r="BC44" s="8"/>
      <c r="BD44" s="9">
        <f t="shared" si="158"/>
        <v>0</v>
      </c>
      <c r="BE44" s="30"/>
      <c r="BF44" s="7"/>
      <c r="BG44" s="7"/>
      <c r="BH44" s="8"/>
      <c r="BI44" s="9">
        <f t="shared" si="159"/>
        <v>0</v>
      </c>
      <c r="BJ44" s="30">
        <v>390</v>
      </c>
      <c r="BK44" s="7"/>
      <c r="BL44" s="7"/>
      <c r="BM44" s="8"/>
      <c r="BN44" s="9">
        <f t="shared" si="160"/>
        <v>390</v>
      </c>
      <c r="BO44" s="65">
        <f t="shared" ref="BO44:BO55" si="161">SUM(G44,L44,Q44,V44,AA44,AF44,AK44,AP44,AU44,AZ44,BE44,BJ44)</f>
        <v>3739</v>
      </c>
      <c r="BP44" s="7">
        <f t="shared" ref="BP44:BP55" si="162">SUM(H44,M44,R44,W44,AB44,AG44,AL44,AQ44,AV44,BA44,BF44,BK44)</f>
        <v>0</v>
      </c>
      <c r="BQ44" s="7">
        <f t="shared" ref="BQ44:BQ55" si="163">SUM(I44,N44,S44,X44,AC44,AH44,AM44,AR44,AW44,BB44,BG44,BL44)</f>
        <v>0</v>
      </c>
      <c r="BR44" s="8">
        <f t="shared" ref="BR44:BR55" si="164">SUM(J44,O44,T44,Y44,AD44,AI44,AN44,AS44,AX44,BC44,BH44,BM44)</f>
        <v>0</v>
      </c>
      <c r="BS44" s="31">
        <f t="shared" si="13"/>
        <v>3739</v>
      </c>
    </row>
    <row r="45" spans="2:71" x14ac:dyDescent="0.3">
      <c r="B45" s="269"/>
      <c r="C45" s="230"/>
      <c r="D45" s="233"/>
      <c r="E45" s="239"/>
      <c r="F45" s="121" t="s">
        <v>50</v>
      </c>
      <c r="G45" s="32">
        <v>24</v>
      </c>
      <c r="H45" s="13"/>
      <c r="I45" s="13"/>
      <c r="J45" s="14"/>
      <c r="K45" s="15">
        <f t="shared" si="0"/>
        <v>24</v>
      </c>
      <c r="L45" s="32">
        <v>53</v>
      </c>
      <c r="M45" s="13"/>
      <c r="N45" s="13"/>
      <c r="O45" s="14"/>
      <c r="P45" s="15">
        <f t="shared" si="150"/>
        <v>53</v>
      </c>
      <c r="Q45" s="32"/>
      <c r="R45" s="13"/>
      <c r="S45" s="13"/>
      <c r="T45" s="14"/>
      <c r="U45" s="15">
        <f t="shared" si="151"/>
        <v>0</v>
      </c>
      <c r="V45" s="32"/>
      <c r="W45" s="13"/>
      <c r="X45" s="13"/>
      <c r="Y45" s="14"/>
      <c r="Z45" s="15">
        <f t="shared" si="152"/>
        <v>0</v>
      </c>
      <c r="AA45" s="32">
        <v>84</v>
      </c>
      <c r="AB45" s="13"/>
      <c r="AC45" s="13"/>
      <c r="AD45" s="14"/>
      <c r="AE45" s="15">
        <f t="shared" si="153"/>
        <v>84</v>
      </c>
      <c r="AF45" s="32">
        <v>215</v>
      </c>
      <c r="AG45" s="13"/>
      <c r="AH45" s="13"/>
      <c r="AI45" s="14"/>
      <c r="AJ45" s="15">
        <f t="shared" si="154"/>
        <v>215</v>
      </c>
      <c r="AK45" s="32">
        <v>114</v>
      </c>
      <c r="AL45" s="13"/>
      <c r="AM45" s="13"/>
      <c r="AN45" s="14"/>
      <c r="AO45" s="15">
        <f t="shared" si="155"/>
        <v>114</v>
      </c>
      <c r="AP45" s="32">
        <v>261</v>
      </c>
      <c r="AQ45" s="13"/>
      <c r="AR45" s="13"/>
      <c r="AS45" s="14"/>
      <c r="AT45" s="15">
        <f t="shared" si="156"/>
        <v>261</v>
      </c>
      <c r="AU45" s="32">
        <v>118</v>
      </c>
      <c r="AV45" s="13"/>
      <c r="AW45" s="13"/>
      <c r="AX45" s="14"/>
      <c r="AY45" s="15">
        <f t="shared" si="157"/>
        <v>118</v>
      </c>
      <c r="AZ45" s="32"/>
      <c r="BA45" s="13"/>
      <c r="BB45" s="13"/>
      <c r="BC45" s="14"/>
      <c r="BD45" s="15">
        <f t="shared" si="158"/>
        <v>0</v>
      </c>
      <c r="BE45" s="32"/>
      <c r="BF45" s="13"/>
      <c r="BG45" s="13"/>
      <c r="BH45" s="14"/>
      <c r="BI45" s="15">
        <f t="shared" si="159"/>
        <v>0</v>
      </c>
      <c r="BJ45" s="32">
        <v>69</v>
      </c>
      <c r="BK45" s="13"/>
      <c r="BL45" s="13"/>
      <c r="BM45" s="14"/>
      <c r="BN45" s="15">
        <f t="shared" si="160"/>
        <v>69</v>
      </c>
      <c r="BO45" s="66">
        <f t="shared" si="161"/>
        <v>938</v>
      </c>
      <c r="BP45" s="13">
        <f t="shared" si="162"/>
        <v>0</v>
      </c>
      <c r="BQ45" s="13">
        <f t="shared" si="163"/>
        <v>0</v>
      </c>
      <c r="BR45" s="14">
        <f t="shared" si="164"/>
        <v>0</v>
      </c>
      <c r="BS45" s="33">
        <f t="shared" si="13"/>
        <v>938</v>
      </c>
    </row>
    <row r="46" spans="2:71" x14ac:dyDescent="0.3">
      <c r="B46" s="269"/>
      <c r="C46" s="230"/>
      <c r="D46" s="233"/>
      <c r="E46" s="239"/>
      <c r="F46" s="121" t="s">
        <v>51</v>
      </c>
      <c r="G46" s="32">
        <v>267</v>
      </c>
      <c r="H46" s="13"/>
      <c r="I46" s="13"/>
      <c r="J46" s="14"/>
      <c r="K46" s="15">
        <f t="shared" si="0"/>
        <v>267</v>
      </c>
      <c r="L46" s="32">
        <v>452</v>
      </c>
      <c r="M46" s="13"/>
      <c r="N46" s="13"/>
      <c r="O46" s="14"/>
      <c r="P46" s="15">
        <f t="shared" si="150"/>
        <v>452</v>
      </c>
      <c r="Q46" s="32"/>
      <c r="R46" s="13"/>
      <c r="S46" s="13"/>
      <c r="T46" s="14"/>
      <c r="U46" s="15">
        <f t="shared" si="151"/>
        <v>0</v>
      </c>
      <c r="V46" s="32"/>
      <c r="W46" s="13"/>
      <c r="X46" s="13"/>
      <c r="Y46" s="14"/>
      <c r="Z46" s="15">
        <f t="shared" si="152"/>
        <v>0</v>
      </c>
      <c r="AA46" s="32"/>
      <c r="AB46" s="13"/>
      <c r="AC46" s="13"/>
      <c r="AD46" s="14"/>
      <c r="AE46" s="15">
        <f t="shared" si="153"/>
        <v>0</v>
      </c>
      <c r="AF46" s="32">
        <v>486</v>
      </c>
      <c r="AG46" s="13"/>
      <c r="AH46" s="13"/>
      <c r="AI46" s="14"/>
      <c r="AJ46" s="15">
        <f t="shared" si="154"/>
        <v>486</v>
      </c>
      <c r="AK46" s="32">
        <v>202</v>
      </c>
      <c r="AL46" s="13"/>
      <c r="AM46" s="13"/>
      <c r="AN46" s="14"/>
      <c r="AO46" s="15">
        <f t="shared" si="155"/>
        <v>202</v>
      </c>
      <c r="AP46" s="32">
        <v>360</v>
      </c>
      <c r="AQ46" s="13"/>
      <c r="AR46" s="13"/>
      <c r="AS46" s="14"/>
      <c r="AT46" s="15">
        <f t="shared" si="156"/>
        <v>360</v>
      </c>
      <c r="AU46" s="32"/>
      <c r="AV46" s="13"/>
      <c r="AW46" s="13"/>
      <c r="AX46" s="14"/>
      <c r="AY46" s="15">
        <f t="shared" si="157"/>
        <v>0</v>
      </c>
      <c r="AZ46" s="32"/>
      <c r="BA46" s="13"/>
      <c r="BB46" s="13"/>
      <c r="BC46" s="14"/>
      <c r="BD46" s="15">
        <f t="shared" si="158"/>
        <v>0</v>
      </c>
      <c r="BE46" s="32"/>
      <c r="BF46" s="13"/>
      <c r="BG46" s="13"/>
      <c r="BH46" s="14"/>
      <c r="BI46" s="15">
        <f t="shared" si="159"/>
        <v>0</v>
      </c>
      <c r="BJ46" s="32">
        <v>271</v>
      </c>
      <c r="BK46" s="13"/>
      <c r="BL46" s="13"/>
      <c r="BM46" s="14"/>
      <c r="BN46" s="15">
        <f t="shared" si="160"/>
        <v>271</v>
      </c>
      <c r="BO46" s="66">
        <f t="shared" si="161"/>
        <v>2038</v>
      </c>
      <c r="BP46" s="13">
        <f t="shared" si="162"/>
        <v>0</v>
      </c>
      <c r="BQ46" s="13">
        <f t="shared" si="163"/>
        <v>0</v>
      </c>
      <c r="BR46" s="14">
        <f t="shared" si="164"/>
        <v>0</v>
      </c>
      <c r="BS46" s="33">
        <f t="shared" si="13"/>
        <v>2038</v>
      </c>
    </row>
    <row r="47" spans="2:71" x14ac:dyDescent="0.3">
      <c r="B47" s="269"/>
      <c r="C47" s="230"/>
      <c r="D47" s="233"/>
      <c r="E47" s="239"/>
      <c r="F47" s="121" t="s">
        <v>52</v>
      </c>
      <c r="G47" s="32">
        <v>16</v>
      </c>
      <c r="H47" s="13"/>
      <c r="I47" s="13"/>
      <c r="J47" s="14"/>
      <c r="K47" s="15">
        <f t="shared" si="0"/>
        <v>16</v>
      </c>
      <c r="L47" s="32">
        <v>39</v>
      </c>
      <c r="M47" s="13"/>
      <c r="N47" s="13"/>
      <c r="O47" s="14"/>
      <c r="P47" s="15">
        <f t="shared" si="150"/>
        <v>39</v>
      </c>
      <c r="Q47" s="32"/>
      <c r="R47" s="13"/>
      <c r="S47" s="13"/>
      <c r="T47" s="14"/>
      <c r="U47" s="15">
        <f t="shared" si="151"/>
        <v>0</v>
      </c>
      <c r="V47" s="32"/>
      <c r="W47" s="13"/>
      <c r="X47" s="13"/>
      <c r="Y47" s="14"/>
      <c r="Z47" s="15">
        <f t="shared" si="152"/>
        <v>0</v>
      </c>
      <c r="AA47" s="32"/>
      <c r="AB47" s="13"/>
      <c r="AC47" s="13"/>
      <c r="AD47" s="14"/>
      <c r="AE47" s="15">
        <f t="shared" si="153"/>
        <v>0</v>
      </c>
      <c r="AF47" s="32">
        <v>159</v>
      </c>
      <c r="AG47" s="13"/>
      <c r="AH47" s="13"/>
      <c r="AI47" s="14"/>
      <c r="AJ47" s="15">
        <f t="shared" si="154"/>
        <v>159</v>
      </c>
      <c r="AK47" s="32">
        <v>76</v>
      </c>
      <c r="AL47" s="13"/>
      <c r="AM47" s="13"/>
      <c r="AN47" s="14"/>
      <c r="AO47" s="15">
        <f t="shared" si="155"/>
        <v>76</v>
      </c>
      <c r="AP47" s="32">
        <v>190</v>
      </c>
      <c r="AQ47" s="13"/>
      <c r="AR47" s="13"/>
      <c r="AS47" s="14"/>
      <c r="AT47" s="15">
        <f t="shared" si="156"/>
        <v>190</v>
      </c>
      <c r="AU47" s="32"/>
      <c r="AV47" s="13"/>
      <c r="AW47" s="13"/>
      <c r="AX47" s="14"/>
      <c r="AY47" s="15">
        <f t="shared" si="157"/>
        <v>0</v>
      </c>
      <c r="AZ47" s="32"/>
      <c r="BA47" s="13"/>
      <c r="BB47" s="13"/>
      <c r="BC47" s="14"/>
      <c r="BD47" s="15">
        <f t="shared" si="158"/>
        <v>0</v>
      </c>
      <c r="BE47" s="32"/>
      <c r="BF47" s="13"/>
      <c r="BG47" s="13"/>
      <c r="BH47" s="14"/>
      <c r="BI47" s="15">
        <f t="shared" si="159"/>
        <v>0</v>
      </c>
      <c r="BJ47" s="32">
        <v>56</v>
      </c>
      <c r="BK47" s="13"/>
      <c r="BL47" s="13"/>
      <c r="BM47" s="14"/>
      <c r="BN47" s="15">
        <f t="shared" si="160"/>
        <v>56</v>
      </c>
      <c r="BO47" s="66">
        <f t="shared" si="161"/>
        <v>536</v>
      </c>
      <c r="BP47" s="13">
        <f t="shared" si="162"/>
        <v>0</v>
      </c>
      <c r="BQ47" s="13">
        <f t="shared" si="163"/>
        <v>0</v>
      </c>
      <c r="BR47" s="14">
        <f t="shared" si="164"/>
        <v>0</v>
      </c>
      <c r="BS47" s="33">
        <f t="shared" si="13"/>
        <v>536</v>
      </c>
    </row>
    <row r="48" spans="2:71" x14ac:dyDescent="0.3">
      <c r="B48" s="269"/>
      <c r="C48" s="230"/>
      <c r="D48" s="233"/>
      <c r="E48" s="239"/>
      <c r="F48" s="121" t="s">
        <v>129</v>
      </c>
      <c r="G48" s="32"/>
      <c r="H48" s="13"/>
      <c r="I48" s="13"/>
      <c r="J48" s="14"/>
      <c r="K48" s="15">
        <f t="shared" ref="K48:K51" si="165">SUM(G48:J48)</f>
        <v>0</v>
      </c>
      <c r="L48" s="32"/>
      <c r="M48" s="13"/>
      <c r="N48" s="13"/>
      <c r="O48" s="14"/>
      <c r="P48" s="15">
        <f t="shared" ref="P48:P51" si="166">SUM(L48:O48)</f>
        <v>0</v>
      </c>
      <c r="Q48" s="32">
        <v>5578</v>
      </c>
      <c r="R48" s="13"/>
      <c r="S48" s="13"/>
      <c r="T48" s="14"/>
      <c r="U48" s="15">
        <f t="shared" ref="U48:U51" si="167">SUM(Q48:T48)</f>
        <v>5578</v>
      </c>
      <c r="V48" s="32">
        <v>6914</v>
      </c>
      <c r="W48" s="13"/>
      <c r="X48" s="13"/>
      <c r="Y48" s="14"/>
      <c r="Z48" s="15">
        <f t="shared" ref="Z48:Z51" si="168">SUM(V48:Y48)</f>
        <v>6914</v>
      </c>
      <c r="AA48" s="32">
        <v>1353</v>
      </c>
      <c r="AB48" s="13"/>
      <c r="AC48" s="13"/>
      <c r="AD48" s="14"/>
      <c r="AE48" s="15">
        <f t="shared" ref="AE48:AE51" si="169">SUM(AA48:AD48)</f>
        <v>1353</v>
      </c>
      <c r="AF48" s="32"/>
      <c r="AG48" s="13"/>
      <c r="AH48" s="13"/>
      <c r="AI48" s="14"/>
      <c r="AJ48" s="15">
        <f t="shared" ref="AJ48:AJ51" si="170">SUM(AF48:AI48)</f>
        <v>0</v>
      </c>
      <c r="AK48" s="32"/>
      <c r="AL48" s="13"/>
      <c r="AM48" s="13"/>
      <c r="AN48" s="14"/>
      <c r="AO48" s="15">
        <f t="shared" ref="AO48:AO51" si="171">SUM(AK48:AN48)</f>
        <v>0</v>
      </c>
      <c r="AP48" s="32"/>
      <c r="AQ48" s="13"/>
      <c r="AR48" s="13"/>
      <c r="AS48" s="14"/>
      <c r="AT48" s="15">
        <f t="shared" ref="AT48:AT51" si="172">SUM(AP48:AS48)</f>
        <v>0</v>
      </c>
      <c r="AU48" s="32">
        <v>1215</v>
      </c>
      <c r="AV48" s="13"/>
      <c r="AW48" s="13"/>
      <c r="AX48" s="14"/>
      <c r="AY48" s="15">
        <f t="shared" ref="AY48:AY51" si="173">SUM(AU48:AX48)</f>
        <v>1215</v>
      </c>
      <c r="AZ48" s="32">
        <v>6014</v>
      </c>
      <c r="BA48" s="13"/>
      <c r="BB48" s="13"/>
      <c r="BC48" s="14"/>
      <c r="BD48" s="15">
        <f t="shared" ref="BD48:BD51" si="174">SUM(AZ48:BC48)</f>
        <v>6014</v>
      </c>
      <c r="BE48" s="32">
        <v>1906</v>
      </c>
      <c r="BF48" s="13"/>
      <c r="BG48" s="13"/>
      <c r="BH48" s="14"/>
      <c r="BI48" s="15">
        <f t="shared" ref="BI48:BI51" si="175">SUM(BE48:BH48)</f>
        <v>1906</v>
      </c>
      <c r="BJ48" s="32"/>
      <c r="BK48" s="13"/>
      <c r="BL48" s="13"/>
      <c r="BM48" s="14"/>
      <c r="BN48" s="15">
        <f t="shared" ref="BN48:BN51" si="176">SUM(BJ48:BM48)</f>
        <v>0</v>
      </c>
      <c r="BO48" s="66">
        <f t="shared" si="161"/>
        <v>22980</v>
      </c>
      <c r="BP48" s="13">
        <f t="shared" si="162"/>
        <v>0</v>
      </c>
      <c r="BQ48" s="13">
        <f t="shared" si="163"/>
        <v>0</v>
      </c>
      <c r="BR48" s="14">
        <f t="shared" si="164"/>
        <v>0</v>
      </c>
      <c r="BS48" s="33">
        <f t="shared" si="13"/>
        <v>22980</v>
      </c>
    </row>
    <row r="49" spans="2:71" x14ac:dyDescent="0.3">
      <c r="B49" s="269"/>
      <c r="C49" s="230"/>
      <c r="D49" s="233"/>
      <c r="E49" s="239"/>
      <c r="F49" s="121" t="s">
        <v>130</v>
      </c>
      <c r="G49" s="32"/>
      <c r="H49" s="13"/>
      <c r="I49" s="13"/>
      <c r="J49" s="14"/>
      <c r="K49" s="15">
        <f t="shared" si="165"/>
        <v>0</v>
      </c>
      <c r="L49" s="32"/>
      <c r="M49" s="13"/>
      <c r="N49" s="13"/>
      <c r="O49" s="14"/>
      <c r="P49" s="15">
        <f t="shared" si="166"/>
        <v>0</v>
      </c>
      <c r="Q49" s="32">
        <v>998</v>
      </c>
      <c r="R49" s="13"/>
      <c r="S49" s="13"/>
      <c r="T49" s="14"/>
      <c r="U49" s="15">
        <f t="shared" si="167"/>
        <v>998</v>
      </c>
      <c r="V49" s="32">
        <v>1672</v>
      </c>
      <c r="W49" s="13"/>
      <c r="X49" s="13"/>
      <c r="Y49" s="14"/>
      <c r="Z49" s="15">
        <f t="shared" si="168"/>
        <v>1672</v>
      </c>
      <c r="AA49" s="32">
        <v>276</v>
      </c>
      <c r="AB49" s="13"/>
      <c r="AC49" s="13"/>
      <c r="AD49" s="14"/>
      <c r="AE49" s="15">
        <f t="shared" si="169"/>
        <v>276</v>
      </c>
      <c r="AF49" s="32"/>
      <c r="AG49" s="13"/>
      <c r="AH49" s="13"/>
      <c r="AI49" s="14"/>
      <c r="AJ49" s="15">
        <f t="shared" si="170"/>
        <v>0</v>
      </c>
      <c r="AK49" s="32"/>
      <c r="AL49" s="13"/>
      <c r="AM49" s="13"/>
      <c r="AN49" s="14"/>
      <c r="AO49" s="15">
        <f t="shared" si="171"/>
        <v>0</v>
      </c>
      <c r="AP49" s="32"/>
      <c r="AQ49" s="13"/>
      <c r="AR49" s="13"/>
      <c r="AS49" s="14"/>
      <c r="AT49" s="15">
        <f t="shared" si="172"/>
        <v>0</v>
      </c>
      <c r="AU49" s="32">
        <v>353</v>
      </c>
      <c r="AV49" s="13"/>
      <c r="AW49" s="13"/>
      <c r="AX49" s="14"/>
      <c r="AY49" s="15">
        <f t="shared" si="173"/>
        <v>353</v>
      </c>
      <c r="AZ49" s="32">
        <v>1683</v>
      </c>
      <c r="BA49" s="13"/>
      <c r="BB49" s="13"/>
      <c r="BC49" s="14"/>
      <c r="BD49" s="15">
        <f t="shared" si="174"/>
        <v>1683</v>
      </c>
      <c r="BE49" s="32">
        <v>1346</v>
      </c>
      <c r="BF49" s="13"/>
      <c r="BG49" s="13"/>
      <c r="BH49" s="14"/>
      <c r="BI49" s="15">
        <f t="shared" si="175"/>
        <v>1346</v>
      </c>
      <c r="BJ49" s="32"/>
      <c r="BK49" s="13"/>
      <c r="BL49" s="13"/>
      <c r="BM49" s="14"/>
      <c r="BN49" s="15">
        <f t="shared" si="176"/>
        <v>0</v>
      </c>
      <c r="BO49" s="66">
        <f t="shared" si="161"/>
        <v>6328</v>
      </c>
      <c r="BP49" s="13">
        <f t="shared" si="162"/>
        <v>0</v>
      </c>
      <c r="BQ49" s="13">
        <f t="shared" si="163"/>
        <v>0</v>
      </c>
      <c r="BR49" s="14">
        <f t="shared" si="164"/>
        <v>0</v>
      </c>
      <c r="BS49" s="33">
        <f t="shared" si="13"/>
        <v>6328</v>
      </c>
    </row>
    <row r="50" spans="2:71" x14ac:dyDescent="0.3">
      <c r="B50" s="269"/>
      <c r="C50" s="230"/>
      <c r="D50" s="233"/>
      <c r="E50" s="239"/>
      <c r="F50" s="121" t="s">
        <v>141</v>
      </c>
      <c r="G50" s="32"/>
      <c r="H50" s="13"/>
      <c r="I50" s="13"/>
      <c r="J50" s="14"/>
      <c r="K50" s="15">
        <f t="shared" si="165"/>
        <v>0</v>
      </c>
      <c r="L50" s="32"/>
      <c r="M50" s="13"/>
      <c r="N50" s="13"/>
      <c r="O50" s="14"/>
      <c r="P50" s="15">
        <f t="shared" si="166"/>
        <v>0</v>
      </c>
      <c r="Q50" s="32">
        <v>4368</v>
      </c>
      <c r="R50" s="13"/>
      <c r="S50" s="13"/>
      <c r="T50" s="14"/>
      <c r="U50" s="15">
        <f t="shared" si="167"/>
        <v>4368</v>
      </c>
      <c r="V50" s="32">
        <v>5423</v>
      </c>
      <c r="W50" s="13"/>
      <c r="X50" s="13"/>
      <c r="Y50" s="14"/>
      <c r="Z50" s="15">
        <f t="shared" si="168"/>
        <v>5423</v>
      </c>
      <c r="AA50" s="32">
        <v>1017</v>
      </c>
      <c r="AB50" s="13"/>
      <c r="AC50" s="13"/>
      <c r="AD50" s="14"/>
      <c r="AE50" s="15">
        <f t="shared" si="169"/>
        <v>1017</v>
      </c>
      <c r="AF50" s="32"/>
      <c r="AG50" s="13"/>
      <c r="AH50" s="13"/>
      <c r="AI50" s="14"/>
      <c r="AJ50" s="15">
        <f t="shared" si="170"/>
        <v>0</v>
      </c>
      <c r="AK50" s="32"/>
      <c r="AL50" s="13"/>
      <c r="AM50" s="13"/>
      <c r="AN50" s="14"/>
      <c r="AO50" s="15">
        <f t="shared" si="171"/>
        <v>0</v>
      </c>
      <c r="AP50" s="32"/>
      <c r="AQ50" s="13"/>
      <c r="AR50" s="13"/>
      <c r="AS50" s="14"/>
      <c r="AT50" s="15">
        <f t="shared" si="172"/>
        <v>0</v>
      </c>
      <c r="AU50" s="32">
        <v>894</v>
      </c>
      <c r="AV50" s="13"/>
      <c r="AW50" s="13"/>
      <c r="AX50" s="14"/>
      <c r="AY50" s="15">
        <f t="shared" si="173"/>
        <v>894</v>
      </c>
      <c r="AZ50" s="32">
        <v>4425</v>
      </c>
      <c r="BA50" s="13"/>
      <c r="BB50" s="13"/>
      <c r="BC50" s="14"/>
      <c r="BD50" s="15">
        <f t="shared" si="174"/>
        <v>4425</v>
      </c>
      <c r="BE50" s="32">
        <v>567</v>
      </c>
      <c r="BF50" s="13"/>
      <c r="BG50" s="13"/>
      <c r="BH50" s="14"/>
      <c r="BI50" s="15">
        <f t="shared" si="175"/>
        <v>567</v>
      </c>
      <c r="BJ50" s="32"/>
      <c r="BK50" s="13"/>
      <c r="BL50" s="13"/>
      <c r="BM50" s="14"/>
      <c r="BN50" s="15">
        <f t="shared" si="176"/>
        <v>0</v>
      </c>
      <c r="BO50" s="66">
        <f t="shared" si="161"/>
        <v>16694</v>
      </c>
      <c r="BP50" s="13">
        <f t="shared" si="162"/>
        <v>0</v>
      </c>
      <c r="BQ50" s="13">
        <f t="shared" si="163"/>
        <v>0</v>
      </c>
      <c r="BR50" s="14">
        <f t="shared" si="164"/>
        <v>0</v>
      </c>
      <c r="BS50" s="33">
        <f t="shared" si="13"/>
        <v>16694</v>
      </c>
    </row>
    <row r="51" spans="2:71" x14ac:dyDescent="0.3">
      <c r="B51" s="269"/>
      <c r="C51" s="230"/>
      <c r="D51" s="233"/>
      <c r="E51" s="239"/>
      <c r="F51" s="123" t="s">
        <v>142</v>
      </c>
      <c r="G51" s="34"/>
      <c r="H51" s="16"/>
      <c r="I51" s="16"/>
      <c r="J51" s="17"/>
      <c r="K51" s="18">
        <f t="shared" si="165"/>
        <v>0</v>
      </c>
      <c r="L51" s="34"/>
      <c r="M51" s="16"/>
      <c r="N51" s="16"/>
      <c r="O51" s="17"/>
      <c r="P51" s="18">
        <f t="shared" si="166"/>
        <v>0</v>
      </c>
      <c r="Q51" s="34">
        <v>810</v>
      </c>
      <c r="R51" s="16"/>
      <c r="S51" s="16"/>
      <c r="T51" s="17"/>
      <c r="U51" s="18">
        <f t="shared" si="167"/>
        <v>810</v>
      </c>
      <c r="V51" s="34">
        <v>1379</v>
      </c>
      <c r="W51" s="16"/>
      <c r="X51" s="16"/>
      <c r="Y51" s="17"/>
      <c r="Z51" s="18">
        <f t="shared" si="168"/>
        <v>1379</v>
      </c>
      <c r="AA51" s="34">
        <v>221</v>
      </c>
      <c r="AB51" s="16"/>
      <c r="AC51" s="16"/>
      <c r="AD51" s="17"/>
      <c r="AE51" s="18">
        <f t="shared" si="169"/>
        <v>221</v>
      </c>
      <c r="AF51" s="34"/>
      <c r="AG51" s="16"/>
      <c r="AH51" s="16"/>
      <c r="AI51" s="17"/>
      <c r="AJ51" s="18">
        <f t="shared" si="170"/>
        <v>0</v>
      </c>
      <c r="AK51" s="34"/>
      <c r="AL51" s="16"/>
      <c r="AM51" s="16"/>
      <c r="AN51" s="17"/>
      <c r="AO51" s="18">
        <f t="shared" si="171"/>
        <v>0</v>
      </c>
      <c r="AP51" s="34"/>
      <c r="AQ51" s="16"/>
      <c r="AR51" s="16"/>
      <c r="AS51" s="17"/>
      <c r="AT51" s="18">
        <f t="shared" si="172"/>
        <v>0</v>
      </c>
      <c r="AU51" s="34">
        <v>278</v>
      </c>
      <c r="AV51" s="16"/>
      <c r="AW51" s="16"/>
      <c r="AX51" s="17"/>
      <c r="AY51" s="18">
        <f t="shared" si="173"/>
        <v>278</v>
      </c>
      <c r="AZ51" s="34">
        <v>1328</v>
      </c>
      <c r="BA51" s="16"/>
      <c r="BB51" s="16"/>
      <c r="BC51" s="17"/>
      <c r="BD51" s="18">
        <f t="shared" si="174"/>
        <v>1328</v>
      </c>
      <c r="BE51" s="34">
        <v>446</v>
      </c>
      <c r="BF51" s="16"/>
      <c r="BG51" s="16"/>
      <c r="BH51" s="17"/>
      <c r="BI51" s="18">
        <f t="shared" si="175"/>
        <v>446</v>
      </c>
      <c r="BJ51" s="34"/>
      <c r="BK51" s="16"/>
      <c r="BL51" s="16"/>
      <c r="BM51" s="17"/>
      <c r="BN51" s="18">
        <f t="shared" si="176"/>
        <v>0</v>
      </c>
      <c r="BO51" s="70">
        <f t="shared" si="161"/>
        <v>4462</v>
      </c>
      <c r="BP51" s="16">
        <f t="shared" si="162"/>
        <v>0</v>
      </c>
      <c r="BQ51" s="16">
        <f t="shared" si="163"/>
        <v>0</v>
      </c>
      <c r="BR51" s="17">
        <f t="shared" si="164"/>
        <v>0</v>
      </c>
      <c r="BS51" s="35">
        <f t="shared" si="13"/>
        <v>4462</v>
      </c>
    </row>
    <row r="52" spans="2:71" x14ac:dyDescent="0.3">
      <c r="B52" s="269"/>
      <c r="C52" s="230"/>
      <c r="D52" s="233"/>
      <c r="E52" s="239"/>
      <c r="F52" s="171" t="s">
        <v>276</v>
      </c>
      <c r="G52" s="172"/>
      <c r="H52" s="173"/>
      <c r="I52" s="173"/>
      <c r="J52" s="174"/>
      <c r="K52" s="175">
        <f t="shared" ref="K52" si="177">SUM(G52:J52)</f>
        <v>0</v>
      </c>
      <c r="L52" s="172"/>
      <c r="M52" s="173"/>
      <c r="N52" s="173"/>
      <c r="O52" s="174"/>
      <c r="P52" s="175">
        <f t="shared" si="150"/>
        <v>0</v>
      </c>
      <c r="Q52" s="172"/>
      <c r="R52" s="173"/>
      <c r="S52" s="173"/>
      <c r="T52" s="174"/>
      <c r="U52" s="175">
        <f t="shared" si="151"/>
        <v>0</v>
      </c>
      <c r="V52" s="172">
        <v>988</v>
      </c>
      <c r="W52" s="173"/>
      <c r="X52" s="173"/>
      <c r="Y52" s="174"/>
      <c r="Z52" s="175">
        <f t="shared" si="152"/>
        <v>988</v>
      </c>
      <c r="AA52" s="172">
        <v>521</v>
      </c>
      <c r="AB52" s="173"/>
      <c r="AC52" s="173"/>
      <c r="AD52" s="174"/>
      <c r="AE52" s="175">
        <f t="shared" si="153"/>
        <v>521</v>
      </c>
      <c r="AF52" s="172"/>
      <c r="AG52" s="173"/>
      <c r="AH52" s="173"/>
      <c r="AI52" s="174"/>
      <c r="AJ52" s="175">
        <f t="shared" si="154"/>
        <v>0</v>
      </c>
      <c r="AK52" s="172"/>
      <c r="AL52" s="173"/>
      <c r="AM52" s="173"/>
      <c r="AN52" s="174"/>
      <c r="AO52" s="175">
        <f t="shared" si="155"/>
        <v>0</v>
      </c>
      <c r="AP52" s="172"/>
      <c r="AQ52" s="173"/>
      <c r="AR52" s="173"/>
      <c r="AS52" s="174"/>
      <c r="AT52" s="175">
        <f t="shared" si="156"/>
        <v>0</v>
      </c>
      <c r="AU52" s="172">
        <v>265</v>
      </c>
      <c r="AV52" s="173"/>
      <c r="AW52" s="173"/>
      <c r="AX52" s="174"/>
      <c r="AY52" s="175">
        <f t="shared" si="157"/>
        <v>265</v>
      </c>
      <c r="AZ52" s="172">
        <v>2506</v>
      </c>
      <c r="BA52" s="173"/>
      <c r="BB52" s="173"/>
      <c r="BC52" s="174"/>
      <c r="BD52" s="175">
        <f t="shared" si="158"/>
        <v>2506</v>
      </c>
      <c r="BE52" s="172">
        <v>833</v>
      </c>
      <c r="BF52" s="173"/>
      <c r="BG52" s="173"/>
      <c r="BH52" s="174"/>
      <c r="BI52" s="175">
        <f t="shared" si="159"/>
        <v>833</v>
      </c>
      <c r="BJ52" s="172"/>
      <c r="BK52" s="173"/>
      <c r="BL52" s="173"/>
      <c r="BM52" s="174"/>
      <c r="BN52" s="175">
        <f t="shared" si="160"/>
        <v>0</v>
      </c>
      <c r="BO52" s="177">
        <f t="shared" si="161"/>
        <v>5113</v>
      </c>
      <c r="BP52" s="173">
        <f t="shared" si="162"/>
        <v>0</v>
      </c>
      <c r="BQ52" s="173">
        <f t="shared" si="163"/>
        <v>0</v>
      </c>
      <c r="BR52" s="174">
        <f t="shared" si="164"/>
        <v>0</v>
      </c>
      <c r="BS52" s="176">
        <f t="shared" ref="BS52:BS53" si="178">SUM(BO52:BR52)</f>
        <v>5113</v>
      </c>
    </row>
    <row r="53" spans="2:71" x14ac:dyDescent="0.3">
      <c r="B53" s="269"/>
      <c r="C53" s="230"/>
      <c r="D53" s="233"/>
      <c r="E53" s="239"/>
      <c r="F53" s="178" t="s">
        <v>277</v>
      </c>
      <c r="G53" s="179"/>
      <c r="H53" s="180"/>
      <c r="I53" s="180"/>
      <c r="J53" s="181"/>
      <c r="K53" s="182">
        <f t="shared" ref="K53" si="179">SUM(G53:J53)</f>
        <v>0</v>
      </c>
      <c r="L53" s="179"/>
      <c r="M53" s="180"/>
      <c r="N53" s="180"/>
      <c r="O53" s="181"/>
      <c r="P53" s="182">
        <f t="shared" si="150"/>
        <v>0</v>
      </c>
      <c r="Q53" s="179"/>
      <c r="R53" s="180"/>
      <c r="S53" s="180"/>
      <c r="T53" s="181"/>
      <c r="U53" s="182">
        <f t="shared" si="151"/>
        <v>0</v>
      </c>
      <c r="V53" s="179">
        <v>103</v>
      </c>
      <c r="W53" s="180"/>
      <c r="X53" s="180"/>
      <c r="Y53" s="181"/>
      <c r="Z53" s="182">
        <f t="shared" si="152"/>
        <v>103</v>
      </c>
      <c r="AA53" s="179">
        <v>35</v>
      </c>
      <c r="AB53" s="180"/>
      <c r="AC53" s="180"/>
      <c r="AD53" s="181"/>
      <c r="AE53" s="182">
        <f t="shared" si="153"/>
        <v>35</v>
      </c>
      <c r="AF53" s="179"/>
      <c r="AG53" s="180"/>
      <c r="AH53" s="180"/>
      <c r="AI53" s="181"/>
      <c r="AJ53" s="182">
        <f t="shared" si="154"/>
        <v>0</v>
      </c>
      <c r="AK53" s="179"/>
      <c r="AL53" s="180"/>
      <c r="AM53" s="180"/>
      <c r="AN53" s="181"/>
      <c r="AO53" s="182">
        <f t="shared" si="155"/>
        <v>0</v>
      </c>
      <c r="AP53" s="179"/>
      <c r="AQ53" s="180"/>
      <c r="AR53" s="180"/>
      <c r="AS53" s="181"/>
      <c r="AT53" s="182">
        <f t="shared" si="156"/>
        <v>0</v>
      </c>
      <c r="AU53" s="179">
        <v>34</v>
      </c>
      <c r="AV53" s="180"/>
      <c r="AW53" s="180"/>
      <c r="AX53" s="181"/>
      <c r="AY53" s="182">
        <f t="shared" si="157"/>
        <v>34</v>
      </c>
      <c r="AZ53" s="179">
        <v>339</v>
      </c>
      <c r="BA53" s="180"/>
      <c r="BB53" s="180"/>
      <c r="BC53" s="181"/>
      <c r="BD53" s="182">
        <f t="shared" si="158"/>
        <v>339</v>
      </c>
      <c r="BE53" s="179">
        <v>571</v>
      </c>
      <c r="BF53" s="180"/>
      <c r="BG53" s="180"/>
      <c r="BH53" s="181"/>
      <c r="BI53" s="182">
        <f t="shared" si="159"/>
        <v>571</v>
      </c>
      <c r="BJ53" s="179"/>
      <c r="BK53" s="180"/>
      <c r="BL53" s="180"/>
      <c r="BM53" s="181"/>
      <c r="BN53" s="182">
        <f t="shared" si="160"/>
        <v>0</v>
      </c>
      <c r="BO53" s="184">
        <f t="shared" si="161"/>
        <v>1082</v>
      </c>
      <c r="BP53" s="180">
        <f t="shared" si="162"/>
        <v>0</v>
      </c>
      <c r="BQ53" s="180">
        <f t="shared" si="163"/>
        <v>0</v>
      </c>
      <c r="BR53" s="181">
        <f t="shared" si="164"/>
        <v>0</v>
      </c>
      <c r="BS53" s="183">
        <f t="shared" si="178"/>
        <v>1082</v>
      </c>
    </row>
    <row r="54" spans="2:71" x14ac:dyDescent="0.3">
      <c r="B54" s="269"/>
      <c r="C54" s="230"/>
      <c r="D54" s="233"/>
      <c r="E54" s="239"/>
      <c r="F54" s="178" t="s">
        <v>278</v>
      </c>
      <c r="G54" s="179"/>
      <c r="H54" s="180"/>
      <c r="I54" s="180"/>
      <c r="J54" s="181"/>
      <c r="K54" s="182">
        <f t="shared" ref="K54" si="180">SUM(G54:J54)</f>
        <v>0</v>
      </c>
      <c r="L54" s="179"/>
      <c r="M54" s="180"/>
      <c r="N54" s="180"/>
      <c r="O54" s="181"/>
      <c r="P54" s="182">
        <f t="shared" si="150"/>
        <v>0</v>
      </c>
      <c r="Q54" s="179"/>
      <c r="R54" s="180"/>
      <c r="S54" s="180"/>
      <c r="T54" s="181"/>
      <c r="U54" s="182">
        <f t="shared" si="151"/>
        <v>0</v>
      </c>
      <c r="V54" s="179">
        <v>739</v>
      </c>
      <c r="W54" s="180"/>
      <c r="X54" s="180"/>
      <c r="Y54" s="181"/>
      <c r="Z54" s="182">
        <f t="shared" si="152"/>
        <v>739</v>
      </c>
      <c r="AA54" s="179">
        <v>394</v>
      </c>
      <c r="AB54" s="180"/>
      <c r="AC54" s="180"/>
      <c r="AD54" s="181"/>
      <c r="AE54" s="182">
        <f t="shared" si="153"/>
        <v>394</v>
      </c>
      <c r="AF54" s="179"/>
      <c r="AG54" s="180"/>
      <c r="AH54" s="180"/>
      <c r="AI54" s="181"/>
      <c r="AJ54" s="182">
        <f t="shared" si="154"/>
        <v>0</v>
      </c>
      <c r="AK54" s="179"/>
      <c r="AL54" s="180"/>
      <c r="AM54" s="180"/>
      <c r="AN54" s="181"/>
      <c r="AO54" s="182">
        <f t="shared" si="155"/>
        <v>0</v>
      </c>
      <c r="AP54" s="179"/>
      <c r="AQ54" s="180"/>
      <c r="AR54" s="180"/>
      <c r="AS54" s="181"/>
      <c r="AT54" s="182">
        <f t="shared" si="156"/>
        <v>0</v>
      </c>
      <c r="AU54" s="179">
        <v>203</v>
      </c>
      <c r="AV54" s="180"/>
      <c r="AW54" s="180"/>
      <c r="AX54" s="181"/>
      <c r="AY54" s="182">
        <f t="shared" si="157"/>
        <v>203</v>
      </c>
      <c r="AZ54" s="179">
        <v>1799</v>
      </c>
      <c r="BA54" s="180"/>
      <c r="BB54" s="180"/>
      <c r="BC54" s="181"/>
      <c r="BD54" s="182">
        <f t="shared" si="158"/>
        <v>1799</v>
      </c>
      <c r="BE54" s="179">
        <v>126</v>
      </c>
      <c r="BF54" s="180"/>
      <c r="BG54" s="180"/>
      <c r="BH54" s="181"/>
      <c r="BI54" s="182">
        <f t="shared" si="159"/>
        <v>126</v>
      </c>
      <c r="BJ54" s="179"/>
      <c r="BK54" s="180"/>
      <c r="BL54" s="180"/>
      <c r="BM54" s="181"/>
      <c r="BN54" s="182">
        <f t="shared" si="160"/>
        <v>0</v>
      </c>
      <c r="BO54" s="184">
        <f t="shared" si="161"/>
        <v>3261</v>
      </c>
      <c r="BP54" s="180">
        <f t="shared" si="162"/>
        <v>0</v>
      </c>
      <c r="BQ54" s="180">
        <f t="shared" si="163"/>
        <v>0</v>
      </c>
      <c r="BR54" s="181">
        <f t="shared" si="164"/>
        <v>0</v>
      </c>
      <c r="BS54" s="183">
        <f t="shared" ref="BS54" si="181">SUM(BO54:BR54)</f>
        <v>3261</v>
      </c>
    </row>
    <row r="55" spans="2:71" x14ac:dyDescent="0.3">
      <c r="B55" s="269"/>
      <c r="C55" s="230"/>
      <c r="D55" s="233"/>
      <c r="E55" s="239"/>
      <c r="F55" s="185" t="s">
        <v>279</v>
      </c>
      <c r="G55" s="186"/>
      <c r="H55" s="187"/>
      <c r="I55" s="187"/>
      <c r="J55" s="188"/>
      <c r="K55" s="189">
        <f t="shared" ref="K55" si="182">SUM(G55:J55)</f>
        <v>0</v>
      </c>
      <c r="L55" s="186"/>
      <c r="M55" s="187"/>
      <c r="N55" s="187"/>
      <c r="O55" s="188"/>
      <c r="P55" s="189">
        <f t="shared" si="150"/>
        <v>0</v>
      </c>
      <c r="Q55" s="186"/>
      <c r="R55" s="187"/>
      <c r="S55" s="187"/>
      <c r="T55" s="188"/>
      <c r="U55" s="189">
        <f t="shared" si="151"/>
        <v>0</v>
      </c>
      <c r="V55" s="186">
        <v>83</v>
      </c>
      <c r="W55" s="187"/>
      <c r="X55" s="187"/>
      <c r="Y55" s="188"/>
      <c r="Z55" s="189">
        <f t="shared" si="152"/>
        <v>83</v>
      </c>
      <c r="AA55" s="186">
        <v>25</v>
      </c>
      <c r="AB55" s="187"/>
      <c r="AC55" s="187"/>
      <c r="AD55" s="188"/>
      <c r="AE55" s="189">
        <f t="shared" si="153"/>
        <v>25</v>
      </c>
      <c r="AF55" s="186"/>
      <c r="AG55" s="187"/>
      <c r="AH55" s="187"/>
      <c r="AI55" s="188"/>
      <c r="AJ55" s="189">
        <f t="shared" si="154"/>
        <v>0</v>
      </c>
      <c r="AK55" s="186"/>
      <c r="AL55" s="187"/>
      <c r="AM55" s="187"/>
      <c r="AN55" s="188"/>
      <c r="AO55" s="189">
        <f t="shared" si="155"/>
        <v>0</v>
      </c>
      <c r="AP55" s="186"/>
      <c r="AQ55" s="187"/>
      <c r="AR55" s="187"/>
      <c r="AS55" s="188"/>
      <c r="AT55" s="189">
        <f t="shared" si="156"/>
        <v>0</v>
      </c>
      <c r="AU55" s="186">
        <v>29</v>
      </c>
      <c r="AV55" s="187"/>
      <c r="AW55" s="187"/>
      <c r="AX55" s="188"/>
      <c r="AY55" s="189">
        <f t="shared" si="157"/>
        <v>29</v>
      </c>
      <c r="AZ55" s="186">
        <v>269</v>
      </c>
      <c r="BA55" s="187"/>
      <c r="BB55" s="187"/>
      <c r="BC55" s="188"/>
      <c r="BD55" s="189">
        <f t="shared" si="158"/>
        <v>269</v>
      </c>
      <c r="BE55" s="186">
        <v>102</v>
      </c>
      <c r="BF55" s="187"/>
      <c r="BG55" s="187"/>
      <c r="BH55" s="188"/>
      <c r="BI55" s="189">
        <f t="shared" si="159"/>
        <v>102</v>
      </c>
      <c r="BJ55" s="186"/>
      <c r="BK55" s="187"/>
      <c r="BL55" s="187"/>
      <c r="BM55" s="188"/>
      <c r="BN55" s="189">
        <f t="shared" si="160"/>
        <v>0</v>
      </c>
      <c r="BO55" s="191">
        <f t="shared" si="161"/>
        <v>508</v>
      </c>
      <c r="BP55" s="187">
        <f t="shared" si="162"/>
        <v>0</v>
      </c>
      <c r="BQ55" s="187">
        <f t="shared" si="163"/>
        <v>0</v>
      </c>
      <c r="BR55" s="188">
        <f t="shared" si="164"/>
        <v>0</v>
      </c>
      <c r="BS55" s="190">
        <f t="shared" ref="BS55" si="183">SUM(BO55:BR55)</f>
        <v>508</v>
      </c>
    </row>
    <row r="56" spans="2:71" x14ac:dyDescent="0.3">
      <c r="B56" s="269"/>
      <c r="C56" s="230"/>
      <c r="D56" s="233"/>
      <c r="E56" s="240"/>
      <c r="F56" s="125" t="s">
        <v>55</v>
      </c>
      <c r="G56" s="126">
        <f>SUM(G44:G55)</f>
        <v>713</v>
      </c>
      <c r="H56" s="127">
        <f>SUM(H44:H55)</f>
        <v>0</v>
      </c>
      <c r="I56" s="127">
        <f>SUM(I44:I55)</f>
        <v>0</v>
      </c>
      <c r="J56" s="128">
        <f>SUM(J44:J55)</f>
        <v>0</v>
      </c>
      <c r="K56" s="129">
        <f t="shared" si="0"/>
        <v>713</v>
      </c>
      <c r="L56" s="126">
        <f>SUM(L44:L55)</f>
        <v>1272</v>
      </c>
      <c r="M56" s="127">
        <f>SUM(M44:M55)</f>
        <v>0</v>
      </c>
      <c r="N56" s="127">
        <f>SUM(N44:N55)</f>
        <v>0</v>
      </c>
      <c r="O56" s="128">
        <f>SUM(O44:O55)</f>
        <v>0</v>
      </c>
      <c r="P56" s="129">
        <f t="shared" si="150"/>
        <v>1272</v>
      </c>
      <c r="Q56" s="126">
        <f>SUM(Q44:Q55)</f>
        <v>11754</v>
      </c>
      <c r="R56" s="127">
        <f>SUM(R44:R55)</f>
        <v>0</v>
      </c>
      <c r="S56" s="127">
        <f>SUM(S44:S55)</f>
        <v>0</v>
      </c>
      <c r="T56" s="128">
        <f>SUM(T44:T55)</f>
        <v>0</v>
      </c>
      <c r="U56" s="129">
        <f t="shared" si="151"/>
        <v>11754</v>
      </c>
      <c r="V56" s="126">
        <f>SUM(V44:V55)</f>
        <v>17301</v>
      </c>
      <c r="W56" s="127">
        <f>SUM(W44:W55)</f>
        <v>0</v>
      </c>
      <c r="X56" s="127">
        <f>SUM(X44:X55)</f>
        <v>0</v>
      </c>
      <c r="Y56" s="128">
        <f>SUM(Y44:Y55)</f>
        <v>0</v>
      </c>
      <c r="Z56" s="129">
        <f t="shared" si="152"/>
        <v>17301</v>
      </c>
      <c r="AA56" s="126">
        <f>SUM(AA44:AA55)</f>
        <v>4283</v>
      </c>
      <c r="AB56" s="127">
        <f>SUM(AB44:AB55)</f>
        <v>0</v>
      </c>
      <c r="AC56" s="127">
        <f>SUM(AC44:AC55)</f>
        <v>0</v>
      </c>
      <c r="AD56" s="128">
        <f>SUM(AD44:AD55)</f>
        <v>0</v>
      </c>
      <c r="AE56" s="129">
        <f t="shared" si="153"/>
        <v>4283</v>
      </c>
      <c r="AF56" s="126">
        <f>SUM(AF44:AF55)</f>
        <v>1595</v>
      </c>
      <c r="AG56" s="127">
        <f>SUM(AG44:AG55)</f>
        <v>0</v>
      </c>
      <c r="AH56" s="127">
        <f>SUM(AH44:AH55)</f>
        <v>0</v>
      </c>
      <c r="AI56" s="128">
        <f>SUM(AI44:AI55)</f>
        <v>0</v>
      </c>
      <c r="AJ56" s="129">
        <f t="shared" si="154"/>
        <v>1595</v>
      </c>
      <c r="AK56" s="126">
        <f>SUM(AK44:AK55)</f>
        <v>695</v>
      </c>
      <c r="AL56" s="127">
        <f>SUM(AL44:AL55)</f>
        <v>0</v>
      </c>
      <c r="AM56" s="127">
        <f>SUM(AM44:AM55)</f>
        <v>0</v>
      </c>
      <c r="AN56" s="128">
        <f>SUM(AN44:AN55)</f>
        <v>0</v>
      </c>
      <c r="AO56" s="129">
        <f t="shared" si="155"/>
        <v>695</v>
      </c>
      <c r="AP56" s="126">
        <f>SUM(AP44:AP55)</f>
        <v>1291</v>
      </c>
      <c r="AQ56" s="127">
        <f>SUM(AQ44:AQ55)</f>
        <v>0</v>
      </c>
      <c r="AR56" s="127">
        <f>SUM(AR44:AR55)</f>
        <v>0</v>
      </c>
      <c r="AS56" s="128">
        <f>SUM(AS44:AS55)</f>
        <v>0</v>
      </c>
      <c r="AT56" s="129">
        <f t="shared" si="156"/>
        <v>1291</v>
      </c>
      <c r="AU56" s="126">
        <f>SUM(AU44:AU55)</f>
        <v>3729</v>
      </c>
      <c r="AV56" s="127">
        <f>SUM(AV44:AV55)</f>
        <v>0</v>
      </c>
      <c r="AW56" s="127">
        <f>SUM(AW44:AW55)</f>
        <v>0</v>
      </c>
      <c r="AX56" s="128">
        <f>SUM(AX44:AX55)</f>
        <v>0</v>
      </c>
      <c r="AY56" s="129">
        <f t="shared" si="157"/>
        <v>3729</v>
      </c>
      <c r="AZ56" s="126">
        <f>SUM(AZ44:AZ55)</f>
        <v>18363</v>
      </c>
      <c r="BA56" s="127">
        <f>SUM(BA44:BA55)</f>
        <v>0</v>
      </c>
      <c r="BB56" s="127">
        <f>SUM(BB44:BB55)</f>
        <v>0</v>
      </c>
      <c r="BC56" s="128">
        <f>SUM(BC44:BC55)</f>
        <v>0</v>
      </c>
      <c r="BD56" s="129">
        <f t="shared" si="158"/>
        <v>18363</v>
      </c>
      <c r="BE56" s="126">
        <f>SUM(BE44:BE55)</f>
        <v>5897</v>
      </c>
      <c r="BF56" s="127">
        <f>SUM(BF44:BF55)</f>
        <v>0</v>
      </c>
      <c r="BG56" s="127">
        <f>SUM(BG44:BG55)</f>
        <v>0</v>
      </c>
      <c r="BH56" s="128">
        <f>SUM(BH44:BH55)</f>
        <v>0</v>
      </c>
      <c r="BI56" s="129">
        <f t="shared" si="159"/>
        <v>5897</v>
      </c>
      <c r="BJ56" s="126">
        <f>SUM(BJ44:BJ55)</f>
        <v>786</v>
      </c>
      <c r="BK56" s="127">
        <f>SUM(BK44:BK55)</f>
        <v>0</v>
      </c>
      <c r="BL56" s="127">
        <f>SUM(BL44:BL55)</f>
        <v>0</v>
      </c>
      <c r="BM56" s="128">
        <f>SUM(BM44:BM55)</f>
        <v>0</v>
      </c>
      <c r="BN56" s="129">
        <f t="shared" si="160"/>
        <v>786</v>
      </c>
      <c r="BO56" s="131">
        <f>SUM(BO44:BO55)</f>
        <v>67679</v>
      </c>
      <c r="BP56" s="127">
        <f>SUM(BP44:BP55)</f>
        <v>0</v>
      </c>
      <c r="BQ56" s="127">
        <f>SUM(BQ44:BQ55)</f>
        <v>0</v>
      </c>
      <c r="BR56" s="128">
        <f>SUM(BR44:BR55)</f>
        <v>0</v>
      </c>
      <c r="BS56" s="130">
        <f t="shared" si="13"/>
        <v>67679</v>
      </c>
    </row>
    <row r="57" spans="2:71" x14ac:dyDescent="0.3">
      <c r="B57" s="269"/>
      <c r="C57" s="230"/>
      <c r="D57" s="233"/>
      <c r="E57" s="241" t="s">
        <v>44</v>
      </c>
      <c r="F57" s="120" t="s">
        <v>49</v>
      </c>
      <c r="G57" s="30">
        <v>193</v>
      </c>
      <c r="H57" s="7"/>
      <c r="I57" s="7"/>
      <c r="J57" s="8"/>
      <c r="K57" s="9">
        <f t="shared" si="0"/>
        <v>193</v>
      </c>
      <c r="L57" s="30">
        <v>374</v>
      </c>
      <c r="M57" s="7"/>
      <c r="N57" s="7"/>
      <c r="O57" s="8"/>
      <c r="P57" s="9">
        <f t="shared" si="150"/>
        <v>374</v>
      </c>
      <c r="Q57" s="30">
        <v>227</v>
      </c>
      <c r="R57" s="7"/>
      <c r="S57" s="7"/>
      <c r="T57" s="8"/>
      <c r="U57" s="9">
        <f t="shared" si="151"/>
        <v>227</v>
      </c>
      <c r="V57" s="30">
        <v>246</v>
      </c>
      <c r="W57" s="7"/>
      <c r="X57" s="7"/>
      <c r="Y57" s="8"/>
      <c r="Z57" s="9">
        <f t="shared" si="152"/>
        <v>246</v>
      </c>
      <c r="AA57" s="30">
        <v>231</v>
      </c>
      <c r="AB57" s="7"/>
      <c r="AC57" s="7"/>
      <c r="AD57" s="8"/>
      <c r="AE57" s="9">
        <f t="shared" si="153"/>
        <v>231</v>
      </c>
      <c r="AF57" s="30">
        <v>432</v>
      </c>
      <c r="AG57" s="7"/>
      <c r="AH57" s="7"/>
      <c r="AI57" s="8"/>
      <c r="AJ57" s="9">
        <f t="shared" si="154"/>
        <v>432</v>
      </c>
      <c r="AK57" s="30">
        <v>147</v>
      </c>
      <c r="AL57" s="7"/>
      <c r="AM57" s="7"/>
      <c r="AN57" s="8"/>
      <c r="AO57" s="9">
        <f t="shared" si="155"/>
        <v>147</v>
      </c>
      <c r="AP57" s="30">
        <v>248</v>
      </c>
      <c r="AQ57" s="7"/>
      <c r="AR57" s="7"/>
      <c r="AS57" s="8"/>
      <c r="AT57" s="9">
        <f t="shared" si="156"/>
        <v>248</v>
      </c>
      <c r="AU57" s="30">
        <v>244</v>
      </c>
      <c r="AV57" s="7"/>
      <c r="AW57" s="7"/>
      <c r="AX57" s="8"/>
      <c r="AY57" s="9">
        <f t="shared" si="157"/>
        <v>244</v>
      </c>
      <c r="AZ57" s="30">
        <v>300</v>
      </c>
      <c r="BA57" s="7"/>
      <c r="BB57" s="7"/>
      <c r="BC57" s="8"/>
      <c r="BD57" s="9">
        <f t="shared" si="158"/>
        <v>300</v>
      </c>
      <c r="BE57" s="30">
        <v>95</v>
      </c>
      <c r="BF57" s="7"/>
      <c r="BG57" s="7"/>
      <c r="BH57" s="8"/>
      <c r="BI57" s="9">
        <f t="shared" si="159"/>
        <v>95</v>
      </c>
      <c r="BJ57" s="30">
        <v>216</v>
      </c>
      <c r="BK57" s="7"/>
      <c r="BL57" s="7"/>
      <c r="BM57" s="8"/>
      <c r="BN57" s="9">
        <f t="shared" si="160"/>
        <v>216</v>
      </c>
      <c r="BO57" s="65">
        <f t="shared" ref="BO57:BR60" si="184">SUM(G57,L57,Q57,V57,AA57,AF57,AK57,AP57,AU57,AZ57,BE57,BJ57)</f>
        <v>2953</v>
      </c>
      <c r="BP57" s="7">
        <f t="shared" si="184"/>
        <v>0</v>
      </c>
      <c r="BQ57" s="7">
        <f t="shared" si="184"/>
        <v>0</v>
      </c>
      <c r="BR57" s="8">
        <f t="shared" si="184"/>
        <v>0</v>
      </c>
      <c r="BS57" s="31">
        <f t="shared" si="13"/>
        <v>2953</v>
      </c>
    </row>
    <row r="58" spans="2:71" x14ac:dyDescent="0.3">
      <c r="B58" s="269"/>
      <c r="C58" s="230"/>
      <c r="D58" s="233"/>
      <c r="E58" s="239"/>
      <c r="F58" s="121" t="s">
        <v>50</v>
      </c>
      <c r="G58" s="32">
        <v>12</v>
      </c>
      <c r="H58" s="13"/>
      <c r="I58" s="13"/>
      <c r="J58" s="14"/>
      <c r="K58" s="15">
        <f t="shared" si="0"/>
        <v>12</v>
      </c>
      <c r="L58" s="32">
        <v>34</v>
      </c>
      <c r="M58" s="13"/>
      <c r="N58" s="13"/>
      <c r="O58" s="14"/>
      <c r="P58" s="15">
        <f t="shared" si="150"/>
        <v>34</v>
      </c>
      <c r="Q58" s="32">
        <v>44</v>
      </c>
      <c r="R58" s="13"/>
      <c r="S58" s="13"/>
      <c r="T58" s="14"/>
      <c r="U58" s="15">
        <f t="shared" si="151"/>
        <v>44</v>
      </c>
      <c r="V58" s="32">
        <v>68</v>
      </c>
      <c r="W58" s="13"/>
      <c r="X58" s="13"/>
      <c r="Y58" s="14"/>
      <c r="Z58" s="15">
        <f t="shared" si="152"/>
        <v>68</v>
      </c>
      <c r="AA58" s="32">
        <v>34</v>
      </c>
      <c r="AB58" s="13"/>
      <c r="AC58" s="13"/>
      <c r="AD58" s="14"/>
      <c r="AE58" s="15">
        <f t="shared" si="153"/>
        <v>34</v>
      </c>
      <c r="AF58" s="32">
        <v>133</v>
      </c>
      <c r="AG58" s="13"/>
      <c r="AH58" s="13"/>
      <c r="AI58" s="14"/>
      <c r="AJ58" s="15">
        <f t="shared" si="154"/>
        <v>133</v>
      </c>
      <c r="AK58" s="32">
        <v>67</v>
      </c>
      <c r="AL58" s="13"/>
      <c r="AM58" s="13"/>
      <c r="AN58" s="14"/>
      <c r="AO58" s="15">
        <f t="shared" si="155"/>
        <v>67</v>
      </c>
      <c r="AP58" s="32">
        <v>138</v>
      </c>
      <c r="AQ58" s="13"/>
      <c r="AR58" s="13"/>
      <c r="AS58" s="14"/>
      <c r="AT58" s="15">
        <f t="shared" si="156"/>
        <v>138</v>
      </c>
      <c r="AU58" s="32">
        <v>62</v>
      </c>
      <c r="AV58" s="13"/>
      <c r="AW58" s="13"/>
      <c r="AX58" s="14"/>
      <c r="AY58" s="15">
        <f t="shared" si="157"/>
        <v>62</v>
      </c>
      <c r="AZ58" s="32">
        <v>84</v>
      </c>
      <c r="BA58" s="13"/>
      <c r="BB58" s="13"/>
      <c r="BC58" s="14"/>
      <c r="BD58" s="15">
        <f t="shared" si="158"/>
        <v>84</v>
      </c>
      <c r="BE58" s="32">
        <v>26</v>
      </c>
      <c r="BF58" s="13"/>
      <c r="BG58" s="13"/>
      <c r="BH58" s="14"/>
      <c r="BI58" s="15">
        <f t="shared" si="159"/>
        <v>26</v>
      </c>
      <c r="BJ58" s="32">
        <v>47</v>
      </c>
      <c r="BK58" s="13"/>
      <c r="BL58" s="13"/>
      <c r="BM58" s="14"/>
      <c r="BN58" s="15">
        <f t="shared" si="160"/>
        <v>47</v>
      </c>
      <c r="BO58" s="66">
        <f t="shared" si="184"/>
        <v>749</v>
      </c>
      <c r="BP58" s="13">
        <f t="shared" si="184"/>
        <v>0</v>
      </c>
      <c r="BQ58" s="13">
        <f t="shared" si="184"/>
        <v>0</v>
      </c>
      <c r="BR58" s="14">
        <f t="shared" si="184"/>
        <v>0</v>
      </c>
      <c r="BS58" s="33">
        <f t="shared" si="13"/>
        <v>749</v>
      </c>
    </row>
    <row r="59" spans="2:71" x14ac:dyDescent="0.3">
      <c r="B59" s="269"/>
      <c r="C59" s="230"/>
      <c r="D59" s="233"/>
      <c r="E59" s="239"/>
      <c r="F59" s="121" t="s">
        <v>51</v>
      </c>
      <c r="G59" s="32">
        <v>123</v>
      </c>
      <c r="H59" s="13"/>
      <c r="I59" s="13"/>
      <c r="J59" s="14"/>
      <c r="K59" s="15">
        <f t="shared" si="0"/>
        <v>123</v>
      </c>
      <c r="L59" s="32">
        <v>237</v>
      </c>
      <c r="M59" s="13"/>
      <c r="N59" s="13"/>
      <c r="O59" s="14"/>
      <c r="P59" s="15">
        <f t="shared" si="150"/>
        <v>237</v>
      </c>
      <c r="Q59" s="32"/>
      <c r="R59" s="13"/>
      <c r="S59" s="13"/>
      <c r="T59" s="14"/>
      <c r="U59" s="15">
        <f t="shared" si="151"/>
        <v>0</v>
      </c>
      <c r="V59" s="32"/>
      <c r="W59" s="13"/>
      <c r="X59" s="13"/>
      <c r="Y59" s="14"/>
      <c r="Z59" s="15">
        <f t="shared" si="152"/>
        <v>0</v>
      </c>
      <c r="AA59" s="32"/>
      <c r="AB59" s="13"/>
      <c r="AC59" s="13"/>
      <c r="AD59" s="14"/>
      <c r="AE59" s="15">
        <f t="shared" si="153"/>
        <v>0</v>
      </c>
      <c r="AF59" s="32">
        <v>303</v>
      </c>
      <c r="AG59" s="13"/>
      <c r="AH59" s="13"/>
      <c r="AI59" s="14"/>
      <c r="AJ59" s="15">
        <f t="shared" si="154"/>
        <v>303</v>
      </c>
      <c r="AK59" s="32">
        <v>99</v>
      </c>
      <c r="AL59" s="13"/>
      <c r="AM59" s="13"/>
      <c r="AN59" s="14"/>
      <c r="AO59" s="15">
        <f t="shared" si="155"/>
        <v>99</v>
      </c>
      <c r="AP59" s="32">
        <v>159</v>
      </c>
      <c r="AQ59" s="13"/>
      <c r="AR59" s="13"/>
      <c r="AS59" s="14"/>
      <c r="AT59" s="15">
        <f t="shared" si="156"/>
        <v>159</v>
      </c>
      <c r="AU59" s="32"/>
      <c r="AV59" s="13"/>
      <c r="AW59" s="13"/>
      <c r="AX59" s="14"/>
      <c r="AY59" s="15">
        <f t="shared" si="157"/>
        <v>0</v>
      </c>
      <c r="AZ59" s="32"/>
      <c r="BA59" s="13"/>
      <c r="BB59" s="13"/>
      <c r="BC59" s="14"/>
      <c r="BD59" s="15">
        <f t="shared" si="158"/>
        <v>0</v>
      </c>
      <c r="BE59" s="32"/>
      <c r="BF59" s="13"/>
      <c r="BG59" s="13"/>
      <c r="BH59" s="14"/>
      <c r="BI59" s="15">
        <f t="shared" si="159"/>
        <v>0</v>
      </c>
      <c r="BJ59" s="32">
        <v>151</v>
      </c>
      <c r="BK59" s="13"/>
      <c r="BL59" s="13"/>
      <c r="BM59" s="14"/>
      <c r="BN59" s="15">
        <f t="shared" si="160"/>
        <v>151</v>
      </c>
      <c r="BO59" s="66">
        <f t="shared" si="184"/>
        <v>1072</v>
      </c>
      <c r="BP59" s="13">
        <f t="shared" si="184"/>
        <v>0</v>
      </c>
      <c r="BQ59" s="13">
        <f t="shared" si="184"/>
        <v>0</v>
      </c>
      <c r="BR59" s="14">
        <f t="shared" si="184"/>
        <v>0</v>
      </c>
      <c r="BS59" s="33">
        <f t="shared" si="13"/>
        <v>1072</v>
      </c>
    </row>
    <row r="60" spans="2:71" x14ac:dyDescent="0.3">
      <c r="B60" s="269"/>
      <c r="C60" s="230"/>
      <c r="D60" s="233"/>
      <c r="E60" s="239"/>
      <c r="F60" s="124" t="s">
        <v>52</v>
      </c>
      <c r="G60" s="36">
        <v>10</v>
      </c>
      <c r="H60" s="10"/>
      <c r="I60" s="10"/>
      <c r="J60" s="11"/>
      <c r="K60" s="12">
        <f t="shared" si="0"/>
        <v>10</v>
      </c>
      <c r="L60" s="36">
        <v>25</v>
      </c>
      <c r="M60" s="10"/>
      <c r="N60" s="10"/>
      <c r="O60" s="11"/>
      <c r="P60" s="12">
        <f t="shared" si="150"/>
        <v>25</v>
      </c>
      <c r="Q60" s="36"/>
      <c r="R60" s="10"/>
      <c r="S60" s="10"/>
      <c r="T60" s="11"/>
      <c r="U60" s="12">
        <f t="shared" si="151"/>
        <v>0</v>
      </c>
      <c r="V60" s="36"/>
      <c r="W60" s="10"/>
      <c r="X60" s="10"/>
      <c r="Y60" s="11"/>
      <c r="Z60" s="12">
        <f t="shared" si="152"/>
        <v>0</v>
      </c>
      <c r="AA60" s="36"/>
      <c r="AB60" s="10"/>
      <c r="AC60" s="10"/>
      <c r="AD60" s="11"/>
      <c r="AE60" s="12">
        <f t="shared" si="153"/>
        <v>0</v>
      </c>
      <c r="AF60" s="36">
        <v>94</v>
      </c>
      <c r="AG60" s="10"/>
      <c r="AH60" s="10"/>
      <c r="AI60" s="11"/>
      <c r="AJ60" s="12">
        <f t="shared" si="154"/>
        <v>94</v>
      </c>
      <c r="AK60" s="36">
        <v>52</v>
      </c>
      <c r="AL60" s="10"/>
      <c r="AM60" s="10"/>
      <c r="AN60" s="11"/>
      <c r="AO60" s="12">
        <f t="shared" si="155"/>
        <v>52</v>
      </c>
      <c r="AP60" s="36">
        <v>113</v>
      </c>
      <c r="AQ60" s="10"/>
      <c r="AR60" s="10"/>
      <c r="AS60" s="11"/>
      <c r="AT60" s="12">
        <f t="shared" si="156"/>
        <v>113</v>
      </c>
      <c r="AU60" s="36"/>
      <c r="AV60" s="10"/>
      <c r="AW60" s="10"/>
      <c r="AX60" s="11"/>
      <c r="AY60" s="12">
        <f t="shared" si="157"/>
        <v>0</v>
      </c>
      <c r="AZ60" s="36"/>
      <c r="BA60" s="10"/>
      <c r="BB60" s="10"/>
      <c r="BC60" s="11"/>
      <c r="BD60" s="12">
        <f t="shared" si="158"/>
        <v>0</v>
      </c>
      <c r="BE60" s="36"/>
      <c r="BF60" s="10"/>
      <c r="BG60" s="10"/>
      <c r="BH60" s="11"/>
      <c r="BI60" s="12">
        <f t="shared" si="159"/>
        <v>0</v>
      </c>
      <c r="BJ60" s="36">
        <v>39</v>
      </c>
      <c r="BK60" s="10"/>
      <c r="BL60" s="10"/>
      <c r="BM60" s="11"/>
      <c r="BN60" s="12">
        <f t="shared" si="160"/>
        <v>39</v>
      </c>
      <c r="BO60" s="71">
        <f t="shared" si="184"/>
        <v>333</v>
      </c>
      <c r="BP60" s="10">
        <f t="shared" si="184"/>
        <v>0</v>
      </c>
      <c r="BQ60" s="10">
        <f t="shared" si="184"/>
        <v>0</v>
      </c>
      <c r="BR60" s="11">
        <f t="shared" si="184"/>
        <v>0</v>
      </c>
      <c r="BS60" s="37">
        <f t="shared" si="13"/>
        <v>333</v>
      </c>
    </row>
    <row r="61" spans="2:71" x14ac:dyDescent="0.3">
      <c r="B61" s="269"/>
      <c r="C61" s="230"/>
      <c r="D61" s="233"/>
      <c r="E61" s="240"/>
      <c r="F61" s="125" t="s">
        <v>55</v>
      </c>
      <c r="G61" s="126">
        <f>SUM(G57:G60)</f>
        <v>338</v>
      </c>
      <c r="H61" s="127">
        <f>SUM(H57:H60)</f>
        <v>0</v>
      </c>
      <c r="I61" s="127">
        <f>SUM(I57:I60)</f>
        <v>0</v>
      </c>
      <c r="J61" s="128">
        <f>SUM(J57:J60)</f>
        <v>0</v>
      </c>
      <c r="K61" s="129">
        <f t="shared" si="0"/>
        <v>338</v>
      </c>
      <c r="L61" s="126">
        <f>SUM(L57:L60)</f>
        <v>670</v>
      </c>
      <c r="M61" s="127">
        <f>SUM(M57:M60)</f>
        <v>0</v>
      </c>
      <c r="N61" s="127">
        <f>SUM(N57:N60)</f>
        <v>0</v>
      </c>
      <c r="O61" s="128">
        <f>SUM(O57:O60)</f>
        <v>0</v>
      </c>
      <c r="P61" s="129">
        <f t="shared" si="150"/>
        <v>670</v>
      </c>
      <c r="Q61" s="126">
        <f>SUM(Q57:Q60)</f>
        <v>271</v>
      </c>
      <c r="R61" s="127">
        <f>SUM(R57:R60)</f>
        <v>0</v>
      </c>
      <c r="S61" s="127">
        <f>SUM(S57:S60)</f>
        <v>0</v>
      </c>
      <c r="T61" s="128">
        <f>SUM(T57:T60)</f>
        <v>0</v>
      </c>
      <c r="U61" s="129">
        <f t="shared" si="151"/>
        <v>271</v>
      </c>
      <c r="V61" s="126">
        <f>SUM(V57:V60)</f>
        <v>314</v>
      </c>
      <c r="W61" s="127">
        <f>SUM(W57:W60)</f>
        <v>0</v>
      </c>
      <c r="X61" s="127">
        <f>SUM(X57:X60)</f>
        <v>0</v>
      </c>
      <c r="Y61" s="128">
        <f>SUM(Y57:Y60)</f>
        <v>0</v>
      </c>
      <c r="Z61" s="129">
        <f t="shared" si="152"/>
        <v>314</v>
      </c>
      <c r="AA61" s="126">
        <f>SUM(AA57:AA60)</f>
        <v>265</v>
      </c>
      <c r="AB61" s="127">
        <f>SUM(AB57:AB60)</f>
        <v>0</v>
      </c>
      <c r="AC61" s="127">
        <f>SUM(AC57:AC60)</f>
        <v>0</v>
      </c>
      <c r="AD61" s="128">
        <f>SUM(AD57:AD60)</f>
        <v>0</v>
      </c>
      <c r="AE61" s="129">
        <f t="shared" si="153"/>
        <v>265</v>
      </c>
      <c r="AF61" s="126">
        <f>SUM(AF57:AF60)</f>
        <v>962</v>
      </c>
      <c r="AG61" s="127">
        <f>SUM(AG57:AG60)</f>
        <v>0</v>
      </c>
      <c r="AH61" s="127">
        <f>SUM(AH57:AH60)</f>
        <v>0</v>
      </c>
      <c r="AI61" s="128">
        <f>SUM(AI57:AI60)</f>
        <v>0</v>
      </c>
      <c r="AJ61" s="129">
        <f t="shared" si="154"/>
        <v>962</v>
      </c>
      <c r="AK61" s="126">
        <f>SUM(AK57:AK60)</f>
        <v>365</v>
      </c>
      <c r="AL61" s="127">
        <f>SUM(AL57:AL60)</f>
        <v>0</v>
      </c>
      <c r="AM61" s="127">
        <f>SUM(AM57:AM60)</f>
        <v>0</v>
      </c>
      <c r="AN61" s="128">
        <f>SUM(AN57:AN60)</f>
        <v>0</v>
      </c>
      <c r="AO61" s="129">
        <f t="shared" si="155"/>
        <v>365</v>
      </c>
      <c r="AP61" s="126">
        <f>SUM(AP57:AP60)</f>
        <v>658</v>
      </c>
      <c r="AQ61" s="127">
        <f>SUM(AQ57:AQ60)</f>
        <v>0</v>
      </c>
      <c r="AR61" s="127">
        <f>SUM(AR57:AR60)</f>
        <v>0</v>
      </c>
      <c r="AS61" s="128">
        <f>SUM(AS57:AS60)</f>
        <v>0</v>
      </c>
      <c r="AT61" s="129">
        <f t="shared" si="156"/>
        <v>658</v>
      </c>
      <c r="AU61" s="126">
        <f>SUM(AU57:AU60)</f>
        <v>306</v>
      </c>
      <c r="AV61" s="127">
        <f>SUM(AV57:AV60)</f>
        <v>0</v>
      </c>
      <c r="AW61" s="127">
        <f>SUM(AW57:AW60)</f>
        <v>0</v>
      </c>
      <c r="AX61" s="128">
        <f>SUM(AX57:AX60)</f>
        <v>0</v>
      </c>
      <c r="AY61" s="129">
        <f t="shared" si="157"/>
        <v>306</v>
      </c>
      <c r="AZ61" s="126">
        <f>SUM(AZ57:AZ60)</f>
        <v>384</v>
      </c>
      <c r="BA61" s="127">
        <f>SUM(BA57:BA60)</f>
        <v>0</v>
      </c>
      <c r="BB61" s="127">
        <f>SUM(BB57:BB60)</f>
        <v>0</v>
      </c>
      <c r="BC61" s="128">
        <f>SUM(BC57:BC60)</f>
        <v>0</v>
      </c>
      <c r="BD61" s="129">
        <f t="shared" si="158"/>
        <v>384</v>
      </c>
      <c r="BE61" s="126">
        <f>SUM(BE57:BE60)</f>
        <v>121</v>
      </c>
      <c r="BF61" s="127">
        <f>SUM(BF57:BF60)</f>
        <v>0</v>
      </c>
      <c r="BG61" s="127">
        <f>SUM(BG57:BG60)</f>
        <v>0</v>
      </c>
      <c r="BH61" s="128">
        <f>SUM(BH57:BH60)</f>
        <v>0</v>
      </c>
      <c r="BI61" s="129">
        <f t="shared" si="159"/>
        <v>121</v>
      </c>
      <c r="BJ61" s="126">
        <f>SUM(BJ57:BJ60)</f>
        <v>453</v>
      </c>
      <c r="BK61" s="127">
        <f>SUM(BK57:BK60)</f>
        <v>0</v>
      </c>
      <c r="BL61" s="127">
        <f>SUM(BL57:BL60)</f>
        <v>0</v>
      </c>
      <c r="BM61" s="128">
        <f>SUM(BM57:BM60)</f>
        <v>0</v>
      </c>
      <c r="BN61" s="129">
        <f t="shared" si="160"/>
        <v>453</v>
      </c>
      <c r="BO61" s="131">
        <f>SUM(BO57:BO60)</f>
        <v>5107</v>
      </c>
      <c r="BP61" s="127">
        <f>SUM(BP57:BP60)</f>
        <v>0</v>
      </c>
      <c r="BQ61" s="127">
        <f>SUM(BQ57:BQ60)</f>
        <v>0</v>
      </c>
      <c r="BR61" s="128">
        <f>SUM(BR57:BR60)</f>
        <v>0</v>
      </c>
      <c r="BS61" s="130">
        <f t="shared" si="13"/>
        <v>5107</v>
      </c>
    </row>
    <row r="62" spans="2:71" x14ac:dyDescent="0.3">
      <c r="B62" s="269"/>
      <c r="C62" s="230"/>
      <c r="D62" s="233"/>
      <c r="E62" s="241" t="s">
        <v>46</v>
      </c>
      <c r="F62" s="120" t="s">
        <v>49</v>
      </c>
      <c r="G62" s="30">
        <v>14</v>
      </c>
      <c r="H62" s="7"/>
      <c r="I62" s="7"/>
      <c r="J62" s="8"/>
      <c r="K62" s="9">
        <f t="shared" si="0"/>
        <v>14</v>
      </c>
      <c r="L62" s="30">
        <v>36</v>
      </c>
      <c r="M62" s="7"/>
      <c r="N62" s="7"/>
      <c r="O62" s="8"/>
      <c r="P62" s="9">
        <f t="shared" si="150"/>
        <v>36</v>
      </c>
      <c r="Q62" s="30">
        <v>4</v>
      </c>
      <c r="R62" s="7"/>
      <c r="S62" s="7"/>
      <c r="T62" s="8"/>
      <c r="U62" s="9">
        <f t="shared" si="151"/>
        <v>4</v>
      </c>
      <c r="V62" s="30">
        <v>4</v>
      </c>
      <c r="W62" s="7"/>
      <c r="X62" s="7"/>
      <c r="Y62" s="8"/>
      <c r="Z62" s="9">
        <f t="shared" si="152"/>
        <v>4</v>
      </c>
      <c r="AA62" s="30">
        <v>9</v>
      </c>
      <c r="AB62" s="7"/>
      <c r="AC62" s="7"/>
      <c r="AD62" s="8"/>
      <c r="AE62" s="9">
        <f t="shared" si="153"/>
        <v>9</v>
      </c>
      <c r="AF62" s="30">
        <v>38</v>
      </c>
      <c r="AG62" s="7"/>
      <c r="AH62" s="7"/>
      <c r="AI62" s="8"/>
      <c r="AJ62" s="9">
        <f t="shared" si="154"/>
        <v>38</v>
      </c>
      <c r="AK62" s="30">
        <v>16</v>
      </c>
      <c r="AL62" s="7"/>
      <c r="AM62" s="7"/>
      <c r="AN62" s="8"/>
      <c r="AO62" s="9">
        <f t="shared" si="155"/>
        <v>16</v>
      </c>
      <c r="AP62" s="30">
        <v>33</v>
      </c>
      <c r="AQ62" s="7"/>
      <c r="AR62" s="7"/>
      <c r="AS62" s="8"/>
      <c r="AT62" s="9">
        <f t="shared" si="156"/>
        <v>33</v>
      </c>
      <c r="AU62" s="30">
        <v>22</v>
      </c>
      <c r="AV62" s="7"/>
      <c r="AW62" s="7"/>
      <c r="AX62" s="8"/>
      <c r="AY62" s="9">
        <f t="shared" si="157"/>
        <v>22</v>
      </c>
      <c r="AZ62" s="30">
        <v>26</v>
      </c>
      <c r="BA62" s="7"/>
      <c r="BB62" s="7"/>
      <c r="BC62" s="8"/>
      <c r="BD62" s="9">
        <f t="shared" si="158"/>
        <v>26</v>
      </c>
      <c r="BE62" s="30">
        <v>7</v>
      </c>
      <c r="BF62" s="7"/>
      <c r="BG62" s="7"/>
      <c r="BH62" s="8"/>
      <c r="BI62" s="9">
        <f t="shared" si="159"/>
        <v>7</v>
      </c>
      <c r="BJ62" s="30">
        <v>11</v>
      </c>
      <c r="BK62" s="7"/>
      <c r="BL62" s="7"/>
      <c r="BM62" s="8"/>
      <c r="BN62" s="9">
        <f t="shared" si="160"/>
        <v>11</v>
      </c>
      <c r="BO62" s="65">
        <f t="shared" ref="BO62:BR69" si="185">SUM(G62,L62,Q62,V62,AA62,AF62,AK62,AP62,AU62,AZ62,BE62,BJ62)</f>
        <v>220</v>
      </c>
      <c r="BP62" s="7">
        <f t="shared" si="185"/>
        <v>0</v>
      </c>
      <c r="BQ62" s="7">
        <f t="shared" si="185"/>
        <v>0</v>
      </c>
      <c r="BR62" s="8">
        <f t="shared" si="185"/>
        <v>0</v>
      </c>
      <c r="BS62" s="31">
        <f t="shared" si="13"/>
        <v>220</v>
      </c>
    </row>
    <row r="63" spans="2:71" x14ac:dyDescent="0.3">
      <c r="B63" s="269"/>
      <c r="C63" s="230"/>
      <c r="D63" s="233"/>
      <c r="E63" s="239"/>
      <c r="F63" s="121" t="s">
        <v>50</v>
      </c>
      <c r="G63" s="32"/>
      <c r="H63" s="13"/>
      <c r="I63" s="13"/>
      <c r="J63" s="14"/>
      <c r="K63" s="15">
        <f t="shared" si="0"/>
        <v>0</v>
      </c>
      <c r="L63" s="32">
        <v>2</v>
      </c>
      <c r="M63" s="13"/>
      <c r="N63" s="13"/>
      <c r="O63" s="14"/>
      <c r="P63" s="15">
        <f t="shared" si="150"/>
        <v>2</v>
      </c>
      <c r="Q63" s="32">
        <v>4</v>
      </c>
      <c r="R63" s="13"/>
      <c r="S63" s="13"/>
      <c r="T63" s="14"/>
      <c r="U63" s="15">
        <f t="shared" si="151"/>
        <v>4</v>
      </c>
      <c r="V63" s="32">
        <v>3</v>
      </c>
      <c r="W63" s="13"/>
      <c r="X63" s="13"/>
      <c r="Y63" s="14"/>
      <c r="Z63" s="15">
        <f t="shared" si="152"/>
        <v>3</v>
      </c>
      <c r="AA63" s="32"/>
      <c r="AB63" s="13"/>
      <c r="AC63" s="13"/>
      <c r="AD63" s="14"/>
      <c r="AE63" s="15">
        <f t="shared" si="153"/>
        <v>0</v>
      </c>
      <c r="AF63" s="32">
        <v>11</v>
      </c>
      <c r="AG63" s="13"/>
      <c r="AH63" s="13"/>
      <c r="AI63" s="14"/>
      <c r="AJ63" s="15">
        <f t="shared" si="154"/>
        <v>11</v>
      </c>
      <c r="AK63" s="32">
        <v>7</v>
      </c>
      <c r="AL63" s="13"/>
      <c r="AM63" s="13"/>
      <c r="AN63" s="14"/>
      <c r="AO63" s="15">
        <f t="shared" si="155"/>
        <v>7</v>
      </c>
      <c r="AP63" s="32">
        <v>7</v>
      </c>
      <c r="AQ63" s="13"/>
      <c r="AR63" s="13"/>
      <c r="AS63" s="14"/>
      <c r="AT63" s="15">
        <f t="shared" si="156"/>
        <v>7</v>
      </c>
      <c r="AU63" s="32">
        <v>10</v>
      </c>
      <c r="AV63" s="13"/>
      <c r="AW63" s="13"/>
      <c r="AX63" s="14"/>
      <c r="AY63" s="15">
        <f t="shared" si="157"/>
        <v>10</v>
      </c>
      <c r="AZ63" s="32">
        <v>4</v>
      </c>
      <c r="BA63" s="13"/>
      <c r="BB63" s="13"/>
      <c r="BC63" s="14"/>
      <c r="BD63" s="15">
        <f t="shared" si="158"/>
        <v>4</v>
      </c>
      <c r="BE63" s="32"/>
      <c r="BF63" s="13"/>
      <c r="BG63" s="13"/>
      <c r="BH63" s="14"/>
      <c r="BI63" s="15">
        <f t="shared" si="159"/>
        <v>0</v>
      </c>
      <c r="BJ63" s="32">
        <v>3</v>
      </c>
      <c r="BK63" s="13"/>
      <c r="BL63" s="13"/>
      <c r="BM63" s="14"/>
      <c r="BN63" s="15">
        <f t="shared" si="160"/>
        <v>3</v>
      </c>
      <c r="BO63" s="66">
        <f t="shared" si="185"/>
        <v>51</v>
      </c>
      <c r="BP63" s="13">
        <f t="shared" si="185"/>
        <v>0</v>
      </c>
      <c r="BQ63" s="13">
        <f t="shared" si="185"/>
        <v>0</v>
      </c>
      <c r="BR63" s="14">
        <f t="shared" si="185"/>
        <v>0</v>
      </c>
      <c r="BS63" s="33">
        <f t="shared" si="13"/>
        <v>51</v>
      </c>
    </row>
    <row r="64" spans="2:71" x14ac:dyDescent="0.3">
      <c r="B64" s="269"/>
      <c r="C64" s="230"/>
      <c r="D64" s="233"/>
      <c r="E64" s="239"/>
      <c r="F64" s="121" t="s">
        <v>51</v>
      </c>
      <c r="G64" s="32">
        <v>9</v>
      </c>
      <c r="H64" s="13"/>
      <c r="I64" s="13"/>
      <c r="J64" s="14"/>
      <c r="K64" s="15">
        <f t="shared" si="0"/>
        <v>9</v>
      </c>
      <c r="L64" s="32">
        <v>21</v>
      </c>
      <c r="M64" s="13"/>
      <c r="N64" s="13"/>
      <c r="O64" s="14"/>
      <c r="P64" s="15">
        <f t="shared" si="150"/>
        <v>21</v>
      </c>
      <c r="Q64" s="32"/>
      <c r="R64" s="13"/>
      <c r="S64" s="13"/>
      <c r="T64" s="14"/>
      <c r="U64" s="15">
        <f t="shared" si="151"/>
        <v>0</v>
      </c>
      <c r="V64" s="32"/>
      <c r="W64" s="13"/>
      <c r="X64" s="13"/>
      <c r="Y64" s="14"/>
      <c r="Z64" s="15">
        <f t="shared" si="152"/>
        <v>0</v>
      </c>
      <c r="AA64" s="32"/>
      <c r="AB64" s="13"/>
      <c r="AC64" s="13"/>
      <c r="AD64" s="14"/>
      <c r="AE64" s="15">
        <f t="shared" si="153"/>
        <v>0</v>
      </c>
      <c r="AF64" s="32">
        <v>23</v>
      </c>
      <c r="AG64" s="13"/>
      <c r="AH64" s="13"/>
      <c r="AI64" s="14"/>
      <c r="AJ64" s="15">
        <f t="shared" si="154"/>
        <v>23</v>
      </c>
      <c r="AK64" s="32">
        <v>10</v>
      </c>
      <c r="AL64" s="13"/>
      <c r="AM64" s="13"/>
      <c r="AN64" s="14"/>
      <c r="AO64" s="15">
        <f t="shared" si="155"/>
        <v>10</v>
      </c>
      <c r="AP64" s="32">
        <v>21</v>
      </c>
      <c r="AQ64" s="13"/>
      <c r="AR64" s="13"/>
      <c r="AS64" s="14"/>
      <c r="AT64" s="15">
        <f t="shared" si="156"/>
        <v>21</v>
      </c>
      <c r="AU64" s="32"/>
      <c r="AV64" s="13"/>
      <c r="AW64" s="13"/>
      <c r="AX64" s="14"/>
      <c r="AY64" s="15">
        <f t="shared" si="157"/>
        <v>0</v>
      </c>
      <c r="AZ64" s="32"/>
      <c r="BA64" s="13"/>
      <c r="BB64" s="13"/>
      <c r="BC64" s="14"/>
      <c r="BD64" s="15">
        <f t="shared" si="158"/>
        <v>0</v>
      </c>
      <c r="BE64" s="32"/>
      <c r="BF64" s="13"/>
      <c r="BG64" s="13"/>
      <c r="BH64" s="14"/>
      <c r="BI64" s="15">
        <f t="shared" si="159"/>
        <v>0</v>
      </c>
      <c r="BJ64" s="32">
        <v>8</v>
      </c>
      <c r="BK64" s="13"/>
      <c r="BL64" s="13"/>
      <c r="BM64" s="14"/>
      <c r="BN64" s="15">
        <f t="shared" si="160"/>
        <v>8</v>
      </c>
      <c r="BO64" s="66">
        <f t="shared" si="185"/>
        <v>92</v>
      </c>
      <c r="BP64" s="13">
        <f t="shared" si="185"/>
        <v>0</v>
      </c>
      <c r="BQ64" s="13">
        <f t="shared" si="185"/>
        <v>0</v>
      </c>
      <c r="BR64" s="14">
        <f t="shared" si="185"/>
        <v>0</v>
      </c>
      <c r="BS64" s="33">
        <f t="shared" si="13"/>
        <v>92</v>
      </c>
    </row>
    <row r="65" spans="2:71" x14ac:dyDescent="0.3">
      <c r="B65" s="269"/>
      <c r="C65" s="230"/>
      <c r="D65" s="233"/>
      <c r="E65" s="239"/>
      <c r="F65" s="121" t="s">
        <v>52</v>
      </c>
      <c r="G65" s="32"/>
      <c r="H65" s="13"/>
      <c r="I65" s="13"/>
      <c r="J65" s="14"/>
      <c r="K65" s="15">
        <f t="shared" si="0"/>
        <v>0</v>
      </c>
      <c r="L65" s="32">
        <v>1</v>
      </c>
      <c r="M65" s="13"/>
      <c r="N65" s="13"/>
      <c r="O65" s="14"/>
      <c r="P65" s="15">
        <f t="shared" si="150"/>
        <v>1</v>
      </c>
      <c r="Q65" s="32"/>
      <c r="R65" s="13"/>
      <c r="S65" s="13"/>
      <c r="T65" s="14"/>
      <c r="U65" s="15">
        <f t="shared" si="151"/>
        <v>0</v>
      </c>
      <c r="V65" s="32"/>
      <c r="W65" s="13"/>
      <c r="X65" s="13"/>
      <c r="Y65" s="14"/>
      <c r="Z65" s="15">
        <f t="shared" si="152"/>
        <v>0</v>
      </c>
      <c r="AA65" s="32"/>
      <c r="AB65" s="13"/>
      <c r="AC65" s="13"/>
      <c r="AD65" s="14"/>
      <c r="AE65" s="15">
        <f t="shared" si="153"/>
        <v>0</v>
      </c>
      <c r="AF65" s="32">
        <v>8</v>
      </c>
      <c r="AG65" s="13"/>
      <c r="AH65" s="13"/>
      <c r="AI65" s="14"/>
      <c r="AJ65" s="15">
        <f t="shared" si="154"/>
        <v>8</v>
      </c>
      <c r="AK65" s="32">
        <v>3</v>
      </c>
      <c r="AL65" s="13"/>
      <c r="AM65" s="13"/>
      <c r="AN65" s="14"/>
      <c r="AO65" s="15">
        <f t="shared" si="155"/>
        <v>3</v>
      </c>
      <c r="AP65" s="32">
        <v>7</v>
      </c>
      <c r="AQ65" s="13"/>
      <c r="AR65" s="13"/>
      <c r="AS65" s="14"/>
      <c r="AT65" s="15">
        <f t="shared" si="156"/>
        <v>7</v>
      </c>
      <c r="AU65" s="32"/>
      <c r="AV65" s="13"/>
      <c r="AW65" s="13"/>
      <c r="AX65" s="14"/>
      <c r="AY65" s="15">
        <f t="shared" si="157"/>
        <v>0</v>
      </c>
      <c r="AZ65" s="32"/>
      <c r="BA65" s="13"/>
      <c r="BB65" s="13"/>
      <c r="BC65" s="14"/>
      <c r="BD65" s="15">
        <f t="shared" si="158"/>
        <v>0</v>
      </c>
      <c r="BE65" s="32"/>
      <c r="BF65" s="13"/>
      <c r="BG65" s="13"/>
      <c r="BH65" s="14"/>
      <c r="BI65" s="15">
        <f t="shared" si="159"/>
        <v>0</v>
      </c>
      <c r="BJ65" s="32">
        <v>2</v>
      </c>
      <c r="BK65" s="13"/>
      <c r="BL65" s="13"/>
      <c r="BM65" s="14"/>
      <c r="BN65" s="15">
        <f t="shared" si="160"/>
        <v>2</v>
      </c>
      <c r="BO65" s="66">
        <f t="shared" si="185"/>
        <v>21</v>
      </c>
      <c r="BP65" s="13">
        <f t="shared" si="185"/>
        <v>0</v>
      </c>
      <c r="BQ65" s="13">
        <f t="shared" si="185"/>
        <v>0</v>
      </c>
      <c r="BR65" s="14">
        <f t="shared" si="185"/>
        <v>0</v>
      </c>
      <c r="BS65" s="33">
        <f t="shared" si="13"/>
        <v>21</v>
      </c>
    </row>
    <row r="66" spans="2:71" x14ac:dyDescent="0.3">
      <c r="B66" s="269"/>
      <c r="C66" s="230"/>
      <c r="D66" s="233"/>
      <c r="E66" s="239"/>
      <c r="F66" s="121" t="s">
        <v>280</v>
      </c>
      <c r="G66" s="32"/>
      <c r="H66" s="13"/>
      <c r="I66" s="13"/>
      <c r="J66" s="14"/>
      <c r="K66" s="15">
        <f t="shared" ref="K66:K67" si="186">SUM(G66:J66)</f>
        <v>0</v>
      </c>
      <c r="L66" s="32"/>
      <c r="M66" s="13"/>
      <c r="N66" s="13"/>
      <c r="O66" s="14"/>
      <c r="P66" s="15">
        <f t="shared" ref="P66:P67" si="187">SUM(L66:O66)</f>
        <v>0</v>
      </c>
      <c r="Q66" s="32"/>
      <c r="R66" s="13"/>
      <c r="S66" s="13"/>
      <c r="T66" s="14"/>
      <c r="U66" s="15">
        <f t="shared" ref="U66:U67" si="188">SUM(Q66:T66)</f>
        <v>0</v>
      </c>
      <c r="V66" s="32">
        <f>891+888</f>
        <v>1779</v>
      </c>
      <c r="W66" s="13"/>
      <c r="X66" s="13"/>
      <c r="Y66" s="14"/>
      <c r="Z66" s="15">
        <f t="shared" ref="Z66:Z67" si="189">SUM(V66:Y66)</f>
        <v>1779</v>
      </c>
      <c r="AA66" s="32">
        <f>759+759</f>
        <v>1518</v>
      </c>
      <c r="AB66" s="13"/>
      <c r="AC66" s="13"/>
      <c r="AD66" s="14"/>
      <c r="AE66" s="15">
        <f t="shared" ref="AE66:AE67" si="190">SUM(AA66:AD66)</f>
        <v>1518</v>
      </c>
      <c r="AF66" s="32"/>
      <c r="AG66" s="13"/>
      <c r="AH66" s="13"/>
      <c r="AI66" s="14"/>
      <c r="AJ66" s="15">
        <f t="shared" ref="AJ66:AJ67" si="191">SUM(AF66:AI66)</f>
        <v>0</v>
      </c>
      <c r="AK66" s="32"/>
      <c r="AL66" s="13"/>
      <c r="AM66" s="13"/>
      <c r="AN66" s="14"/>
      <c r="AO66" s="15">
        <f t="shared" ref="AO66:AO67" si="192">SUM(AK66:AN66)</f>
        <v>0</v>
      </c>
      <c r="AP66" s="32"/>
      <c r="AQ66" s="13"/>
      <c r="AR66" s="13"/>
      <c r="AS66" s="14"/>
      <c r="AT66" s="15">
        <f t="shared" ref="AT66:AT67" si="193">SUM(AP66:AS66)</f>
        <v>0</v>
      </c>
      <c r="AU66" s="32"/>
      <c r="AV66" s="13"/>
      <c r="AW66" s="13"/>
      <c r="AX66" s="14"/>
      <c r="AY66" s="15">
        <f t="shared" ref="AY66:AY67" si="194">SUM(AU66:AX66)</f>
        <v>0</v>
      </c>
      <c r="AZ66" s="32"/>
      <c r="BA66" s="13"/>
      <c r="BB66" s="13"/>
      <c r="BC66" s="14"/>
      <c r="BD66" s="15">
        <f t="shared" ref="BD66:BD67" si="195">SUM(AZ66:BC66)</f>
        <v>0</v>
      </c>
      <c r="BE66" s="32"/>
      <c r="BF66" s="13"/>
      <c r="BG66" s="13"/>
      <c r="BH66" s="14"/>
      <c r="BI66" s="15">
        <f t="shared" ref="BI66:BI67" si="196">SUM(BE66:BH66)</f>
        <v>0</v>
      </c>
      <c r="BJ66" s="32"/>
      <c r="BK66" s="13"/>
      <c r="BL66" s="13"/>
      <c r="BM66" s="14"/>
      <c r="BN66" s="15">
        <f t="shared" ref="BN66:BN67" si="197">SUM(BJ66:BM66)</f>
        <v>0</v>
      </c>
      <c r="BO66" s="66">
        <f t="shared" si="185"/>
        <v>3297</v>
      </c>
      <c r="BP66" s="13">
        <f t="shared" si="185"/>
        <v>0</v>
      </c>
      <c r="BQ66" s="13">
        <f t="shared" si="185"/>
        <v>0</v>
      </c>
      <c r="BR66" s="14">
        <f t="shared" si="185"/>
        <v>0</v>
      </c>
      <c r="BS66" s="33">
        <f t="shared" ref="BS66:BS67" si="198">SUM(BO66:BR66)</f>
        <v>3297</v>
      </c>
    </row>
    <row r="67" spans="2:71" x14ac:dyDescent="0.3">
      <c r="B67" s="269"/>
      <c r="C67" s="230"/>
      <c r="D67" s="233"/>
      <c r="E67" s="239"/>
      <c r="F67" s="121" t="s">
        <v>281</v>
      </c>
      <c r="G67" s="32"/>
      <c r="H67" s="13"/>
      <c r="I67" s="13"/>
      <c r="J67" s="14"/>
      <c r="K67" s="15">
        <f t="shared" si="186"/>
        <v>0</v>
      </c>
      <c r="L67" s="32"/>
      <c r="M67" s="13"/>
      <c r="N67" s="13"/>
      <c r="O67" s="14"/>
      <c r="P67" s="15">
        <f t="shared" si="187"/>
        <v>0</v>
      </c>
      <c r="Q67" s="32"/>
      <c r="R67" s="13"/>
      <c r="S67" s="13"/>
      <c r="T67" s="14"/>
      <c r="U67" s="15">
        <f t="shared" si="188"/>
        <v>0</v>
      </c>
      <c r="V67" s="32">
        <f>244+245</f>
        <v>489</v>
      </c>
      <c r="W67" s="13"/>
      <c r="X67" s="13"/>
      <c r="Y67" s="14"/>
      <c r="Z67" s="15">
        <f t="shared" si="189"/>
        <v>489</v>
      </c>
      <c r="AA67" s="32">
        <f>236+238</f>
        <v>474</v>
      </c>
      <c r="AB67" s="13"/>
      <c r="AC67" s="13"/>
      <c r="AD67" s="14"/>
      <c r="AE67" s="15">
        <f t="shared" si="190"/>
        <v>474</v>
      </c>
      <c r="AF67" s="32"/>
      <c r="AG67" s="13"/>
      <c r="AH67" s="13"/>
      <c r="AI67" s="14"/>
      <c r="AJ67" s="15">
        <f t="shared" si="191"/>
        <v>0</v>
      </c>
      <c r="AK67" s="32"/>
      <c r="AL67" s="13"/>
      <c r="AM67" s="13"/>
      <c r="AN67" s="14"/>
      <c r="AO67" s="15">
        <f t="shared" si="192"/>
        <v>0</v>
      </c>
      <c r="AP67" s="32"/>
      <c r="AQ67" s="13"/>
      <c r="AR67" s="13"/>
      <c r="AS67" s="14"/>
      <c r="AT67" s="15">
        <f t="shared" si="193"/>
        <v>0</v>
      </c>
      <c r="AU67" s="32"/>
      <c r="AV67" s="13"/>
      <c r="AW67" s="13"/>
      <c r="AX67" s="14"/>
      <c r="AY67" s="15">
        <f t="shared" si="194"/>
        <v>0</v>
      </c>
      <c r="AZ67" s="32"/>
      <c r="BA67" s="13"/>
      <c r="BB67" s="13"/>
      <c r="BC67" s="14"/>
      <c r="BD67" s="15">
        <f t="shared" si="195"/>
        <v>0</v>
      </c>
      <c r="BE67" s="32"/>
      <c r="BF67" s="13"/>
      <c r="BG67" s="13"/>
      <c r="BH67" s="14"/>
      <c r="BI67" s="15">
        <f t="shared" si="196"/>
        <v>0</v>
      </c>
      <c r="BJ67" s="32"/>
      <c r="BK67" s="13"/>
      <c r="BL67" s="13"/>
      <c r="BM67" s="14"/>
      <c r="BN67" s="15">
        <f t="shared" si="197"/>
        <v>0</v>
      </c>
      <c r="BO67" s="66">
        <f t="shared" si="185"/>
        <v>963</v>
      </c>
      <c r="BP67" s="13">
        <f t="shared" si="185"/>
        <v>0</v>
      </c>
      <c r="BQ67" s="13">
        <f t="shared" si="185"/>
        <v>0</v>
      </c>
      <c r="BR67" s="14">
        <f t="shared" si="185"/>
        <v>0</v>
      </c>
      <c r="BS67" s="33">
        <f t="shared" si="198"/>
        <v>963</v>
      </c>
    </row>
    <row r="68" spans="2:71" x14ac:dyDescent="0.3">
      <c r="B68" s="269"/>
      <c r="C68" s="230"/>
      <c r="D68" s="233"/>
      <c r="E68" s="239"/>
      <c r="F68" s="178" t="s">
        <v>282</v>
      </c>
      <c r="G68" s="179"/>
      <c r="H68" s="180"/>
      <c r="I68" s="180"/>
      <c r="J68" s="181"/>
      <c r="K68" s="182">
        <f t="shared" ref="K68:K69" si="199">SUM(G68:J68)</f>
        <v>0</v>
      </c>
      <c r="L68" s="179"/>
      <c r="M68" s="180"/>
      <c r="N68" s="180"/>
      <c r="O68" s="181"/>
      <c r="P68" s="182">
        <f t="shared" ref="P68:P69" si="200">SUM(L68:O68)</f>
        <v>0</v>
      </c>
      <c r="Q68" s="179"/>
      <c r="R68" s="180"/>
      <c r="S68" s="180"/>
      <c r="T68" s="181"/>
      <c r="U68" s="182">
        <f t="shared" ref="U68:U69" si="201">SUM(Q68:T68)</f>
        <v>0</v>
      </c>
      <c r="V68" s="179">
        <v>262</v>
      </c>
      <c r="W68" s="180"/>
      <c r="X68" s="180"/>
      <c r="Y68" s="181"/>
      <c r="Z68" s="182">
        <f t="shared" ref="Z68:Z69" si="202">SUM(V68:Y68)</f>
        <v>262</v>
      </c>
      <c r="AA68" s="179">
        <v>586</v>
      </c>
      <c r="AB68" s="180"/>
      <c r="AC68" s="180"/>
      <c r="AD68" s="181"/>
      <c r="AE68" s="182">
        <f t="shared" ref="AE68:AE69" si="203">SUM(AA68:AD68)</f>
        <v>586</v>
      </c>
      <c r="AF68" s="179"/>
      <c r="AG68" s="180"/>
      <c r="AH68" s="180"/>
      <c r="AI68" s="181"/>
      <c r="AJ68" s="182">
        <f t="shared" ref="AJ68:AJ69" si="204">SUM(AF68:AI68)</f>
        <v>0</v>
      </c>
      <c r="AK68" s="179"/>
      <c r="AL68" s="180"/>
      <c r="AM68" s="180"/>
      <c r="AN68" s="181"/>
      <c r="AO68" s="182">
        <f t="shared" ref="AO68:AO69" si="205">SUM(AK68:AN68)</f>
        <v>0</v>
      </c>
      <c r="AP68" s="179"/>
      <c r="AQ68" s="180"/>
      <c r="AR68" s="180"/>
      <c r="AS68" s="181"/>
      <c r="AT68" s="182">
        <f t="shared" ref="AT68:AT69" si="206">SUM(AP68:AS68)</f>
        <v>0</v>
      </c>
      <c r="AU68" s="179"/>
      <c r="AV68" s="180"/>
      <c r="AW68" s="180"/>
      <c r="AX68" s="181"/>
      <c r="AY68" s="182">
        <f t="shared" ref="AY68:AY69" si="207">SUM(AU68:AX68)</f>
        <v>0</v>
      </c>
      <c r="AZ68" s="179"/>
      <c r="BA68" s="180"/>
      <c r="BB68" s="180"/>
      <c r="BC68" s="181"/>
      <c r="BD68" s="182">
        <f t="shared" ref="BD68:BD69" si="208">SUM(AZ68:BC68)</f>
        <v>0</v>
      </c>
      <c r="BE68" s="179"/>
      <c r="BF68" s="180"/>
      <c r="BG68" s="180"/>
      <c r="BH68" s="181"/>
      <c r="BI68" s="182">
        <f t="shared" ref="BI68:BI69" si="209">SUM(BE68:BH68)</f>
        <v>0</v>
      </c>
      <c r="BJ68" s="179"/>
      <c r="BK68" s="180"/>
      <c r="BL68" s="180"/>
      <c r="BM68" s="181"/>
      <c r="BN68" s="182">
        <f t="shared" ref="BN68:BN69" si="210">SUM(BJ68:BM68)</f>
        <v>0</v>
      </c>
      <c r="BO68" s="184">
        <f t="shared" si="185"/>
        <v>848</v>
      </c>
      <c r="BP68" s="180">
        <f t="shared" si="185"/>
        <v>0</v>
      </c>
      <c r="BQ68" s="180">
        <f t="shared" si="185"/>
        <v>0</v>
      </c>
      <c r="BR68" s="181">
        <f t="shared" si="185"/>
        <v>0</v>
      </c>
      <c r="BS68" s="183">
        <f t="shared" ref="BS68:BS69" si="211">SUM(BO68:BR68)</f>
        <v>848</v>
      </c>
    </row>
    <row r="69" spans="2:71" x14ac:dyDescent="0.3">
      <c r="B69" s="269"/>
      <c r="C69" s="230"/>
      <c r="D69" s="233"/>
      <c r="E69" s="239"/>
      <c r="F69" s="185" t="s">
        <v>283</v>
      </c>
      <c r="G69" s="186"/>
      <c r="H69" s="187"/>
      <c r="I69" s="187"/>
      <c r="J69" s="188"/>
      <c r="K69" s="189">
        <f t="shared" si="199"/>
        <v>0</v>
      </c>
      <c r="L69" s="186"/>
      <c r="M69" s="187"/>
      <c r="N69" s="187"/>
      <c r="O69" s="188"/>
      <c r="P69" s="189">
        <f t="shared" si="200"/>
        <v>0</v>
      </c>
      <c r="Q69" s="186"/>
      <c r="R69" s="187"/>
      <c r="S69" s="187"/>
      <c r="T69" s="188"/>
      <c r="U69" s="189">
        <f t="shared" si="201"/>
        <v>0</v>
      </c>
      <c r="V69" s="186">
        <v>50</v>
      </c>
      <c r="W69" s="187"/>
      <c r="X69" s="187"/>
      <c r="Y69" s="188"/>
      <c r="Z69" s="189">
        <f t="shared" si="202"/>
        <v>50</v>
      </c>
      <c r="AA69" s="186">
        <v>72</v>
      </c>
      <c r="AB69" s="187"/>
      <c r="AC69" s="187"/>
      <c r="AD69" s="188"/>
      <c r="AE69" s="189">
        <f t="shared" si="203"/>
        <v>72</v>
      </c>
      <c r="AF69" s="186"/>
      <c r="AG69" s="187"/>
      <c r="AH69" s="187"/>
      <c r="AI69" s="188"/>
      <c r="AJ69" s="189">
        <f t="shared" si="204"/>
        <v>0</v>
      </c>
      <c r="AK69" s="186"/>
      <c r="AL69" s="187"/>
      <c r="AM69" s="187"/>
      <c r="AN69" s="188"/>
      <c r="AO69" s="189">
        <f t="shared" si="205"/>
        <v>0</v>
      </c>
      <c r="AP69" s="186"/>
      <c r="AQ69" s="187"/>
      <c r="AR69" s="187"/>
      <c r="AS69" s="188"/>
      <c r="AT69" s="189">
        <f t="shared" si="206"/>
        <v>0</v>
      </c>
      <c r="AU69" s="186"/>
      <c r="AV69" s="187"/>
      <c r="AW69" s="187"/>
      <c r="AX69" s="188"/>
      <c r="AY69" s="189">
        <f t="shared" si="207"/>
        <v>0</v>
      </c>
      <c r="AZ69" s="186"/>
      <c r="BA69" s="187"/>
      <c r="BB69" s="187"/>
      <c r="BC69" s="188"/>
      <c r="BD69" s="189">
        <f t="shared" si="208"/>
        <v>0</v>
      </c>
      <c r="BE69" s="186"/>
      <c r="BF69" s="187"/>
      <c r="BG69" s="187"/>
      <c r="BH69" s="188"/>
      <c r="BI69" s="189">
        <f t="shared" si="209"/>
        <v>0</v>
      </c>
      <c r="BJ69" s="186"/>
      <c r="BK69" s="187"/>
      <c r="BL69" s="187"/>
      <c r="BM69" s="188"/>
      <c r="BN69" s="189">
        <f t="shared" si="210"/>
        <v>0</v>
      </c>
      <c r="BO69" s="191">
        <f t="shared" si="185"/>
        <v>122</v>
      </c>
      <c r="BP69" s="187">
        <f t="shared" si="185"/>
        <v>0</v>
      </c>
      <c r="BQ69" s="187">
        <f t="shared" si="185"/>
        <v>0</v>
      </c>
      <c r="BR69" s="188">
        <f t="shared" si="185"/>
        <v>0</v>
      </c>
      <c r="BS69" s="190">
        <f t="shared" si="211"/>
        <v>122</v>
      </c>
    </row>
    <row r="70" spans="2:71" x14ac:dyDescent="0.3">
      <c r="B70" s="269"/>
      <c r="C70" s="230"/>
      <c r="D70" s="233"/>
      <c r="E70" s="240"/>
      <c r="F70" s="125" t="s">
        <v>55</v>
      </c>
      <c r="G70" s="126">
        <f>SUM(G62:G69)</f>
        <v>23</v>
      </c>
      <c r="H70" s="127">
        <f>SUM(H62:H69)</f>
        <v>0</v>
      </c>
      <c r="I70" s="127">
        <f>SUM(I62:I69)</f>
        <v>0</v>
      </c>
      <c r="J70" s="128">
        <f>SUM(J62:J69)</f>
        <v>0</v>
      </c>
      <c r="K70" s="129">
        <f t="shared" si="0"/>
        <v>23</v>
      </c>
      <c r="L70" s="126">
        <f>SUM(L62:L69)</f>
        <v>60</v>
      </c>
      <c r="M70" s="127">
        <f>SUM(M62:M69)</f>
        <v>0</v>
      </c>
      <c r="N70" s="127">
        <f>SUM(N62:N69)</f>
        <v>0</v>
      </c>
      <c r="O70" s="128">
        <f>SUM(O62:O69)</f>
        <v>0</v>
      </c>
      <c r="P70" s="129">
        <f t="shared" si="150"/>
        <v>60</v>
      </c>
      <c r="Q70" s="126">
        <f>SUM(Q62:Q69)</f>
        <v>8</v>
      </c>
      <c r="R70" s="127">
        <f>SUM(R62:R69)</f>
        <v>0</v>
      </c>
      <c r="S70" s="127">
        <f>SUM(S62:S69)</f>
        <v>0</v>
      </c>
      <c r="T70" s="128">
        <f>SUM(T62:T69)</f>
        <v>0</v>
      </c>
      <c r="U70" s="129">
        <f t="shared" si="151"/>
        <v>8</v>
      </c>
      <c r="V70" s="126">
        <f>SUM(V62:V69)</f>
        <v>2587</v>
      </c>
      <c r="W70" s="127">
        <f>SUM(W62:W69)</f>
        <v>0</v>
      </c>
      <c r="X70" s="127">
        <f>SUM(X62:X69)</f>
        <v>0</v>
      </c>
      <c r="Y70" s="128">
        <f>SUM(Y62:Y69)</f>
        <v>0</v>
      </c>
      <c r="Z70" s="129">
        <f t="shared" si="152"/>
        <v>2587</v>
      </c>
      <c r="AA70" s="126">
        <f>SUM(AA62:AA69)</f>
        <v>2659</v>
      </c>
      <c r="AB70" s="127">
        <f>SUM(AB62:AB69)</f>
        <v>0</v>
      </c>
      <c r="AC70" s="127">
        <f>SUM(AC62:AC69)</f>
        <v>0</v>
      </c>
      <c r="AD70" s="128">
        <f>SUM(AD62:AD69)</f>
        <v>0</v>
      </c>
      <c r="AE70" s="129">
        <f t="shared" si="153"/>
        <v>2659</v>
      </c>
      <c r="AF70" s="126">
        <f>SUM(AF62:AF69)</f>
        <v>80</v>
      </c>
      <c r="AG70" s="127">
        <f>SUM(AG62:AG69)</f>
        <v>0</v>
      </c>
      <c r="AH70" s="127">
        <f>SUM(AH62:AH69)</f>
        <v>0</v>
      </c>
      <c r="AI70" s="128">
        <f>SUM(AI62:AI69)</f>
        <v>0</v>
      </c>
      <c r="AJ70" s="129">
        <f t="shared" si="154"/>
        <v>80</v>
      </c>
      <c r="AK70" s="126">
        <f>SUM(AK62:AK69)</f>
        <v>36</v>
      </c>
      <c r="AL70" s="127">
        <f>SUM(AL62:AL69)</f>
        <v>0</v>
      </c>
      <c r="AM70" s="127">
        <f>SUM(AM62:AM69)</f>
        <v>0</v>
      </c>
      <c r="AN70" s="128">
        <f>SUM(AN62:AN69)</f>
        <v>0</v>
      </c>
      <c r="AO70" s="129">
        <f t="shared" si="155"/>
        <v>36</v>
      </c>
      <c r="AP70" s="126">
        <f>SUM(AP62:AP69)</f>
        <v>68</v>
      </c>
      <c r="AQ70" s="127">
        <f>SUM(AQ62:AQ69)</f>
        <v>0</v>
      </c>
      <c r="AR70" s="127">
        <f>SUM(AR62:AR69)</f>
        <v>0</v>
      </c>
      <c r="AS70" s="128">
        <f>SUM(AS62:AS69)</f>
        <v>0</v>
      </c>
      <c r="AT70" s="129">
        <f t="shared" si="156"/>
        <v>68</v>
      </c>
      <c r="AU70" s="126">
        <f>SUM(AU62:AU69)</f>
        <v>32</v>
      </c>
      <c r="AV70" s="127">
        <f>SUM(AV62:AV69)</f>
        <v>0</v>
      </c>
      <c r="AW70" s="127">
        <f>SUM(AW62:AW69)</f>
        <v>0</v>
      </c>
      <c r="AX70" s="128">
        <f>SUM(AX62:AX69)</f>
        <v>0</v>
      </c>
      <c r="AY70" s="129">
        <f t="shared" si="157"/>
        <v>32</v>
      </c>
      <c r="AZ70" s="126">
        <f>SUM(AZ62:AZ69)</f>
        <v>30</v>
      </c>
      <c r="BA70" s="127">
        <f>SUM(BA62:BA69)</f>
        <v>0</v>
      </c>
      <c r="BB70" s="127">
        <f>SUM(BB62:BB69)</f>
        <v>0</v>
      </c>
      <c r="BC70" s="128">
        <f>SUM(BC62:BC69)</f>
        <v>0</v>
      </c>
      <c r="BD70" s="129">
        <f t="shared" si="158"/>
        <v>30</v>
      </c>
      <c r="BE70" s="126">
        <f>SUM(BE62:BE69)</f>
        <v>7</v>
      </c>
      <c r="BF70" s="127">
        <f>SUM(BF62:BF69)</f>
        <v>0</v>
      </c>
      <c r="BG70" s="127">
        <f>SUM(BG62:BG69)</f>
        <v>0</v>
      </c>
      <c r="BH70" s="128">
        <f>SUM(BH62:BH69)</f>
        <v>0</v>
      </c>
      <c r="BI70" s="129">
        <f t="shared" si="159"/>
        <v>7</v>
      </c>
      <c r="BJ70" s="126">
        <f>SUM(BJ62:BJ69)</f>
        <v>24</v>
      </c>
      <c r="BK70" s="127">
        <f>SUM(BK62:BK69)</f>
        <v>0</v>
      </c>
      <c r="BL70" s="127">
        <f>SUM(BL62:BL69)</f>
        <v>0</v>
      </c>
      <c r="BM70" s="128">
        <f>SUM(BM62:BM69)</f>
        <v>0</v>
      </c>
      <c r="BN70" s="129">
        <f t="shared" si="160"/>
        <v>24</v>
      </c>
      <c r="BO70" s="131">
        <f>SUM(BO62:BO69)</f>
        <v>5614</v>
      </c>
      <c r="BP70" s="127">
        <f>SUM(BP62:BP69)</f>
        <v>0</v>
      </c>
      <c r="BQ70" s="127">
        <f>SUM(BQ62:BQ69)</f>
        <v>0</v>
      </c>
      <c r="BR70" s="128">
        <f>SUM(BR62:BR69)</f>
        <v>0</v>
      </c>
      <c r="BS70" s="130">
        <f t="shared" si="13"/>
        <v>5614</v>
      </c>
    </row>
    <row r="71" spans="2:71" x14ac:dyDescent="0.3">
      <c r="B71" s="269"/>
      <c r="C71" s="230"/>
      <c r="D71" s="233"/>
      <c r="E71" s="241" t="s">
        <v>47</v>
      </c>
      <c r="F71" s="120" t="s">
        <v>49</v>
      </c>
      <c r="G71" s="30">
        <v>75</v>
      </c>
      <c r="H71" s="7"/>
      <c r="I71" s="7"/>
      <c r="J71" s="8"/>
      <c r="K71" s="9">
        <f t="shared" si="0"/>
        <v>75</v>
      </c>
      <c r="L71" s="30">
        <v>161</v>
      </c>
      <c r="M71" s="7"/>
      <c r="N71" s="7"/>
      <c r="O71" s="8"/>
      <c r="P71" s="9">
        <f t="shared" si="150"/>
        <v>161</v>
      </c>
      <c r="Q71" s="30">
        <v>64</v>
      </c>
      <c r="R71" s="7"/>
      <c r="S71" s="7"/>
      <c r="T71" s="8"/>
      <c r="U71" s="9">
        <f t="shared" si="151"/>
        <v>64</v>
      </c>
      <c r="V71" s="30">
        <v>108</v>
      </c>
      <c r="W71" s="7"/>
      <c r="X71" s="7"/>
      <c r="Y71" s="8"/>
      <c r="Z71" s="9">
        <f t="shared" si="152"/>
        <v>108</v>
      </c>
      <c r="AA71" s="30">
        <v>103</v>
      </c>
      <c r="AB71" s="7"/>
      <c r="AC71" s="7"/>
      <c r="AD71" s="8"/>
      <c r="AE71" s="9">
        <f t="shared" si="153"/>
        <v>103</v>
      </c>
      <c r="AF71" s="30">
        <v>153</v>
      </c>
      <c r="AG71" s="7"/>
      <c r="AH71" s="7"/>
      <c r="AI71" s="8"/>
      <c r="AJ71" s="9">
        <f t="shared" si="154"/>
        <v>153</v>
      </c>
      <c r="AK71" s="30">
        <v>61</v>
      </c>
      <c r="AL71" s="7"/>
      <c r="AM71" s="7"/>
      <c r="AN71" s="8"/>
      <c r="AO71" s="9">
        <f t="shared" si="155"/>
        <v>61</v>
      </c>
      <c r="AP71" s="30">
        <v>71</v>
      </c>
      <c r="AQ71" s="7"/>
      <c r="AR71" s="7"/>
      <c r="AS71" s="8"/>
      <c r="AT71" s="9">
        <f t="shared" si="156"/>
        <v>71</v>
      </c>
      <c r="AU71" s="30">
        <v>69</v>
      </c>
      <c r="AV71" s="7"/>
      <c r="AW71" s="7"/>
      <c r="AX71" s="8"/>
      <c r="AY71" s="9">
        <f t="shared" si="157"/>
        <v>69</v>
      </c>
      <c r="AZ71" s="30">
        <v>121</v>
      </c>
      <c r="BA71" s="7"/>
      <c r="BB71" s="7"/>
      <c r="BC71" s="8"/>
      <c r="BD71" s="9">
        <f t="shared" si="158"/>
        <v>121</v>
      </c>
      <c r="BE71" s="30">
        <v>28</v>
      </c>
      <c r="BF71" s="7"/>
      <c r="BG71" s="7"/>
      <c r="BH71" s="8"/>
      <c r="BI71" s="9">
        <f t="shared" si="159"/>
        <v>28</v>
      </c>
      <c r="BJ71" s="30">
        <v>99</v>
      </c>
      <c r="BK71" s="7"/>
      <c r="BL71" s="7"/>
      <c r="BM71" s="8"/>
      <c r="BN71" s="9">
        <f t="shared" si="160"/>
        <v>99</v>
      </c>
      <c r="BO71" s="65">
        <f t="shared" ref="BO71:BR74" si="212">SUM(G71,L71,Q71,V71,AA71,AF71,AK71,AP71,AU71,AZ71,BE71,BJ71)</f>
        <v>1113</v>
      </c>
      <c r="BP71" s="7">
        <f t="shared" si="212"/>
        <v>0</v>
      </c>
      <c r="BQ71" s="7">
        <f t="shared" si="212"/>
        <v>0</v>
      </c>
      <c r="BR71" s="8">
        <f t="shared" si="212"/>
        <v>0</v>
      </c>
      <c r="BS71" s="31">
        <f t="shared" si="13"/>
        <v>1113</v>
      </c>
    </row>
    <row r="72" spans="2:71" x14ac:dyDescent="0.3">
      <c r="B72" s="269"/>
      <c r="C72" s="230"/>
      <c r="D72" s="233"/>
      <c r="E72" s="239"/>
      <c r="F72" s="121" t="s">
        <v>50</v>
      </c>
      <c r="G72" s="32">
        <v>3</v>
      </c>
      <c r="H72" s="13"/>
      <c r="I72" s="13"/>
      <c r="J72" s="14"/>
      <c r="K72" s="15">
        <f t="shared" si="0"/>
        <v>3</v>
      </c>
      <c r="L72" s="32">
        <v>13</v>
      </c>
      <c r="M72" s="13"/>
      <c r="N72" s="13"/>
      <c r="O72" s="14"/>
      <c r="P72" s="15">
        <f t="shared" si="150"/>
        <v>13</v>
      </c>
      <c r="Q72" s="32">
        <v>18</v>
      </c>
      <c r="R72" s="13"/>
      <c r="S72" s="13"/>
      <c r="T72" s="14"/>
      <c r="U72" s="15">
        <f t="shared" si="151"/>
        <v>18</v>
      </c>
      <c r="V72" s="32">
        <v>24</v>
      </c>
      <c r="W72" s="13"/>
      <c r="X72" s="13"/>
      <c r="Y72" s="14"/>
      <c r="Z72" s="15">
        <f t="shared" si="152"/>
        <v>24</v>
      </c>
      <c r="AA72" s="32">
        <v>12</v>
      </c>
      <c r="AB72" s="13"/>
      <c r="AC72" s="13"/>
      <c r="AD72" s="14"/>
      <c r="AE72" s="15">
        <f t="shared" si="153"/>
        <v>12</v>
      </c>
      <c r="AF72" s="32">
        <v>26</v>
      </c>
      <c r="AG72" s="13"/>
      <c r="AH72" s="13"/>
      <c r="AI72" s="14"/>
      <c r="AJ72" s="15">
        <f t="shared" si="154"/>
        <v>26</v>
      </c>
      <c r="AK72" s="32">
        <v>20</v>
      </c>
      <c r="AL72" s="13"/>
      <c r="AM72" s="13"/>
      <c r="AN72" s="14"/>
      <c r="AO72" s="15">
        <f t="shared" si="155"/>
        <v>20</v>
      </c>
      <c r="AP72" s="32">
        <v>38</v>
      </c>
      <c r="AQ72" s="13"/>
      <c r="AR72" s="13"/>
      <c r="AS72" s="14"/>
      <c r="AT72" s="15">
        <f t="shared" si="156"/>
        <v>38</v>
      </c>
      <c r="AU72" s="32">
        <v>21</v>
      </c>
      <c r="AV72" s="13"/>
      <c r="AW72" s="13"/>
      <c r="AX72" s="14"/>
      <c r="AY72" s="15">
        <f t="shared" si="157"/>
        <v>21</v>
      </c>
      <c r="AZ72" s="32">
        <v>24</v>
      </c>
      <c r="BA72" s="13"/>
      <c r="BB72" s="13"/>
      <c r="BC72" s="14"/>
      <c r="BD72" s="15">
        <f t="shared" si="158"/>
        <v>24</v>
      </c>
      <c r="BE72" s="32">
        <v>6</v>
      </c>
      <c r="BF72" s="13"/>
      <c r="BG72" s="13"/>
      <c r="BH72" s="14"/>
      <c r="BI72" s="15">
        <f t="shared" si="159"/>
        <v>6</v>
      </c>
      <c r="BJ72" s="32">
        <v>17</v>
      </c>
      <c r="BK72" s="13"/>
      <c r="BL72" s="13"/>
      <c r="BM72" s="14"/>
      <c r="BN72" s="15">
        <f t="shared" si="160"/>
        <v>17</v>
      </c>
      <c r="BO72" s="66">
        <f t="shared" si="212"/>
        <v>222</v>
      </c>
      <c r="BP72" s="13">
        <f t="shared" si="212"/>
        <v>0</v>
      </c>
      <c r="BQ72" s="13">
        <f t="shared" si="212"/>
        <v>0</v>
      </c>
      <c r="BR72" s="14">
        <f t="shared" si="212"/>
        <v>0</v>
      </c>
      <c r="BS72" s="33">
        <f t="shared" si="13"/>
        <v>222</v>
      </c>
    </row>
    <row r="73" spans="2:71" x14ac:dyDescent="0.3">
      <c r="B73" s="269"/>
      <c r="C73" s="230"/>
      <c r="D73" s="233"/>
      <c r="E73" s="239"/>
      <c r="F73" s="121" t="s">
        <v>51</v>
      </c>
      <c r="G73" s="32">
        <v>47</v>
      </c>
      <c r="H73" s="13"/>
      <c r="I73" s="13"/>
      <c r="J73" s="14"/>
      <c r="K73" s="15">
        <f t="shared" si="0"/>
        <v>47</v>
      </c>
      <c r="L73" s="32">
        <v>94</v>
      </c>
      <c r="M73" s="13"/>
      <c r="N73" s="13"/>
      <c r="O73" s="14"/>
      <c r="P73" s="15">
        <f t="shared" si="150"/>
        <v>94</v>
      </c>
      <c r="Q73" s="32"/>
      <c r="R73" s="13"/>
      <c r="S73" s="13"/>
      <c r="T73" s="14"/>
      <c r="U73" s="15">
        <f t="shared" si="151"/>
        <v>0</v>
      </c>
      <c r="V73" s="32"/>
      <c r="W73" s="13"/>
      <c r="X73" s="13"/>
      <c r="Y73" s="14"/>
      <c r="Z73" s="15">
        <f t="shared" si="152"/>
        <v>0</v>
      </c>
      <c r="AA73" s="32"/>
      <c r="AB73" s="13"/>
      <c r="AC73" s="13"/>
      <c r="AD73" s="14"/>
      <c r="AE73" s="15">
        <f t="shared" si="153"/>
        <v>0</v>
      </c>
      <c r="AF73" s="32">
        <v>98</v>
      </c>
      <c r="AG73" s="13"/>
      <c r="AH73" s="13"/>
      <c r="AI73" s="14"/>
      <c r="AJ73" s="15">
        <f t="shared" si="154"/>
        <v>98</v>
      </c>
      <c r="AK73" s="32">
        <v>41</v>
      </c>
      <c r="AL73" s="13"/>
      <c r="AM73" s="13"/>
      <c r="AN73" s="14"/>
      <c r="AO73" s="15">
        <f t="shared" si="155"/>
        <v>41</v>
      </c>
      <c r="AP73" s="32">
        <v>46</v>
      </c>
      <c r="AQ73" s="13"/>
      <c r="AR73" s="13"/>
      <c r="AS73" s="14"/>
      <c r="AT73" s="15">
        <f t="shared" si="156"/>
        <v>46</v>
      </c>
      <c r="AU73" s="32"/>
      <c r="AV73" s="13"/>
      <c r="AW73" s="13"/>
      <c r="AX73" s="14"/>
      <c r="AY73" s="15">
        <f t="shared" si="157"/>
        <v>0</v>
      </c>
      <c r="AZ73" s="32"/>
      <c r="BA73" s="13"/>
      <c r="BB73" s="13"/>
      <c r="BC73" s="14"/>
      <c r="BD73" s="15">
        <f t="shared" si="158"/>
        <v>0</v>
      </c>
      <c r="BE73" s="32"/>
      <c r="BF73" s="13"/>
      <c r="BG73" s="13"/>
      <c r="BH73" s="14"/>
      <c r="BI73" s="15">
        <f t="shared" si="159"/>
        <v>0</v>
      </c>
      <c r="BJ73" s="32">
        <v>73</v>
      </c>
      <c r="BK73" s="13"/>
      <c r="BL73" s="13"/>
      <c r="BM73" s="14"/>
      <c r="BN73" s="15">
        <f t="shared" si="160"/>
        <v>73</v>
      </c>
      <c r="BO73" s="66">
        <f t="shared" si="212"/>
        <v>399</v>
      </c>
      <c r="BP73" s="13">
        <f t="shared" si="212"/>
        <v>0</v>
      </c>
      <c r="BQ73" s="13">
        <f t="shared" si="212"/>
        <v>0</v>
      </c>
      <c r="BR73" s="14">
        <f t="shared" si="212"/>
        <v>0</v>
      </c>
      <c r="BS73" s="33">
        <f t="shared" si="13"/>
        <v>399</v>
      </c>
    </row>
    <row r="74" spans="2:71" x14ac:dyDescent="0.3">
      <c r="B74" s="269"/>
      <c r="C74" s="230"/>
      <c r="D74" s="233"/>
      <c r="E74" s="239"/>
      <c r="F74" s="124" t="s">
        <v>52</v>
      </c>
      <c r="G74" s="36">
        <v>1</v>
      </c>
      <c r="H74" s="10"/>
      <c r="I74" s="10"/>
      <c r="J74" s="11"/>
      <c r="K74" s="12">
        <f t="shared" si="0"/>
        <v>1</v>
      </c>
      <c r="L74" s="36">
        <v>10</v>
      </c>
      <c r="M74" s="10"/>
      <c r="N74" s="10"/>
      <c r="O74" s="11"/>
      <c r="P74" s="12">
        <f t="shared" si="150"/>
        <v>10</v>
      </c>
      <c r="Q74" s="36"/>
      <c r="R74" s="10"/>
      <c r="S74" s="10"/>
      <c r="T74" s="11"/>
      <c r="U74" s="12">
        <f t="shared" si="151"/>
        <v>0</v>
      </c>
      <c r="V74" s="36"/>
      <c r="W74" s="10"/>
      <c r="X74" s="10"/>
      <c r="Y74" s="11"/>
      <c r="Z74" s="12">
        <f t="shared" si="152"/>
        <v>0</v>
      </c>
      <c r="AA74" s="36"/>
      <c r="AB74" s="10"/>
      <c r="AC74" s="10"/>
      <c r="AD74" s="11"/>
      <c r="AE74" s="12">
        <f t="shared" si="153"/>
        <v>0</v>
      </c>
      <c r="AF74" s="36">
        <v>24</v>
      </c>
      <c r="AG74" s="10"/>
      <c r="AH74" s="10"/>
      <c r="AI74" s="11"/>
      <c r="AJ74" s="12">
        <f t="shared" si="154"/>
        <v>24</v>
      </c>
      <c r="AK74" s="36">
        <v>14</v>
      </c>
      <c r="AL74" s="10"/>
      <c r="AM74" s="10"/>
      <c r="AN74" s="11"/>
      <c r="AO74" s="12">
        <f t="shared" si="155"/>
        <v>14</v>
      </c>
      <c r="AP74" s="36">
        <v>30</v>
      </c>
      <c r="AQ74" s="10"/>
      <c r="AR74" s="10"/>
      <c r="AS74" s="11"/>
      <c r="AT74" s="12">
        <f t="shared" si="156"/>
        <v>30</v>
      </c>
      <c r="AU74" s="36"/>
      <c r="AV74" s="10"/>
      <c r="AW74" s="10"/>
      <c r="AX74" s="11"/>
      <c r="AY74" s="12">
        <f t="shared" si="157"/>
        <v>0</v>
      </c>
      <c r="AZ74" s="36"/>
      <c r="BA74" s="10"/>
      <c r="BB74" s="10"/>
      <c r="BC74" s="11"/>
      <c r="BD74" s="12">
        <f t="shared" si="158"/>
        <v>0</v>
      </c>
      <c r="BE74" s="36"/>
      <c r="BF74" s="10"/>
      <c r="BG74" s="10"/>
      <c r="BH74" s="11"/>
      <c r="BI74" s="12">
        <f t="shared" si="159"/>
        <v>0</v>
      </c>
      <c r="BJ74" s="36">
        <v>11</v>
      </c>
      <c r="BK74" s="10"/>
      <c r="BL74" s="10"/>
      <c r="BM74" s="11"/>
      <c r="BN74" s="12">
        <f t="shared" si="160"/>
        <v>11</v>
      </c>
      <c r="BO74" s="71">
        <f t="shared" si="212"/>
        <v>90</v>
      </c>
      <c r="BP74" s="10">
        <f t="shared" si="212"/>
        <v>0</v>
      </c>
      <c r="BQ74" s="10">
        <f t="shared" si="212"/>
        <v>0</v>
      </c>
      <c r="BR74" s="11">
        <f t="shared" si="212"/>
        <v>0</v>
      </c>
      <c r="BS74" s="37">
        <f t="shared" si="13"/>
        <v>90</v>
      </c>
    </row>
    <row r="75" spans="2:71" x14ac:dyDescent="0.3">
      <c r="B75" s="269"/>
      <c r="C75" s="230"/>
      <c r="D75" s="233"/>
      <c r="E75" s="240"/>
      <c r="F75" s="125" t="s">
        <v>55</v>
      </c>
      <c r="G75" s="126">
        <f>SUM(G71:G74)</f>
        <v>126</v>
      </c>
      <c r="H75" s="127">
        <f>SUM(H71:H74)</f>
        <v>0</v>
      </c>
      <c r="I75" s="127">
        <f>SUM(I71:I74)</f>
        <v>0</v>
      </c>
      <c r="J75" s="128">
        <f>SUM(J71:J74)</f>
        <v>0</v>
      </c>
      <c r="K75" s="129">
        <f t="shared" si="0"/>
        <v>126</v>
      </c>
      <c r="L75" s="126">
        <f>SUM(L71:L74)</f>
        <v>278</v>
      </c>
      <c r="M75" s="127">
        <f>SUM(M71:M74)</f>
        <v>0</v>
      </c>
      <c r="N75" s="127">
        <f>SUM(N71:N74)</f>
        <v>0</v>
      </c>
      <c r="O75" s="128">
        <f>SUM(O71:O74)</f>
        <v>0</v>
      </c>
      <c r="P75" s="129">
        <f t="shared" si="150"/>
        <v>278</v>
      </c>
      <c r="Q75" s="126">
        <f>SUM(Q71:Q74)</f>
        <v>82</v>
      </c>
      <c r="R75" s="127">
        <f>SUM(R71:R74)</f>
        <v>0</v>
      </c>
      <c r="S75" s="127">
        <f>SUM(S71:S74)</f>
        <v>0</v>
      </c>
      <c r="T75" s="128">
        <f>SUM(T71:T74)</f>
        <v>0</v>
      </c>
      <c r="U75" s="129">
        <f t="shared" si="151"/>
        <v>82</v>
      </c>
      <c r="V75" s="126">
        <f>SUM(V71:V74)</f>
        <v>132</v>
      </c>
      <c r="W75" s="127">
        <f>SUM(W71:W74)</f>
        <v>0</v>
      </c>
      <c r="X75" s="127">
        <f>SUM(X71:X74)</f>
        <v>0</v>
      </c>
      <c r="Y75" s="128">
        <f>SUM(Y71:Y74)</f>
        <v>0</v>
      </c>
      <c r="Z75" s="129">
        <f t="shared" si="152"/>
        <v>132</v>
      </c>
      <c r="AA75" s="126">
        <f>SUM(AA71:AA74)</f>
        <v>115</v>
      </c>
      <c r="AB75" s="127">
        <f>SUM(AB71:AB74)</f>
        <v>0</v>
      </c>
      <c r="AC75" s="127">
        <f>SUM(AC71:AC74)</f>
        <v>0</v>
      </c>
      <c r="AD75" s="128">
        <f>SUM(AD71:AD74)</f>
        <v>0</v>
      </c>
      <c r="AE75" s="129">
        <f t="shared" si="153"/>
        <v>115</v>
      </c>
      <c r="AF75" s="126">
        <f>SUM(AF71:AF74)</f>
        <v>301</v>
      </c>
      <c r="AG75" s="127">
        <f>SUM(AG71:AG74)</f>
        <v>0</v>
      </c>
      <c r="AH75" s="127">
        <f>SUM(AH71:AH74)</f>
        <v>0</v>
      </c>
      <c r="AI75" s="128">
        <f>SUM(AI71:AI74)</f>
        <v>0</v>
      </c>
      <c r="AJ75" s="129">
        <f t="shared" si="154"/>
        <v>301</v>
      </c>
      <c r="AK75" s="126">
        <f>SUM(AK71:AK74)</f>
        <v>136</v>
      </c>
      <c r="AL75" s="127">
        <f>SUM(AL71:AL74)</f>
        <v>0</v>
      </c>
      <c r="AM75" s="127">
        <f>SUM(AM71:AM74)</f>
        <v>0</v>
      </c>
      <c r="AN75" s="128">
        <f>SUM(AN71:AN74)</f>
        <v>0</v>
      </c>
      <c r="AO75" s="129">
        <f t="shared" si="155"/>
        <v>136</v>
      </c>
      <c r="AP75" s="126">
        <f>SUM(AP71:AP74)</f>
        <v>185</v>
      </c>
      <c r="AQ75" s="127">
        <f>SUM(AQ71:AQ74)</f>
        <v>0</v>
      </c>
      <c r="AR75" s="127">
        <f>SUM(AR71:AR74)</f>
        <v>0</v>
      </c>
      <c r="AS75" s="128">
        <f>SUM(AS71:AS74)</f>
        <v>0</v>
      </c>
      <c r="AT75" s="129">
        <f t="shared" si="156"/>
        <v>185</v>
      </c>
      <c r="AU75" s="126">
        <f>SUM(AU71:AU74)</f>
        <v>90</v>
      </c>
      <c r="AV75" s="127">
        <f>SUM(AV71:AV74)</f>
        <v>0</v>
      </c>
      <c r="AW75" s="127">
        <f>SUM(AW71:AW74)</f>
        <v>0</v>
      </c>
      <c r="AX75" s="128">
        <f>SUM(AX71:AX74)</f>
        <v>0</v>
      </c>
      <c r="AY75" s="129">
        <f t="shared" si="157"/>
        <v>90</v>
      </c>
      <c r="AZ75" s="126">
        <f>SUM(AZ71:AZ74)</f>
        <v>145</v>
      </c>
      <c r="BA75" s="127">
        <f>SUM(BA71:BA74)</f>
        <v>0</v>
      </c>
      <c r="BB75" s="127">
        <f>SUM(BB71:BB74)</f>
        <v>0</v>
      </c>
      <c r="BC75" s="128">
        <f>SUM(BC71:BC74)</f>
        <v>0</v>
      </c>
      <c r="BD75" s="129">
        <f t="shared" si="158"/>
        <v>145</v>
      </c>
      <c r="BE75" s="126">
        <f>SUM(BE71:BE74)</f>
        <v>34</v>
      </c>
      <c r="BF75" s="127">
        <f>SUM(BF71:BF74)</f>
        <v>0</v>
      </c>
      <c r="BG75" s="127">
        <f>SUM(BG71:BG74)</f>
        <v>0</v>
      </c>
      <c r="BH75" s="128">
        <f>SUM(BH71:BH74)</f>
        <v>0</v>
      </c>
      <c r="BI75" s="129">
        <f t="shared" si="159"/>
        <v>34</v>
      </c>
      <c r="BJ75" s="126">
        <f>SUM(BJ71:BJ74)</f>
        <v>200</v>
      </c>
      <c r="BK75" s="127">
        <f>SUM(BK71:BK74)</f>
        <v>0</v>
      </c>
      <c r="BL75" s="127">
        <f>SUM(BL71:BL74)</f>
        <v>0</v>
      </c>
      <c r="BM75" s="128">
        <f>SUM(BM71:BM74)</f>
        <v>0</v>
      </c>
      <c r="BN75" s="129">
        <f t="shared" si="160"/>
        <v>200</v>
      </c>
      <c r="BO75" s="131">
        <f>SUM(BO71:BO74)</f>
        <v>1824</v>
      </c>
      <c r="BP75" s="127">
        <f>SUM(BP71:BP74)</f>
        <v>0</v>
      </c>
      <c r="BQ75" s="127">
        <f>SUM(BQ71:BQ74)</f>
        <v>0</v>
      </c>
      <c r="BR75" s="128">
        <f>SUM(BR71:BR74)</f>
        <v>0</v>
      </c>
      <c r="BS75" s="130">
        <f t="shared" si="13"/>
        <v>1824</v>
      </c>
    </row>
    <row r="76" spans="2:71" x14ac:dyDescent="0.3">
      <c r="B76" s="269"/>
      <c r="C76" s="230"/>
      <c r="D76" s="233"/>
      <c r="E76" s="241" t="s">
        <v>45</v>
      </c>
      <c r="F76" s="120" t="s">
        <v>49</v>
      </c>
      <c r="G76" s="30">
        <v>16</v>
      </c>
      <c r="H76" s="7"/>
      <c r="I76" s="7"/>
      <c r="J76" s="8"/>
      <c r="K76" s="9">
        <f t="shared" si="0"/>
        <v>16</v>
      </c>
      <c r="L76" s="30">
        <v>23</v>
      </c>
      <c r="M76" s="7"/>
      <c r="N76" s="7"/>
      <c r="O76" s="8"/>
      <c r="P76" s="9">
        <f t="shared" si="150"/>
        <v>23</v>
      </c>
      <c r="Q76" s="30">
        <v>10</v>
      </c>
      <c r="R76" s="7"/>
      <c r="S76" s="7"/>
      <c r="T76" s="8"/>
      <c r="U76" s="9">
        <f t="shared" si="151"/>
        <v>10</v>
      </c>
      <c r="V76" s="30">
        <v>14</v>
      </c>
      <c r="W76" s="7"/>
      <c r="X76" s="7"/>
      <c r="Y76" s="8"/>
      <c r="Z76" s="9">
        <f t="shared" si="152"/>
        <v>14</v>
      </c>
      <c r="AA76" s="30">
        <v>14</v>
      </c>
      <c r="AB76" s="7"/>
      <c r="AC76" s="7"/>
      <c r="AD76" s="8"/>
      <c r="AE76" s="9">
        <f t="shared" si="153"/>
        <v>14</v>
      </c>
      <c r="AF76" s="30">
        <v>9</v>
      </c>
      <c r="AG76" s="7"/>
      <c r="AH76" s="7"/>
      <c r="AI76" s="8"/>
      <c r="AJ76" s="9">
        <f t="shared" si="154"/>
        <v>9</v>
      </c>
      <c r="AK76" s="30">
        <v>10</v>
      </c>
      <c r="AL76" s="7"/>
      <c r="AM76" s="7"/>
      <c r="AN76" s="8"/>
      <c r="AO76" s="9">
        <f t="shared" si="155"/>
        <v>10</v>
      </c>
      <c r="AP76" s="30">
        <v>14</v>
      </c>
      <c r="AQ76" s="7"/>
      <c r="AR76" s="7"/>
      <c r="AS76" s="8"/>
      <c r="AT76" s="9">
        <f t="shared" si="156"/>
        <v>14</v>
      </c>
      <c r="AU76" s="30">
        <v>14</v>
      </c>
      <c r="AV76" s="7"/>
      <c r="AW76" s="7"/>
      <c r="AX76" s="8"/>
      <c r="AY76" s="9">
        <f t="shared" si="157"/>
        <v>14</v>
      </c>
      <c r="AZ76" s="30">
        <v>15</v>
      </c>
      <c r="BA76" s="7"/>
      <c r="BB76" s="7"/>
      <c r="BC76" s="8"/>
      <c r="BD76" s="9">
        <f t="shared" si="158"/>
        <v>15</v>
      </c>
      <c r="BE76" s="30">
        <v>4</v>
      </c>
      <c r="BF76" s="7"/>
      <c r="BG76" s="7"/>
      <c r="BH76" s="8"/>
      <c r="BI76" s="9">
        <f t="shared" si="159"/>
        <v>4</v>
      </c>
      <c r="BJ76" s="30">
        <v>9</v>
      </c>
      <c r="BK76" s="7"/>
      <c r="BL76" s="7"/>
      <c r="BM76" s="8"/>
      <c r="BN76" s="9">
        <f t="shared" si="160"/>
        <v>9</v>
      </c>
      <c r="BO76" s="65">
        <f t="shared" ref="BO76:BR79" si="213">SUM(G76,L76,Q76,V76,AA76,AF76,AK76,AP76,AU76,AZ76,BE76,BJ76)</f>
        <v>152</v>
      </c>
      <c r="BP76" s="7">
        <f t="shared" si="213"/>
        <v>0</v>
      </c>
      <c r="BQ76" s="7">
        <f t="shared" si="213"/>
        <v>0</v>
      </c>
      <c r="BR76" s="8">
        <f t="shared" si="213"/>
        <v>0</v>
      </c>
      <c r="BS76" s="31">
        <f t="shared" si="13"/>
        <v>152</v>
      </c>
    </row>
    <row r="77" spans="2:71" x14ac:dyDescent="0.3">
      <c r="B77" s="269"/>
      <c r="C77" s="230"/>
      <c r="D77" s="233"/>
      <c r="E77" s="239"/>
      <c r="F77" s="121" t="s">
        <v>50</v>
      </c>
      <c r="G77" s="32">
        <v>2</v>
      </c>
      <c r="H77" s="13"/>
      <c r="I77" s="13"/>
      <c r="J77" s="14"/>
      <c r="K77" s="15">
        <f t="shared" si="0"/>
        <v>2</v>
      </c>
      <c r="L77" s="32">
        <v>2</v>
      </c>
      <c r="M77" s="13"/>
      <c r="N77" s="13"/>
      <c r="O77" s="14"/>
      <c r="P77" s="15">
        <f t="shared" si="150"/>
        <v>2</v>
      </c>
      <c r="Q77" s="32">
        <v>4</v>
      </c>
      <c r="R77" s="13"/>
      <c r="S77" s="13"/>
      <c r="T77" s="14"/>
      <c r="U77" s="15">
        <f t="shared" si="151"/>
        <v>4</v>
      </c>
      <c r="V77" s="32">
        <v>2</v>
      </c>
      <c r="W77" s="13"/>
      <c r="X77" s="13"/>
      <c r="Y77" s="14"/>
      <c r="Z77" s="15">
        <f t="shared" si="152"/>
        <v>2</v>
      </c>
      <c r="AA77" s="32">
        <v>1</v>
      </c>
      <c r="AB77" s="13"/>
      <c r="AC77" s="13"/>
      <c r="AD77" s="14"/>
      <c r="AE77" s="15">
        <f t="shared" si="153"/>
        <v>1</v>
      </c>
      <c r="AF77" s="32">
        <v>10</v>
      </c>
      <c r="AG77" s="13"/>
      <c r="AH77" s="13"/>
      <c r="AI77" s="14"/>
      <c r="AJ77" s="15">
        <f t="shared" si="154"/>
        <v>10</v>
      </c>
      <c r="AK77" s="32">
        <v>5</v>
      </c>
      <c r="AL77" s="13"/>
      <c r="AM77" s="13"/>
      <c r="AN77" s="14"/>
      <c r="AO77" s="15">
        <f t="shared" si="155"/>
        <v>5</v>
      </c>
      <c r="AP77" s="32">
        <v>5</v>
      </c>
      <c r="AQ77" s="13"/>
      <c r="AR77" s="13"/>
      <c r="AS77" s="14"/>
      <c r="AT77" s="15">
        <f t="shared" si="156"/>
        <v>5</v>
      </c>
      <c r="AU77" s="32">
        <v>5</v>
      </c>
      <c r="AV77" s="13"/>
      <c r="AW77" s="13"/>
      <c r="AX77" s="14"/>
      <c r="AY77" s="15">
        <f t="shared" si="157"/>
        <v>5</v>
      </c>
      <c r="AZ77" s="32">
        <v>2</v>
      </c>
      <c r="BA77" s="13"/>
      <c r="BB77" s="13"/>
      <c r="BC77" s="14"/>
      <c r="BD77" s="15">
        <f t="shared" si="158"/>
        <v>2</v>
      </c>
      <c r="BE77" s="32"/>
      <c r="BF77" s="13"/>
      <c r="BG77" s="13"/>
      <c r="BH77" s="14"/>
      <c r="BI77" s="15">
        <f t="shared" si="159"/>
        <v>0</v>
      </c>
      <c r="BJ77" s="32">
        <v>2</v>
      </c>
      <c r="BK77" s="13"/>
      <c r="BL77" s="13"/>
      <c r="BM77" s="14"/>
      <c r="BN77" s="15">
        <f t="shared" si="160"/>
        <v>2</v>
      </c>
      <c r="BO77" s="66">
        <f t="shared" si="213"/>
        <v>40</v>
      </c>
      <c r="BP77" s="13">
        <f t="shared" si="213"/>
        <v>0</v>
      </c>
      <c r="BQ77" s="13">
        <f t="shared" si="213"/>
        <v>0</v>
      </c>
      <c r="BR77" s="14">
        <f t="shared" si="213"/>
        <v>0</v>
      </c>
      <c r="BS77" s="33">
        <f t="shared" si="13"/>
        <v>40</v>
      </c>
    </row>
    <row r="78" spans="2:71" x14ac:dyDescent="0.3">
      <c r="B78" s="269"/>
      <c r="C78" s="230"/>
      <c r="D78" s="233"/>
      <c r="E78" s="239"/>
      <c r="F78" s="121" t="s">
        <v>51</v>
      </c>
      <c r="G78" s="32">
        <v>10</v>
      </c>
      <c r="H78" s="13"/>
      <c r="I78" s="13"/>
      <c r="J78" s="14"/>
      <c r="K78" s="15">
        <f t="shared" si="0"/>
        <v>10</v>
      </c>
      <c r="L78" s="32">
        <v>15</v>
      </c>
      <c r="M78" s="13"/>
      <c r="N78" s="13"/>
      <c r="O78" s="14"/>
      <c r="P78" s="15">
        <f t="shared" si="150"/>
        <v>15</v>
      </c>
      <c r="Q78" s="32"/>
      <c r="R78" s="13"/>
      <c r="S78" s="13"/>
      <c r="T78" s="14"/>
      <c r="U78" s="15">
        <f t="shared" si="151"/>
        <v>0</v>
      </c>
      <c r="V78" s="32"/>
      <c r="W78" s="13"/>
      <c r="X78" s="13"/>
      <c r="Y78" s="14"/>
      <c r="Z78" s="15">
        <f t="shared" si="152"/>
        <v>0</v>
      </c>
      <c r="AA78" s="32"/>
      <c r="AB78" s="13"/>
      <c r="AC78" s="13"/>
      <c r="AD78" s="14"/>
      <c r="AE78" s="15">
        <f t="shared" si="153"/>
        <v>0</v>
      </c>
      <c r="AF78" s="32">
        <v>7</v>
      </c>
      <c r="AG78" s="13"/>
      <c r="AH78" s="13"/>
      <c r="AI78" s="14"/>
      <c r="AJ78" s="15">
        <f t="shared" si="154"/>
        <v>7</v>
      </c>
      <c r="AK78" s="32">
        <v>5</v>
      </c>
      <c r="AL78" s="13"/>
      <c r="AM78" s="13"/>
      <c r="AN78" s="14"/>
      <c r="AO78" s="15">
        <f t="shared" si="155"/>
        <v>5</v>
      </c>
      <c r="AP78" s="32">
        <v>11</v>
      </c>
      <c r="AQ78" s="13"/>
      <c r="AR78" s="13"/>
      <c r="AS78" s="14"/>
      <c r="AT78" s="15">
        <f t="shared" si="156"/>
        <v>11</v>
      </c>
      <c r="AU78" s="32"/>
      <c r="AV78" s="13"/>
      <c r="AW78" s="13"/>
      <c r="AX78" s="14"/>
      <c r="AY78" s="15">
        <f t="shared" si="157"/>
        <v>0</v>
      </c>
      <c r="AZ78" s="32"/>
      <c r="BA78" s="13"/>
      <c r="BB78" s="13"/>
      <c r="BC78" s="14"/>
      <c r="BD78" s="15">
        <f t="shared" si="158"/>
        <v>0</v>
      </c>
      <c r="BE78" s="32"/>
      <c r="BF78" s="13"/>
      <c r="BG78" s="13"/>
      <c r="BH78" s="14"/>
      <c r="BI78" s="15">
        <f t="shared" si="159"/>
        <v>0</v>
      </c>
      <c r="BJ78" s="32">
        <v>5</v>
      </c>
      <c r="BK78" s="13"/>
      <c r="BL78" s="13"/>
      <c r="BM78" s="14"/>
      <c r="BN78" s="15">
        <f t="shared" si="160"/>
        <v>5</v>
      </c>
      <c r="BO78" s="66">
        <f t="shared" si="213"/>
        <v>53</v>
      </c>
      <c r="BP78" s="13">
        <f t="shared" si="213"/>
        <v>0</v>
      </c>
      <c r="BQ78" s="13">
        <f t="shared" si="213"/>
        <v>0</v>
      </c>
      <c r="BR78" s="14">
        <f t="shared" si="213"/>
        <v>0</v>
      </c>
      <c r="BS78" s="33">
        <f t="shared" si="13"/>
        <v>53</v>
      </c>
    </row>
    <row r="79" spans="2:71" x14ac:dyDescent="0.3">
      <c r="B79" s="269"/>
      <c r="C79" s="230"/>
      <c r="D79" s="233"/>
      <c r="E79" s="239"/>
      <c r="F79" s="124" t="s">
        <v>52</v>
      </c>
      <c r="G79" s="36">
        <v>2</v>
      </c>
      <c r="H79" s="10"/>
      <c r="I79" s="10"/>
      <c r="J79" s="11"/>
      <c r="K79" s="12">
        <f t="shared" si="0"/>
        <v>2</v>
      </c>
      <c r="L79" s="36">
        <v>2</v>
      </c>
      <c r="M79" s="10"/>
      <c r="N79" s="10"/>
      <c r="O79" s="11"/>
      <c r="P79" s="12">
        <f t="shared" si="150"/>
        <v>2</v>
      </c>
      <c r="Q79" s="36"/>
      <c r="R79" s="10"/>
      <c r="S79" s="10"/>
      <c r="T79" s="11"/>
      <c r="U79" s="12">
        <f t="shared" si="151"/>
        <v>0</v>
      </c>
      <c r="V79" s="36"/>
      <c r="W79" s="10"/>
      <c r="X79" s="10"/>
      <c r="Y79" s="11"/>
      <c r="Z79" s="12">
        <f t="shared" si="152"/>
        <v>0</v>
      </c>
      <c r="AA79" s="36"/>
      <c r="AB79" s="10"/>
      <c r="AC79" s="10"/>
      <c r="AD79" s="11"/>
      <c r="AE79" s="12">
        <f t="shared" si="153"/>
        <v>0</v>
      </c>
      <c r="AF79" s="36">
        <v>6</v>
      </c>
      <c r="AG79" s="10"/>
      <c r="AH79" s="10"/>
      <c r="AI79" s="11"/>
      <c r="AJ79" s="12">
        <f t="shared" si="154"/>
        <v>6</v>
      </c>
      <c r="AK79" s="36">
        <v>3</v>
      </c>
      <c r="AL79" s="10"/>
      <c r="AM79" s="10"/>
      <c r="AN79" s="11"/>
      <c r="AO79" s="12">
        <f t="shared" si="155"/>
        <v>3</v>
      </c>
      <c r="AP79" s="36">
        <v>3</v>
      </c>
      <c r="AQ79" s="10"/>
      <c r="AR79" s="10"/>
      <c r="AS79" s="11"/>
      <c r="AT79" s="12">
        <f t="shared" si="156"/>
        <v>3</v>
      </c>
      <c r="AU79" s="36"/>
      <c r="AV79" s="10"/>
      <c r="AW79" s="10"/>
      <c r="AX79" s="11"/>
      <c r="AY79" s="12">
        <f t="shared" si="157"/>
        <v>0</v>
      </c>
      <c r="AZ79" s="36"/>
      <c r="BA79" s="10"/>
      <c r="BB79" s="10"/>
      <c r="BC79" s="11"/>
      <c r="BD79" s="12">
        <f t="shared" si="158"/>
        <v>0</v>
      </c>
      <c r="BE79" s="36"/>
      <c r="BF79" s="10"/>
      <c r="BG79" s="10"/>
      <c r="BH79" s="11"/>
      <c r="BI79" s="12">
        <f t="shared" si="159"/>
        <v>0</v>
      </c>
      <c r="BJ79" s="36">
        <v>2</v>
      </c>
      <c r="BK79" s="10"/>
      <c r="BL79" s="10"/>
      <c r="BM79" s="11"/>
      <c r="BN79" s="12">
        <f t="shared" si="160"/>
        <v>2</v>
      </c>
      <c r="BO79" s="71">
        <f t="shared" si="213"/>
        <v>18</v>
      </c>
      <c r="BP79" s="10">
        <f t="shared" si="213"/>
        <v>0</v>
      </c>
      <c r="BQ79" s="10">
        <f t="shared" si="213"/>
        <v>0</v>
      </c>
      <c r="BR79" s="11">
        <f t="shared" si="213"/>
        <v>0</v>
      </c>
      <c r="BS79" s="37">
        <f t="shared" si="13"/>
        <v>18</v>
      </c>
    </row>
    <row r="80" spans="2:71" x14ac:dyDescent="0.3">
      <c r="B80" s="269"/>
      <c r="C80" s="230"/>
      <c r="D80" s="233"/>
      <c r="E80" s="240"/>
      <c r="F80" s="125" t="s">
        <v>55</v>
      </c>
      <c r="G80" s="126">
        <f>SUM(G76:G79)</f>
        <v>30</v>
      </c>
      <c r="H80" s="127">
        <f>SUM(H76:H79)</f>
        <v>0</v>
      </c>
      <c r="I80" s="127">
        <f>SUM(I76:I79)</f>
        <v>0</v>
      </c>
      <c r="J80" s="128">
        <f>SUM(J76:J79)</f>
        <v>0</v>
      </c>
      <c r="K80" s="129">
        <f t="shared" si="0"/>
        <v>30</v>
      </c>
      <c r="L80" s="126">
        <f>SUM(L76:L79)</f>
        <v>42</v>
      </c>
      <c r="M80" s="127">
        <f>SUM(M76:M79)</f>
        <v>0</v>
      </c>
      <c r="N80" s="127">
        <f>SUM(N76:N79)</f>
        <v>0</v>
      </c>
      <c r="O80" s="128">
        <f>SUM(O76:O79)</f>
        <v>0</v>
      </c>
      <c r="P80" s="129">
        <f t="shared" si="150"/>
        <v>42</v>
      </c>
      <c r="Q80" s="126">
        <f>SUM(Q76:Q79)</f>
        <v>14</v>
      </c>
      <c r="R80" s="127">
        <f>SUM(R76:R79)</f>
        <v>0</v>
      </c>
      <c r="S80" s="127">
        <f>SUM(S76:S79)</f>
        <v>0</v>
      </c>
      <c r="T80" s="128">
        <f>SUM(T76:T79)</f>
        <v>0</v>
      </c>
      <c r="U80" s="129">
        <f t="shared" si="151"/>
        <v>14</v>
      </c>
      <c r="V80" s="126">
        <f>SUM(V76:V79)</f>
        <v>16</v>
      </c>
      <c r="W80" s="127">
        <f>SUM(W76:W79)</f>
        <v>0</v>
      </c>
      <c r="X80" s="127">
        <f>SUM(X76:X79)</f>
        <v>0</v>
      </c>
      <c r="Y80" s="128">
        <f>SUM(Y76:Y79)</f>
        <v>0</v>
      </c>
      <c r="Z80" s="129">
        <f t="shared" si="152"/>
        <v>16</v>
      </c>
      <c r="AA80" s="126">
        <f>SUM(AA76:AA79)</f>
        <v>15</v>
      </c>
      <c r="AB80" s="127">
        <f>SUM(AB76:AB79)</f>
        <v>0</v>
      </c>
      <c r="AC80" s="127">
        <f>SUM(AC76:AC79)</f>
        <v>0</v>
      </c>
      <c r="AD80" s="128">
        <f>SUM(AD76:AD79)</f>
        <v>0</v>
      </c>
      <c r="AE80" s="129">
        <f t="shared" si="153"/>
        <v>15</v>
      </c>
      <c r="AF80" s="126">
        <f>SUM(AF76:AF79)</f>
        <v>32</v>
      </c>
      <c r="AG80" s="127">
        <f>SUM(AG76:AG79)</f>
        <v>0</v>
      </c>
      <c r="AH80" s="127">
        <f>SUM(AH76:AH79)</f>
        <v>0</v>
      </c>
      <c r="AI80" s="128">
        <f>SUM(AI76:AI79)</f>
        <v>0</v>
      </c>
      <c r="AJ80" s="129">
        <f t="shared" si="154"/>
        <v>32</v>
      </c>
      <c r="AK80" s="126">
        <f>SUM(AK76:AK79)</f>
        <v>23</v>
      </c>
      <c r="AL80" s="127">
        <f>SUM(AL76:AL79)</f>
        <v>0</v>
      </c>
      <c r="AM80" s="127">
        <f>SUM(AM76:AM79)</f>
        <v>0</v>
      </c>
      <c r="AN80" s="128">
        <f>SUM(AN76:AN79)</f>
        <v>0</v>
      </c>
      <c r="AO80" s="129">
        <f t="shared" si="155"/>
        <v>23</v>
      </c>
      <c r="AP80" s="126">
        <f>SUM(AP76:AP79)</f>
        <v>33</v>
      </c>
      <c r="AQ80" s="127">
        <f>SUM(AQ76:AQ79)</f>
        <v>0</v>
      </c>
      <c r="AR80" s="127">
        <f>SUM(AR76:AR79)</f>
        <v>0</v>
      </c>
      <c r="AS80" s="128">
        <f>SUM(AS76:AS79)</f>
        <v>0</v>
      </c>
      <c r="AT80" s="129">
        <f t="shared" si="156"/>
        <v>33</v>
      </c>
      <c r="AU80" s="126">
        <f>SUM(AU76:AU79)</f>
        <v>19</v>
      </c>
      <c r="AV80" s="127">
        <f>SUM(AV76:AV79)</f>
        <v>0</v>
      </c>
      <c r="AW80" s="127">
        <f>SUM(AW76:AW79)</f>
        <v>0</v>
      </c>
      <c r="AX80" s="128">
        <f>SUM(AX76:AX79)</f>
        <v>0</v>
      </c>
      <c r="AY80" s="129">
        <f t="shared" si="157"/>
        <v>19</v>
      </c>
      <c r="AZ80" s="126">
        <f>SUM(AZ76:AZ79)</f>
        <v>17</v>
      </c>
      <c r="BA80" s="127">
        <f>SUM(BA76:BA79)</f>
        <v>0</v>
      </c>
      <c r="BB80" s="127">
        <f>SUM(BB76:BB79)</f>
        <v>0</v>
      </c>
      <c r="BC80" s="128">
        <f>SUM(BC76:BC79)</f>
        <v>0</v>
      </c>
      <c r="BD80" s="129">
        <f t="shared" si="158"/>
        <v>17</v>
      </c>
      <c r="BE80" s="126">
        <f>SUM(BE76:BE79)</f>
        <v>4</v>
      </c>
      <c r="BF80" s="127">
        <f>SUM(BF76:BF79)</f>
        <v>0</v>
      </c>
      <c r="BG80" s="127">
        <f>SUM(BG76:BG79)</f>
        <v>0</v>
      </c>
      <c r="BH80" s="128">
        <f>SUM(BH76:BH79)</f>
        <v>0</v>
      </c>
      <c r="BI80" s="129">
        <f t="shared" si="159"/>
        <v>4</v>
      </c>
      <c r="BJ80" s="126">
        <f>SUM(BJ76:BJ79)</f>
        <v>18</v>
      </c>
      <c r="BK80" s="127">
        <f>SUM(BK76:BK79)</f>
        <v>0</v>
      </c>
      <c r="BL80" s="127">
        <f>SUM(BL76:BL79)</f>
        <v>0</v>
      </c>
      <c r="BM80" s="128">
        <f>SUM(BM76:BM79)</f>
        <v>0</v>
      </c>
      <c r="BN80" s="129">
        <f t="shared" si="160"/>
        <v>18</v>
      </c>
      <c r="BO80" s="131">
        <f>SUM(BO76:BO79)</f>
        <v>263</v>
      </c>
      <c r="BP80" s="127">
        <f>SUM(BP76:BP79)</f>
        <v>0</v>
      </c>
      <c r="BQ80" s="127">
        <f>SUM(BQ76:BQ79)</f>
        <v>0</v>
      </c>
      <c r="BR80" s="128">
        <f>SUM(BR76:BR79)</f>
        <v>0</v>
      </c>
      <c r="BS80" s="130">
        <f t="shared" si="13"/>
        <v>263</v>
      </c>
    </row>
    <row r="81" spans="2:71" x14ac:dyDescent="0.3">
      <c r="B81" s="269"/>
      <c r="C81" s="230"/>
      <c r="D81" s="233"/>
      <c r="E81" s="241" t="s">
        <v>48</v>
      </c>
      <c r="F81" s="120" t="s">
        <v>150</v>
      </c>
      <c r="G81" s="30"/>
      <c r="H81" s="7"/>
      <c r="I81" s="7"/>
      <c r="J81" s="8"/>
      <c r="K81" s="9">
        <f t="shared" si="0"/>
        <v>0</v>
      </c>
      <c r="L81" s="30"/>
      <c r="M81" s="7"/>
      <c r="N81" s="7"/>
      <c r="O81" s="8"/>
      <c r="P81" s="9">
        <f t="shared" si="150"/>
        <v>0</v>
      </c>
      <c r="Q81" s="30">
        <v>330</v>
      </c>
      <c r="R81" s="7">
        <v>10</v>
      </c>
      <c r="S81" s="7">
        <v>199</v>
      </c>
      <c r="T81" s="8"/>
      <c r="U81" s="9">
        <f t="shared" si="151"/>
        <v>539</v>
      </c>
      <c r="V81" s="30">
        <v>406</v>
      </c>
      <c r="W81" s="7">
        <v>23</v>
      </c>
      <c r="X81" s="7">
        <v>321</v>
      </c>
      <c r="Y81" s="8"/>
      <c r="Z81" s="9">
        <f t="shared" si="152"/>
        <v>750</v>
      </c>
      <c r="AA81" s="30"/>
      <c r="AB81" s="7"/>
      <c r="AC81" s="7"/>
      <c r="AD81" s="8"/>
      <c r="AE81" s="9">
        <f t="shared" si="153"/>
        <v>0</v>
      </c>
      <c r="AF81" s="30"/>
      <c r="AG81" s="7"/>
      <c r="AH81" s="7"/>
      <c r="AI81" s="8"/>
      <c r="AJ81" s="9">
        <f t="shared" si="154"/>
        <v>0</v>
      </c>
      <c r="AK81" s="30"/>
      <c r="AL81" s="7"/>
      <c r="AM81" s="7"/>
      <c r="AN81" s="8"/>
      <c r="AO81" s="9">
        <f t="shared" si="155"/>
        <v>0</v>
      </c>
      <c r="AP81" s="30">
        <v>7</v>
      </c>
      <c r="AQ81" s="7"/>
      <c r="AR81" s="7"/>
      <c r="AS81" s="8"/>
      <c r="AT81" s="9">
        <f t="shared" si="156"/>
        <v>7</v>
      </c>
      <c r="AU81" s="30">
        <v>81</v>
      </c>
      <c r="AV81" s="7">
        <v>8</v>
      </c>
      <c r="AW81" s="7">
        <v>49</v>
      </c>
      <c r="AX81" s="8"/>
      <c r="AY81" s="9">
        <f t="shared" si="157"/>
        <v>138</v>
      </c>
      <c r="AZ81" s="30">
        <v>551</v>
      </c>
      <c r="BA81" s="7">
        <v>19</v>
      </c>
      <c r="BB81" s="7">
        <v>363</v>
      </c>
      <c r="BC81" s="8"/>
      <c r="BD81" s="9">
        <f t="shared" si="158"/>
        <v>933</v>
      </c>
      <c r="BE81" s="30">
        <v>194</v>
      </c>
      <c r="BF81" s="7">
        <v>13</v>
      </c>
      <c r="BG81" s="7">
        <v>77</v>
      </c>
      <c r="BH81" s="8"/>
      <c r="BI81" s="9">
        <f t="shared" si="159"/>
        <v>284</v>
      </c>
      <c r="BJ81" s="30">
        <v>33</v>
      </c>
      <c r="BK81" s="7">
        <v>1</v>
      </c>
      <c r="BL81" s="7">
        <v>10</v>
      </c>
      <c r="BM81" s="8"/>
      <c r="BN81" s="9">
        <f t="shared" si="160"/>
        <v>44</v>
      </c>
      <c r="BO81" s="65">
        <f t="shared" ref="BO81:BR88" si="214">SUM(G81,L81,Q81,V81,AA81,AF81,AK81,AP81,AU81,AZ81,BE81,BJ81)</f>
        <v>1602</v>
      </c>
      <c r="BP81" s="7">
        <f t="shared" si="214"/>
        <v>74</v>
      </c>
      <c r="BQ81" s="7">
        <f t="shared" si="214"/>
        <v>1019</v>
      </c>
      <c r="BR81" s="8">
        <f t="shared" si="214"/>
        <v>0</v>
      </c>
      <c r="BS81" s="31">
        <f t="shared" si="13"/>
        <v>2695</v>
      </c>
    </row>
    <row r="82" spans="2:71" x14ac:dyDescent="0.3">
      <c r="B82" s="269"/>
      <c r="C82" s="230"/>
      <c r="D82" s="233"/>
      <c r="E82" s="239"/>
      <c r="F82" s="121" t="s">
        <v>151</v>
      </c>
      <c r="G82" s="32"/>
      <c r="H82" s="13"/>
      <c r="I82" s="13"/>
      <c r="J82" s="14"/>
      <c r="K82" s="15">
        <f t="shared" si="0"/>
        <v>0</v>
      </c>
      <c r="L82" s="32"/>
      <c r="M82" s="13"/>
      <c r="N82" s="13"/>
      <c r="O82" s="14"/>
      <c r="P82" s="15">
        <f t="shared" si="150"/>
        <v>0</v>
      </c>
      <c r="Q82" s="32">
        <v>48</v>
      </c>
      <c r="R82" s="13">
        <v>4</v>
      </c>
      <c r="S82" s="13">
        <v>31</v>
      </c>
      <c r="T82" s="14"/>
      <c r="U82" s="15">
        <f t="shared" si="151"/>
        <v>83</v>
      </c>
      <c r="V82" s="32">
        <v>85</v>
      </c>
      <c r="W82" s="13">
        <v>2</v>
      </c>
      <c r="X82" s="13">
        <v>76</v>
      </c>
      <c r="Y82" s="14"/>
      <c r="Z82" s="15">
        <f t="shared" si="152"/>
        <v>163</v>
      </c>
      <c r="AA82" s="32"/>
      <c r="AB82" s="13"/>
      <c r="AC82" s="13"/>
      <c r="AD82" s="14"/>
      <c r="AE82" s="15">
        <f t="shared" si="153"/>
        <v>0</v>
      </c>
      <c r="AF82" s="32"/>
      <c r="AG82" s="13"/>
      <c r="AH82" s="13"/>
      <c r="AI82" s="14"/>
      <c r="AJ82" s="15">
        <f t="shared" si="154"/>
        <v>0</v>
      </c>
      <c r="AK82" s="32"/>
      <c r="AL82" s="13"/>
      <c r="AM82" s="13"/>
      <c r="AN82" s="14"/>
      <c r="AO82" s="15">
        <f t="shared" si="155"/>
        <v>0</v>
      </c>
      <c r="AP82" s="32">
        <v>1</v>
      </c>
      <c r="AQ82" s="13"/>
      <c r="AR82" s="13">
        <v>1</v>
      </c>
      <c r="AS82" s="14"/>
      <c r="AT82" s="15">
        <f t="shared" si="156"/>
        <v>2</v>
      </c>
      <c r="AU82" s="32">
        <v>35</v>
      </c>
      <c r="AV82" s="13">
        <v>2</v>
      </c>
      <c r="AW82" s="13">
        <v>16</v>
      </c>
      <c r="AX82" s="14"/>
      <c r="AY82" s="15">
        <f t="shared" si="157"/>
        <v>53</v>
      </c>
      <c r="AZ82" s="32">
        <v>159</v>
      </c>
      <c r="BA82" s="13">
        <v>5</v>
      </c>
      <c r="BB82" s="13">
        <v>78</v>
      </c>
      <c r="BC82" s="14"/>
      <c r="BD82" s="15">
        <f t="shared" si="158"/>
        <v>242</v>
      </c>
      <c r="BE82" s="32">
        <v>42</v>
      </c>
      <c r="BF82" s="13">
        <v>1</v>
      </c>
      <c r="BG82" s="13">
        <v>16</v>
      </c>
      <c r="BH82" s="14"/>
      <c r="BI82" s="15">
        <f t="shared" si="159"/>
        <v>59</v>
      </c>
      <c r="BJ82" s="32">
        <v>6</v>
      </c>
      <c r="BK82" s="13"/>
      <c r="BL82" s="13"/>
      <c r="BM82" s="14"/>
      <c r="BN82" s="15">
        <f t="shared" si="160"/>
        <v>6</v>
      </c>
      <c r="BO82" s="66">
        <f t="shared" si="214"/>
        <v>376</v>
      </c>
      <c r="BP82" s="13">
        <f t="shared" si="214"/>
        <v>14</v>
      </c>
      <c r="BQ82" s="13">
        <f t="shared" si="214"/>
        <v>218</v>
      </c>
      <c r="BR82" s="14">
        <f t="shared" si="214"/>
        <v>0</v>
      </c>
      <c r="BS82" s="33">
        <f t="shared" si="13"/>
        <v>608</v>
      </c>
    </row>
    <row r="83" spans="2:71" x14ac:dyDescent="0.3">
      <c r="B83" s="269"/>
      <c r="C83" s="230"/>
      <c r="D83" s="233"/>
      <c r="E83" s="239"/>
      <c r="F83" s="121" t="s">
        <v>56</v>
      </c>
      <c r="G83" s="32">
        <v>144</v>
      </c>
      <c r="H83" s="13">
        <v>2</v>
      </c>
      <c r="I83" s="13">
        <v>71</v>
      </c>
      <c r="J83" s="14"/>
      <c r="K83" s="15">
        <f t="shared" ref="K83" si="215">SUM(G83:J83)</f>
        <v>217</v>
      </c>
      <c r="L83" s="32">
        <v>207</v>
      </c>
      <c r="M83" s="13">
        <v>1</v>
      </c>
      <c r="N83" s="13">
        <v>101</v>
      </c>
      <c r="O83" s="14"/>
      <c r="P83" s="15">
        <f t="shared" ref="P83:P86" si="216">SUM(L83:O83)</f>
        <v>309</v>
      </c>
      <c r="Q83" s="32"/>
      <c r="R83" s="13"/>
      <c r="S83" s="13"/>
      <c r="T83" s="14"/>
      <c r="U83" s="15">
        <f t="shared" ref="U83:U86" si="217">SUM(Q83:T83)</f>
        <v>0</v>
      </c>
      <c r="V83" s="32"/>
      <c r="W83" s="13"/>
      <c r="X83" s="13"/>
      <c r="Y83" s="14"/>
      <c r="Z83" s="15">
        <f t="shared" ref="Z83:Z86" si="218">SUM(V83:Y83)</f>
        <v>0</v>
      </c>
      <c r="AA83" s="32">
        <v>184</v>
      </c>
      <c r="AB83" s="13">
        <v>9</v>
      </c>
      <c r="AC83" s="13">
        <v>119</v>
      </c>
      <c r="AD83" s="14"/>
      <c r="AE83" s="15">
        <f t="shared" ref="AE83:AE86" si="219">SUM(AA83:AD83)</f>
        <v>312</v>
      </c>
      <c r="AF83" s="32">
        <v>254</v>
      </c>
      <c r="AG83" s="13">
        <v>7</v>
      </c>
      <c r="AH83" s="13">
        <v>137</v>
      </c>
      <c r="AI83" s="14"/>
      <c r="AJ83" s="15">
        <f t="shared" ref="AJ83:AJ86" si="220">SUM(AF83:AI83)</f>
        <v>398</v>
      </c>
      <c r="AK83" s="32">
        <v>92</v>
      </c>
      <c r="AL83" s="13">
        <v>9</v>
      </c>
      <c r="AM83" s="13">
        <v>45</v>
      </c>
      <c r="AN83" s="14"/>
      <c r="AO83" s="15">
        <f t="shared" ref="AO83:AO86" si="221">SUM(AK83:AN83)</f>
        <v>146</v>
      </c>
      <c r="AP83" s="32">
        <v>148</v>
      </c>
      <c r="AQ83" s="13">
        <v>3</v>
      </c>
      <c r="AR83" s="13">
        <v>63</v>
      </c>
      <c r="AS83" s="14"/>
      <c r="AT83" s="15">
        <f t="shared" ref="AT83:AT86" si="222">SUM(AP83:AS83)</f>
        <v>214</v>
      </c>
      <c r="AU83" s="32">
        <v>147</v>
      </c>
      <c r="AV83" s="13">
        <v>3</v>
      </c>
      <c r="AW83" s="13">
        <v>65</v>
      </c>
      <c r="AX83" s="14"/>
      <c r="AY83" s="15">
        <f t="shared" ref="AY83:AY86" si="223">SUM(AU83:AX83)</f>
        <v>215</v>
      </c>
      <c r="AZ83" s="32"/>
      <c r="BA83" s="13"/>
      <c r="BB83" s="13"/>
      <c r="BC83" s="14"/>
      <c r="BD83" s="15">
        <f t="shared" ref="BD83:BD86" si="224">SUM(AZ83:BC83)</f>
        <v>0</v>
      </c>
      <c r="BE83" s="32"/>
      <c r="BF83" s="13"/>
      <c r="BG83" s="13"/>
      <c r="BH83" s="14"/>
      <c r="BI83" s="15">
        <f t="shared" ref="BI83:BI86" si="225">SUM(BE83:BH83)</f>
        <v>0</v>
      </c>
      <c r="BJ83" s="32">
        <v>136</v>
      </c>
      <c r="BK83" s="13">
        <v>7</v>
      </c>
      <c r="BL83" s="13">
        <v>40</v>
      </c>
      <c r="BM83" s="14"/>
      <c r="BN83" s="15">
        <f t="shared" ref="BN83:BN86" si="226">SUM(BJ83:BM83)</f>
        <v>183</v>
      </c>
      <c r="BO83" s="66">
        <f t="shared" si="214"/>
        <v>1312</v>
      </c>
      <c r="BP83" s="13">
        <f t="shared" si="214"/>
        <v>41</v>
      </c>
      <c r="BQ83" s="13">
        <f t="shared" si="214"/>
        <v>641</v>
      </c>
      <c r="BR83" s="14">
        <f t="shared" si="214"/>
        <v>0</v>
      </c>
      <c r="BS83" s="33">
        <f t="shared" si="13"/>
        <v>1994</v>
      </c>
    </row>
    <row r="84" spans="2:71" x14ac:dyDescent="0.3">
      <c r="B84" s="269"/>
      <c r="C84" s="230"/>
      <c r="D84" s="233"/>
      <c r="E84" s="239"/>
      <c r="F84" s="123" t="s">
        <v>123</v>
      </c>
      <c r="G84" s="34">
        <v>18</v>
      </c>
      <c r="H84" s="16">
        <v>3</v>
      </c>
      <c r="I84" s="16">
        <v>5</v>
      </c>
      <c r="J84" s="17"/>
      <c r="K84" s="18">
        <f t="shared" ref="K84" si="227">SUM(G84:J84)</f>
        <v>26</v>
      </c>
      <c r="L84" s="34">
        <v>18</v>
      </c>
      <c r="M84" s="16"/>
      <c r="N84" s="16">
        <v>8</v>
      </c>
      <c r="O84" s="17"/>
      <c r="P84" s="18">
        <f t="shared" si="216"/>
        <v>26</v>
      </c>
      <c r="Q84" s="34"/>
      <c r="R84" s="16"/>
      <c r="S84" s="16"/>
      <c r="T84" s="17"/>
      <c r="U84" s="18">
        <f t="shared" si="217"/>
        <v>0</v>
      </c>
      <c r="V84" s="34"/>
      <c r="W84" s="16"/>
      <c r="X84" s="16"/>
      <c r="Y84" s="17"/>
      <c r="Z84" s="18">
        <f t="shared" si="218"/>
        <v>0</v>
      </c>
      <c r="AA84" s="34">
        <v>37</v>
      </c>
      <c r="AB84" s="16">
        <v>2</v>
      </c>
      <c r="AC84" s="16">
        <v>16</v>
      </c>
      <c r="AD84" s="17"/>
      <c r="AE84" s="18">
        <f t="shared" si="219"/>
        <v>55</v>
      </c>
      <c r="AF84" s="34">
        <v>73</v>
      </c>
      <c r="AG84" s="16">
        <v>2</v>
      </c>
      <c r="AH84" s="16">
        <v>39</v>
      </c>
      <c r="AI84" s="17"/>
      <c r="AJ84" s="18">
        <f t="shared" si="220"/>
        <v>114</v>
      </c>
      <c r="AK84" s="34">
        <v>26</v>
      </c>
      <c r="AL84" s="16">
        <v>3</v>
      </c>
      <c r="AM84" s="16">
        <v>26</v>
      </c>
      <c r="AN84" s="17"/>
      <c r="AO84" s="18">
        <f t="shared" si="221"/>
        <v>55</v>
      </c>
      <c r="AP84" s="34">
        <v>44</v>
      </c>
      <c r="AQ84" s="16">
        <v>3</v>
      </c>
      <c r="AR84" s="16">
        <v>34</v>
      </c>
      <c r="AS84" s="17"/>
      <c r="AT84" s="18">
        <f t="shared" si="222"/>
        <v>81</v>
      </c>
      <c r="AU84" s="34">
        <v>56</v>
      </c>
      <c r="AV84" s="16">
        <v>1</v>
      </c>
      <c r="AW84" s="16">
        <v>33</v>
      </c>
      <c r="AX84" s="17"/>
      <c r="AY84" s="18">
        <f t="shared" si="223"/>
        <v>90</v>
      </c>
      <c r="AZ84" s="34"/>
      <c r="BA84" s="16"/>
      <c r="BB84" s="16"/>
      <c r="BC84" s="17"/>
      <c r="BD84" s="18">
        <f t="shared" si="224"/>
        <v>0</v>
      </c>
      <c r="BE84" s="34"/>
      <c r="BF84" s="16"/>
      <c r="BG84" s="16"/>
      <c r="BH84" s="17"/>
      <c r="BI84" s="18">
        <f t="shared" si="225"/>
        <v>0</v>
      </c>
      <c r="BJ84" s="34">
        <v>33</v>
      </c>
      <c r="BK84" s="16"/>
      <c r="BL84" s="16">
        <v>12</v>
      </c>
      <c r="BM84" s="17"/>
      <c r="BN84" s="18">
        <f t="shared" si="226"/>
        <v>45</v>
      </c>
      <c r="BO84" s="70">
        <f t="shared" si="214"/>
        <v>305</v>
      </c>
      <c r="BP84" s="16">
        <f t="shared" si="214"/>
        <v>14</v>
      </c>
      <c r="BQ84" s="16">
        <f t="shared" si="214"/>
        <v>173</v>
      </c>
      <c r="BR84" s="17">
        <f t="shared" si="214"/>
        <v>0</v>
      </c>
      <c r="BS84" s="35">
        <f t="shared" ref="BS84:BS86" si="228">SUM(BO84:BR84)</f>
        <v>492</v>
      </c>
    </row>
    <row r="85" spans="2:71" x14ac:dyDescent="0.3">
      <c r="B85" s="269"/>
      <c r="C85" s="230"/>
      <c r="D85" s="233"/>
      <c r="E85" s="239"/>
      <c r="F85" s="123" t="s">
        <v>346</v>
      </c>
      <c r="G85" s="34"/>
      <c r="H85" s="16"/>
      <c r="I85" s="16"/>
      <c r="J85" s="17"/>
      <c r="K85" s="18">
        <f t="shared" ref="K85" si="229">SUM(G85:J85)</f>
        <v>0</v>
      </c>
      <c r="L85" s="34"/>
      <c r="M85" s="16"/>
      <c r="N85" s="16"/>
      <c r="O85" s="17"/>
      <c r="P85" s="18">
        <f t="shared" si="216"/>
        <v>0</v>
      </c>
      <c r="Q85" s="34"/>
      <c r="R85" s="16"/>
      <c r="S85" s="16"/>
      <c r="T85" s="17"/>
      <c r="U85" s="18">
        <f t="shared" si="217"/>
        <v>0</v>
      </c>
      <c r="V85" s="34"/>
      <c r="W85" s="16"/>
      <c r="X85" s="16"/>
      <c r="Y85" s="17"/>
      <c r="Z85" s="18">
        <f t="shared" si="218"/>
        <v>0</v>
      </c>
      <c r="AA85" s="34"/>
      <c r="AB85" s="16"/>
      <c r="AC85" s="16"/>
      <c r="AD85" s="17"/>
      <c r="AE85" s="18">
        <f t="shared" si="219"/>
        <v>0</v>
      </c>
      <c r="AF85" s="34">
        <v>115</v>
      </c>
      <c r="AG85" s="16"/>
      <c r="AH85" s="16"/>
      <c r="AI85" s="17"/>
      <c r="AJ85" s="18">
        <f t="shared" si="220"/>
        <v>115</v>
      </c>
      <c r="AK85" s="34"/>
      <c r="AL85" s="16"/>
      <c r="AM85" s="16"/>
      <c r="AN85" s="17"/>
      <c r="AO85" s="18">
        <f t="shared" si="221"/>
        <v>0</v>
      </c>
      <c r="AP85" s="34"/>
      <c r="AQ85" s="16"/>
      <c r="AR85" s="16"/>
      <c r="AS85" s="17"/>
      <c r="AT85" s="18">
        <f t="shared" si="222"/>
        <v>0</v>
      </c>
      <c r="AU85" s="34"/>
      <c r="AV85" s="16"/>
      <c r="AW85" s="16"/>
      <c r="AX85" s="17"/>
      <c r="AY85" s="18">
        <f t="shared" si="223"/>
        <v>0</v>
      </c>
      <c r="AZ85" s="34"/>
      <c r="BA85" s="16"/>
      <c r="BB85" s="16"/>
      <c r="BC85" s="17"/>
      <c r="BD85" s="18">
        <f t="shared" si="224"/>
        <v>0</v>
      </c>
      <c r="BE85" s="34"/>
      <c r="BF85" s="16"/>
      <c r="BG85" s="16"/>
      <c r="BH85" s="17"/>
      <c r="BI85" s="18">
        <f t="shared" si="225"/>
        <v>0</v>
      </c>
      <c r="BJ85" s="34"/>
      <c r="BK85" s="16"/>
      <c r="BL85" s="16"/>
      <c r="BM85" s="17"/>
      <c r="BN85" s="18">
        <f t="shared" si="226"/>
        <v>0</v>
      </c>
      <c r="BO85" s="70">
        <f t="shared" si="214"/>
        <v>115</v>
      </c>
      <c r="BP85" s="16">
        <f t="shared" si="214"/>
        <v>0</v>
      </c>
      <c r="BQ85" s="16">
        <f t="shared" si="214"/>
        <v>0</v>
      </c>
      <c r="BR85" s="17">
        <f t="shared" si="214"/>
        <v>0</v>
      </c>
      <c r="BS85" s="35">
        <f t="shared" si="228"/>
        <v>115</v>
      </c>
    </row>
    <row r="86" spans="2:71" x14ac:dyDescent="0.3">
      <c r="B86" s="269"/>
      <c r="C86" s="230"/>
      <c r="D86" s="233"/>
      <c r="E86" s="239"/>
      <c r="F86" s="123" t="s">
        <v>347</v>
      </c>
      <c r="G86" s="34"/>
      <c r="H86" s="16"/>
      <c r="I86" s="16"/>
      <c r="J86" s="17"/>
      <c r="K86" s="18">
        <f t="shared" ref="K86" si="230">SUM(G86:J86)</f>
        <v>0</v>
      </c>
      <c r="L86" s="34"/>
      <c r="M86" s="16"/>
      <c r="N86" s="16"/>
      <c r="O86" s="17"/>
      <c r="P86" s="18">
        <f t="shared" si="216"/>
        <v>0</v>
      </c>
      <c r="Q86" s="34"/>
      <c r="R86" s="16"/>
      <c r="S86" s="16"/>
      <c r="T86" s="17"/>
      <c r="U86" s="18">
        <f t="shared" si="217"/>
        <v>0</v>
      </c>
      <c r="V86" s="34"/>
      <c r="W86" s="16"/>
      <c r="X86" s="16"/>
      <c r="Y86" s="17"/>
      <c r="Z86" s="18">
        <f t="shared" si="218"/>
        <v>0</v>
      </c>
      <c r="AA86" s="34"/>
      <c r="AB86" s="16"/>
      <c r="AC86" s="16"/>
      <c r="AD86" s="17"/>
      <c r="AE86" s="18">
        <f t="shared" si="219"/>
        <v>0</v>
      </c>
      <c r="AF86" s="34">
        <v>68</v>
      </c>
      <c r="AG86" s="16"/>
      <c r="AH86" s="16"/>
      <c r="AI86" s="17"/>
      <c r="AJ86" s="18">
        <f t="shared" si="220"/>
        <v>68</v>
      </c>
      <c r="AK86" s="34"/>
      <c r="AL86" s="16"/>
      <c r="AM86" s="16"/>
      <c r="AN86" s="17"/>
      <c r="AO86" s="18">
        <f t="shared" si="221"/>
        <v>0</v>
      </c>
      <c r="AP86" s="34"/>
      <c r="AQ86" s="16"/>
      <c r="AR86" s="16"/>
      <c r="AS86" s="17"/>
      <c r="AT86" s="18">
        <f t="shared" si="222"/>
        <v>0</v>
      </c>
      <c r="AU86" s="34"/>
      <c r="AV86" s="16"/>
      <c r="AW86" s="16"/>
      <c r="AX86" s="17"/>
      <c r="AY86" s="18">
        <f t="shared" si="223"/>
        <v>0</v>
      </c>
      <c r="AZ86" s="34"/>
      <c r="BA86" s="16"/>
      <c r="BB86" s="16"/>
      <c r="BC86" s="17"/>
      <c r="BD86" s="18">
        <f t="shared" si="224"/>
        <v>0</v>
      </c>
      <c r="BE86" s="34"/>
      <c r="BF86" s="16"/>
      <c r="BG86" s="16"/>
      <c r="BH86" s="17"/>
      <c r="BI86" s="18">
        <f t="shared" si="225"/>
        <v>0</v>
      </c>
      <c r="BJ86" s="34"/>
      <c r="BK86" s="16"/>
      <c r="BL86" s="16"/>
      <c r="BM86" s="17"/>
      <c r="BN86" s="18">
        <f t="shared" si="226"/>
        <v>0</v>
      </c>
      <c r="BO86" s="70">
        <f t="shared" si="214"/>
        <v>68</v>
      </c>
      <c r="BP86" s="16">
        <f t="shared" si="214"/>
        <v>0</v>
      </c>
      <c r="BQ86" s="16">
        <f t="shared" si="214"/>
        <v>0</v>
      </c>
      <c r="BR86" s="17">
        <f t="shared" si="214"/>
        <v>0</v>
      </c>
      <c r="BS86" s="35">
        <f t="shared" si="228"/>
        <v>68</v>
      </c>
    </row>
    <row r="87" spans="2:71" x14ac:dyDescent="0.3">
      <c r="B87" s="269"/>
      <c r="C87" s="230"/>
      <c r="D87" s="233"/>
      <c r="E87" s="239"/>
      <c r="F87" s="123" t="s">
        <v>345</v>
      </c>
      <c r="G87" s="34"/>
      <c r="H87" s="16"/>
      <c r="I87" s="16"/>
      <c r="J87" s="17"/>
      <c r="K87" s="18">
        <f t="shared" ref="K87" si="231">SUM(G87:J87)</f>
        <v>0</v>
      </c>
      <c r="L87" s="34"/>
      <c r="M87" s="16"/>
      <c r="N87" s="16"/>
      <c r="O87" s="17"/>
      <c r="P87" s="18">
        <f t="shared" si="150"/>
        <v>0</v>
      </c>
      <c r="Q87" s="34"/>
      <c r="R87" s="16"/>
      <c r="S87" s="16"/>
      <c r="T87" s="17"/>
      <c r="U87" s="18">
        <f t="shared" si="151"/>
        <v>0</v>
      </c>
      <c r="V87" s="34"/>
      <c r="W87" s="16"/>
      <c r="X87" s="16"/>
      <c r="Y87" s="17"/>
      <c r="Z87" s="18">
        <f t="shared" si="152"/>
        <v>0</v>
      </c>
      <c r="AA87" s="34"/>
      <c r="AB87" s="16"/>
      <c r="AC87" s="16"/>
      <c r="AD87" s="17"/>
      <c r="AE87" s="18">
        <f t="shared" si="153"/>
        <v>0</v>
      </c>
      <c r="AF87" s="34">
        <v>85</v>
      </c>
      <c r="AG87" s="16"/>
      <c r="AH87" s="16"/>
      <c r="AI87" s="17"/>
      <c r="AJ87" s="18">
        <f t="shared" si="154"/>
        <v>85</v>
      </c>
      <c r="AK87" s="34"/>
      <c r="AL87" s="16"/>
      <c r="AM87" s="16"/>
      <c r="AN87" s="17"/>
      <c r="AO87" s="18">
        <f t="shared" si="155"/>
        <v>0</v>
      </c>
      <c r="AP87" s="34"/>
      <c r="AQ87" s="16"/>
      <c r="AR87" s="16"/>
      <c r="AS87" s="17"/>
      <c r="AT87" s="18">
        <f t="shared" si="156"/>
        <v>0</v>
      </c>
      <c r="AU87" s="34"/>
      <c r="AV87" s="16"/>
      <c r="AW87" s="16"/>
      <c r="AX87" s="17"/>
      <c r="AY87" s="18">
        <f t="shared" si="157"/>
        <v>0</v>
      </c>
      <c r="AZ87" s="34"/>
      <c r="BA87" s="16"/>
      <c r="BB87" s="16"/>
      <c r="BC87" s="17"/>
      <c r="BD87" s="18">
        <f t="shared" si="158"/>
        <v>0</v>
      </c>
      <c r="BE87" s="34"/>
      <c r="BF87" s="16"/>
      <c r="BG87" s="16"/>
      <c r="BH87" s="17"/>
      <c r="BI87" s="18">
        <f t="shared" si="159"/>
        <v>0</v>
      </c>
      <c r="BJ87" s="34"/>
      <c r="BK87" s="16"/>
      <c r="BL87" s="16"/>
      <c r="BM87" s="17"/>
      <c r="BN87" s="18">
        <f t="shared" si="160"/>
        <v>0</v>
      </c>
      <c r="BO87" s="70">
        <f t="shared" si="214"/>
        <v>85</v>
      </c>
      <c r="BP87" s="16">
        <f t="shared" si="214"/>
        <v>0</v>
      </c>
      <c r="BQ87" s="16">
        <f t="shared" si="214"/>
        <v>0</v>
      </c>
      <c r="BR87" s="17">
        <f t="shared" si="214"/>
        <v>0</v>
      </c>
      <c r="BS87" s="35">
        <f t="shared" ref="BS87" si="232">SUM(BO87:BR87)</f>
        <v>85</v>
      </c>
    </row>
    <row r="88" spans="2:71" x14ac:dyDescent="0.3">
      <c r="B88" s="269"/>
      <c r="C88" s="230"/>
      <c r="D88" s="233"/>
      <c r="E88" s="239"/>
      <c r="F88" s="124" t="s">
        <v>348</v>
      </c>
      <c r="G88" s="36"/>
      <c r="H88" s="10"/>
      <c r="I88" s="10"/>
      <c r="J88" s="11"/>
      <c r="K88" s="12">
        <f t="shared" si="0"/>
        <v>0</v>
      </c>
      <c r="L88" s="36"/>
      <c r="M88" s="10"/>
      <c r="N88" s="10"/>
      <c r="O88" s="11"/>
      <c r="P88" s="12">
        <f t="shared" si="150"/>
        <v>0</v>
      </c>
      <c r="Q88" s="36"/>
      <c r="R88" s="10"/>
      <c r="S88" s="10"/>
      <c r="T88" s="11"/>
      <c r="U88" s="12">
        <f t="shared" si="151"/>
        <v>0</v>
      </c>
      <c r="V88" s="36"/>
      <c r="W88" s="10"/>
      <c r="X88" s="10"/>
      <c r="Y88" s="11"/>
      <c r="Z88" s="12">
        <f t="shared" si="152"/>
        <v>0</v>
      </c>
      <c r="AA88" s="36"/>
      <c r="AB88" s="10"/>
      <c r="AC88" s="10"/>
      <c r="AD88" s="11"/>
      <c r="AE88" s="12">
        <f t="shared" si="153"/>
        <v>0</v>
      </c>
      <c r="AF88" s="36">
        <v>55</v>
      </c>
      <c r="AG88" s="10"/>
      <c r="AH88" s="10"/>
      <c r="AI88" s="11"/>
      <c r="AJ88" s="12">
        <f t="shared" si="154"/>
        <v>55</v>
      </c>
      <c r="AK88" s="36"/>
      <c r="AL88" s="10"/>
      <c r="AM88" s="10"/>
      <c r="AN88" s="11"/>
      <c r="AO88" s="12">
        <f t="shared" si="155"/>
        <v>0</v>
      </c>
      <c r="AP88" s="36"/>
      <c r="AQ88" s="10"/>
      <c r="AR88" s="10"/>
      <c r="AS88" s="11"/>
      <c r="AT88" s="12">
        <f t="shared" si="156"/>
        <v>0</v>
      </c>
      <c r="AU88" s="36"/>
      <c r="AV88" s="10"/>
      <c r="AW88" s="10"/>
      <c r="AX88" s="11"/>
      <c r="AY88" s="12">
        <f t="shared" si="157"/>
        <v>0</v>
      </c>
      <c r="AZ88" s="36"/>
      <c r="BA88" s="10"/>
      <c r="BB88" s="10"/>
      <c r="BC88" s="11"/>
      <c r="BD88" s="12">
        <f t="shared" si="158"/>
        <v>0</v>
      </c>
      <c r="BE88" s="36"/>
      <c r="BF88" s="10"/>
      <c r="BG88" s="10"/>
      <c r="BH88" s="11"/>
      <c r="BI88" s="12">
        <f t="shared" si="159"/>
        <v>0</v>
      </c>
      <c r="BJ88" s="36"/>
      <c r="BK88" s="10"/>
      <c r="BL88" s="10"/>
      <c r="BM88" s="11"/>
      <c r="BN88" s="12">
        <f t="shared" si="160"/>
        <v>0</v>
      </c>
      <c r="BO88" s="71">
        <f t="shared" si="214"/>
        <v>55</v>
      </c>
      <c r="BP88" s="10">
        <f t="shared" si="214"/>
        <v>0</v>
      </c>
      <c r="BQ88" s="10">
        <f t="shared" si="214"/>
        <v>0</v>
      </c>
      <c r="BR88" s="11">
        <f t="shared" si="214"/>
        <v>0</v>
      </c>
      <c r="BS88" s="37">
        <f t="shared" si="13"/>
        <v>55</v>
      </c>
    </row>
    <row r="89" spans="2:71" x14ac:dyDescent="0.3">
      <c r="B89" s="269"/>
      <c r="C89" s="230"/>
      <c r="D89" s="233"/>
      <c r="E89" s="240"/>
      <c r="F89" s="125" t="s">
        <v>55</v>
      </c>
      <c r="G89" s="126">
        <f>SUM(G81:G88)</f>
        <v>162</v>
      </c>
      <c r="H89" s="127">
        <f>SUM(H81:H88)</f>
        <v>5</v>
      </c>
      <c r="I89" s="127">
        <f>SUM(I81:I88)</f>
        <v>76</v>
      </c>
      <c r="J89" s="128">
        <f>SUM(J81:J88)</f>
        <v>0</v>
      </c>
      <c r="K89" s="129">
        <f t="shared" si="0"/>
        <v>243</v>
      </c>
      <c r="L89" s="126">
        <f>SUM(L81:L88)</f>
        <v>225</v>
      </c>
      <c r="M89" s="127">
        <f>SUM(M81:M88)</f>
        <v>1</v>
      </c>
      <c r="N89" s="127">
        <f>SUM(N81:N88)</f>
        <v>109</v>
      </c>
      <c r="O89" s="128">
        <f>SUM(O81:O88)</f>
        <v>0</v>
      </c>
      <c r="P89" s="129">
        <f t="shared" si="150"/>
        <v>335</v>
      </c>
      <c r="Q89" s="126">
        <f>SUM(Q81:Q88)</f>
        <v>378</v>
      </c>
      <c r="R89" s="127">
        <f>SUM(R81:R88)</f>
        <v>14</v>
      </c>
      <c r="S89" s="127">
        <f>SUM(S81:S88)</f>
        <v>230</v>
      </c>
      <c r="T89" s="128">
        <f>SUM(T81:T88)</f>
        <v>0</v>
      </c>
      <c r="U89" s="129">
        <f t="shared" si="151"/>
        <v>622</v>
      </c>
      <c r="V89" s="126">
        <f>SUM(V81:V88)</f>
        <v>491</v>
      </c>
      <c r="W89" s="127">
        <f>SUM(W81:W88)</f>
        <v>25</v>
      </c>
      <c r="X89" s="127">
        <f>SUM(X81:X88)</f>
        <v>397</v>
      </c>
      <c r="Y89" s="128">
        <f>SUM(Y81:Y88)</f>
        <v>0</v>
      </c>
      <c r="Z89" s="129">
        <f t="shared" si="152"/>
        <v>913</v>
      </c>
      <c r="AA89" s="126">
        <f>SUM(AA81:AA88)</f>
        <v>221</v>
      </c>
      <c r="AB89" s="127">
        <f>SUM(AB81:AB88)</f>
        <v>11</v>
      </c>
      <c r="AC89" s="127">
        <f>SUM(AC81:AC88)</f>
        <v>135</v>
      </c>
      <c r="AD89" s="128">
        <f>SUM(AD81:AD88)</f>
        <v>0</v>
      </c>
      <c r="AE89" s="129">
        <f t="shared" si="153"/>
        <v>367</v>
      </c>
      <c r="AF89" s="126">
        <f>SUM(AF81:AF88)</f>
        <v>650</v>
      </c>
      <c r="AG89" s="127">
        <f>SUM(AG81:AG88)</f>
        <v>9</v>
      </c>
      <c r="AH89" s="127">
        <f>SUM(AH81:AH88)</f>
        <v>176</v>
      </c>
      <c r="AI89" s="128">
        <f>SUM(AI81:AI88)</f>
        <v>0</v>
      </c>
      <c r="AJ89" s="129">
        <f t="shared" si="154"/>
        <v>835</v>
      </c>
      <c r="AK89" s="126">
        <f>SUM(AK81:AK88)</f>
        <v>118</v>
      </c>
      <c r="AL89" s="127">
        <f>SUM(AL81:AL88)</f>
        <v>12</v>
      </c>
      <c r="AM89" s="127">
        <f>SUM(AM81:AM88)</f>
        <v>71</v>
      </c>
      <c r="AN89" s="128">
        <f>SUM(AN81:AN88)</f>
        <v>0</v>
      </c>
      <c r="AO89" s="129">
        <f t="shared" si="155"/>
        <v>201</v>
      </c>
      <c r="AP89" s="126">
        <f>SUM(AP81:AP88)</f>
        <v>200</v>
      </c>
      <c r="AQ89" s="127">
        <f>SUM(AQ81:AQ88)</f>
        <v>6</v>
      </c>
      <c r="AR89" s="127">
        <f>SUM(AR81:AR88)</f>
        <v>98</v>
      </c>
      <c r="AS89" s="128">
        <f>SUM(AS81:AS88)</f>
        <v>0</v>
      </c>
      <c r="AT89" s="129">
        <f t="shared" si="156"/>
        <v>304</v>
      </c>
      <c r="AU89" s="126">
        <f>SUM(AU81:AU88)</f>
        <v>319</v>
      </c>
      <c r="AV89" s="127">
        <f>SUM(AV81:AV88)</f>
        <v>14</v>
      </c>
      <c r="AW89" s="127">
        <f>SUM(AW81:AW88)</f>
        <v>163</v>
      </c>
      <c r="AX89" s="128">
        <f>SUM(AX81:AX88)</f>
        <v>0</v>
      </c>
      <c r="AY89" s="129">
        <f t="shared" si="157"/>
        <v>496</v>
      </c>
      <c r="AZ89" s="126">
        <f>SUM(AZ81:AZ88)</f>
        <v>710</v>
      </c>
      <c r="BA89" s="127">
        <f>SUM(BA81:BA88)</f>
        <v>24</v>
      </c>
      <c r="BB89" s="127">
        <f>SUM(BB81:BB88)</f>
        <v>441</v>
      </c>
      <c r="BC89" s="128">
        <f>SUM(BC81:BC88)</f>
        <v>0</v>
      </c>
      <c r="BD89" s="129">
        <f t="shared" si="158"/>
        <v>1175</v>
      </c>
      <c r="BE89" s="126">
        <f>SUM(BE81:BE88)</f>
        <v>236</v>
      </c>
      <c r="BF89" s="127">
        <f>SUM(BF81:BF88)</f>
        <v>14</v>
      </c>
      <c r="BG89" s="127">
        <f>SUM(BG81:BG88)</f>
        <v>93</v>
      </c>
      <c r="BH89" s="128">
        <f>SUM(BH81:BH88)</f>
        <v>0</v>
      </c>
      <c r="BI89" s="129">
        <f t="shared" si="159"/>
        <v>343</v>
      </c>
      <c r="BJ89" s="126">
        <f>SUM(BJ81:BJ88)</f>
        <v>208</v>
      </c>
      <c r="BK89" s="127">
        <f>SUM(BK81:BK88)</f>
        <v>8</v>
      </c>
      <c r="BL89" s="127">
        <f>SUM(BL81:BL88)</f>
        <v>62</v>
      </c>
      <c r="BM89" s="128">
        <f>SUM(BM81:BM88)</f>
        <v>0</v>
      </c>
      <c r="BN89" s="129">
        <f t="shared" si="160"/>
        <v>278</v>
      </c>
      <c r="BO89" s="131">
        <f>SUM(BO81:BO88)</f>
        <v>3918</v>
      </c>
      <c r="BP89" s="127">
        <f>SUM(BP81:BP88)</f>
        <v>143</v>
      </c>
      <c r="BQ89" s="127">
        <f>SUM(BQ81:BQ88)</f>
        <v>2051</v>
      </c>
      <c r="BR89" s="128">
        <f>SUM(BR81:BR88)</f>
        <v>0</v>
      </c>
      <c r="BS89" s="130">
        <f t="shared" si="13"/>
        <v>6112</v>
      </c>
    </row>
    <row r="90" spans="2:71" x14ac:dyDescent="0.3">
      <c r="B90" s="269"/>
      <c r="C90" s="230"/>
      <c r="D90" s="233"/>
      <c r="E90" s="239" t="s">
        <v>152</v>
      </c>
      <c r="F90" s="121" t="s">
        <v>111</v>
      </c>
      <c r="G90" s="32"/>
      <c r="H90" s="13"/>
      <c r="I90" s="13"/>
      <c r="J90" s="14"/>
      <c r="K90" s="15">
        <f t="shared" ref="K90" si="233">SUM(G90:J90)</f>
        <v>0</v>
      </c>
      <c r="L90" s="32">
        <v>158</v>
      </c>
      <c r="M90" s="13">
        <v>5</v>
      </c>
      <c r="N90" s="13">
        <v>67</v>
      </c>
      <c r="O90" s="14"/>
      <c r="P90" s="15">
        <f t="shared" ref="P90" si="234">SUM(L90:O90)</f>
        <v>230</v>
      </c>
      <c r="Q90" s="32">
        <v>141</v>
      </c>
      <c r="R90" s="13">
        <v>1</v>
      </c>
      <c r="S90" s="13">
        <v>56</v>
      </c>
      <c r="T90" s="14"/>
      <c r="U90" s="15">
        <f t="shared" ref="U90" si="235">SUM(Q90:T90)</f>
        <v>198</v>
      </c>
      <c r="V90" s="32">
        <v>104</v>
      </c>
      <c r="W90" s="13">
        <v>7</v>
      </c>
      <c r="X90" s="13">
        <v>55</v>
      </c>
      <c r="Y90" s="14"/>
      <c r="Z90" s="15">
        <f t="shared" ref="Z90" si="236">SUM(V90:Y90)</f>
        <v>166</v>
      </c>
      <c r="AA90" s="32">
        <v>94</v>
      </c>
      <c r="AB90" s="13">
        <v>7</v>
      </c>
      <c r="AC90" s="13">
        <v>34</v>
      </c>
      <c r="AD90" s="14"/>
      <c r="AE90" s="15">
        <f t="shared" ref="AE90" si="237">SUM(AA90:AD90)</f>
        <v>135</v>
      </c>
      <c r="AF90" s="32">
        <v>230</v>
      </c>
      <c r="AG90" s="13">
        <v>5</v>
      </c>
      <c r="AH90" s="13">
        <v>80</v>
      </c>
      <c r="AI90" s="14"/>
      <c r="AJ90" s="15">
        <f t="shared" ref="AJ90" si="238">SUM(AF90:AI90)</f>
        <v>315</v>
      </c>
      <c r="AK90" s="32">
        <v>85</v>
      </c>
      <c r="AL90" s="13">
        <v>11</v>
      </c>
      <c r="AM90" s="13">
        <v>36</v>
      </c>
      <c r="AN90" s="14"/>
      <c r="AO90" s="15">
        <f t="shared" ref="AO90" si="239">SUM(AK90:AN90)</f>
        <v>132</v>
      </c>
      <c r="AP90" s="32">
        <v>83</v>
      </c>
      <c r="AQ90" s="13">
        <v>4</v>
      </c>
      <c r="AR90" s="13">
        <v>44</v>
      </c>
      <c r="AS90" s="14"/>
      <c r="AT90" s="15">
        <f t="shared" ref="AT90" si="240">SUM(AP90:AS90)</f>
        <v>131</v>
      </c>
      <c r="AU90" s="32">
        <v>110</v>
      </c>
      <c r="AV90" s="13">
        <v>4</v>
      </c>
      <c r="AW90" s="13">
        <v>53</v>
      </c>
      <c r="AX90" s="14"/>
      <c r="AY90" s="15">
        <f t="shared" ref="AY90" si="241">SUM(AU90:AX90)</f>
        <v>167</v>
      </c>
      <c r="AZ90" s="32">
        <v>118</v>
      </c>
      <c r="BA90" s="13">
        <v>4</v>
      </c>
      <c r="BB90" s="13">
        <v>39</v>
      </c>
      <c r="BC90" s="14"/>
      <c r="BD90" s="15">
        <f t="shared" ref="BD90" si="242">SUM(AZ90:BC90)</f>
        <v>161</v>
      </c>
      <c r="BE90" s="32">
        <v>64</v>
      </c>
      <c r="BF90" s="13">
        <v>6</v>
      </c>
      <c r="BG90" s="13">
        <v>11</v>
      </c>
      <c r="BH90" s="14"/>
      <c r="BI90" s="15">
        <f t="shared" ref="BI90" si="243">SUM(BE90:BH90)</f>
        <v>81</v>
      </c>
      <c r="BJ90" s="32">
        <v>143</v>
      </c>
      <c r="BK90" s="13">
        <v>2</v>
      </c>
      <c r="BL90" s="13">
        <v>35</v>
      </c>
      <c r="BM90" s="14"/>
      <c r="BN90" s="15">
        <f t="shared" ref="BN90" si="244">SUM(BJ90:BM90)</f>
        <v>180</v>
      </c>
      <c r="BO90" s="66">
        <f t="shared" ref="BO90:BO99" si="245">SUM(G90,L90,Q90,V90,AA90,AF90,AK90,AP90,AU90,AZ90,BE90,BJ90)</f>
        <v>1330</v>
      </c>
      <c r="BP90" s="13">
        <f t="shared" ref="BP90:BP99" si="246">SUM(H90,M90,R90,W90,AB90,AG90,AL90,AQ90,AV90,BA90,BF90,BK90)</f>
        <v>56</v>
      </c>
      <c r="BQ90" s="13">
        <f t="shared" ref="BQ90:BQ99" si="247">SUM(I90,N90,S90,X90,AC90,AH90,AM90,AR90,AW90,BB90,BG90,BL90)</f>
        <v>510</v>
      </c>
      <c r="BR90" s="14">
        <f t="shared" ref="BR90:BR99" si="248">SUM(J90,O90,T90,Y90,AD90,AI90,AN90,AS90,AX90,BC90,BH90,BM90)</f>
        <v>0</v>
      </c>
      <c r="BS90" s="33">
        <f t="shared" ref="BS90" si="249">SUM(BO90:BR90)</f>
        <v>1896</v>
      </c>
    </row>
    <row r="91" spans="2:71" x14ac:dyDescent="0.3">
      <c r="B91" s="269"/>
      <c r="C91" s="230"/>
      <c r="D91" s="233"/>
      <c r="E91" s="239"/>
      <c r="F91" s="121" t="s">
        <v>112</v>
      </c>
      <c r="G91" s="32"/>
      <c r="H91" s="13"/>
      <c r="I91" s="13"/>
      <c r="J91" s="14"/>
      <c r="K91" s="15">
        <f t="shared" ref="K91" si="250">SUM(G91:J91)</f>
        <v>0</v>
      </c>
      <c r="L91" s="32">
        <v>12</v>
      </c>
      <c r="M91" s="13"/>
      <c r="N91" s="13">
        <v>4</v>
      </c>
      <c r="O91" s="14"/>
      <c r="P91" s="15">
        <f t="shared" ref="P91:P102" si="251">SUM(L91:O91)</f>
        <v>16</v>
      </c>
      <c r="Q91" s="32">
        <v>25</v>
      </c>
      <c r="R91" s="13">
        <v>1</v>
      </c>
      <c r="S91" s="13">
        <v>12</v>
      </c>
      <c r="T91" s="14"/>
      <c r="U91" s="15">
        <f t="shared" ref="U91:U102" si="252">SUM(Q91:T91)</f>
        <v>38</v>
      </c>
      <c r="V91" s="32">
        <v>34</v>
      </c>
      <c r="W91" s="13">
        <v>3</v>
      </c>
      <c r="X91" s="13">
        <v>25</v>
      </c>
      <c r="Y91" s="14"/>
      <c r="Z91" s="15">
        <f t="shared" ref="Z91:Z102" si="253">SUM(V91:Y91)</f>
        <v>62</v>
      </c>
      <c r="AA91" s="32">
        <v>18</v>
      </c>
      <c r="AB91" s="13">
        <v>5</v>
      </c>
      <c r="AC91" s="13">
        <v>12</v>
      </c>
      <c r="AD91" s="14"/>
      <c r="AE91" s="15">
        <f t="shared" ref="AE91:AE102" si="254">SUM(AA91:AD91)</f>
        <v>35</v>
      </c>
      <c r="AF91" s="32">
        <v>66</v>
      </c>
      <c r="AG91" s="13">
        <v>2</v>
      </c>
      <c r="AH91" s="13">
        <v>20</v>
      </c>
      <c r="AI91" s="14"/>
      <c r="AJ91" s="15">
        <f t="shared" ref="AJ91:AJ102" si="255">SUM(AF91:AI91)</f>
        <v>88</v>
      </c>
      <c r="AK91" s="32">
        <v>41</v>
      </c>
      <c r="AL91" s="13"/>
      <c r="AM91" s="13">
        <v>14</v>
      </c>
      <c r="AN91" s="14"/>
      <c r="AO91" s="15">
        <f t="shared" ref="AO91:AO102" si="256">SUM(AK91:AN91)</f>
        <v>55</v>
      </c>
      <c r="AP91" s="32">
        <v>39</v>
      </c>
      <c r="AQ91" s="13">
        <v>1</v>
      </c>
      <c r="AR91" s="13">
        <v>42</v>
      </c>
      <c r="AS91" s="14"/>
      <c r="AT91" s="15">
        <f t="shared" ref="AT91:AT102" si="257">SUM(AP91:AS91)</f>
        <v>82</v>
      </c>
      <c r="AU91" s="32">
        <v>17</v>
      </c>
      <c r="AV91" s="13"/>
      <c r="AW91" s="13">
        <v>26</v>
      </c>
      <c r="AX91" s="14"/>
      <c r="AY91" s="15">
        <f t="shared" ref="AY91:AY102" si="258">SUM(AU91:AX91)</f>
        <v>43</v>
      </c>
      <c r="AZ91" s="32">
        <v>32</v>
      </c>
      <c r="BA91" s="13">
        <v>2</v>
      </c>
      <c r="BB91" s="13">
        <v>31</v>
      </c>
      <c r="BC91" s="14"/>
      <c r="BD91" s="15">
        <f t="shared" ref="BD91:BD102" si="259">SUM(AZ91:BC91)</f>
        <v>65</v>
      </c>
      <c r="BE91" s="32">
        <v>19</v>
      </c>
      <c r="BF91" s="13">
        <v>1</v>
      </c>
      <c r="BG91" s="13">
        <v>8</v>
      </c>
      <c r="BH91" s="14"/>
      <c r="BI91" s="15">
        <f t="shared" ref="BI91:BI102" si="260">SUM(BE91:BH91)</f>
        <v>28</v>
      </c>
      <c r="BJ91" s="32">
        <v>25</v>
      </c>
      <c r="BK91" s="13"/>
      <c r="BL91" s="13">
        <v>9</v>
      </c>
      <c r="BM91" s="14"/>
      <c r="BN91" s="15">
        <f t="shared" ref="BN91:BN102" si="261">SUM(BJ91:BM91)</f>
        <v>34</v>
      </c>
      <c r="BO91" s="66">
        <f t="shared" si="245"/>
        <v>328</v>
      </c>
      <c r="BP91" s="13">
        <f t="shared" si="246"/>
        <v>15</v>
      </c>
      <c r="BQ91" s="13">
        <f t="shared" si="247"/>
        <v>203</v>
      </c>
      <c r="BR91" s="14">
        <f t="shared" si="248"/>
        <v>0</v>
      </c>
      <c r="BS91" s="33">
        <f t="shared" ref="BS91" si="262">SUM(BO91:BR91)</f>
        <v>546</v>
      </c>
    </row>
    <row r="92" spans="2:71" x14ac:dyDescent="0.3">
      <c r="B92" s="269"/>
      <c r="C92" s="230"/>
      <c r="D92" s="233"/>
      <c r="E92" s="239"/>
      <c r="F92" s="178" t="s">
        <v>284</v>
      </c>
      <c r="G92" s="179"/>
      <c r="H92" s="180"/>
      <c r="I92" s="180"/>
      <c r="J92" s="181"/>
      <c r="K92" s="182">
        <f t="shared" ref="K92:K94" si="263">SUM(G92:J92)</f>
        <v>0</v>
      </c>
      <c r="L92" s="179"/>
      <c r="M92" s="180"/>
      <c r="N92" s="180"/>
      <c r="O92" s="181"/>
      <c r="P92" s="182">
        <f t="shared" si="251"/>
        <v>0</v>
      </c>
      <c r="Q92" s="179"/>
      <c r="R92" s="180"/>
      <c r="S92" s="180"/>
      <c r="T92" s="181"/>
      <c r="U92" s="182">
        <f t="shared" si="252"/>
        <v>0</v>
      </c>
      <c r="V92" s="179">
        <v>2</v>
      </c>
      <c r="W92" s="180">
        <v>5</v>
      </c>
      <c r="X92" s="180">
        <v>4</v>
      </c>
      <c r="Y92" s="181"/>
      <c r="Z92" s="182">
        <f t="shared" si="253"/>
        <v>11</v>
      </c>
      <c r="AA92" s="179">
        <v>4</v>
      </c>
      <c r="AB92" s="180">
        <v>10</v>
      </c>
      <c r="AC92" s="180">
        <v>2</v>
      </c>
      <c r="AD92" s="181"/>
      <c r="AE92" s="182">
        <f t="shared" si="254"/>
        <v>16</v>
      </c>
      <c r="AF92" s="179">
        <v>13</v>
      </c>
      <c r="AG92" s="180">
        <v>3</v>
      </c>
      <c r="AH92" s="180">
        <v>8</v>
      </c>
      <c r="AI92" s="181"/>
      <c r="AJ92" s="182">
        <f t="shared" si="255"/>
        <v>24</v>
      </c>
      <c r="AK92" s="179">
        <v>12</v>
      </c>
      <c r="AL92" s="180">
        <v>10</v>
      </c>
      <c r="AM92" s="180">
        <v>6</v>
      </c>
      <c r="AN92" s="181"/>
      <c r="AO92" s="182">
        <f t="shared" si="256"/>
        <v>28</v>
      </c>
      <c r="AP92" s="179">
        <v>4</v>
      </c>
      <c r="AQ92" s="180">
        <v>6</v>
      </c>
      <c r="AR92" s="180">
        <v>5</v>
      </c>
      <c r="AS92" s="181"/>
      <c r="AT92" s="182">
        <f t="shared" si="257"/>
        <v>15</v>
      </c>
      <c r="AU92" s="179">
        <v>10</v>
      </c>
      <c r="AV92" s="180">
        <v>1</v>
      </c>
      <c r="AW92" s="180">
        <v>6</v>
      </c>
      <c r="AX92" s="181"/>
      <c r="AY92" s="182">
        <f t="shared" si="258"/>
        <v>17</v>
      </c>
      <c r="AZ92" s="179">
        <v>19</v>
      </c>
      <c r="BA92" s="180">
        <v>11</v>
      </c>
      <c r="BB92" s="180">
        <v>11</v>
      </c>
      <c r="BC92" s="181"/>
      <c r="BD92" s="182">
        <f t="shared" si="259"/>
        <v>41</v>
      </c>
      <c r="BE92" s="179">
        <v>5</v>
      </c>
      <c r="BF92" s="180">
        <v>8</v>
      </c>
      <c r="BG92" s="180">
        <v>2</v>
      </c>
      <c r="BH92" s="181"/>
      <c r="BI92" s="182">
        <f t="shared" si="260"/>
        <v>15</v>
      </c>
      <c r="BJ92" s="179">
        <v>11</v>
      </c>
      <c r="BK92" s="180">
        <v>5</v>
      </c>
      <c r="BL92" s="180">
        <v>2</v>
      </c>
      <c r="BM92" s="181"/>
      <c r="BN92" s="182">
        <f t="shared" si="261"/>
        <v>18</v>
      </c>
      <c r="BO92" s="184">
        <f t="shared" si="245"/>
        <v>80</v>
      </c>
      <c r="BP92" s="180">
        <f t="shared" si="246"/>
        <v>59</v>
      </c>
      <c r="BQ92" s="180">
        <f t="shared" si="247"/>
        <v>46</v>
      </c>
      <c r="BR92" s="181">
        <f t="shared" si="248"/>
        <v>0</v>
      </c>
      <c r="BS92" s="183">
        <f t="shared" ref="BS92:BS94" si="264">SUM(BO92:BR92)</f>
        <v>185</v>
      </c>
    </row>
    <row r="93" spans="2:71" x14ac:dyDescent="0.3">
      <c r="B93" s="269"/>
      <c r="C93" s="230"/>
      <c r="D93" s="233"/>
      <c r="E93" s="239"/>
      <c r="F93" s="178" t="s">
        <v>285</v>
      </c>
      <c r="G93" s="179"/>
      <c r="H93" s="180"/>
      <c r="I93" s="180"/>
      <c r="J93" s="181"/>
      <c r="K93" s="182">
        <f t="shared" si="263"/>
        <v>0</v>
      </c>
      <c r="L93" s="179"/>
      <c r="M93" s="180"/>
      <c r="N93" s="180"/>
      <c r="O93" s="181"/>
      <c r="P93" s="182">
        <f t="shared" ref="P93:P95" si="265">SUM(L93:O93)</f>
        <v>0</v>
      </c>
      <c r="Q93" s="179"/>
      <c r="R93" s="180"/>
      <c r="S93" s="180"/>
      <c r="T93" s="181"/>
      <c r="U93" s="182">
        <f t="shared" ref="U93:U95" si="266">SUM(Q93:T93)</f>
        <v>0</v>
      </c>
      <c r="V93" s="179"/>
      <c r="W93" s="180">
        <v>4</v>
      </c>
      <c r="X93" s="180">
        <v>1</v>
      </c>
      <c r="Y93" s="181"/>
      <c r="Z93" s="182">
        <f t="shared" ref="Z93:Z95" si="267">SUM(V93:Y93)</f>
        <v>5</v>
      </c>
      <c r="AA93" s="179"/>
      <c r="AB93" s="180"/>
      <c r="AC93" s="180">
        <v>2</v>
      </c>
      <c r="AD93" s="181"/>
      <c r="AE93" s="182">
        <f t="shared" ref="AE93:AE95" si="268">SUM(AA93:AD93)</f>
        <v>2</v>
      </c>
      <c r="AF93" s="179">
        <v>2</v>
      </c>
      <c r="AG93" s="180"/>
      <c r="AH93" s="180">
        <v>2</v>
      </c>
      <c r="AI93" s="181"/>
      <c r="AJ93" s="182">
        <f t="shared" ref="AJ93:AJ95" si="269">SUM(AF93:AI93)</f>
        <v>4</v>
      </c>
      <c r="AK93" s="179">
        <v>1</v>
      </c>
      <c r="AL93" s="180"/>
      <c r="AM93" s="180">
        <v>1</v>
      </c>
      <c r="AN93" s="181"/>
      <c r="AO93" s="182">
        <f t="shared" ref="AO93:AO95" si="270">SUM(AK93:AN93)</f>
        <v>2</v>
      </c>
      <c r="AP93" s="179">
        <v>2</v>
      </c>
      <c r="AQ93" s="180"/>
      <c r="AR93" s="180">
        <v>4</v>
      </c>
      <c r="AS93" s="181"/>
      <c r="AT93" s="182">
        <f t="shared" ref="AT93:AT95" si="271">SUM(AP93:AS93)</f>
        <v>6</v>
      </c>
      <c r="AU93" s="179"/>
      <c r="AV93" s="180"/>
      <c r="AW93" s="180">
        <v>6</v>
      </c>
      <c r="AX93" s="181"/>
      <c r="AY93" s="182">
        <f t="shared" ref="AY93:AY95" si="272">SUM(AU93:AX93)</f>
        <v>6</v>
      </c>
      <c r="AZ93" s="179"/>
      <c r="BA93" s="180">
        <v>2</v>
      </c>
      <c r="BB93" s="180">
        <v>5</v>
      </c>
      <c r="BC93" s="181"/>
      <c r="BD93" s="182">
        <f t="shared" ref="BD93:BD95" si="273">SUM(AZ93:BC93)</f>
        <v>7</v>
      </c>
      <c r="BE93" s="179"/>
      <c r="BF93" s="180"/>
      <c r="BG93" s="180"/>
      <c r="BH93" s="181"/>
      <c r="BI93" s="182">
        <f t="shared" ref="BI93:BI95" si="274">SUM(BE93:BH93)</f>
        <v>0</v>
      </c>
      <c r="BJ93" s="179">
        <v>4</v>
      </c>
      <c r="BK93" s="180">
        <v>1</v>
      </c>
      <c r="BL93" s="180"/>
      <c r="BM93" s="181"/>
      <c r="BN93" s="182">
        <f t="shared" ref="BN93:BN95" si="275">SUM(BJ93:BM93)</f>
        <v>5</v>
      </c>
      <c r="BO93" s="184">
        <f t="shared" si="245"/>
        <v>9</v>
      </c>
      <c r="BP93" s="180">
        <f t="shared" si="246"/>
        <v>7</v>
      </c>
      <c r="BQ93" s="180">
        <f t="shared" si="247"/>
        <v>21</v>
      </c>
      <c r="BR93" s="181">
        <f t="shared" si="248"/>
        <v>0</v>
      </c>
      <c r="BS93" s="183">
        <f t="shared" si="264"/>
        <v>37</v>
      </c>
    </row>
    <row r="94" spans="2:71" x14ac:dyDescent="0.3">
      <c r="B94" s="269"/>
      <c r="C94" s="230"/>
      <c r="D94" s="233"/>
      <c r="E94" s="239"/>
      <c r="F94" s="121" t="s">
        <v>286</v>
      </c>
      <c r="G94" s="32"/>
      <c r="H94" s="13"/>
      <c r="I94" s="13"/>
      <c r="J94" s="14"/>
      <c r="K94" s="15">
        <f t="shared" si="263"/>
        <v>0</v>
      </c>
      <c r="L94" s="32"/>
      <c r="M94" s="13"/>
      <c r="N94" s="13"/>
      <c r="O94" s="14"/>
      <c r="P94" s="15">
        <f t="shared" ref="P94" si="276">SUM(L94:O94)</f>
        <v>0</v>
      </c>
      <c r="Q94" s="32"/>
      <c r="R94" s="13"/>
      <c r="S94" s="13"/>
      <c r="T94" s="14"/>
      <c r="U94" s="15">
        <f t="shared" ref="U94" si="277">SUM(Q94:T94)</f>
        <v>0</v>
      </c>
      <c r="V94" s="193">
        <v>1789</v>
      </c>
      <c r="W94" s="13"/>
      <c r="X94" s="13">
        <v>893</v>
      </c>
      <c r="Y94" s="14"/>
      <c r="Z94" s="15">
        <f t="shared" ref="Z94" si="278">SUM(V94:Y94)</f>
        <v>2682</v>
      </c>
      <c r="AA94" s="32">
        <v>1244</v>
      </c>
      <c r="AB94" s="13"/>
      <c r="AC94" s="13">
        <v>622</v>
      </c>
      <c r="AD94" s="14"/>
      <c r="AE94" s="15">
        <f t="shared" ref="AE94" si="279">SUM(AA94:AD94)</f>
        <v>1866</v>
      </c>
      <c r="AF94" s="32"/>
      <c r="AG94" s="13"/>
      <c r="AH94" s="13"/>
      <c r="AI94" s="14"/>
      <c r="AJ94" s="15">
        <f t="shared" ref="AJ94" si="280">SUM(AF94:AI94)</f>
        <v>0</v>
      </c>
      <c r="AK94" s="32"/>
      <c r="AL94" s="13"/>
      <c r="AM94" s="13"/>
      <c r="AN94" s="14"/>
      <c r="AO94" s="15">
        <f t="shared" ref="AO94" si="281">SUM(AK94:AN94)</f>
        <v>0</v>
      </c>
      <c r="AP94" s="32"/>
      <c r="AQ94" s="13"/>
      <c r="AR94" s="13"/>
      <c r="AS94" s="14"/>
      <c r="AT94" s="15">
        <f t="shared" ref="AT94" si="282">SUM(AP94:AS94)</f>
        <v>0</v>
      </c>
      <c r="AU94" s="32">
        <v>418</v>
      </c>
      <c r="AV94" s="13"/>
      <c r="AW94" s="13">
        <v>209</v>
      </c>
      <c r="AX94" s="14"/>
      <c r="AY94" s="15">
        <f t="shared" ref="AY94" si="283">SUM(AU94:AX94)</f>
        <v>627</v>
      </c>
      <c r="AZ94" s="32">
        <v>2084</v>
      </c>
      <c r="BA94" s="13"/>
      <c r="BB94" s="13">
        <v>1041</v>
      </c>
      <c r="BC94" s="14"/>
      <c r="BD94" s="15">
        <f t="shared" ref="BD94" si="284">SUM(AZ94:BC94)</f>
        <v>3125</v>
      </c>
      <c r="BE94" s="32">
        <v>638</v>
      </c>
      <c r="BF94" s="13"/>
      <c r="BG94" s="13">
        <v>319</v>
      </c>
      <c r="BH94" s="14"/>
      <c r="BI94" s="15">
        <f t="shared" ref="BI94" si="285">SUM(BE94:BH94)</f>
        <v>957</v>
      </c>
      <c r="BJ94" s="32">
        <v>36</v>
      </c>
      <c r="BK94" s="13"/>
      <c r="BL94" s="13">
        <v>18</v>
      </c>
      <c r="BM94" s="14"/>
      <c r="BN94" s="15">
        <f t="shared" ref="BN94" si="286">SUM(BJ94:BM94)</f>
        <v>54</v>
      </c>
      <c r="BO94" s="66">
        <f t="shared" si="245"/>
        <v>6209</v>
      </c>
      <c r="BP94" s="13">
        <f t="shared" si="246"/>
        <v>0</v>
      </c>
      <c r="BQ94" s="13">
        <f t="shared" si="247"/>
        <v>3102</v>
      </c>
      <c r="BR94" s="14">
        <f t="shared" si="248"/>
        <v>0</v>
      </c>
      <c r="BS94" s="33">
        <f t="shared" si="264"/>
        <v>9311</v>
      </c>
    </row>
    <row r="95" spans="2:71" x14ac:dyDescent="0.3">
      <c r="B95" s="269"/>
      <c r="C95" s="230"/>
      <c r="D95" s="233"/>
      <c r="E95" s="239"/>
      <c r="F95" s="178" t="s">
        <v>287</v>
      </c>
      <c r="G95" s="179"/>
      <c r="H95" s="180"/>
      <c r="I95" s="180"/>
      <c r="J95" s="181"/>
      <c r="K95" s="182">
        <f t="shared" ref="K95" si="287">SUM(G95:J95)</f>
        <v>0</v>
      </c>
      <c r="L95" s="179"/>
      <c r="M95" s="180"/>
      <c r="N95" s="180"/>
      <c r="O95" s="181"/>
      <c r="P95" s="182">
        <f t="shared" si="265"/>
        <v>0</v>
      </c>
      <c r="Q95" s="179"/>
      <c r="R95" s="180"/>
      <c r="S95" s="180"/>
      <c r="T95" s="181"/>
      <c r="U95" s="182">
        <f t="shared" si="266"/>
        <v>0</v>
      </c>
      <c r="V95" s="179">
        <v>248</v>
      </c>
      <c r="W95" s="180"/>
      <c r="X95" s="180">
        <v>124</v>
      </c>
      <c r="Y95" s="181"/>
      <c r="Z95" s="182">
        <f t="shared" si="267"/>
        <v>372</v>
      </c>
      <c r="AA95" s="179">
        <v>510</v>
      </c>
      <c r="AB95" s="180"/>
      <c r="AC95" s="180">
        <v>254</v>
      </c>
      <c r="AD95" s="181"/>
      <c r="AE95" s="182">
        <f t="shared" si="268"/>
        <v>764</v>
      </c>
      <c r="AF95" s="179"/>
      <c r="AG95" s="180"/>
      <c r="AH95" s="180"/>
      <c r="AI95" s="181"/>
      <c r="AJ95" s="182">
        <f t="shared" si="269"/>
        <v>0</v>
      </c>
      <c r="AK95" s="179"/>
      <c r="AL95" s="180"/>
      <c r="AM95" s="180"/>
      <c r="AN95" s="181"/>
      <c r="AO95" s="182">
        <f t="shared" si="270"/>
        <v>0</v>
      </c>
      <c r="AP95" s="179"/>
      <c r="AQ95" s="180"/>
      <c r="AR95" s="180"/>
      <c r="AS95" s="181"/>
      <c r="AT95" s="182">
        <f t="shared" si="271"/>
        <v>0</v>
      </c>
      <c r="AU95" s="179">
        <v>124</v>
      </c>
      <c r="AV95" s="180"/>
      <c r="AW95" s="180">
        <v>60</v>
      </c>
      <c r="AX95" s="181"/>
      <c r="AY95" s="182">
        <f t="shared" si="272"/>
        <v>184</v>
      </c>
      <c r="AZ95" s="179">
        <v>987</v>
      </c>
      <c r="BA95" s="180"/>
      <c r="BB95" s="180">
        <v>489</v>
      </c>
      <c r="BC95" s="181"/>
      <c r="BD95" s="182">
        <f t="shared" si="273"/>
        <v>1476</v>
      </c>
      <c r="BE95" s="179">
        <v>279</v>
      </c>
      <c r="BF95" s="180"/>
      <c r="BG95" s="180">
        <v>139</v>
      </c>
      <c r="BH95" s="181"/>
      <c r="BI95" s="182">
        <f t="shared" si="274"/>
        <v>418</v>
      </c>
      <c r="BJ95" s="179">
        <v>12</v>
      </c>
      <c r="BK95" s="180"/>
      <c r="BL95" s="180">
        <v>6</v>
      </c>
      <c r="BM95" s="181"/>
      <c r="BN95" s="182">
        <f t="shared" si="275"/>
        <v>18</v>
      </c>
      <c r="BO95" s="184">
        <f t="shared" si="245"/>
        <v>2160</v>
      </c>
      <c r="BP95" s="180">
        <f t="shared" si="246"/>
        <v>0</v>
      </c>
      <c r="BQ95" s="180">
        <f t="shared" si="247"/>
        <v>1072</v>
      </c>
      <c r="BR95" s="181">
        <f t="shared" si="248"/>
        <v>0</v>
      </c>
      <c r="BS95" s="183">
        <f t="shared" ref="BS95" si="288">SUM(BO95:BR95)</f>
        <v>3232</v>
      </c>
    </row>
    <row r="96" spans="2:71" x14ac:dyDescent="0.3">
      <c r="B96" s="269"/>
      <c r="C96" s="230"/>
      <c r="D96" s="233"/>
      <c r="E96" s="239"/>
      <c r="F96" s="121" t="s">
        <v>196</v>
      </c>
      <c r="G96" s="32">
        <v>2360</v>
      </c>
      <c r="H96" s="13"/>
      <c r="I96" s="13"/>
      <c r="J96" s="14"/>
      <c r="K96" s="15">
        <f t="shared" ref="K96:K97" si="289">SUM(G96:J96)</f>
        <v>2360</v>
      </c>
      <c r="L96" s="32"/>
      <c r="M96" s="13"/>
      <c r="N96" s="13"/>
      <c r="O96" s="14"/>
      <c r="P96" s="15">
        <f t="shared" si="251"/>
        <v>0</v>
      </c>
      <c r="Q96" s="32"/>
      <c r="R96" s="13"/>
      <c r="S96" s="13"/>
      <c r="T96" s="14"/>
      <c r="U96" s="15">
        <f t="shared" si="252"/>
        <v>0</v>
      </c>
      <c r="V96" s="32"/>
      <c r="W96" s="13"/>
      <c r="X96" s="13"/>
      <c r="Y96" s="14"/>
      <c r="Z96" s="15">
        <f t="shared" si="253"/>
        <v>0</v>
      </c>
      <c r="AA96" s="32"/>
      <c r="AB96" s="13"/>
      <c r="AC96" s="13"/>
      <c r="AD96" s="14"/>
      <c r="AE96" s="15">
        <f t="shared" si="254"/>
        <v>0</v>
      </c>
      <c r="AF96" s="32"/>
      <c r="AG96" s="13"/>
      <c r="AH96" s="13"/>
      <c r="AI96" s="14"/>
      <c r="AJ96" s="15">
        <f t="shared" si="255"/>
        <v>0</v>
      </c>
      <c r="AK96" s="32"/>
      <c r="AL96" s="13"/>
      <c r="AM96" s="13"/>
      <c r="AN96" s="14"/>
      <c r="AO96" s="15">
        <f t="shared" si="256"/>
        <v>0</v>
      </c>
      <c r="AP96" s="32"/>
      <c r="AQ96" s="13"/>
      <c r="AR96" s="13"/>
      <c r="AS96" s="14"/>
      <c r="AT96" s="15">
        <f t="shared" si="257"/>
        <v>0</v>
      </c>
      <c r="AU96" s="32"/>
      <c r="AV96" s="13"/>
      <c r="AW96" s="13"/>
      <c r="AX96" s="14"/>
      <c r="AY96" s="15">
        <f t="shared" si="258"/>
        <v>0</v>
      </c>
      <c r="AZ96" s="32"/>
      <c r="BA96" s="13"/>
      <c r="BB96" s="13"/>
      <c r="BC96" s="14"/>
      <c r="BD96" s="15">
        <f t="shared" si="259"/>
        <v>0</v>
      </c>
      <c r="BE96" s="32"/>
      <c r="BF96" s="13"/>
      <c r="BG96" s="13"/>
      <c r="BH96" s="14"/>
      <c r="BI96" s="15">
        <f t="shared" si="260"/>
        <v>0</v>
      </c>
      <c r="BJ96" s="32"/>
      <c r="BK96" s="13"/>
      <c r="BL96" s="13"/>
      <c r="BM96" s="14"/>
      <c r="BN96" s="15">
        <f t="shared" si="261"/>
        <v>0</v>
      </c>
      <c r="BO96" s="66">
        <f t="shared" si="245"/>
        <v>2360</v>
      </c>
      <c r="BP96" s="13">
        <f t="shared" si="246"/>
        <v>0</v>
      </c>
      <c r="BQ96" s="13">
        <f t="shared" si="247"/>
        <v>0</v>
      </c>
      <c r="BR96" s="14">
        <f t="shared" si="248"/>
        <v>0</v>
      </c>
      <c r="BS96" s="33">
        <f t="shared" ref="BS96:BS97" si="290">SUM(BO96:BR96)</f>
        <v>2360</v>
      </c>
    </row>
    <row r="97" spans="2:71" x14ac:dyDescent="0.3">
      <c r="B97" s="269"/>
      <c r="C97" s="230"/>
      <c r="D97" s="233"/>
      <c r="E97" s="239"/>
      <c r="F97" s="121" t="s">
        <v>197</v>
      </c>
      <c r="G97" s="32">
        <v>122</v>
      </c>
      <c r="H97" s="13"/>
      <c r="I97" s="13"/>
      <c r="J97" s="14"/>
      <c r="K97" s="15">
        <f t="shared" si="289"/>
        <v>122</v>
      </c>
      <c r="L97" s="32"/>
      <c r="M97" s="13"/>
      <c r="N97" s="13"/>
      <c r="O97" s="14"/>
      <c r="P97" s="15">
        <f t="shared" si="251"/>
        <v>0</v>
      </c>
      <c r="Q97" s="32"/>
      <c r="R97" s="13"/>
      <c r="S97" s="13"/>
      <c r="T97" s="14"/>
      <c r="U97" s="15">
        <f t="shared" si="252"/>
        <v>0</v>
      </c>
      <c r="V97" s="32"/>
      <c r="W97" s="13"/>
      <c r="X97" s="13"/>
      <c r="Y97" s="14"/>
      <c r="Z97" s="15">
        <f t="shared" si="253"/>
        <v>0</v>
      </c>
      <c r="AA97" s="32"/>
      <c r="AB97" s="13"/>
      <c r="AC97" s="13"/>
      <c r="AD97" s="14"/>
      <c r="AE97" s="15">
        <f t="shared" si="254"/>
        <v>0</v>
      </c>
      <c r="AF97" s="32"/>
      <c r="AG97" s="13"/>
      <c r="AH97" s="13"/>
      <c r="AI97" s="14"/>
      <c r="AJ97" s="15">
        <f t="shared" si="255"/>
        <v>0</v>
      </c>
      <c r="AK97" s="32"/>
      <c r="AL97" s="13"/>
      <c r="AM97" s="13"/>
      <c r="AN97" s="14"/>
      <c r="AO97" s="15">
        <f t="shared" si="256"/>
        <v>0</v>
      </c>
      <c r="AP97" s="32"/>
      <c r="AQ97" s="13"/>
      <c r="AR97" s="13"/>
      <c r="AS97" s="14"/>
      <c r="AT97" s="15">
        <f t="shared" si="257"/>
        <v>0</v>
      </c>
      <c r="AU97" s="32"/>
      <c r="AV97" s="13"/>
      <c r="AW97" s="13"/>
      <c r="AX97" s="14"/>
      <c r="AY97" s="15">
        <f t="shared" si="258"/>
        <v>0</v>
      </c>
      <c r="AZ97" s="32"/>
      <c r="BA97" s="13"/>
      <c r="BB97" s="13"/>
      <c r="BC97" s="14"/>
      <c r="BD97" s="15">
        <f t="shared" si="259"/>
        <v>0</v>
      </c>
      <c r="BE97" s="32"/>
      <c r="BF97" s="13"/>
      <c r="BG97" s="13"/>
      <c r="BH97" s="14"/>
      <c r="BI97" s="15">
        <f t="shared" si="260"/>
        <v>0</v>
      </c>
      <c r="BJ97" s="32"/>
      <c r="BK97" s="13"/>
      <c r="BL97" s="13"/>
      <c r="BM97" s="14"/>
      <c r="BN97" s="15">
        <f t="shared" si="261"/>
        <v>0</v>
      </c>
      <c r="BO97" s="66">
        <f t="shared" si="245"/>
        <v>122</v>
      </c>
      <c r="BP97" s="13">
        <f t="shared" si="246"/>
        <v>0</v>
      </c>
      <c r="BQ97" s="13">
        <f t="shared" si="247"/>
        <v>0</v>
      </c>
      <c r="BR97" s="14">
        <f t="shared" si="248"/>
        <v>0</v>
      </c>
      <c r="BS97" s="33">
        <f t="shared" si="290"/>
        <v>122</v>
      </c>
    </row>
    <row r="98" spans="2:71" x14ac:dyDescent="0.3">
      <c r="B98" s="269"/>
      <c r="C98" s="230"/>
      <c r="D98" s="233"/>
      <c r="E98" s="239"/>
      <c r="F98" s="121" t="s">
        <v>198</v>
      </c>
      <c r="G98" s="32">
        <v>1828</v>
      </c>
      <c r="H98" s="13"/>
      <c r="I98" s="13"/>
      <c r="J98" s="14"/>
      <c r="K98" s="15">
        <f t="shared" ref="K98" si="291">SUM(G98:J98)</f>
        <v>1828</v>
      </c>
      <c r="L98" s="32"/>
      <c r="M98" s="13"/>
      <c r="N98" s="13"/>
      <c r="O98" s="14"/>
      <c r="P98" s="15">
        <f t="shared" si="251"/>
        <v>0</v>
      </c>
      <c r="Q98" s="32"/>
      <c r="R98" s="13"/>
      <c r="S98" s="13"/>
      <c r="T98" s="14"/>
      <c r="U98" s="15">
        <f t="shared" si="252"/>
        <v>0</v>
      </c>
      <c r="V98" s="32"/>
      <c r="W98" s="13"/>
      <c r="X98" s="13"/>
      <c r="Y98" s="14"/>
      <c r="Z98" s="15">
        <f t="shared" si="253"/>
        <v>0</v>
      </c>
      <c r="AA98" s="32"/>
      <c r="AB98" s="13"/>
      <c r="AC98" s="13"/>
      <c r="AD98" s="14"/>
      <c r="AE98" s="15">
        <f t="shared" si="254"/>
        <v>0</v>
      </c>
      <c r="AF98" s="32"/>
      <c r="AG98" s="13"/>
      <c r="AH98" s="13"/>
      <c r="AI98" s="14"/>
      <c r="AJ98" s="15">
        <f t="shared" si="255"/>
        <v>0</v>
      </c>
      <c r="AK98" s="32"/>
      <c r="AL98" s="13"/>
      <c r="AM98" s="13"/>
      <c r="AN98" s="14"/>
      <c r="AO98" s="15">
        <f t="shared" si="256"/>
        <v>0</v>
      </c>
      <c r="AP98" s="32"/>
      <c r="AQ98" s="13"/>
      <c r="AR98" s="13"/>
      <c r="AS98" s="14"/>
      <c r="AT98" s="15">
        <f t="shared" si="257"/>
        <v>0</v>
      </c>
      <c r="AU98" s="32"/>
      <c r="AV98" s="13"/>
      <c r="AW98" s="13"/>
      <c r="AX98" s="14"/>
      <c r="AY98" s="15">
        <f t="shared" si="258"/>
        <v>0</v>
      </c>
      <c r="AZ98" s="32"/>
      <c r="BA98" s="13"/>
      <c r="BB98" s="13"/>
      <c r="BC98" s="14"/>
      <c r="BD98" s="15">
        <f t="shared" si="259"/>
        <v>0</v>
      </c>
      <c r="BE98" s="32"/>
      <c r="BF98" s="13"/>
      <c r="BG98" s="13"/>
      <c r="BH98" s="14"/>
      <c r="BI98" s="15">
        <f t="shared" si="260"/>
        <v>0</v>
      </c>
      <c r="BJ98" s="32"/>
      <c r="BK98" s="13"/>
      <c r="BL98" s="13"/>
      <c r="BM98" s="14"/>
      <c r="BN98" s="15">
        <f t="shared" si="261"/>
        <v>0</v>
      </c>
      <c r="BO98" s="66">
        <f t="shared" si="245"/>
        <v>1828</v>
      </c>
      <c r="BP98" s="13">
        <f t="shared" si="246"/>
        <v>0</v>
      </c>
      <c r="BQ98" s="13">
        <f t="shared" si="247"/>
        <v>0</v>
      </c>
      <c r="BR98" s="14">
        <f t="shared" si="248"/>
        <v>0</v>
      </c>
      <c r="BS98" s="33">
        <f t="shared" ref="BS98" si="292">SUM(BO98:BR98)</f>
        <v>1828</v>
      </c>
    </row>
    <row r="99" spans="2:71" x14ac:dyDescent="0.3">
      <c r="B99" s="269"/>
      <c r="C99" s="230"/>
      <c r="D99" s="233"/>
      <c r="E99" s="239"/>
      <c r="F99" s="124" t="s">
        <v>142</v>
      </c>
      <c r="G99" s="36">
        <v>91</v>
      </c>
      <c r="H99" s="10"/>
      <c r="I99" s="10"/>
      <c r="J99" s="11"/>
      <c r="K99" s="12">
        <f t="shared" si="0"/>
        <v>91</v>
      </c>
      <c r="L99" s="36"/>
      <c r="M99" s="10"/>
      <c r="N99" s="10"/>
      <c r="O99" s="11"/>
      <c r="P99" s="12">
        <f t="shared" si="251"/>
        <v>0</v>
      </c>
      <c r="Q99" s="36"/>
      <c r="R99" s="10"/>
      <c r="S99" s="10"/>
      <c r="T99" s="11"/>
      <c r="U99" s="12">
        <f t="shared" si="252"/>
        <v>0</v>
      </c>
      <c r="V99" s="36"/>
      <c r="W99" s="10"/>
      <c r="X99" s="10"/>
      <c r="Y99" s="11"/>
      <c r="Z99" s="12">
        <f t="shared" si="253"/>
        <v>0</v>
      </c>
      <c r="AA99" s="36"/>
      <c r="AB99" s="10"/>
      <c r="AC99" s="10"/>
      <c r="AD99" s="11"/>
      <c r="AE99" s="12">
        <f t="shared" si="254"/>
        <v>0</v>
      </c>
      <c r="AF99" s="36"/>
      <c r="AG99" s="10"/>
      <c r="AH99" s="10"/>
      <c r="AI99" s="11"/>
      <c r="AJ99" s="12">
        <f t="shared" si="255"/>
        <v>0</v>
      </c>
      <c r="AK99" s="36"/>
      <c r="AL99" s="10"/>
      <c r="AM99" s="10"/>
      <c r="AN99" s="11"/>
      <c r="AO99" s="12">
        <f t="shared" si="256"/>
        <v>0</v>
      </c>
      <c r="AP99" s="36"/>
      <c r="AQ99" s="10"/>
      <c r="AR99" s="10"/>
      <c r="AS99" s="11"/>
      <c r="AT99" s="12">
        <f t="shared" si="257"/>
        <v>0</v>
      </c>
      <c r="AU99" s="36"/>
      <c r="AV99" s="10"/>
      <c r="AW99" s="10"/>
      <c r="AX99" s="11"/>
      <c r="AY99" s="12">
        <f t="shared" si="258"/>
        <v>0</v>
      </c>
      <c r="AZ99" s="36"/>
      <c r="BA99" s="10"/>
      <c r="BB99" s="10"/>
      <c r="BC99" s="11"/>
      <c r="BD99" s="12">
        <f t="shared" si="259"/>
        <v>0</v>
      </c>
      <c r="BE99" s="36"/>
      <c r="BF99" s="10"/>
      <c r="BG99" s="10"/>
      <c r="BH99" s="11"/>
      <c r="BI99" s="12">
        <f t="shared" si="260"/>
        <v>0</v>
      </c>
      <c r="BJ99" s="36"/>
      <c r="BK99" s="10"/>
      <c r="BL99" s="10"/>
      <c r="BM99" s="11"/>
      <c r="BN99" s="12">
        <f t="shared" si="261"/>
        <v>0</v>
      </c>
      <c r="BO99" s="71">
        <f t="shared" si="245"/>
        <v>91</v>
      </c>
      <c r="BP99" s="10">
        <f t="shared" si="246"/>
        <v>0</v>
      </c>
      <c r="BQ99" s="10">
        <f t="shared" si="247"/>
        <v>0</v>
      </c>
      <c r="BR99" s="11">
        <f t="shared" si="248"/>
        <v>0</v>
      </c>
      <c r="BS99" s="37">
        <f t="shared" si="13"/>
        <v>91</v>
      </c>
    </row>
    <row r="100" spans="2:71" x14ac:dyDescent="0.3">
      <c r="B100" s="269"/>
      <c r="C100" s="230"/>
      <c r="D100" s="233"/>
      <c r="E100" s="240"/>
      <c r="F100" s="125" t="s">
        <v>55</v>
      </c>
      <c r="G100" s="126">
        <f>SUM(G90:G99)</f>
        <v>4401</v>
      </c>
      <c r="H100" s="127">
        <f>SUM(H90:H99)</f>
        <v>0</v>
      </c>
      <c r="I100" s="127">
        <f>SUM(I90:I99)</f>
        <v>0</v>
      </c>
      <c r="J100" s="128">
        <f>SUM(J90:J99)</f>
        <v>0</v>
      </c>
      <c r="K100" s="129">
        <f t="shared" si="0"/>
        <v>4401</v>
      </c>
      <c r="L100" s="126">
        <f>SUM(L90:L99)</f>
        <v>170</v>
      </c>
      <c r="M100" s="127">
        <f>SUM(M90:M99)</f>
        <v>5</v>
      </c>
      <c r="N100" s="127">
        <f>SUM(N90:N99)</f>
        <v>71</v>
      </c>
      <c r="O100" s="128">
        <f>SUM(O90:O99)</f>
        <v>0</v>
      </c>
      <c r="P100" s="129">
        <f t="shared" si="251"/>
        <v>246</v>
      </c>
      <c r="Q100" s="126">
        <f>SUM(Q90:Q99)</f>
        <v>166</v>
      </c>
      <c r="R100" s="127">
        <f>SUM(R90:R99)</f>
        <v>2</v>
      </c>
      <c r="S100" s="127">
        <f>SUM(S90:S99)</f>
        <v>68</v>
      </c>
      <c r="T100" s="128">
        <f>SUM(T90:T99)</f>
        <v>0</v>
      </c>
      <c r="U100" s="129">
        <f t="shared" si="252"/>
        <v>236</v>
      </c>
      <c r="V100" s="126">
        <f>SUM(V90:V99)</f>
        <v>2177</v>
      </c>
      <c r="W100" s="127">
        <f>SUM(W90:W99)</f>
        <v>19</v>
      </c>
      <c r="X100" s="127">
        <f>SUM(X90:X99)</f>
        <v>1102</v>
      </c>
      <c r="Y100" s="128">
        <f>SUM(Y90:Y99)</f>
        <v>0</v>
      </c>
      <c r="Z100" s="129">
        <f t="shared" si="253"/>
        <v>3298</v>
      </c>
      <c r="AA100" s="126">
        <f>SUM(AA90:AA99)</f>
        <v>1870</v>
      </c>
      <c r="AB100" s="127">
        <f>SUM(AB90:AB99)</f>
        <v>22</v>
      </c>
      <c r="AC100" s="127">
        <f>SUM(AC90:AC99)</f>
        <v>926</v>
      </c>
      <c r="AD100" s="128">
        <f>SUM(AD90:AD99)</f>
        <v>0</v>
      </c>
      <c r="AE100" s="129">
        <f t="shared" si="254"/>
        <v>2818</v>
      </c>
      <c r="AF100" s="126">
        <f>SUM(AF90:AF99)</f>
        <v>311</v>
      </c>
      <c r="AG100" s="127">
        <f>SUM(AG90:AG99)</f>
        <v>10</v>
      </c>
      <c r="AH100" s="127">
        <f>SUM(AH90:AH99)</f>
        <v>110</v>
      </c>
      <c r="AI100" s="128">
        <f>SUM(AI90:AI99)</f>
        <v>0</v>
      </c>
      <c r="AJ100" s="129">
        <f t="shared" si="255"/>
        <v>431</v>
      </c>
      <c r="AK100" s="126">
        <f>SUM(AK90:AK99)</f>
        <v>139</v>
      </c>
      <c r="AL100" s="127">
        <f>SUM(AL90:AL99)</f>
        <v>21</v>
      </c>
      <c r="AM100" s="127">
        <f>SUM(AM90:AM99)</f>
        <v>57</v>
      </c>
      <c r="AN100" s="128">
        <f>SUM(AN90:AN99)</f>
        <v>0</v>
      </c>
      <c r="AO100" s="129">
        <f t="shared" si="256"/>
        <v>217</v>
      </c>
      <c r="AP100" s="126">
        <f>SUM(AP90:AP99)</f>
        <v>128</v>
      </c>
      <c r="AQ100" s="127">
        <f>SUM(AQ90:AQ99)</f>
        <v>11</v>
      </c>
      <c r="AR100" s="127">
        <f>SUM(AR90:AR99)</f>
        <v>95</v>
      </c>
      <c r="AS100" s="128">
        <f>SUM(AS90:AS99)</f>
        <v>0</v>
      </c>
      <c r="AT100" s="129">
        <f t="shared" si="257"/>
        <v>234</v>
      </c>
      <c r="AU100" s="126">
        <f>SUM(AU90:AU99)</f>
        <v>679</v>
      </c>
      <c r="AV100" s="127">
        <f>SUM(AV90:AV99)</f>
        <v>5</v>
      </c>
      <c r="AW100" s="127">
        <f>SUM(AW90:AW99)</f>
        <v>360</v>
      </c>
      <c r="AX100" s="128">
        <f>SUM(AX90:AX99)</f>
        <v>0</v>
      </c>
      <c r="AY100" s="129">
        <f t="shared" si="258"/>
        <v>1044</v>
      </c>
      <c r="AZ100" s="126">
        <f>SUM(AZ90:AZ99)</f>
        <v>3240</v>
      </c>
      <c r="BA100" s="127">
        <f>SUM(BA90:BA99)</f>
        <v>19</v>
      </c>
      <c r="BB100" s="127">
        <f>SUM(BB90:BB99)</f>
        <v>1616</v>
      </c>
      <c r="BC100" s="128">
        <f>SUM(BC90:BC99)</f>
        <v>0</v>
      </c>
      <c r="BD100" s="129">
        <f t="shared" si="259"/>
        <v>4875</v>
      </c>
      <c r="BE100" s="126">
        <f>SUM(BE90:BE99)</f>
        <v>1005</v>
      </c>
      <c r="BF100" s="127">
        <f>SUM(BF90:BF99)</f>
        <v>15</v>
      </c>
      <c r="BG100" s="127">
        <f>SUM(BG90:BG99)</f>
        <v>479</v>
      </c>
      <c r="BH100" s="128">
        <f>SUM(BH90:BH99)</f>
        <v>0</v>
      </c>
      <c r="BI100" s="129">
        <f t="shared" si="260"/>
        <v>1499</v>
      </c>
      <c r="BJ100" s="126">
        <f>SUM(BJ90:BJ99)</f>
        <v>231</v>
      </c>
      <c r="BK100" s="127">
        <f>SUM(BK90:BK99)</f>
        <v>8</v>
      </c>
      <c r="BL100" s="127">
        <f>SUM(BL90:BL99)</f>
        <v>70</v>
      </c>
      <c r="BM100" s="128">
        <f>SUM(BM90:BM99)</f>
        <v>0</v>
      </c>
      <c r="BN100" s="129">
        <f t="shared" si="261"/>
        <v>309</v>
      </c>
      <c r="BO100" s="131">
        <f>SUM(BO90:BO99)</f>
        <v>14517</v>
      </c>
      <c r="BP100" s="127">
        <f>SUM(BP90:BP99)</f>
        <v>137</v>
      </c>
      <c r="BQ100" s="127">
        <f>SUM(BQ90:BQ99)</f>
        <v>4954</v>
      </c>
      <c r="BR100" s="128">
        <f>SUM(BR90:BR99)</f>
        <v>0</v>
      </c>
      <c r="BS100" s="130">
        <f t="shared" si="13"/>
        <v>19608</v>
      </c>
    </row>
    <row r="101" spans="2:71" x14ac:dyDescent="0.3">
      <c r="B101" s="269"/>
      <c r="C101" s="230"/>
      <c r="D101" s="234"/>
      <c r="E101" s="236" t="s">
        <v>57</v>
      </c>
      <c r="F101" s="237"/>
      <c r="G101" s="38">
        <f>SUM(G22,G43,G56,G61,G70,G75,G80,G89,G100)</f>
        <v>12771</v>
      </c>
      <c r="H101" s="19">
        <f>SUM(H22,H43,H56,H61,H70,H75,H80,H89,H100)</f>
        <v>5</v>
      </c>
      <c r="I101" s="19">
        <f>SUM(I22,I43,I56,I61,I70,I75,I80,I89,I100)</f>
        <v>76</v>
      </c>
      <c r="J101" s="20">
        <f>SUM(J22,J43,J56,J61,J70,J75,J80,J89,J100)</f>
        <v>0</v>
      </c>
      <c r="K101" s="21">
        <f t="shared" si="0"/>
        <v>12852</v>
      </c>
      <c r="L101" s="38">
        <f>SUM(L22,L43,L56,L61,L70,L75,L80,L89,L100)</f>
        <v>14470</v>
      </c>
      <c r="M101" s="19">
        <f>SUM(M22,M43,M56,M61,M70,M75,M80,M89,M100)</f>
        <v>6</v>
      </c>
      <c r="N101" s="19">
        <f>SUM(N22,N43,N56,N61,N70,N75,N80,N89,N100)</f>
        <v>180</v>
      </c>
      <c r="O101" s="20">
        <f>SUM(O22,O43,O56,O61,O70,O75,O80,O89,O100)</f>
        <v>0</v>
      </c>
      <c r="P101" s="21">
        <f t="shared" si="251"/>
        <v>14656</v>
      </c>
      <c r="Q101" s="38">
        <f>SUM(Q22,Q43,Q56,Q61,Q70,Q75,Q80,Q89,Q100)</f>
        <v>14454</v>
      </c>
      <c r="R101" s="19">
        <f>SUM(R22,R43,R56,R61,R70,R75,R80,R89,R100)</f>
        <v>16</v>
      </c>
      <c r="S101" s="19">
        <f>SUM(S22,S43,S56,S61,S70,S75,S80,S89,S100)</f>
        <v>298</v>
      </c>
      <c r="T101" s="20">
        <f>SUM(T22,T43,T56,T61,T70,T75,T80,T89,T100)</f>
        <v>0</v>
      </c>
      <c r="U101" s="21">
        <f t="shared" si="252"/>
        <v>14768</v>
      </c>
      <c r="V101" s="38">
        <f>SUM(V22,V43,V56,V61,V70,V75,V80,V89,V100)</f>
        <v>24431</v>
      </c>
      <c r="W101" s="19">
        <f>SUM(W22,W43,W56,W61,W70,W75,W80,W89,W100)</f>
        <v>44</v>
      </c>
      <c r="X101" s="19">
        <f>SUM(X22,X43,X56,X61,X70,X75,X80,X89,X100)</f>
        <v>1499</v>
      </c>
      <c r="Y101" s="20">
        <f>SUM(Y22,Y43,Y56,Y61,Y70,Y75,Y80,Y89,Y100)</f>
        <v>0</v>
      </c>
      <c r="Z101" s="21">
        <f t="shared" si="253"/>
        <v>25974</v>
      </c>
      <c r="AA101" s="38">
        <f>SUM(AA22,AA43,AA56,AA61,AA70,AA75,AA80,AA89,AA100)</f>
        <v>23360</v>
      </c>
      <c r="AB101" s="19">
        <f>SUM(AB22,AB43,AB56,AB61,AB70,AB75,AB80,AB89,AB100)</f>
        <v>33</v>
      </c>
      <c r="AC101" s="19">
        <f>SUM(AC22,AC43,AC56,AC61,AC70,AC75,AC80,AC89,AC100)</f>
        <v>1061</v>
      </c>
      <c r="AD101" s="20">
        <f>SUM(AD22,AD43,AD56,AD61,AD70,AD75,AD80,AD89,AD100)</f>
        <v>0</v>
      </c>
      <c r="AE101" s="21">
        <f t="shared" si="254"/>
        <v>24454</v>
      </c>
      <c r="AF101" s="38">
        <f>SUM(AF22,AF43,AF56,AF61,AF70,AF75,AF80,AF89,AF100)</f>
        <v>20845</v>
      </c>
      <c r="AG101" s="19">
        <f>SUM(AG22,AG43,AG56,AG61,AG70,AG75,AG80,AG89,AG100)</f>
        <v>19</v>
      </c>
      <c r="AH101" s="19">
        <f>SUM(AH22,AH43,AH56,AH61,AH70,AH75,AH80,AH89,AH100)</f>
        <v>286</v>
      </c>
      <c r="AI101" s="20">
        <f>SUM(AI22,AI43,AI56,AI61,AI70,AI75,AI80,AI89,AI100)</f>
        <v>0</v>
      </c>
      <c r="AJ101" s="21">
        <f t="shared" si="255"/>
        <v>21150</v>
      </c>
      <c r="AK101" s="38">
        <f>SUM(AK22,AK43,AK56,AK61,AK70,AK75,AK80,AK89,AK100)</f>
        <v>7410</v>
      </c>
      <c r="AL101" s="19">
        <f>SUM(AL22,AL43,AL56,AL61,AL70,AL75,AL80,AL89,AL100)</f>
        <v>33</v>
      </c>
      <c r="AM101" s="19">
        <f>SUM(AM22,AM43,AM56,AM61,AM70,AM75,AM80,AM89,AM100)</f>
        <v>128</v>
      </c>
      <c r="AN101" s="20">
        <f>SUM(AN22,AN43,AN56,AN61,AN70,AN75,AN80,AN89,AN100)</f>
        <v>0</v>
      </c>
      <c r="AO101" s="21">
        <f t="shared" si="256"/>
        <v>7571</v>
      </c>
      <c r="AP101" s="38">
        <f>SUM(AP22,AP43,AP56,AP61,AP70,AP75,AP80,AP89,AP100)</f>
        <v>11671</v>
      </c>
      <c r="AQ101" s="19">
        <f>SUM(AQ22,AQ43,AQ56,AQ61,AQ70,AQ75,AQ80,AQ89,AQ100)</f>
        <v>17</v>
      </c>
      <c r="AR101" s="19">
        <f>SUM(AR22,AR43,AR56,AR61,AR70,AR75,AR80,AR89,AR100)</f>
        <v>193</v>
      </c>
      <c r="AS101" s="20">
        <f>SUM(AS22,AS43,AS56,AS61,AS70,AS75,AS80,AS89,AS100)</f>
        <v>0</v>
      </c>
      <c r="AT101" s="21">
        <f t="shared" si="257"/>
        <v>11881</v>
      </c>
      <c r="AU101" s="38">
        <f>SUM(AU22,AU43,AU56,AU61,AU70,AU75,AU80,AU89,AU100)</f>
        <v>21934</v>
      </c>
      <c r="AV101" s="19">
        <f>SUM(AV22,AV43,AV56,AV61,AV70,AV75,AV80,AV89,AV100)</f>
        <v>19</v>
      </c>
      <c r="AW101" s="19">
        <f>SUM(AW22,AW43,AW56,AW61,AW70,AW75,AW80,AW89,AW100)</f>
        <v>523</v>
      </c>
      <c r="AX101" s="20">
        <f>SUM(AX22,AX43,AX56,AX61,AX70,AX75,AX80,AX89,AX100)</f>
        <v>0</v>
      </c>
      <c r="AY101" s="21">
        <f t="shared" si="258"/>
        <v>22476</v>
      </c>
      <c r="AZ101" s="38">
        <f>SUM(AZ22,AZ43,AZ56,AZ61,AZ70,AZ75,AZ80,AZ89,AZ100)</f>
        <v>39855</v>
      </c>
      <c r="BA101" s="19">
        <f>SUM(BA22,BA43,BA56,BA61,BA70,BA75,BA80,BA89,BA100)</f>
        <v>43</v>
      </c>
      <c r="BB101" s="19">
        <f>SUM(BB22,BB43,BB56,BB61,BB70,BB75,BB80,BB89,BB100)</f>
        <v>2057</v>
      </c>
      <c r="BC101" s="20">
        <f>SUM(BC22,BC43,BC56,BC61,BC70,BC75,BC80,BC89,BC100)</f>
        <v>0</v>
      </c>
      <c r="BD101" s="21">
        <f t="shared" si="259"/>
        <v>41955</v>
      </c>
      <c r="BE101" s="38">
        <f>SUM(BE22,BE43,BE56,BE61,BE70,BE75,BE80,BE89,BE100)</f>
        <v>7862</v>
      </c>
      <c r="BF101" s="19">
        <f>SUM(BF22,BF43,BF56,BF61,BF70,BF75,BF80,BF89,BF100)</f>
        <v>29</v>
      </c>
      <c r="BG101" s="19">
        <f>SUM(BG22,BG43,BG56,BG61,BG70,BG75,BG80,BG89,BG100)</f>
        <v>572</v>
      </c>
      <c r="BH101" s="20">
        <f>SUM(BH22,BH43,BH56,BH61,BH70,BH75,BH80,BH89,BH100)</f>
        <v>0</v>
      </c>
      <c r="BI101" s="21">
        <f t="shared" si="260"/>
        <v>8463</v>
      </c>
      <c r="BJ101" s="38">
        <f>SUM(BJ22,BJ43,BJ56,BJ61,BJ70,BJ75,BJ80,BJ89,BJ100)</f>
        <v>8202</v>
      </c>
      <c r="BK101" s="19">
        <f>SUM(BK22,BK43,BK56,BK61,BK70,BK75,BK80,BK89,BK100)</f>
        <v>16</v>
      </c>
      <c r="BL101" s="19">
        <f>SUM(BL22,BL43,BL56,BL61,BL70,BL75,BL80,BL89,BL100)</f>
        <v>132</v>
      </c>
      <c r="BM101" s="20">
        <f>SUM(BM22,BM43,BM56,BM61,BM70,BM75,BM80,BM89,BM100)</f>
        <v>0</v>
      </c>
      <c r="BN101" s="21">
        <f t="shared" si="261"/>
        <v>8350</v>
      </c>
      <c r="BO101" s="69">
        <f>SUM(BO22,BO43,BO56,BO61,BO70,BO75,BO80,BO89,BO100)</f>
        <v>207265</v>
      </c>
      <c r="BP101" s="19">
        <f>SUM(BP22,BP43,BP56,BP61,BP70,BP75,BP80,BP89,BP100)</f>
        <v>280</v>
      </c>
      <c r="BQ101" s="19">
        <f>SUM(BQ22,BQ43,BQ56,BQ61,BQ70,BQ75,BQ80,BQ89,BQ100)</f>
        <v>7005</v>
      </c>
      <c r="BR101" s="20">
        <f>SUM(BR22,BR43,BR56,BR61,BR70,BR75,BR80,BR89,BR100)</f>
        <v>0</v>
      </c>
      <c r="BS101" s="39">
        <f t="shared" si="13"/>
        <v>214550</v>
      </c>
    </row>
    <row r="102" spans="2:71" x14ac:dyDescent="0.3">
      <c r="B102" s="269"/>
      <c r="C102" s="231"/>
      <c r="D102" s="238" t="s">
        <v>4</v>
      </c>
      <c r="E102" s="238"/>
      <c r="F102" s="238"/>
      <c r="G102" s="40">
        <f>G101</f>
        <v>12771</v>
      </c>
      <c r="H102" s="22">
        <f>H101</f>
        <v>5</v>
      </c>
      <c r="I102" s="22">
        <f>I101</f>
        <v>76</v>
      </c>
      <c r="J102" s="23">
        <f>J101</f>
        <v>0</v>
      </c>
      <c r="K102" s="24">
        <f t="shared" ref="K102:K132" si="293">SUM(G102:J102)</f>
        <v>12852</v>
      </c>
      <c r="L102" s="40">
        <f>L101</f>
        <v>14470</v>
      </c>
      <c r="M102" s="22">
        <f>M101</f>
        <v>6</v>
      </c>
      <c r="N102" s="22">
        <f>N101</f>
        <v>180</v>
      </c>
      <c r="O102" s="23">
        <f>O101</f>
        <v>0</v>
      </c>
      <c r="P102" s="24">
        <f t="shared" si="251"/>
        <v>14656</v>
      </c>
      <c r="Q102" s="40">
        <f>Q101</f>
        <v>14454</v>
      </c>
      <c r="R102" s="22">
        <f>R101</f>
        <v>16</v>
      </c>
      <c r="S102" s="22">
        <f>S101</f>
        <v>298</v>
      </c>
      <c r="T102" s="23">
        <f>T101</f>
        <v>0</v>
      </c>
      <c r="U102" s="24">
        <f t="shared" si="252"/>
        <v>14768</v>
      </c>
      <c r="V102" s="40">
        <f>V101</f>
        <v>24431</v>
      </c>
      <c r="W102" s="22">
        <f>W101</f>
        <v>44</v>
      </c>
      <c r="X102" s="22">
        <f>X101</f>
        <v>1499</v>
      </c>
      <c r="Y102" s="23">
        <f>Y101</f>
        <v>0</v>
      </c>
      <c r="Z102" s="24">
        <f t="shared" si="253"/>
        <v>25974</v>
      </c>
      <c r="AA102" s="40">
        <f>AA101</f>
        <v>23360</v>
      </c>
      <c r="AB102" s="22">
        <f>AB101</f>
        <v>33</v>
      </c>
      <c r="AC102" s="22">
        <f>AC101</f>
        <v>1061</v>
      </c>
      <c r="AD102" s="23">
        <f>AD101</f>
        <v>0</v>
      </c>
      <c r="AE102" s="24">
        <f t="shared" si="254"/>
        <v>24454</v>
      </c>
      <c r="AF102" s="40">
        <f>AF101</f>
        <v>20845</v>
      </c>
      <c r="AG102" s="22">
        <f>AG101</f>
        <v>19</v>
      </c>
      <c r="AH102" s="22">
        <f>AH101</f>
        <v>286</v>
      </c>
      <c r="AI102" s="23">
        <f>AI101</f>
        <v>0</v>
      </c>
      <c r="AJ102" s="24">
        <f t="shared" si="255"/>
        <v>21150</v>
      </c>
      <c r="AK102" s="40">
        <f>AK101</f>
        <v>7410</v>
      </c>
      <c r="AL102" s="22">
        <f>AL101</f>
        <v>33</v>
      </c>
      <c r="AM102" s="22">
        <f>AM101</f>
        <v>128</v>
      </c>
      <c r="AN102" s="23">
        <f>AN101</f>
        <v>0</v>
      </c>
      <c r="AO102" s="24">
        <f t="shared" si="256"/>
        <v>7571</v>
      </c>
      <c r="AP102" s="40">
        <f>AP101</f>
        <v>11671</v>
      </c>
      <c r="AQ102" s="22">
        <f>AQ101</f>
        <v>17</v>
      </c>
      <c r="AR102" s="22">
        <f>AR101</f>
        <v>193</v>
      </c>
      <c r="AS102" s="23">
        <f>AS101</f>
        <v>0</v>
      </c>
      <c r="AT102" s="24">
        <f t="shared" si="257"/>
        <v>11881</v>
      </c>
      <c r="AU102" s="40">
        <f>AU101</f>
        <v>21934</v>
      </c>
      <c r="AV102" s="22">
        <f>AV101</f>
        <v>19</v>
      </c>
      <c r="AW102" s="22">
        <f>AW101</f>
        <v>523</v>
      </c>
      <c r="AX102" s="23">
        <f>AX101</f>
        <v>0</v>
      </c>
      <c r="AY102" s="24">
        <f t="shared" si="258"/>
        <v>22476</v>
      </c>
      <c r="AZ102" s="40">
        <f>AZ101</f>
        <v>39855</v>
      </c>
      <c r="BA102" s="22">
        <f>BA101</f>
        <v>43</v>
      </c>
      <c r="BB102" s="22">
        <f>BB101</f>
        <v>2057</v>
      </c>
      <c r="BC102" s="23">
        <f>BC101</f>
        <v>0</v>
      </c>
      <c r="BD102" s="24">
        <f t="shared" si="259"/>
        <v>41955</v>
      </c>
      <c r="BE102" s="40">
        <f>BE101</f>
        <v>7862</v>
      </c>
      <c r="BF102" s="22">
        <f>BF101</f>
        <v>29</v>
      </c>
      <c r="BG102" s="22">
        <f>BG101</f>
        <v>572</v>
      </c>
      <c r="BH102" s="23">
        <f>BH101</f>
        <v>0</v>
      </c>
      <c r="BI102" s="24">
        <f t="shared" si="260"/>
        <v>8463</v>
      </c>
      <c r="BJ102" s="40">
        <f>BJ101</f>
        <v>8202</v>
      </c>
      <c r="BK102" s="22">
        <f>BK101</f>
        <v>16</v>
      </c>
      <c r="BL102" s="22">
        <f>BL101</f>
        <v>132</v>
      </c>
      <c r="BM102" s="23">
        <f>BM101</f>
        <v>0</v>
      </c>
      <c r="BN102" s="24">
        <f t="shared" si="261"/>
        <v>8350</v>
      </c>
      <c r="BO102" s="68">
        <f>BO101</f>
        <v>207265</v>
      </c>
      <c r="BP102" s="22">
        <f>BP101</f>
        <v>280</v>
      </c>
      <c r="BQ102" s="22">
        <f>BQ101</f>
        <v>7005</v>
      </c>
      <c r="BR102" s="23">
        <f>BR101</f>
        <v>0</v>
      </c>
      <c r="BS102" s="41">
        <f t="shared" ref="BS102:BS133" si="294">SUM(BO102:BR102)</f>
        <v>214550</v>
      </c>
    </row>
    <row r="103" spans="2:71" x14ac:dyDescent="0.3">
      <c r="B103" s="269"/>
      <c r="C103" s="230" t="s">
        <v>201</v>
      </c>
      <c r="D103" s="233" t="s">
        <v>202</v>
      </c>
      <c r="E103" s="239" t="s">
        <v>153</v>
      </c>
      <c r="F103" s="121" t="s">
        <v>154</v>
      </c>
      <c r="G103" s="32">
        <v>201</v>
      </c>
      <c r="H103" s="13">
        <v>1</v>
      </c>
      <c r="I103" s="13">
        <v>31</v>
      </c>
      <c r="J103" s="14"/>
      <c r="K103" s="15">
        <f t="shared" ref="K103:K104" si="295">SUM(G103:J103)</f>
        <v>233</v>
      </c>
      <c r="L103" s="32"/>
      <c r="M103" s="152"/>
      <c r="N103" s="13"/>
      <c r="O103" s="14"/>
      <c r="P103" s="15">
        <f t="shared" ref="P103:P104" si="296">SUM(L103:O103)</f>
        <v>0</v>
      </c>
      <c r="Q103" s="32"/>
      <c r="R103" s="152"/>
      <c r="S103" s="13"/>
      <c r="T103" s="14"/>
      <c r="U103" s="15">
        <f t="shared" ref="U103:U104" si="297">SUM(Q103:T103)</f>
        <v>0</v>
      </c>
      <c r="V103" s="32">
        <v>316</v>
      </c>
      <c r="W103" s="13">
        <v>12</v>
      </c>
      <c r="X103" s="192">
        <f>134+3</f>
        <v>137</v>
      </c>
      <c r="Y103" s="14"/>
      <c r="Z103" s="15">
        <f t="shared" ref="Z103:Z104" si="298">SUM(V103:Y103)</f>
        <v>465</v>
      </c>
      <c r="AA103" s="32">
        <v>247</v>
      </c>
      <c r="AB103" s="13">
        <v>14</v>
      </c>
      <c r="AC103" s="13">
        <v>90</v>
      </c>
      <c r="AD103" s="14"/>
      <c r="AE103" s="15">
        <f t="shared" ref="AE103:AE104" si="299">SUM(AA103:AD103)</f>
        <v>351</v>
      </c>
      <c r="AF103" s="32">
        <v>318</v>
      </c>
      <c r="AG103" s="152">
        <v>4</v>
      </c>
      <c r="AH103" s="13">
        <v>81</v>
      </c>
      <c r="AI103" s="14"/>
      <c r="AJ103" s="15">
        <f t="shared" ref="AJ103:AJ104" si="300">SUM(AF103:AI103)</f>
        <v>403</v>
      </c>
      <c r="AK103" s="32">
        <v>109</v>
      </c>
      <c r="AL103" s="13">
        <v>4</v>
      </c>
      <c r="AM103" s="13">
        <v>25</v>
      </c>
      <c r="AN103" s="14"/>
      <c r="AO103" s="15">
        <f t="shared" ref="AO103:AO104" si="301">SUM(AK103:AN103)</f>
        <v>138</v>
      </c>
      <c r="AP103" s="32">
        <f>20</f>
        <v>20</v>
      </c>
      <c r="AQ103" s="13">
        <f>1</f>
        <v>1</v>
      </c>
      <c r="AR103" s="13">
        <f>10</f>
        <v>10</v>
      </c>
      <c r="AS103" s="14"/>
      <c r="AT103" s="15">
        <f t="shared" ref="AT103:AT104" si="302">SUM(AP103:AS103)</f>
        <v>31</v>
      </c>
      <c r="AU103" s="32"/>
      <c r="AV103" s="152"/>
      <c r="AW103" s="13"/>
      <c r="AX103" s="14"/>
      <c r="AY103" s="15">
        <f t="shared" ref="AY103:AY104" si="303">SUM(AU103:AX103)</f>
        <v>0</v>
      </c>
      <c r="AZ103" s="32">
        <v>417</v>
      </c>
      <c r="BA103" s="152">
        <v>5</v>
      </c>
      <c r="BB103" s="13">
        <v>135</v>
      </c>
      <c r="BC103" s="14"/>
      <c r="BD103" s="15">
        <f t="shared" ref="BD103:BD104" si="304">SUM(AZ103:BC103)</f>
        <v>557</v>
      </c>
      <c r="BE103" s="32">
        <v>166</v>
      </c>
      <c r="BF103" s="152">
        <v>3</v>
      </c>
      <c r="BG103" s="13">
        <v>29</v>
      </c>
      <c r="BH103" s="14"/>
      <c r="BI103" s="15">
        <f t="shared" ref="BI103:BI104" si="305">SUM(BE103:BH103)</f>
        <v>198</v>
      </c>
      <c r="BJ103" s="32">
        <v>221</v>
      </c>
      <c r="BK103" s="152">
        <v>5</v>
      </c>
      <c r="BL103" s="13">
        <v>43</v>
      </c>
      <c r="BM103" s="14"/>
      <c r="BN103" s="15">
        <f t="shared" ref="BN103:BN104" si="306">SUM(BJ103:BM103)</f>
        <v>269</v>
      </c>
      <c r="BO103" s="66">
        <f t="shared" ref="BO103:BR110" si="307">SUM(G103,L103,Q103,V103,AA103,AF103,AK103,AP103,AU103,AZ103,BE103,BJ103)</f>
        <v>2015</v>
      </c>
      <c r="BP103" s="13">
        <f t="shared" si="307"/>
        <v>49</v>
      </c>
      <c r="BQ103" s="13">
        <f t="shared" si="307"/>
        <v>581</v>
      </c>
      <c r="BR103" s="14">
        <f t="shared" si="307"/>
        <v>0</v>
      </c>
      <c r="BS103" s="33">
        <f t="shared" ref="BS103:BS104" si="308">SUM(BO103:BR103)</f>
        <v>2645</v>
      </c>
    </row>
    <row r="104" spans="2:71" x14ac:dyDescent="0.3">
      <c r="B104" s="269"/>
      <c r="C104" s="230"/>
      <c r="D104" s="233"/>
      <c r="E104" s="239"/>
      <c r="F104" s="121" t="s">
        <v>155</v>
      </c>
      <c r="G104" s="32">
        <v>18</v>
      </c>
      <c r="H104" s="13">
        <v>1</v>
      </c>
      <c r="I104" s="13">
        <v>2</v>
      </c>
      <c r="J104" s="14"/>
      <c r="K104" s="15">
        <f t="shared" si="295"/>
        <v>21</v>
      </c>
      <c r="L104" s="32"/>
      <c r="M104" s="13"/>
      <c r="N104" s="13"/>
      <c r="O104" s="14"/>
      <c r="P104" s="15">
        <f t="shared" si="296"/>
        <v>0</v>
      </c>
      <c r="Q104" s="32"/>
      <c r="R104" s="13"/>
      <c r="S104" s="13"/>
      <c r="T104" s="14"/>
      <c r="U104" s="15">
        <f t="shared" si="297"/>
        <v>0</v>
      </c>
      <c r="V104" s="32">
        <v>93</v>
      </c>
      <c r="W104" s="13">
        <v>2</v>
      </c>
      <c r="X104" s="13">
        <v>48</v>
      </c>
      <c r="Y104" s="14"/>
      <c r="Z104" s="15">
        <f t="shared" si="298"/>
        <v>143</v>
      </c>
      <c r="AA104" s="32">
        <v>57</v>
      </c>
      <c r="AB104" s="13">
        <v>1</v>
      </c>
      <c r="AC104" s="13">
        <v>27</v>
      </c>
      <c r="AD104" s="14"/>
      <c r="AE104" s="15">
        <f t="shared" si="299"/>
        <v>85</v>
      </c>
      <c r="AF104" s="32">
        <v>119</v>
      </c>
      <c r="AG104" s="13">
        <v>2</v>
      </c>
      <c r="AH104" s="13">
        <v>38</v>
      </c>
      <c r="AI104" s="14"/>
      <c r="AJ104" s="15">
        <f t="shared" si="300"/>
        <v>159</v>
      </c>
      <c r="AK104" s="32">
        <v>31</v>
      </c>
      <c r="AL104" s="13">
        <v>2</v>
      </c>
      <c r="AM104" s="13">
        <v>12</v>
      </c>
      <c r="AN104" s="14"/>
      <c r="AO104" s="15">
        <f t="shared" si="301"/>
        <v>45</v>
      </c>
      <c r="AP104" s="32">
        <f>10</f>
        <v>10</v>
      </c>
      <c r="AQ104" s="13"/>
      <c r="AR104" s="13">
        <f>9</f>
        <v>9</v>
      </c>
      <c r="AS104" s="14"/>
      <c r="AT104" s="15">
        <f t="shared" si="302"/>
        <v>19</v>
      </c>
      <c r="AU104" s="32"/>
      <c r="AV104" s="13"/>
      <c r="AW104" s="13"/>
      <c r="AX104" s="14"/>
      <c r="AY104" s="15">
        <f t="shared" si="303"/>
        <v>0</v>
      </c>
      <c r="AZ104" s="32">
        <v>111</v>
      </c>
      <c r="BA104" s="13">
        <v>2</v>
      </c>
      <c r="BB104" s="13">
        <v>66</v>
      </c>
      <c r="BC104" s="14"/>
      <c r="BD104" s="15">
        <f t="shared" si="304"/>
        <v>179</v>
      </c>
      <c r="BE104" s="32">
        <v>68</v>
      </c>
      <c r="BF104" s="13">
        <v>3</v>
      </c>
      <c r="BG104" s="13">
        <v>7</v>
      </c>
      <c r="BH104" s="14"/>
      <c r="BI104" s="15">
        <f t="shared" si="305"/>
        <v>78</v>
      </c>
      <c r="BJ104" s="32">
        <v>58</v>
      </c>
      <c r="BK104" s="13"/>
      <c r="BL104" s="13">
        <v>9</v>
      </c>
      <c r="BM104" s="14"/>
      <c r="BN104" s="15">
        <f t="shared" si="306"/>
        <v>67</v>
      </c>
      <c r="BO104" s="66">
        <f t="shared" si="307"/>
        <v>565</v>
      </c>
      <c r="BP104" s="13">
        <f t="shared" si="307"/>
        <v>13</v>
      </c>
      <c r="BQ104" s="13">
        <f t="shared" si="307"/>
        <v>218</v>
      </c>
      <c r="BR104" s="14">
        <f t="shared" si="307"/>
        <v>0</v>
      </c>
      <c r="BS104" s="33">
        <f t="shared" si="308"/>
        <v>796</v>
      </c>
    </row>
    <row r="105" spans="2:71" x14ac:dyDescent="0.3">
      <c r="B105" s="269"/>
      <c r="C105" s="230"/>
      <c r="D105" s="233"/>
      <c r="E105" s="239"/>
      <c r="F105" s="121" t="s">
        <v>156</v>
      </c>
      <c r="G105" s="32">
        <v>19</v>
      </c>
      <c r="H105" s="13"/>
      <c r="I105" s="13">
        <v>9</v>
      </c>
      <c r="J105" s="14"/>
      <c r="K105" s="15">
        <f t="shared" ref="K105:K106" si="309">SUM(G105:J105)</f>
        <v>28</v>
      </c>
      <c r="L105" s="32"/>
      <c r="M105" s="13"/>
      <c r="N105" s="13"/>
      <c r="O105" s="14"/>
      <c r="P105" s="15">
        <f t="shared" ref="P105:P106" si="310">SUM(L105:O105)</f>
        <v>0</v>
      </c>
      <c r="Q105" s="32"/>
      <c r="R105" s="13"/>
      <c r="S105" s="13"/>
      <c r="T105" s="14"/>
      <c r="U105" s="15">
        <f t="shared" ref="U105:U106" si="311">SUM(Q105:T105)</f>
        <v>0</v>
      </c>
      <c r="V105" s="32">
        <v>23</v>
      </c>
      <c r="W105" s="13">
        <v>5</v>
      </c>
      <c r="X105" s="13">
        <v>28</v>
      </c>
      <c r="Y105" s="14"/>
      <c r="Z105" s="15">
        <f t="shared" ref="Z105:Z106" si="312">SUM(V105:Y105)</f>
        <v>56</v>
      </c>
      <c r="AA105" s="32">
        <v>19</v>
      </c>
      <c r="AB105" s="13">
        <v>3</v>
      </c>
      <c r="AC105" s="13">
        <v>32</v>
      </c>
      <c r="AD105" s="14"/>
      <c r="AE105" s="15">
        <f t="shared" ref="AE105:AE106" si="313">SUM(AA105:AD105)</f>
        <v>54</v>
      </c>
      <c r="AF105" s="32">
        <v>20</v>
      </c>
      <c r="AG105" s="13">
        <v>3</v>
      </c>
      <c r="AH105" s="13">
        <v>22</v>
      </c>
      <c r="AI105" s="14"/>
      <c r="AJ105" s="15">
        <f t="shared" ref="AJ105:AJ106" si="314">SUM(AF105:AI105)</f>
        <v>45</v>
      </c>
      <c r="AK105" s="193">
        <v>13</v>
      </c>
      <c r="AL105" s="13">
        <v>2</v>
      </c>
      <c r="AM105" s="13">
        <v>9</v>
      </c>
      <c r="AN105" s="14"/>
      <c r="AO105" s="15">
        <f t="shared" ref="AO105:AO106" si="315">SUM(AK105:AN105)</f>
        <v>24</v>
      </c>
      <c r="AP105" s="32"/>
      <c r="AQ105" s="13"/>
      <c r="AR105" s="13">
        <f>1</f>
        <v>1</v>
      </c>
      <c r="AS105" s="14"/>
      <c r="AT105" s="15">
        <f t="shared" ref="AT105:AT106" si="316">SUM(AP105:AS105)</f>
        <v>1</v>
      </c>
      <c r="AU105" s="32"/>
      <c r="AV105" s="13"/>
      <c r="AW105" s="13"/>
      <c r="AX105" s="14"/>
      <c r="AY105" s="15">
        <f t="shared" ref="AY105:AY106" si="317">SUM(AU105:AX105)</f>
        <v>0</v>
      </c>
      <c r="AZ105" s="32">
        <v>27</v>
      </c>
      <c r="BA105" s="13">
        <v>2</v>
      </c>
      <c r="BB105" s="13">
        <v>27</v>
      </c>
      <c r="BC105" s="14"/>
      <c r="BD105" s="15">
        <f t="shared" ref="BD105:BD106" si="318">SUM(AZ105:BC105)</f>
        <v>56</v>
      </c>
      <c r="BE105" s="32">
        <v>5</v>
      </c>
      <c r="BF105" s="13">
        <v>1</v>
      </c>
      <c r="BG105" s="13">
        <v>8</v>
      </c>
      <c r="BH105" s="14"/>
      <c r="BI105" s="15">
        <f t="shared" ref="BI105:BI106" si="319">SUM(BE105:BH105)</f>
        <v>14</v>
      </c>
      <c r="BJ105" s="32">
        <v>22</v>
      </c>
      <c r="BK105" s="13">
        <v>1</v>
      </c>
      <c r="BL105" s="13">
        <v>11</v>
      </c>
      <c r="BM105" s="14"/>
      <c r="BN105" s="15">
        <f t="shared" ref="BN105:BN106" si="320">SUM(BJ105:BM105)</f>
        <v>34</v>
      </c>
      <c r="BO105" s="66">
        <f t="shared" si="307"/>
        <v>148</v>
      </c>
      <c r="BP105" s="13">
        <f t="shared" si="307"/>
        <v>17</v>
      </c>
      <c r="BQ105" s="13">
        <f t="shared" si="307"/>
        <v>147</v>
      </c>
      <c r="BR105" s="14">
        <f t="shared" si="307"/>
        <v>0</v>
      </c>
      <c r="BS105" s="33">
        <f t="shared" ref="BS105:BS106" si="321">SUM(BO105:BR105)</f>
        <v>312</v>
      </c>
    </row>
    <row r="106" spans="2:71" x14ac:dyDescent="0.3">
      <c r="B106" s="269"/>
      <c r="C106" s="230"/>
      <c r="D106" s="233"/>
      <c r="E106" s="239"/>
      <c r="F106" s="121" t="s">
        <v>157</v>
      </c>
      <c r="G106" s="32">
        <v>3</v>
      </c>
      <c r="H106" s="13"/>
      <c r="I106" s="13"/>
      <c r="J106" s="14"/>
      <c r="K106" s="15">
        <f t="shared" si="309"/>
        <v>3</v>
      </c>
      <c r="L106" s="32"/>
      <c r="M106" s="13"/>
      <c r="N106" s="13"/>
      <c r="O106" s="14"/>
      <c r="P106" s="15">
        <f t="shared" si="310"/>
        <v>0</v>
      </c>
      <c r="Q106" s="32"/>
      <c r="R106" s="13"/>
      <c r="S106" s="13"/>
      <c r="T106" s="14"/>
      <c r="U106" s="15">
        <f t="shared" si="311"/>
        <v>0</v>
      </c>
      <c r="V106" s="32">
        <v>10</v>
      </c>
      <c r="W106" s="13"/>
      <c r="X106" s="13">
        <v>9</v>
      </c>
      <c r="Y106" s="14"/>
      <c r="Z106" s="15">
        <f t="shared" si="312"/>
        <v>19</v>
      </c>
      <c r="AA106" s="32">
        <v>3</v>
      </c>
      <c r="AB106" s="13">
        <v>2</v>
      </c>
      <c r="AC106" s="13">
        <v>7</v>
      </c>
      <c r="AD106" s="14"/>
      <c r="AE106" s="15">
        <f t="shared" si="313"/>
        <v>12</v>
      </c>
      <c r="AF106" s="32">
        <v>7</v>
      </c>
      <c r="AG106" s="13"/>
      <c r="AH106" s="13">
        <v>18</v>
      </c>
      <c r="AI106" s="14"/>
      <c r="AJ106" s="15">
        <f t="shared" si="314"/>
        <v>25</v>
      </c>
      <c r="AK106" s="32">
        <v>6</v>
      </c>
      <c r="AL106" s="13"/>
      <c r="AM106" s="13">
        <v>3</v>
      </c>
      <c r="AN106" s="14"/>
      <c r="AO106" s="15">
        <f t="shared" si="315"/>
        <v>9</v>
      </c>
      <c r="AP106" s="32">
        <f>1</f>
        <v>1</v>
      </c>
      <c r="AQ106" s="13"/>
      <c r="AR106" s="13">
        <f>1</f>
        <v>1</v>
      </c>
      <c r="AS106" s="14"/>
      <c r="AT106" s="15">
        <f t="shared" si="316"/>
        <v>2</v>
      </c>
      <c r="AU106" s="32"/>
      <c r="AV106" s="13"/>
      <c r="AW106" s="13"/>
      <c r="AX106" s="14"/>
      <c r="AY106" s="15">
        <f t="shared" si="317"/>
        <v>0</v>
      </c>
      <c r="AZ106" s="32">
        <v>7</v>
      </c>
      <c r="BA106" s="13"/>
      <c r="BB106" s="13">
        <v>14</v>
      </c>
      <c r="BC106" s="14"/>
      <c r="BD106" s="15">
        <f t="shared" si="318"/>
        <v>21</v>
      </c>
      <c r="BE106" s="32">
        <v>7</v>
      </c>
      <c r="BF106" s="13"/>
      <c r="BG106" s="13">
        <v>4</v>
      </c>
      <c r="BH106" s="14"/>
      <c r="BI106" s="15">
        <f t="shared" si="319"/>
        <v>11</v>
      </c>
      <c r="BJ106" s="32">
        <v>5</v>
      </c>
      <c r="BK106" s="13"/>
      <c r="BL106" s="13">
        <v>1</v>
      </c>
      <c r="BM106" s="14"/>
      <c r="BN106" s="15">
        <f t="shared" si="320"/>
        <v>6</v>
      </c>
      <c r="BO106" s="66">
        <f t="shared" si="307"/>
        <v>49</v>
      </c>
      <c r="BP106" s="13">
        <f t="shared" si="307"/>
        <v>2</v>
      </c>
      <c r="BQ106" s="13">
        <f t="shared" si="307"/>
        <v>57</v>
      </c>
      <c r="BR106" s="14">
        <f t="shared" si="307"/>
        <v>0</v>
      </c>
      <c r="BS106" s="33">
        <f t="shared" si="321"/>
        <v>108</v>
      </c>
    </row>
    <row r="107" spans="2:71" x14ac:dyDescent="0.3">
      <c r="B107" s="269"/>
      <c r="C107" s="230"/>
      <c r="D107" s="233"/>
      <c r="E107" s="239"/>
      <c r="F107" s="121" t="s">
        <v>203</v>
      </c>
      <c r="G107" s="32"/>
      <c r="H107" s="13"/>
      <c r="I107" s="13"/>
      <c r="J107" s="14"/>
      <c r="K107" s="15">
        <f t="shared" ref="K107:K108" si="322">SUM(G107:J107)</f>
        <v>0</v>
      </c>
      <c r="L107" s="32">
        <f>801+18</f>
        <v>819</v>
      </c>
      <c r="M107" s="13">
        <f>10+2</f>
        <v>12</v>
      </c>
      <c r="N107" s="13">
        <f>269+7</f>
        <v>276</v>
      </c>
      <c r="O107" s="14"/>
      <c r="P107" s="15">
        <f t="shared" ref="P107:P108" si="323">SUM(L107:O107)</f>
        <v>1107</v>
      </c>
      <c r="Q107" s="32">
        <v>988</v>
      </c>
      <c r="R107" s="13">
        <v>4</v>
      </c>
      <c r="S107" s="13">
        <v>275</v>
      </c>
      <c r="T107" s="14"/>
      <c r="U107" s="15">
        <f t="shared" ref="U107:U108" si="324">SUM(Q107:T107)</f>
        <v>1267</v>
      </c>
      <c r="V107" s="32"/>
      <c r="W107" s="13"/>
      <c r="X107" s="13"/>
      <c r="Y107" s="14"/>
      <c r="Z107" s="15">
        <f t="shared" ref="Z107:Z108" si="325">SUM(V107:Y107)</f>
        <v>0</v>
      </c>
      <c r="AA107" s="32"/>
      <c r="AB107" s="13"/>
      <c r="AC107" s="13"/>
      <c r="AD107" s="14"/>
      <c r="AE107" s="15">
        <f t="shared" ref="AE107:AE108" si="326">SUM(AA107:AD107)</f>
        <v>0</v>
      </c>
      <c r="AF107" s="32"/>
      <c r="AG107" s="13"/>
      <c r="AH107" s="13"/>
      <c r="AI107" s="14"/>
      <c r="AJ107" s="15">
        <f t="shared" ref="AJ107:AJ108" si="327">SUM(AF107:AI107)</f>
        <v>0</v>
      </c>
      <c r="AK107" s="32"/>
      <c r="AL107" s="13"/>
      <c r="AM107" s="13"/>
      <c r="AN107" s="14"/>
      <c r="AO107" s="15">
        <f t="shared" ref="AO107:AO108" si="328">SUM(AK107:AN107)</f>
        <v>0</v>
      </c>
      <c r="AP107" s="32">
        <f>359+7</f>
        <v>366</v>
      </c>
      <c r="AQ107" s="13">
        <f>1</f>
        <v>1</v>
      </c>
      <c r="AR107" s="13">
        <f>141+2</f>
        <v>143</v>
      </c>
      <c r="AS107" s="14"/>
      <c r="AT107" s="15">
        <f t="shared" ref="AT107:AT108" si="329">SUM(AP107:AS107)</f>
        <v>510</v>
      </c>
      <c r="AU107" s="32">
        <v>953</v>
      </c>
      <c r="AV107" s="13">
        <v>16</v>
      </c>
      <c r="AW107" s="13">
        <v>373</v>
      </c>
      <c r="AX107" s="14"/>
      <c r="AY107" s="15">
        <f t="shared" ref="AY107:AY108" si="330">SUM(AU107:AX107)</f>
        <v>1342</v>
      </c>
      <c r="AZ107" s="32">
        <v>77</v>
      </c>
      <c r="BA107" s="13">
        <v>5</v>
      </c>
      <c r="BB107" s="13">
        <v>56</v>
      </c>
      <c r="BC107" s="14"/>
      <c r="BD107" s="15">
        <f t="shared" ref="BD107:BD108" si="331">SUM(AZ107:BC107)</f>
        <v>138</v>
      </c>
      <c r="BE107" s="32"/>
      <c r="BF107" s="13"/>
      <c r="BG107" s="13"/>
      <c r="BH107" s="14"/>
      <c r="BI107" s="15">
        <f t="shared" ref="BI107:BI108" si="332">SUM(BE107:BH107)</f>
        <v>0</v>
      </c>
      <c r="BJ107" s="32">
        <v>45</v>
      </c>
      <c r="BK107" s="13"/>
      <c r="BL107" s="13">
        <v>5</v>
      </c>
      <c r="BM107" s="14"/>
      <c r="BN107" s="15">
        <f t="shared" ref="BN107:BN108" si="333">SUM(BJ107:BM107)</f>
        <v>50</v>
      </c>
      <c r="BO107" s="66">
        <f t="shared" si="307"/>
        <v>3248</v>
      </c>
      <c r="BP107" s="13">
        <f t="shared" si="307"/>
        <v>38</v>
      </c>
      <c r="BQ107" s="13">
        <f t="shared" si="307"/>
        <v>1128</v>
      </c>
      <c r="BR107" s="14">
        <f t="shared" si="307"/>
        <v>0</v>
      </c>
      <c r="BS107" s="33">
        <f t="shared" ref="BS107:BS108" si="334">SUM(BO107:BR107)</f>
        <v>4414</v>
      </c>
    </row>
    <row r="108" spans="2:71" x14ac:dyDescent="0.3">
      <c r="B108" s="269"/>
      <c r="C108" s="230"/>
      <c r="D108" s="233"/>
      <c r="E108" s="239"/>
      <c r="F108" s="121" t="s">
        <v>204</v>
      </c>
      <c r="G108" s="32"/>
      <c r="H108" s="13"/>
      <c r="I108" s="13"/>
      <c r="J108" s="14"/>
      <c r="K108" s="15">
        <f t="shared" si="322"/>
        <v>0</v>
      </c>
      <c r="L108" s="32">
        <f>81</f>
        <v>81</v>
      </c>
      <c r="M108" s="13"/>
      <c r="N108" s="13">
        <f>23</f>
        <v>23</v>
      </c>
      <c r="O108" s="14"/>
      <c r="P108" s="15">
        <f t="shared" si="323"/>
        <v>104</v>
      </c>
      <c r="Q108" s="32">
        <v>194</v>
      </c>
      <c r="R108" s="13">
        <v>6</v>
      </c>
      <c r="S108" s="13">
        <v>71</v>
      </c>
      <c r="T108" s="14"/>
      <c r="U108" s="15">
        <f t="shared" si="324"/>
        <v>271</v>
      </c>
      <c r="V108" s="32"/>
      <c r="W108" s="13"/>
      <c r="X108" s="13"/>
      <c r="Y108" s="14"/>
      <c r="Z108" s="15">
        <f t="shared" si="325"/>
        <v>0</v>
      </c>
      <c r="AA108" s="32"/>
      <c r="AB108" s="13"/>
      <c r="AC108" s="13"/>
      <c r="AD108" s="14"/>
      <c r="AE108" s="15">
        <f t="shared" si="326"/>
        <v>0</v>
      </c>
      <c r="AF108" s="32"/>
      <c r="AG108" s="13"/>
      <c r="AH108" s="13"/>
      <c r="AI108" s="14"/>
      <c r="AJ108" s="15">
        <f t="shared" si="327"/>
        <v>0</v>
      </c>
      <c r="AK108" s="32"/>
      <c r="AL108" s="13"/>
      <c r="AM108" s="13"/>
      <c r="AN108" s="14"/>
      <c r="AO108" s="15">
        <f t="shared" si="328"/>
        <v>0</v>
      </c>
      <c r="AP108" s="32">
        <f>239+3</f>
        <v>242</v>
      </c>
      <c r="AQ108" s="13">
        <f>11</f>
        <v>11</v>
      </c>
      <c r="AR108" s="13">
        <f>108+1</f>
        <v>109</v>
      </c>
      <c r="AS108" s="14"/>
      <c r="AT108" s="15">
        <f t="shared" si="329"/>
        <v>362</v>
      </c>
      <c r="AU108" s="32">
        <v>329</v>
      </c>
      <c r="AV108" s="13">
        <v>15</v>
      </c>
      <c r="AW108" s="13">
        <v>161</v>
      </c>
      <c r="AX108" s="14"/>
      <c r="AY108" s="15">
        <f t="shared" si="330"/>
        <v>505</v>
      </c>
      <c r="AZ108" s="32">
        <v>40</v>
      </c>
      <c r="BA108" s="13">
        <v>1</v>
      </c>
      <c r="BB108" s="13">
        <v>24</v>
      </c>
      <c r="BC108" s="14"/>
      <c r="BD108" s="15">
        <f t="shared" si="331"/>
        <v>65</v>
      </c>
      <c r="BE108" s="32"/>
      <c r="BF108" s="13"/>
      <c r="BG108" s="13"/>
      <c r="BH108" s="14"/>
      <c r="BI108" s="15">
        <f t="shared" si="332"/>
        <v>0</v>
      </c>
      <c r="BJ108" s="32">
        <v>10</v>
      </c>
      <c r="BK108" s="13"/>
      <c r="BL108" s="13">
        <v>2</v>
      </c>
      <c r="BM108" s="14"/>
      <c r="BN108" s="15">
        <f t="shared" si="333"/>
        <v>12</v>
      </c>
      <c r="BO108" s="66">
        <f t="shared" si="307"/>
        <v>896</v>
      </c>
      <c r="BP108" s="13">
        <f t="shared" si="307"/>
        <v>33</v>
      </c>
      <c r="BQ108" s="13">
        <f t="shared" si="307"/>
        <v>390</v>
      </c>
      <c r="BR108" s="14">
        <f t="shared" si="307"/>
        <v>0</v>
      </c>
      <c r="BS108" s="33">
        <f t="shared" si="334"/>
        <v>1319</v>
      </c>
    </row>
    <row r="109" spans="2:71" x14ac:dyDescent="0.3">
      <c r="B109" s="269"/>
      <c r="C109" s="230"/>
      <c r="D109" s="233"/>
      <c r="E109" s="239"/>
      <c r="F109" s="121" t="s">
        <v>205</v>
      </c>
      <c r="G109" s="32"/>
      <c r="H109" s="13"/>
      <c r="I109" s="13"/>
      <c r="J109" s="14"/>
      <c r="K109" s="15">
        <f t="shared" ref="K109" si="335">SUM(G109:J109)</f>
        <v>0</v>
      </c>
      <c r="L109" s="32">
        <f>119+1</f>
        <v>120</v>
      </c>
      <c r="M109" s="13">
        <f>1+1</f>
        <v>2</v>
      </c>
      <c r="N109" s="13">
        <f>114+3</f>
        <v>117</v>
      </c>
      <c r="O109" s="14"/>
      <c r="P109" s="15">
        <f t="shared" ref="P109" si="336">SUM(L109:O109)</f>
        <v>239</v>
      </c>
      <c r="Q109" s="32">
        <v>108</v>
      </c>
      <c r="R109" s="13">
        <v>1</v>
      </c>
      <c r="S109" s="13">
        <v>134</v>
      </c>
      <c r="T109" s="14"/>
      <c r="U109" s="15">
        <f t="shared" ref="U109" si="337">SUM(Q109:T109)</f>
        <v>243</v>
      </c>
      <c r="V109" s="32"/>
      <c r="W109" s="13"/>
      <c r="X109" s="13"/>
      <c r="Y109" s="14"/>
      <c r="Z109" s="15">
        <f t="shared" ref="Z109" si="338">SUM(V109:Y109)</f>
        <v>0</v>
      </c>
      <c r="AA109" s="32"/>
      <c r="AB109" s="13"/>
      <c r="AC109" s="13"/>
      <c r="AD109" s="14"/>
      <c r="AE109" s="15">
        <f t="shared" ref="AE109" si="339">SUM(AA109:AD109)</f>
        <v>0</v>
      </c>
      <c r="AF109" s="32"/>
      <c r="AG109" s="13"/>
      <c r="AH109" s="13"/>
      <c r="AI109" s="14"/>
      <c r="AJ109" s="15">
        <f t="shared" ref="AJ109" si="340">SUM(AF109:AI109)</f>
        <v>0</v>
      </c>
      <c r="AK109" s="32"/>
      <c r="AL109" s="13"/>
      <c r="AM109" s="13"/>
      <c r="AN109" s="14"/>
      <c r="AO109" s="15">
        <f t="shared" ref="AO109" si="341">SUM(AK109:AN109)</f>
        <v>0</v>
      </c>
      <c r="AP109" s="32">
        <f>38+1</f>
        <v>39</v>
      </c>
      <c r="AQ109" s="13">
        <f>1</f>
        <v>1</v>
      </c>
      <c r="AR109" s="13">
        <f>30</f>
        <v>30</v>
      </c>
      <c r="AS109" s="14"/>
      <c r="AT109" s="15">
        <f t="shared" ref="AT109" si="342">SUM(AP109:AS109)</f>
        <v>70</v>
      </c>
      <c r="AU109" s="32">
        <v>79</v>
      </c>
      <c r="AV109" s="13">
        <v>8</v>
      </c>
      <c r="AW109" s="13">
        <v>133</v>
      </c>
      <c r="AX109" s="14"/>
      <c r="AY109" s="15">
        <f t="shared" ref="AY109" si="343">SUM(AU109:AX109)</f>
        <v>220</v>
      </c>
      <c r="AZ109" s="32">
        <v>7</v>
      </c>
      <c r="BA109" s="13">
        <v>1</v>
      </c>
      <c r="BB109" s="13">
        <v>23</v>
      </c>
      <c r="BC109" s="14"/>
      <c r="BD109" s="15">
        <f t="shared" ref="BD109" si="344">SUM(AZ109:BC109)</f>
        <v>31</v>
      </c>
      <c r="BE109" s="32"/>
      <c r="BF109" s="13"/>
      <c r="BG109" s="13"/>
      <c r="BH109" s="14"/>
      <c r="BI109" s="15">
        <f t="shared" ref="BI109" si="345">SUM(BE109:BH109)</f>
        <v>0</v>
      </c>
      <c r="BJ109" s="32">
        <v>8</v>
      </c>
      <c r="BK109" s="13"/>
      <c r="BL109" s="13">
        <v>6</v>
      </c>
      <c r="BM109" s="14"/>
      <c r="BN109" s="15">
        <f t="shared" ref="BN109" si="346">SUM(BJ109:BM109)</f>
        <v>14</v>
      </c>
      <c r="BO109" s="66">
        <f t="shared" si="307"/>
        <v>361</v>
      </c>
      <c r="BP109" s="13">
        <f t="shared" si="307"/>
        <v>13</v>
      </c>
      <c r="BQ109" s="13">
        <f t="shared" si="307"/>
        <v>443</v>
      </c>
      <c r="BR109" s="14">
        <f t="shared" si="307"/>
        <v>0</v>
      </c>
      <c r="BS109" s="33">
        <f t="shared" ref="BS109" si="347">SUM(BO109:BR109)</f>
        <v>817</v>
      </c>
    </row>
    <row r="110" spans="2:71" x14ac:dyDescent="0.3">
      <c r="B110" s="269"/>
      <c r="C110" s="230"/>
      <c r="D110" s="233"/>
      <c r="E110" s="239"/>
      <c r="F110" s="122" t="s">
        <v>206</v>
      </c>
      <c r="G110" s="135"/>
      <c r="H110" s="136"/>
      <c r="I110" s="136"/>
      <c r="J110" s="137"/>
      <c r="K110" s="138">
        <f t="shared" ref="K110" si="348">SUM(G110:J110)</f>
        <v>0</v>
      </c>
      <c r="L110" s="135">
        <f>13</f>
        <v>13</v>
      </c>
      <c r="M110" s="136"/>
      <c r="N110" s="136">
        <f>17</f>
        <v>17</v>
      </c>
      <c r="O110" s="137"/>
      <c r="P110" s="138">
        <f t="shared" ref="P110" si="349">SUM(L110:O110)</f>
        <v>30</v>
      </c>
      <c r="Q110" s="135">
        <v>29</v>
      </c>
      <c r="R110" s="136"/>
      <c r="S110" s="136">
        <v>39</v>
      </c>
      <c r="T110" s="137"/>
      <c r="U110" s="138">
        <f t="shared" ref="U110" si="350">SUM(Q110:T110)</f>
        <v>68</v>
      </c>
      <c r="V110" s="135"/>
      <c r="W110" s="136"/>
      <c r="X110" s="136"/>
      <c r="Y110" s="137"/>
      <c r="Z110" s="138">
        <f t="shared" ref="Z110" si="351">SUM(V110:Y110)</f>
        <v>0</v>
      </c>
      <c r="AA110" s="135"/>
      <c r="AB110" s="136"/>
      <c r="AC110" s="136"/>
      <c r="AD110" s="137"/>
      <c r="AE110" s="138">
        <f t="shared" ref="AE110" si="352">SUM(AA110:AD110)</f>
        <v>0</v>
      </c>
      <c r="AF110" s="135"/>
      <c r="AG110" s="136"/>
      <c r="AH110" s="136"/>
      <c r="AI110" s="137"/>
      <c r="AJ110" s="138">
        <f t="shared" ref="AJ110" si="353">SUM(AF110:AI110)</f>
        <v>0</v>
      </c>
      <c r="AK110" s="135"/>
      <c r="AL110" s="136"/>
      <c r="AM110" s="136"/>
      <c r="AN110" s="137"/>
      <c r="AO110" s="138">
        <f t="shared" ref="AO110" si="354">SUM(AK110:AN110)</f>
        <v>0</v>
      </c>
      <c r="AP110" s="135">
        <f>35+1</f>
        <v>36</v>
      </c>
      <c r="AQ110" s="136"/>
      <c r="AR110" s="136">
        <f>63</f>
        <v>63</v>
      </c>
      <c r="AS110" s="137"/>
      <c r="AT110" s="138">
        <f t="shared" ref="AT110" si="355">SUM(AP110:AS110)</f>
        <v>99</v>
      </c>
      <c r="AU110" s="135">
        <v>27</v>
      </c>
      <c r="AV110" s="136">
        <v>1</v>
      </c>
      <c r="AW110" s="136">
        <v>91</v>
      </c>
      <c r="AX110" s="137"/>
      <c r="AY110" s="138">
        <f t="shared" ref="AY110" si="356">SUM(AU110:AX110)</f>
        <v>119</v>
      </c>
      <c r="AZ110" s="135">
        <v>3</v>
      </c>
      <c r="BA110" s="136"/>
      <c r="BB110" s="136">
        <v>4</v>
      </c>
      <c r="BC110" s="137"/>
      <c r="BD110" s="138">
        <f t="shared" ref="BD110" si="357">SUM(AZ110:BC110)</f>
        <v>7</v>
      </c>
      <c r="BE110" s="135"/>
      <c r="BF110" s="136"/>
      <c r="BG110" s="136"/>
      <c r="BH110" s="137"/>
      <c r="BI110" s="138">
        <f t="shared" ref="BI110" si="358">SUM(BE110:BH110)</f>
        <v>0</v>
      </c>
      <c r="BJ110" s="135">
        <v>1</v>
      </c>
      <c r="BK110" s="136"/>
      <c r="BL110" s="136">
        <v>1</v>
      </c>
      <c r="BM110" s="137"/>
      <c r="BN110" s="138">
        <f t="shared" ref="BN110" si="359">SUM(BJ110:BM110)</f>
        <v>2</v>
      </c>
      <c r="BO110" s="140">
        <f t="shared" si="307"/>
        <v>109</v>
      </c>
      <c r="BP110" s="136">
        <f t="shared" si="307"/>
        <v>1</v>
      </c>
      <c r="BQ110" s="136">
        <f t="shared" si="307"/>
        <v>215</v>
      </c>
      <c r="BR110" s="137">
        <f t="shared" si="307"/>
        <v>0</v>
      </c>
      <c r="BS110" s="139">
        <f t="shared" ref="BS110" si="360">SUM(BO110:BR110)</f>
        <v>325</v>
      </c>
    </row>
    <row r="111" spans="2:71" x14ac:dyDescent="0.3">
      <c r="B111" s="269"/>
      <c r="C111" s="230"/>
      <c r="D111" s="233"/>
      <c r="E111" s="240"/>
      <c r="F111" s="125" t="s">
        <v>55</v>
      </c>
      <c r="G111" s="126">
        <f>SUM(G103:G110)</f>
        <v>241</v>
      </c>
      <c r="H111" s="127">
        <f>SUM(H103:H110)</f>
        <v>2</v>
      </c>
      <c r="I111" s="127">
        <f>SUM(I103:I110)</f>
        <v>42</v>
      </c>
      <c r="J111" s="128">
        <f>SUM(J103:J110)</f>
        <v>0</v>
      </c>
      <c r="K111" s="129">
        <f t="shared" si="293"/>
        <v>285</v>
      </c>
      <c r="L111" s="126">
        <f>SUM(L103:L110)</f>
        <v>1033</v>
      </c>
      <c r="M111" s="127">
        <f>SUM(M103:M110)</f>
        <v>14</v>
      </c>
      <c r="N111" s="127">
        <f>SUM(N103:N110)</f>
        <v>433</v>
      </c>
      <c r="O111" s="128">
        <f>SUM(O103:O110)</f>
        <v>0</v>
      </c>
      <c r="P111" s="129">
        <f t="shared" ref="P111:P126" si="361">SUM(L111:O111)</f>
        <v>1480</v>
      </c>
      <c r="Q111" s="126">
        <f>SUM(Q103:Q110)</f>
        <v>1319</v>
      </c>
      <c r="R111" s="127">
        <f>SUM(R103:R110)</f>
        <v>11</v>
      </c>
      <c r="S111" s="127">
        <f>SUM(S103:S110)</f>
        <v>519</v>
      </c>
      <c r="T111" s="128">
        <f>SUM(T103:T110)</f>
        <v>0</v>
      </c>
      <c r="U111" s="129">
        <f t="shared" ref="U111:U126" si="362">SUM(Q111:T111)</f>
        <v>1849</v>
      </c>
      <c r="V111" s="126">
        <f>SUM(V103:V110)</f>
        <v>442</v>
      </c>
      <c r="W111" s="127">
        <f>SUM(W103:W110)</f>
        <v>19</v>
      </c>
      <c r="X111" s="127">
        <f>SUM(X103:X110)</f>
        <v>222</v>
      </c>
      <c r="Y111" s="128">
        <f>SUM(Y103:Y110)</f>
        <v>0</v>
      </c>
      <c r="Z111" s="129">
        <f t="shared" ref="Z111:Z126" si="363">SUM(V111:Y111)</f>
        <v>683</v>
      </c>
      <c r="AA111" s="126">
        <f>SUM(AA103:AA110)</f>
        <v>326</v>
      </c>
      <c r="AB111" s="127">
        <f>SUM(AB103:AB110)</f>
        <v>20</v>
      </c>
      <c r="AC111" s="127">
        <f>SUM(AC103:AC110)</f>
        <v>156</v>
      </c>
      <c r="AD111" s="128">
        <f>SUM(AD103:AD110)</f>
        <v>0</v>
      </c>
      <c r="AE111" s="129">
        <f t="shared" ref="AE111:AE126" si="364">SUM(AA111:AD111)</f>
        <v>502</v>
      </c>
      <c r="AF111" s="126">
        <f>SUM(AF103:AF110)</f>
        <v>464</v>
      </c>
      <c r="AG111" s="127">
        <f>SUM(AG103:AG110)</f>
        <v>9</v>
      </c>
      <c r="AH111" s="127">
        <f>SUM(AH103:AH110)</f>
        <v>159</v>
      </c>
      <c r="AI111" s="128">
        <f>SUM(AI103:AI110)</f>
        <v>0</v>
      </c>
      <c r="AJ111" s="129">
        <f t="shared" ref="AJ111:AJ126" si="365">SUM(AF111:AI111)</f>
        <v>632</v>
      </c>
      <c r="AK111" s="126">
        <f>SUM(AK103:AK110)</f>
        <v>159</v>
      </c>
      <c r="AL111" s="127">
        <f>SUM(AL103:AL110)</f>
        <v>8</v>
      </c>
      <c r="AM111" s="127">
        <f>SUM(AM103:AM110)</f>
        <v>49</v>
      </c>
      <c r="AN111" s="128">
        <f>SUM(AN103:AN110)</f>
        <v>0</v>
      </c>
      <c r="AO111" s="129">
        <f t="shared" ref="AO111:AO126" si="366">SUM(AK111:AN111)</f>
        <v>216</v>
      </c>
      <c r="AP111" s="126">
        <f>SUM(AP103:AP110)</f>
        <v>714</v>
      </c>
      <c r="AQ111" s="127">
        <f>SUM(AQ103:AQ110)</f>
        <v>14</v>
      </c>
      <c r="AR111" s="127">
        <f>SUM(AR103:AR110)</f>
        <v>366</v>
      </c>
      <c r="AS111" s="128">
        <f>SUM(AS103:AS110)</f>
        <v>0</v>
      </c>
      <c r="AT111" s="129">
        <f t="shared" ref="AT111:AT126" si="367">SUM(AP111:AS111)</f>
        <v>1094</v>
      </c>
      <c r="AU111" s="126">
        <f>SUM(AU103:AU110)</f>
        <v>1388</v>
      </c>
      <c r="AV111" s="127">
        <f>SUM(AV103:AV110)</f>
        <v>40</v>
      </c>
      <c r="AW111" s="127">
        <f>SUM(AW103:AW110)</f>
        <v>758</v>
      </c>
      <c r="AX111" s="128">
        <f>SUM(AX103:AX110)</f>
        <v>0</v>
      </c>
      <c r="AY111" s="129">
        <f t="shared" ref="AY111:AY126" si="368">SUM(AU111:AX111)</f>
        <v>2186</v>
      </c>
      <c r="AZ111" s="126">
        <f>SUM(AZ103:AZ110)</f>
        <v>689</v>
      </c>
      <c r="BA111" s="127">
        <f>SUM(BA103:BA110)</f>
        <v>16</v>
      </c>
      <c r="BB111" s="127">
        <f>SUM(BB103:BB110)</f>
        <v>349</v>
      </c>
      <c r="BC111" s="128">
        <f>SUM(BC103:BC110)</f>
        <v>0</v>
      </c>
      <c r="BD111" s="129">
        <f t="shared" ref="BD111:BD126" si="369">SUM(AZ111:BC111)</f>
        <v>1054</v>
      </c>
      <c r="BE111" s="126">
        <f>SUM(BE103:BE110)</f>
        <v>246</v>
      </c>
      <c r="BF111" s="127">
        <f>SUM(BF103:BF110)</f>
        <v>7</v>
      </c>
      <c r="BG111" s="127">
        <f>SUM(BG103:BG110)</f>
        <v>48</v>
      </c>
      <c r="BH111" s="128">
        <f>SUM(BH103:BH110)</f>
        <v>0</v>
      </c>
      <c r="BI111" s="129">
        <f t="shared" ref="BI111:BI126" si="370">SUM(BE111:BH111)</f>
        <v>301</v>
      </c>
      <c r="BJ111" s="126">
        <f>SUM(BJ103:BJ110)</f>
        <v>370</v>
      </c>
      <c r="BK111" s="127">
        <f>SUM(BK103:BK110)</f>
        <v>6</v>
      </c>
      <c r="BL111" s="127">
        <f>SUM(BL103:BL110)</f>
        <v>78</v>
      </c>
      <c r="BM111" s="128">
        <f>SUM(BM103:BM110)</f>
        <v>0</v>
      </c>
      <c r="BN111" s="129">
        <f t="shared" ref="BN111:BN126" si="371">SUM(BJ111:BM111)</f>
        <v>454</v>
      </c>
      <c r="BO111" s="131">
        <f>SUM(BO103:BO110)</f>
        <v>7391</v>
      </c>
      <c r="BP111" s="127">
        <f>SUM(BP103:BP110)</f>
        <v>166</v>
      </c>
      <c r="BQ111" s="127">
        <f>SUM(BQ103:BQ110)</f>
        <v>3179</v>
      </c>
      <c r="BR111" s="128">
        <f>SUM(BR103:BR110)</f>
        <v>0</v>
      </c>
      <c r="BS111" s="130">
        <f t="shared" si="294"/>
        <v>10736</v>
      </c>
    </row>
    <row r="112" spans="2:71" x14ac:dyDescent="0.3">
      <c r="B112" s="269"/>
      <c r="C112" s="230"/>
      <c r="D112" s="233"/>
      <c r="E112" s="239" t="s">
        <v>200</v>
      </c>
      <c r="F112" s="121" t="s">
        <v>173</v>
      </c>
      <c r="G112" s="32"/>
      <c r="H112" s="13"/>
      <c r="I112" s="13"/>
      <c r="J112" s="14"/>
      <c r="K112" s="15">
        <f t="shared" ref="K112:K113" si="372">SUM(G112:J112)</f>
        <v>0</v>
      </c>
      <c r="L112" s="32"/>
      <c r="M112" s="13"/>
      <c r="N112" s="13"/>
      <c r="O112" s="14"/>
      <c r="P112" s="15">
        <f t="shared" si="361"/>
        <v>0</v>
      </c>
      <c r="Q112" s="32"/>
      <c r="R112" s="13"/>
      <c r="S112" s="13"/>
      <c r="T112" s="14"/>
      <c r="U112" s="15">
        <f t="shared" si="362"/>
        <v>0</v>
      </c>
      <c r="V112" s="32">
        <v>732</v>
      </c>
      <c r="W112" s="13">
        <v>17</v>
      </c>
      <c r="X112" s="13">
        <v>273</v>
      </c>
      <c r="Y112" s="14"/>
      <c r="Z112" s="15">
        <f t="shared" si="363"/>
        <v>1022</v>
      </c>
      <c r="AA112" s="32">
        <v>601</v>
      </c>
      <c r="AB112" s="13">
        <v>26</v>
      </c>
      <c r="AC112" s="13">
        <v>209</v>
      </c>
      <c r="AD112" s="14"/>
      <c r="AE112" s="15">
        <f t="shared" si="364"/>
        <v>836</v>
      </c>
      <c r="AF112" s="32"/>
      <c r="AG112" s="13"/>
      <c r="AH112" s="13"/>
      <c r="AI112" s="14"/>
      <c r="AJ112" s="15">
        <f t="shared" si="365"/>
        <v>0</v>
      </c>
      <c r="AK112" s="32"/>
      <c r="AL112" s="13"/>
      <c r="AM112" s="13"/>
      <c r="AN112" s="14"/>
      <c r="AO112" s="15">
        <f t="shared" si="366"/>
        <v>0</v>
      </c>
      <c r="AP112" s="32"/>
      <c r="AQ112" s="13"/>
      <c r="AR112" s="13"/>
      <c r="AS112" s="14"/>
      <c r="AT112" s="15">
        <f t="shared" si="367"/>
        <v>0</v>
      </c>
      <c r="AU112" s="32">
        <v>629</v>
      </c>
      <c r="AV112" s="13">
        <v>10</v>
      </c>
      <c r="AW112" s="13">
        <v>235</v>
      </c>
      <c r="AX112" s="14"/>
      <c r="AY112" s="15">
        <f t="shared" si="368"/>
        <v>874</v>
      </c>
      <c r="AZ112" s="32">
        <v>893</v>
      </c>
      <c r="BA112" s="13">
        <v>19</v>
      </c>
      <c r="BB112" s="13">
        <v>305</v>
      </c>
      <c r="BC112" s="14"/>
      <c r="BD112" s="15">
        <f t="shared" si="369"/>
        <v>1217</v>
      </c>
      <c r="BE112" s="32"/>
      <c r="BF112" s="13"/>
      <c r="BG112" s="13"/>
      <c r="BH112" s="14"/>
      <c r="BI112" s="15">
        <f t="shared" si="370"/>
        <v>0</v>
      </c>
      <c r="BJ112" s="32">
        <v>44</v>
      </c>
      <c r="BK112" s="13"/>
      <c r="BL112" s="13">
        <v>3</v>
      </c>
      <c r="BM112" s="14"/>
      <c r="BN112" s="15">
        <f t="shared" si="371"/>
        <v>47</v>
      </c>
      <c r="BO112" s="66">
        <f t="shared" ref="BO112:BR119" si="373">SUM(G112,L112,Q112,V112,AA112,AF112,AK112,AP112,AU112,AZ112,BE112,BJ112)</f>
        <v>2899</v>
      </c>
      <c r="BP112" s="13">
        <f t="shared" si="373"/>
        <v>72</v>
      </c>
      <c r="BQ112" s="13">
        <f t="shared" si="373"/>
        <v>1025</v>
      </c>
      <c r="BR112" s="14">
        <f t="shared" si="373"/>
        <v>0</v>
      </c>
      <c r="BS112" s="33">
        <f t="shared" ref="BS112:BS113" si="374">SUM(BO112:BR112)</f>
        <v>3996</v>
      </c>
    </row>
    <row r="113" spans="2:71" x14ac:dyDescent="0.3">
      <c r="B113" s="269"/>
      <c r="C113" s="230"/>
      <c r="D113" s="233"/>
      <c r="E113" s="239"/>
      <c r="F113" s="121" t="s">
        <v>174</v>
      </c>
      <c r="G113" s="32"/>
      <c r="H113" s="13"/>
      <c r="I113" s="13"/>
      <c r="J113" s="14"/>
      <c r="K113" s="15">
        <f t="shared" si="372"/>
        <v>0</v>
      </c>
      <c r="L113" s="32"/>
      <c r="M113" s="13"/>
      <c r="N113" s="13"/>
      <c r="O113" s="14"/>
      <c r="P113" s="15">
        <f t="shared" si="361"/>
        <v>0</v>
      </c>
      <c r="Q113" s="32"/>
      <c r="R113" s="13"/>
      <c r="S113" s="13"/>
      <c r="T113" s="14"/>
      <c r="U113" s="15">
        <f t="shared" si="362"/>
        <v>0</v>
      </c>
      <c r="V113" s="32">
        <v>229</v>
      </c>
      <c r="W113" s="13">
        <v>3</v>
      </c>
      <c r="X113" s="13">
        <v>71</v>
      </c>
      <c r="Y113" s="14"/>
      <c r="Z113" s="15">
        <f t="shared" si="363"/>
        <v>303</v>
      </c>
      <c r="AA113" s="32">
        <v>167</v>
      </c>
      <c r="AB113" s="13">
        <v>4</v>
      </c>
      <c r="AC113" s="13">
        <v>48</v>
      </c>
      <c r="AD113" s="14"/>
      <c r="AE113" s="15">
        <f t="shared" si="364"/>
        <v>219</v>
      </c>
      <c r="AF113" s="32"/>
      <c r="AG113" s="13"/>
      <c r="AH113" s="13"/>
      <c r="AI113" s="14"/>
      <c r="AJ113" s="15">
        <f t="shared" si="365"/>
        <v>0</v>
      </c>
      <c r="AK113" s="32"/>
      <c r="AL113" s="13"/>
      <c r="AM113" s="13"/>
      <c r="AN113" s="14"/>
      <c r="AO113" s="15">
        <f t="shared" si="366"/>
        <v>0</v>
      </c>
      <c r="AP113" s="32"/>
      <c r="AQ113" s="13"/>
      <c r="AR113" s="13"/>
      <c r="AS113" s="14"/>
      <c r="AT113" s="15">
        <f t="shared" si="367"/>
        <v>0</v>
      </c>
      <c r="AU113" s="32">
        <v>241</v>
      </c>
      <c r="AV113" s="13">
        <v>4</v>
      </c>
      <c r="AW113" s="13">
        <v>97</v>
      </c>
      <c r="AX113" s="14"/>
      <c r="AY113" s="15">
        <f t="shared" si="368"/>
        <v>342</v>
      </c>
      <c r="AZ113" s="32">
        <v>296</v>
      </c>
      <c r="BA113" s="13">
        <v>4</v>
      </c>
      <c r="BB113" s="13">
        <v>116</v>
      </c>
      <c r="BC113" s="14"/>
      <c r="BD113" s="15">
        <f t="shared" si="369"/>
        <v>416</v>
      </c>
      <c r="BE113" s="32"/>
      <c r="BF113" s="13"/>
      <c r="BG113" s="13"/>
      <c r="BH113" s="14"/>
      <c r="BI113" s="15">
        <f t="shared" si="370"/>
        <v>0</v>
      </c>
      <c r="BJ113" s="32">
        <v>5</v>
      </c>
      <c r="BK113" s="13"/>
      <c r="BL113" s="13">
        <v>1</v>
      </c>
      <c r="BM113" s="14"/>
      <c r="BN113" s="15">
        <f t="shared" si="371"/>
        <v>6</v>
      </c>
      <c r="BO113" s="66">
        <f t="shared" si="373"/>
        <v>938</v>
      </c>
      <c r="BP113" s="13">
        <f t="shared" si="373"/>
        <v>15</v>
      </c>
      <c r="BQ113" s="13">
        <f t="shared" si="373"/>
        <v>333</v>
      </c>
      <c r="BR113" s="14">
        <f t="shared" si="373"/>
        <v>0</v>
      </c>
      <c r="BS113" s="33">
        <f t="shared" si="374"/>
        <v>1286</v>
      </c>
    </row>
    <row r="114" spans="2:71" x14ac:dyDescent="0.3">
      <c r="B114" s="269"/>
      <c r="C114" s="230"/>
      <c r="D114" s="233"/>
      <c r="E114" s="239"/>
      <c r="F114" s="121" t="s">
        <v>158</v>
      </c>
      <c r="G114" s="32"/>
      <c r="H114" s="13"/>
      <c r="I114" s="13"/>
      <c r="J114" s="14"/>
      <c r="K114" s="15">
        <f t="shared" ref="K114" si="375">SUM(G114:J114)</f>
        <v>0</v>
      </c>
      <c r="L114" s="32"/>
      <c r="M114" s="13"/>
      <c r="N114" s="13"/>
      <c r="O114" s="14"/>
      <c r="P114" s="15">
        <f t="shared" si="361"/>
        <v>0</v>
      </c>
      <c r="Q114" s="32"/>
      <c r="R114" s="13"/>
      <c r="S114" s="13"/>
      <c r="T114" s="14"/>
      <c r="U114" s="15">
        <f t="shared" si="362"/>
        <v>0</v>
      </c>
      <c r="V114" s="32">
        <v>121</v>
      </c>
      <c r="W114" s="13">
        <v>8</v>
      </c>
      <c r="X114" s="13">
        <v>129</v>
      </c>
      <c r="Y114" s="14"/>
      <c r="Z114" s="15">
        <f t="shared" si="363"/>
        <v>258</v>
      </c>
      <c r="AA114" s="32">
        <v>118</v>
      </c>
      <c r="AB114" s="13">
        <v>12</v>
      </c>
      <c r="AC114" s="13">
        <v>160</v>
      </c>
      <c r="AD114" s="14"/>
      <c r="AE114" s="15">
        <f t="shared" si="364"/>
        <v>290</v>
      </c>
      <c r="AF114" s="32"/>
      <c r="AG114" s="13"/>
      <c r="AH114" s="13"/>
      <c r="AI114" s="14"/>
      <c r="AJ114" s="15">
        <f t="shared" si="365"/>
        <v>0</v>
      </c>
      <c r="AK114" s="32"/>
      <c r="AL114" s="13"/>
      <c r="AM114" s="13"/>
      <c r="AN114" s="14"/>
      <c r="AO114" s="15">
        <f t="shared" si="366"/>
        <v>0</v>
      </c>
      <c r="AP114" s="32"/>
      <c r="AQ114" s="13"/>
      <c r="AR114" s="13"/>
      <c r="AS114" s="14"/>
      <c r="AT114" s="15">
        <f t="shared" si="367"/>
        <v>0</v>
      </c>
      <c r="AU114" s="32">
        <v>81</v>
      </c>
      <c r="AV114" s="13">
        <v>6</v>
      </c>
      <c r="AW114" s="13">
        <v>91</v>
      </c>
      <c r="AX114" s="14"/>
      <c r="AY114" s="15">
        <f t="shared" si="368"/>
        <v>178</v>
      </c>
      <c r="AZ114" s="32">
        <v>169</v>
      </c>
      <c r="BA114" s="13">
        <v>6</v>
      </c>
      <c r="BB114" s="13">
        <v>147</v>
      </c>
      <c r="BC114" s="14"/>
      <c r="BD114" s="15">
        <f t="shared" si="369"/>
        <v>322</v>
      </c>
      <c r="BE114" s="32"/>
      <c r="BF114" s="13"/>
      <c r="BG114" s="13"/>
      <c r="BH114" s="14"/>
      <c r="BI114" s="15">
        <f t="shared" si="370"/>
        <v>0</v>
      </c>
      <c r="BJ114" s="32">
        <v>6</v>
      </c>
      <c r="BK114" s="13"/>
      <c r="BL114" s="13">
        <v>4</v>
      </c>
      <c r="BM114" s="14"/>
      <c r="BN114" s="15">
        <f t="shared" si="371"/>
        <v>10</v>
      </c>
      <c r="BO114" s="66">
        <f t="shared" si="373"/>
        <v>495</v>
      </c>
      <c r="BP114" s="13">
        <f t="shared" si="373"/>
        <v>32</v>
      </c>
      <c r="BQ114" s="13">
        <f t="shared" si="373"/>
        <v>531</v>
      </c>
      <c r="BR114" s="14">
        <f t="shared" si="373"/>
        <v>0</v>
      </c>
      <c r="BS114" s="33">
        <f t="shared" ref="BS114" si="376">SUM(BO114:BR114)</f>
        <v>1058</v>
      </c>
    </row>
    <row r="115" spans="2:71" x14ac:dyDescent="0.3">
      <c r="B115" s="269"/>
      <c r="C115" s="230"/>
      <c r="D115" s="233"/>
      <c r="E115" s="239"/>
      <c r="F115" s="121" t="s">
        <v>159</v>
      </c>
      <c r="G115" s="32"/>
      <c r="H115" s="13"/>
      <c r="I115" s="13"/>
      <c r="J115" s="14"/>
      <c r="K115" s="15">
        <f t="shared" si="293"/>
        <v>0</v>
      </c>
      <c r="L115" s="32"/>
      <c r="M115" s="13"/>
      <c r="N115" s="13"/>
      <c r="O115" s="14"/>
      <c r="P115" s="15">
        <f t="shared" si="361"/>
        <v>0</v>
      </c>
      <c r="Q115" s="32"/>
      <c r="R115" s="13"/>
      <c r="S115" s="13"/>
      <c r="T115" s="14"/>
      <c r="U115" s="15">
        <f t="shared" si="362"/>
        <v>0</v>
      </c>
      <c r="V115" s="32">
        <v>39</v>
      </c>
      <c r="W115" s="13"/>
      <c r="X115" s="13">
        <v>44</v>
      </c>
      <c r="Y115" s="14"/>
      <c r="Z115" s="15">
        <f t="shared" si="363"/>
        <v>83</v>
      </c>
      <c r="AA115" s="32">
        <v>34</v>
      </c>
      <c r="AB115" s="13">
        <v>1</v>
      </c>
      <c r="AC115" s="13">
        <v>48</v>
      </c>
      <c r="AD115" s="14"/>
      <c r="AE115" s="15">
        <f t="shared" si="364"/>
        <v>83</v>
      </c>
      <c r="AF115" s="32"/>
      <c r="AG115" s="13"/>
      <c r="AH115" s="13"/>
      <c r="AI115" s="14"/>
      <c r="AJ115" s="15">
        <f t="shared" si="365"/>
        <v>0</v>
      </c>
      <c r="AK115" s="32"/>
      <c r="AL115" s="13"/>
      <c r="AM115" s="13"/>
      <c r="AN115" s="14"/>
      <c r="AO115" s="15">
        <f t="shared" si="366"/>
        <v>0</v>
      </c>
      <c r="AP115" s="32"/>
      <c r="AQ115" s="13"/>
      <c r="AR115" s="13"/>
      <c r="AS115" s="14"/>
      <c r="AT115" s="15">
        <f t="shared" si="367"/>
        <v>0</v>
      </c>
      <c r="AU115" s="32">
        <v>35</v>
      </c>
      <c r="AV115" s="13">
        <v>2</v>
      </c>
      <c r="AW115" s="13">
        <v>72</v>
      </c>
      <c r="AX115" s="14"/>
      <c r="AY115" s="15">
        <f t="shared" si="368"/>
        <v>109</v>
      </c>
      <c r="AZ115" s="32">
        <v>67</v>
      </c>
      <c r="BA115" s="13"/>
      <c r="BB115" s="13">
        <v>68</v>
      </c>
      <c r="BC115" s="14"/>
      <c r="BD115" s="15">
        <f t="shared" si="369"/>
        <v>135</v>
      </c>
      <c r="BE115" s="32"/>
      <c r="BF115" s="13"/>
      <c r="BG115" s="13"/>
      <c r="BH115" s="14"/>
      <c r="BI115" s="15">
        <f t="shared" si="370"/>
        <v>0</v>
      </c>
      <c r="BJ115" s="32"/>
      <c r="BK115" s="13">
        <v>1</v>
      </c>
      <c r="BL115" s="13">
        <v>1</v>
      </c>
      <c r="BM115" s="14"/>
      <c r="BN115" s="15">
        <f t="shared" si="371"/>
        <v>2</v>
      </c>
      <c r="BO115" s="66">
        <f t="shared" si="373"/>
        <v>175</v>
      </c>
      <c r="BP115" s="13">
        <f t="shared" si="373"/>
        <v>4</v>
      </c>
      <c r="BQ115" s="13">
        <f t="shared" si="373"/>
        <v>233</v>
      </c>
      <c r="BR115" s="14">
        <f t="shared" si="373"/>
        <v>0</v>
      </c>
      <c r="BS115" s="33">
        <f t="shared" si="294"/>
        <v>412</v>
      </c>
    </row>
    <row r="116" spans="2:71" x14ac:dyDescent="0.3">
      <c r="B116" s="269"/>
      <c r="C116" s="230"/>
      <c r="D116" s="233"/>
      <c r="E116" s="239"/>
      <c r="F116" s="121" t="s">
        <v>175</v>
      </c>
      <c r="G116" s="32">
        <v>205</v>
      </c>
      <c r="H116" s="13"/>
      <c r="I116" s="13">
        <v>20</v>
      </c>
      <c r="J116" s="14"/>
      <c r="K116" s="15">
        <f t="shared" si="293"/>
        <v>225</v>
      </c>
      <c r="L116" s="32">
        <v>264</v>
      </c>
      <c r="M116" s="13">
        <v>3</v>
      </c>
      <c r="N116" s="13">
        <v>32</v>
      </c>
      <c r="O116" s="14"/>
      <c r="P116" s="15">
        <f t="shared" si="361"/>
        <v>299</v>
      </c>
      <c r="Q116" s="32">
        <v>302</v>
      </c>
      <c r="R116" s="13">
        <v>3</v>
      </c>
      <c r="S116" s="13">
        <v>53</v>
      </c>
      <c r="T116" s="14"/>
      <c r="U116" s="15">
        <f t="shared" si="362"/>
        <v>358</v>
      </c>
      <c r="V116" s="32"/>
      <c r="W116" s="13"/>
      <c r="X116" s="13"/>
      <c r="Y116" s="14"/>
      <c r="Z116" s="15">
        <f t="shared" si="363"/>
        <v>0</v>
      </c>
      <c r="AA116" s="32"/>
      <c r="AB116" s="13"/>
      <c r="AC116" s="13"/>
      <c r="AD116" s="14"/>
      <c r="AE116" s="15">
        <f t="shared" si="364"/>
        <v>0</v>
      </c>
      <c r="AF116" s="32">
        <v>281</v>
      </c>
      <c r="AG116" s="13">
        <v>6</v>
      </c>
      <c r="AH116" s="13">
        <v>50</v>
      </c>
      <c r="AI116" s="14"/>
      <c r="AJ116" s="15">
        <f t="shared" si="365"/>
        <v>337</v>
      </c>
      <c r="AK116" s="32">
        <v>92</v>
      </c>
      <c r="AL116" s="13">
        <v>8</v>
      </c>
      <c r="AM116" s="13">
        <v>22</v>
      </c>
      <c r="AN116" s="14"/>
      <c r="AO116" s="15">
        <f t="shared" si="366"/>
        <v>122</v>
      </c>
      <c r="AP116" s="32">
        <v>131</v>
      </c>
      <c r="AQ116" s="13">
        <v>1</v>
      </c>
      <c r="AR116" s="13">
        <v>29</v>
      </c>
      <c r="AS116" s="14"/>
      <c r="AT116" s="15">
        <f t="shared" si="367"/>
        <v>161</v>
      </c>
      <c r="AU116" s="32"/>
      <c r="AV116" s="13"/>
      <c r="AW116" s="13"/>
      <c r="AX116" s="14"/>
      <c r="AY116" s="15">
        <f t="shared" si="368"/>
        <v>0</v>
      </c>
      <c r="AZ116" s="32"/>
      <c r="BA116" s="13"/>
      <c r="BB116" s="13"/>
      <c r="BC116" s="14"/>
      <c r="BD116" s="15">
        <f t="shared" si="369"/>
        <v>0</v>
      </c>
      <c r="BE116" s="32">
        <v>144</v>
      </c>
      <c r="BF116" s="13">
        <v>1</v>
      </c>
      <c r="BG116" s="13">
        <v>19</v>
      </c>
      <c r="BH116" s="14"/>
      <c r="BI116" s="15">
        <f t="shared" si="370"/>
        <v>164</v>
      </c>
      <c r="BJ116" s="32">
        <v>148</v>
      </c>
      <c r="BK116" s="13">
        <v>5</v>
      </c>
      <c r="BL116" s="13">
        <v>30</v>
      </c>
      <c r="BM116" s="14"/>
      <c r="BN116" s="15">
        <f t="shared" si="371"/>
        <v>183</v>
      </c>
      <c r="BO116" s="66">
        <f t="shared" si="373"/>
        <v>1567</v>
      </c>
      <c r="BP116" s="13">
        <f t="shared" si="373"/>
        <v>27</v>
      </c>
      <c r="BQ116" s="13">
        <f t="shared" si="373"/>
        <v>255</v>
      </c>
      <c r="BR116" s="14">
        <f t="shared" si="373"/>
        <v>0</v>
      </c>
      <c r="BS116" s="33">
        <f t="shared" si="294"/>
        <v>1849</v>
      </c>
    </row>
    <row r="117" spans="2:71" x14ac:dyDescent="0.3">
      <c r="B117" s="269"/>
      <c r="C117" s="230"/>
      <c r="D117" s="233"/>
      <c r="E117" s="239"/>
      <c r="F117" s="121" t="s">
        <v>155</v>
      </c>
      <c r="G117" s="32">
        <v>15</v>
      </c>
      <c r="H117" s="13"/>
      <c r="I117" s="13">
        <v>5</v>
      </c>
      <c r="J117" s="14"/>
      <c r="K117" s="15">
        <f t="shared" si="293"/>
        <v>20</v>
      </c>
      <c r="L117" s="32">
        <v>33</v>
      </c>
      <c r="M117" s="13"/>
      <c r="N117" s="13">
        <v>4</v>
      </c>
      <c r="O117" s="14"/>
      <c r="P117" s="15">
        <f t="shared" si="361"/>
        <v>37</v>
      </c>
      <c r="Q117" s="32">
        <v>75</v>
      </c>
      <c r="R117" s="13">
        <v>1</v>
      </c>
      <c r="S117" s="13">
        <v>22</v>
      </c>
      <c r="T117" s="14"/>
      <c r="U117" s="15">
        <f t="shared" si="362"/>
        <v>98</v>
      </c>
      <c r="V117" s="32"/>
      <c r="W117" s="13"/>
      <c r="X117" s="13"/>
      <c r="Y117" s="14"/>
      <c r="Z117" s="15">
        <f t="shared" si="363"/>
        <v>0</v>
      </c>
      <c r="AA117" s="32"/>
      <c r="AB117" s="13"/>
      <c r="AC117" s="13"/>
      <c r="AD117" s="14"/>
      <c r="AE117" s="15">
        <f t="shared" si="364"/>
        <v>0</v>
      </c>
      <c r="AF117" s="32">
        <v>80</v>
      </c>
      <c r="AG117" s="13"/>
      <c r="AH117" s="13">
        <v>23</v>
      </c>
      <c r="AI117" s="14"/>
      <c r="AJ117" s="15">
        <f t="shared" si="365"/>
        <v>103</v>
      </c>
      <c r="AK117" s="32">
        <v>21</v>
      </c>
      <c r="AL117" s="13">
        <v>2</v>
      </c>
      <c r="AM117" s="13">
        <v>14</v>
      </c>
      <c r="AN117" s="14"/>
      <c r="AO117" s="15">
        <f t="shared" si="366"/>
        <v>37</v>
      </c>
      <c r="AP117" s="32">
        <v>46</v>
      </c>
      <c r="AQ117" s="13"/>
      <c r="AR117" s="13">
        <v>27</v>
      </c>
      <c r="AS117" s="14"/>
      <c r="AT117" s="15">
        <f t="shared" si="367"/>
        <v>73</v>
      </c>
      <c r="AU117" s="32"/>
      <c r="AV117" s="13"/>
      <c r="AW117" s="13"/>
      <c r="AX117" s="14"/>
      <c r="AY117" s="15">
        <f t="shared" si="368"/>
        <v>0</v>
      </c>
      <c r="AZ117" s="32"/>
      <c r="BA117" s="13"/>
      <c r="BB117" s="13"/>
      <c r="BC117" s="14"/>
      <c r="BD117" s="15">
        <f t="shared" si="369"/>
        <v>0</v>
      </c>
      <c r="BE117" s="32">
        <v>52</v>
      </c>
      <c r="BF117" s="13"/>
      <c r="BG117" s="13">
        <v>8</v>
      </c>
      <c r="BH117" s="14"/>
      <c r="BI117" s="15">
        <f t="shared" si="370"/>
        <v>60</v>
      </c>
      <c r="BJ117" s="32">
        <v>53</v>
      </c>
      <c r="BK117" s="13"/>
      <c r="BL117" s="13">
        <v>9</v>
      </c>
      <c r="BM117" s="14"/>
      <c r="BN117" s="15">
        <f t="shared" si="371"/>
        <v>62</v>
      </c>
      <c r="BO117" s="66">
        <f t="shared" si="373"/>
        <v>375</v>
      </c>
      <c r="BP117" s="13">
        <f t="shared" si="373"/>
        <v>3</v>
      </c>
      <c r="BQ117" s="13">
        <f t="shared" si="373"/>
        <v>112</v>
      </c>
      <c r="BR117" s="14">
        <f t="shared" si="373"/>
        <v>0</v>
      </c>
      <c r="BS117" s="33">
        <f t="shared" si="294"/>
        <v>490</v>
      </c>
    </row>
    <row r="118" spans="2:71" x14ac:dyDescent="0.3">
      <c r="B118" s="269"/>
      <c r="C118" s="230"/>
      <c r="D118" s="233"/>
      <c r="E118" s="239"/>
      <c r="F118" s="121" t="s">
        <v>176</v>
      </c>
      <c r="G118" s="32">
        <v>32</v>
      </c>
      <c r="H118" s="13"/>
      <c r="I118" s="13">
        <v>16</v>
      </c>
      <c r="J118" s="14"/>
      <c r="K118" s="15">
        <f t="shared" si="293"/>
        <v>48</v>
      </c>
      <c r="L118" s="32">
        <v>22</v>
      </c>
      <c r="M118" s="13">
        <v>1</v>
      </c>
      <c r="N118" s="13">
        <v>23</v>
      </c>
      <c r="O118" s="14"/>
      <c r="P118" s="15">
        <f t="shared" si="361"/>
        <v>46</v>
      </c>
      <c r="Q118" s="32">
        <v>27</v>
      </c>
      <c r="R118" s="13">
        <v>2</v>
      </c>
      <c r="S118" s="13">
        <v>34</v>
      </c>
      <c r="T118" s="14"/>
      <c r="U118" s="15">
        <f t="shared" si="362"/>
        <v>63</v>
      </c>
      <c r="V118" s="32"/>
      <c r="W118" s="13"/>
      <c r="X118" s="192">
        <v>1</v>
      </c>
      <c r="Y118" s="14"/>
      <c r="Z118" s="15">
        <f t="shared" si="363"/>
        <v>1</v>
      </c>
      <c r="AA118" s="32"/>
      <c r="AB118" s="13"/>
      <c r="AC118" s="13"/>
      <c r="AD118" s="14"/>
      <c r="AE118" s="15">
        <f t="shared" si="364"/>
        <v>0</v>
      </c>
      <c r="AF118" s="32">
        <v>32</v>
      </c>
      <c r="AG118" s="13"/>
      <c r="AH118" s="13">
        <v>43</v>
      </c>
      <c r="AI118" s="14"/>
      <c r="AJ118" s="15">
        <f t="shared" si="365"/>
        <v>75</v>
      </c>
      <c r="AK118" s="32">
        <v>10</v>
      </c>
      <c r="AL118" s="13">
        <v>2</v>
      </c>
      <c r="AM118" s="13">
        <v>5</v>
      </c>
      <c r="AN118" s="14"/>
      <c r="AO118" s="15">
        <f t="shared" si="366"/>
        <v>17</v>
      </c>
      <c r="AP118" s="32">
        <v>6</v>
      </c>
      <c r="AQ118" s="13"/>
      <c r="AR118" s="13">
        <v>8</v>
      </c>
      <c r="AS118" s="14"/>
      <c r="AT118" s="15">
        <f t="shared" si="367"/>
        <v>14</v>
      </c>
      <c r="AU118" s="32"/>
      <c r="AV118" s="13"/>
      <c r="AW118" s="13"/>
      <c r="AX118" s="14"/>
      <c r="AY118" s="15">
        <f t="shared" si="368"/>
        <v>0</v>
      </c>
      <c r="AZ118" s="32"/>
      <c r="BA118" s="13"/>
      <c r="BB118" s="13"/>
      <c r="BC118" s="14"/>
      <c r="BD118" s="15">
        <f t="shared" si="369"/>
        <v>0</v>
      </c>
      <c r="BE118" s="32">
        <v>8</v>
      </c>
      <c r="BF118" s="13"/>
      <c r="BG118" s="13">
        <v>12</v>
      </c>
      <c r="BH118" s="14"/>
      <c r="BI118" s="15">
        <f t="shared" si="370"/>
        <v>20</v>
      </c>
      <c r="BJ118" s="32">
        <v>22</v>
      </c>
      <c r="BK118" s="13"/>
      <c r="BL118" s="13">
        <v>8</v>
      </c>
      <c r="BM118" s="14"/>
      <c r="BN118" s="15">
        <f t="shared" si="371"/>
        <v>30</v>
      </c>
      <c r="BO118" s="66">
        <f t="shared" si="373"/>
        <v>159</v>
      </c>
      <c r="BP118" s="13">
        <f t="shared" si="373"/>
        <v>5</v>
      </c>
      <c r="BQ118" s="13">
        <f t="shared" si="373"/>
        <v>150</v>
      </c>
      <c r="BR118" s="14">
        <f t="shared" si="373"/>
        <v>0</v>
      </c>
      <c r="BS118" s="33">
        <f t="shared" si="294"/>
        <v>314</v>
      </c>
    </row>
    <row r="119" spans="2:71" x14ac:dyDescent="0.3">
      <c r="B119" s="269"/>
      <c r="C119" s="230"/>
      <c r="D119" s="233"/>
      <c r="E119" s="239"/>
      <c r="F119" s="122" t="s">
        <v>157</v>
      </c>
      <c r="G119" s="135">
        <v>2</v>
      </c>
      <c r="H119" s="136"/>
      <c r="I119" s="136">
        <v>1</v>
      </c>
      <c r="J119" s="137"/>
      <c r="K119" s="138">
        <f t="shared" ref="K119" si="377">SUM(G119:J119)</f>
        <v>3</v>
      </c>
      <c r="L119" s="135">
        <v>2</v>
      </c>
      <c r="M119" s="136"/>
      <c r="N119" s="136">
        <v>3</v>
      </c>
      <c r="O119" s="137"/>
      <c r="P119" s="138">
        <f t="shared" si="361"/>
        <v>5</v>
      </c>
      <c r="Q119" s="135">
        <v>6</v>
      </c>
      <c r="R119" s="136"/>
      <c r="S119" s="136">
        <v>13</v>
      </c>
      <c r="T119" s="137"/>
      <c r="U119" s="138">
        <f t="shared" si="362"/>
        <v>19</v>
      </c>
      <c r="V119" s="135"/>
      <c r="W119" s="136"/>
      <c r="X119" s="136"/>
      <c r="Y119" s="137"/>
      <c r="Z119" s="138">
        <f t="shared" si="363"/>
        <v>0</v>
      </c>
      <c r="AA119" s="135"/>
      <c r="AB119" s="136"/>
      <c r="AC119" s="136"/>
      <c r="AD119" s="137"/>
      <c r="AE119" s="138">
        <f t="shared" si="364"/>
        <v>0</v>
      </c>
      <c r="AF119" s="135">
        <v>4</v>
      </c>
      <c r="AG119" s="136"/>
      <c r="AH119" s="136">
        <v>7</v>
      </c>
      <c r="AI119" s="137"/>
      <c r="AJ119" s="138">
        <f t="shared" si="365"/>
        <v>11</v>
      </c>
      <c r="AK119" s="135">
        <v>1</v>
      </c>
      <c r="AL119" s="136"/>
      <c r="AM119" s="136">
        <v>6</v>
      </c>
      <c r="AN119" s="137"/>
      <c r="AO119" s="138">
        <f t="shared" si="366"/>
        <v>7</v>
      </c>
      <c r="AP119" s="135">
        <v>4</v>
      </c>
      <c r="AQ119" s="136"/>
      <c r="AR119" s="136">
        <v>3</v>
      </c>
      <c r="AS119" s="137"/>
      <c r="AT119" s="138">
        <f t="shared" si="367"/>
        <v>7</v>
      </c>
      <c r="AU119" s="135"/>
      <c r="AV119" s="136"/>
      <c r="AW119" s="136"/>
      <c r="AX119" s="137"/>
      <c r="AY119" s="138">
        <f t="shared" si="368"/>
        <v>0</v>
      </c>
      <c r="AZ119" s="135"/>
      <c r="BA119" s="136"/>
      <c r="BB119" s="136"/>
      <c r="BC119" s="137"/>
      <c r="BD119" s="138">
        <f t="shared" si="369"/>
        <v>0</v>
      </c>
      <c r="BE119" s="135">
        <v>7</v>
      </c>
      <c r="BF119" s="136"/>
      <c r="BG119" s="136">
        <v>4</v>
      </c>
      <c r="BH119" s="137"/>
      <c r="BI119" s="138">
        <f t="shared" si="370"/>
        <v>11</v>
      </c>
      <c r="BJ119" s="135">
        <v>10</v>
      </c>
      <c r="BK119" s="136"/>
      <c r="BL119" s="136">
        <v>1</v>
      </c>
      <c r="BM119" s="137"/>
      <c r="BN119" s="138">
        <f t="shared" si="371"/>
        <v>11</v>
      </c>
      <c r="BO119" s="140">
        <f t="shared" si="373"/>
        <v>36</v>
      </c>
      <c r="BP119" s="136">
        <f t="shared" si="373"/>
        <v>0</v>
      </c>
      <c r="BQ119" s="136">
        <f t="shared" si="373"/>
        <v>38</v>
      </c>
      <c r="BR119" s="137">
        <f t="shared" si="373"/>
        <v>0</v>
      </c>
      <c r="BS119" s="139">
        <f t="shared" ref="BS119" si="378">SUM(BO119:BR119)</f>
        <v>74</v>
      </c>
    </row>
    <row r="120" spans="2:71" x14ac:dyDescent="0.3">
      <c r="B120" s="269"/>
      <c r="C120" s="230"/>
      <c r="D120" s="233"/>
      <c r="E120" s="240"/>
      <c r="F120" s="125" t="s">
        <v>55</v>
      </c>
      <c r="G120" s="126">
        <f>SUM(G112:G119)</f>
        <v>254</v>
      </c>
      <c r="H120" s="127">
        <f>SUM(H112:H119)</f>
        <v>0</v>
      </c>
      <c r="I120" s="127">
        <f>SUM(I112:I119)</f>
        <v>42</v>
      </c>
      <c r="J120" s="128">
        <f>SUM(J112:J119)</f>
        <v>0</v>
      </c>
      <c r="K120" s="129">
        <f t="shared" si="293"/>
        <v>296</v>
      </c>
      <c r="L120" s="126">
        <f>SUM(L112:L119)</f>
        <v>321</v>
      </c>
      <c r="M120" s="127">
        <f>SUM(M112:M119)</f>
        <v>4</v>
      </c>
      <c r="N120" s="127">
        <f>SUM(N112:N119)</f>
        <v>62</v>
      </c>
      <c r="O120" s="128">
        <f>SUM(O112:O119)</f>
        <v>0</v>
      </c>
      <c r="P120" s="129">
        <f t="shared" si="361"/>
        <v>387</v>
      </c>
      <c r="Q120" s="126">
        <f>SUM(Q112:Q119)</f>
        <v>410</v>
      </c>
      <c r="R120" s="127">
        <f>SUM(R112:R119)</f>
        <v>6</v>
      </c>
      <c r="S120" s="127">
        <f>SUM(S112:S119)</f>
        <v>122</v>
      </c>
      <c r="T120" s="128">
        <f>SUM(T112:T119)</f>
        <v>0</v>
      </c>
      <c r="U120" s="129">
        <f t="shared" si="362"/>
        <v>538</v>
      </c>
      <c r="V120" s="126">
        <f>SUM(V112:V119)</f>
        <v>1121</v>
      </c>
      <c r="W120" s="127">
        <f>SUM(W112:W119)</f>
        <v>28</v>
      </c>
      <c r="X120" s="127">
        <f>SUM(X112:X119)</f>
        <v>518</v>
      </c>
      <c r="Y120" s="128">
        <f>SUM(Y112:Y119)</f>
        <v>0</v>
      </c>
      <c r="Z120" s="129">
        <f t="shared" si="363"/>
        <v>1667</v>
      </c>
      <c r="AA120" s="126">
        <f>SUM(AA112:AA119)</f>
        <v>920</v>
      </c>
      <c r="AB120" s="127">
        <f>SUM(AB112:AB119)</f>
        <v>43</v>
      </c>
      <c r="AC120" s="127">
        <f>SUM(AC112:AC119)</f>
        <v>465</v>
      </c>
      <c r="AD120" s="128">
        <f>SUM(AD112:AD119)</f>
        <v>0</v>
      </c>
      <c r="AE120" s="129">
        <f t="shared" si="364"/>
        <v>1428</v>
      </c>
      <c r="AF120" s="126">
        <f>SUM(AF112:AF119)</f>
        <v>397</v>
      </c>
      <c r="AG120" s="127">
        <f>SUM(AG112:AG119)</f>
        <v>6</v>
      </c>
      <c r="AH120" s="127">
        <f>SUM(AH112:AH119)</f>
        <v>123</v>
      </c>
      <c r="AI120" s="128">
        <f>SUM(AI112:AI119)</f>
        <v>0</v>
      </c>
      <c r="AJ120" s="129">
        <f t="shared" si="365"/>
        <v>526</v>
      </c>
      <c r="AK120" s="126">
        <f>SUM(AK112:AK119)</f>
        <v>124</v>
      </c>
      <c r="AL120" s="127">
        <f>SUM(AL112:AL119)</f>
        <v>12</v>
      </c>
      <c r="AM120" s="127">
        <f>SUM(AM112:AM119)</f>
        <v>47</v>
      </c>
      <c r="AN120" s="128">
        <f>SUM(AN112:AN119)</f>
        <v>0</v>
      </c>
      <c r="AO120" s="129">
        <f t="shared" si="366"/>
        <v>183</v>
      </c>
      <c r="AP120" s="126">
        <f>SUM(AP112:AP119)</f>
        <v>187</v>
      </c>
      <c r="AQ120" s="127">
        <f>SUM(AQ112:AQ119)</f>
        <v>1</v>
      </c>
      <c r="AR120" s="127">
        <f>SUM(AR112:AR119)</f>
        <v>67</v>
      </c>
      <c r="AS120" s="128">
        <f>SUM(AS112:AS119)</f>
        <v>0</v>
      </c>
      <c r="AT120" s="129">
        <f t="shared" si="367"/>
        <v>255</v>
      </c>
      <c r="AU120" s="126">
        <f>SUM(AU112:AU119)</f>
        <v>986</v>
      </c>
      <c r="AV120" s="127">
        <f>SUM(AV112:AV119)</f>
        <v>22</v>
      </c>
      <c r="AW120" s="127">
        <f>SUM(AW112:AW119)</f>
        <v>495</v>
      </c>
      <c r="AX120" s="128">
        <f>SUM(AX112:AX119)</f>
        <v>0</v>
      </c>
      <c r="AY120" s="129">
        <f t="shared" si="368"/>
        <v>1503</v>
      </c>
      <c r="AZ120" s="126">
        <f>SUM(AZ112:AZ119)</f>
        <v>1425</v>
      </c>
      <c r="BA120" s="127">
        <f>SUM(BA112:BA119)</f>
        <v>29</v>
      </c>
      <c r="BB120" s="127">
        <f>SUM(BB112:BB119)</f>
        <v>636</v>
      </c>
      <c r="BC120" s="128">
        <f>SUM(BC112:BC119)</f>
        <v>0</v>
      </c>
      <c r="BD120" s="129">
        <f t="shared" si="369"/>
        <v>2090</v>
      </c>
      <c r="BE120" s="126">
        <f>SUM(BE112:BE119)</f>
        <v>211</v>
      </c>
      <c r="BF120" s="127">
        <f>SUM(BF112:BF119)</f>
        <v>1</v>
      </c>
      <c r="BG120" s="127">
        <f>SUM(BG112:BG119)</f>
        <v>43</v>
      </c>
      <c r="BH120" s="128">
        <f>SUM(BH112:BH119)</f>
        <v>0</v>
      </c>
      <c r="BI120" s="129">
        <f t="shared" si="370"/>
        <v>255</v>
      </c>
      <c r="BJ120" s="126">
        <f>SUM(BJ112:BJ119)</f>
        <v>288</v>
      </c>
      <c r="BK120" s="127">
        <f>SUM(BK112:BK119)</f>
        <v>6</v>
      </c>
      <c r="BL120" s="127">
        <f>SUM(BL112:BL119)</f>
        <v>57</v>
      </c>
      <c r="BM120" s="128">
        <f>SUM(BM112:BM119)</f>
        <v>0</v>
      </c>
      <c r="BN120" s="129">
        <f t="shared" si="371"/>
        <v>351</v>
      </c>
      <c r="BO120" s="131">
        <f>SUM(BO112:BO119)</f>
        <v>6644</v>
      </c>
      <c r="BP120" s="127">
        <f>SUM(BP112:BP119)</f>
        <v>158</v>
      </c>
      <c r="BQ120" s="127">
        <f>SUM(BQ112:BQ119)</f>
        <v>2677</v>
      </c>
      <c r="BR120" s="128">
        <f>SUM(BR112:BR119)</f>
        <v>0</v>
      </c>
      <c r="BS120" s="130">
        <f t="shared" si="294"/>
        <v>9479</v>
      </c>
    </row>
    <row r="121" spans="2:71" x14ac:dyDescent="0.3">
      <c r="B121" s="269"/>
      <c r="C121" s="230"/>
      <c r="D121" s="233"/>
      <c r="E121" s="241" t="s">
        <v>58</v>
      </c>
      <c r="F121" s="120" t="s">
        <v>59</v>
      </c>
      <c r="G121" s="30">
        <v>165</v>
      </c>
      <c r="H121" s="7">
        <v>2</v>
      </c>
      <c r="I121" s="7">
        <v>30</v>
      </c>
      <c r="J121" s="8"/>
      <c r="K121" s="9">
        <f t="shared" si="293"/>
        <v>197</v>
      </c>
      <c r="L121" s="30">
        <v>332</v>
      </c>
      <c r="M121" s="7">
        <v>5</v>
      </c>
      <c r="N121" s="7">
        <v>75</v>
      </c>
      <c r="O121" s="8"/>
      <c r="P121" s="9">
        <f t="shared" si="361"/>
        <v>412</v>
      </c>
      <c r="Q121" s="30">
        <v>344</v>
      </c>
      <c r="R121" s="7">
        <v>2</v>
      </c>
      <c r="S121" s="7">
        <v>111</v>
      </c>
      <c r="T121" s="8"/>
      <c r="U121" s="9">
        <f t="shared" si="362"/>
        <v>457</v>
      </c>
      <c r="V121" s="30">
        <v>370</v>
      </c>
      <c r="W121" s="7">
        <v>12</v>
      </c>
      <c r="X121" s="7">
        <v>142</v>
      </c>
      <c r="Y121" s="8"/>
      <c r="Z121" s="9">
        <f t="shared" si="363"/>
        <v>524</v>
      </c>
      <c r="AA121" s="30"/>
      <c r="AB121" s="7"/>
      <c r="AC121" s="7"/>
      <c r="AD121" s="8"/>
      <c r="AE121" s="9">
        <f t="shared" si="364"/>
        <v>0</v>
      </c>
      <c r="AF121" s="30">
        <v>318</v>
      </c>
      <c r="AG121" s="7">
        <v>9</v>
      </c>
      <c r="AH121" s="7">
        <v>88</v>
      </c>
      <c r="AI121" s="8"/>
      <c r="AJ121" s="9">
        <f t="shared" si="365"/>
        <v>415</v>
      </c>
      <c r="AK121" s="30">
        <v>88</v>
      </c>
      <c r="AL121" s="7">
        <v>7</v>
      </c>
      <c r="AM121" s="7">
        <v>32</v>
      </c>
      <c r="AN121" s="8"/>
      <c r="AO121" s="9">
        <f t="shared" si="366"/>
        <v>127</v>
      </c>
      <c r="AP121" s="30">
        <v>185</v>
      </c>
      <c r="AQ121" s="7">
        <v>4</v>
      </c>
      <c r="AR121" s="7">
        <v>53</v>
      </c>
      <c r="AS121" s="8"/>
      <c r="AT121" s="9">
        <f t="shared" si="367"/>
        <v>242</v>
      </c>
      <c r="AU121" s="30">
        <v>380</v>
      </c>
      <c r="AV121" s="7">
        <v>6</v>
      </c>
      <c r="AW121" s="7">
        <v>137</v>
      </c>
      <c r="AX121" s="8"/>
      <c r="AY121" s="9">
        <f t="shared" si="368"/>
        <v>523</v>
      </c>
      <c r="AZ121" s="30">
        <v>503</v>
      </c>
      <c r="BA121" s="7">
        <v>14</v>
      </c>
      <c r="BB121" s="7">
        <v>186</v>
      </c>
      <c r="BC121" s="8"/>
      <c r="BD121" s="9">
        <f t="shared" si="369"/>
        <v>703</v>
      </c>
      <c r="BE121" s="30">
        <v>178</v>
      </c>
      <c r="BF121" s="7">
        <v>8</v>
      </c>
      <c r="BG121" s="7">
        <v>37</v>
      </c>
      <c r="BH121" s="8"/>
      <c r="BI121" s="9">
        <f t="shared" si="370"/>
        <v>223</v>
      </c>
      <c r="BJ121" s="30">
        <v>215</v>
      </c>
      <c r="BK121" s="7">
        <v>2</v>
      </c>
      <c r="BL121" s="7">
        <v>38</v>
      </c>
      <c r="BM121" s="8"/>
      <c r="BN121" s="9">
        <f t="shared" si="371"/>
        <v>255</v>
      </c>
      <c r="BO121" s="65">
        <f t="shared" ref="BO121:BO130" si="379">SUM(G121,L121,Q121,V121,AA121,AF121,AK121,AP121,AU121,AZ121,BE121,BJ121)</f>
        <v>3078</v>
      </c>
      <c r="BP121" s="7">
        <f t="shared" ref="BP121:BP130" si="380">SUM(H121,M121,R121,W121,AB121,AG121,AL121,AQ121,AV121,BA121,BF121,BK121)</f>
        <v>71</v>
      </c>
      <c r="BQ121" s="7">
        <f t="shared" ref="BQ121:BQ130" si="381">SUM(I121,N121,S121,X121,AC121,AH121,AM121,AR121,AW121,BB121,BG121,BL121)</f>
        <v>929</v>
      </c>
      <c r="BR121" s="8">
        <f t="shared" ref="BR121:BR130" si="382">SUM(J121,O121,T121,Y121,AD121,AI121,AN121,AS121,AX121,BC121,BH121,BM121)</f>
        <v>0</v>
      </c>
      <c r="BS121" s="31">
        <f t="shared" si="294"/>
        <v>4078</v>
      </c>
    </row>
    <row r="122" spans="2:71" x14ac:dyDescent="0.3">
      <c r="B122" s="269"/>
      <c r="C122" s="230"/>
      <c r="D122" s="233"/>
      <c r="E122" s="239"/>
      <c r="F122" s="121" t="s">
        <v>60</v>
      </c>
      <c r="G122" s="32">
        <v>19</v>
      </c>
      <c r="H122" s="13"/>
      <c r="I122" s="13">
        <v>3</v>
      </c>
      <c r="J122" s="14"/>
      <c r="K122" s="15">
        <f t="shared" si="293"/>
        <v>22</v>
      </c>
      <c r="L122" s="32">
        <v>23</v>
      </c>
      <c r="M122" s="13">
        <v>1</v>
      </c>
      <c r="N122" s="13">
        <v>6</v>
      </c>
      <c r="O122" s="14"/>
      <c r="P122" s="15">
        <f t="shared" si="361"/>
        <v>30</v>
      </c>
      <c r="Q122" s="32">
        <v>80</v>
      </c>
      <c r="R122" s="13">
        <v>2</v>
      </c>
      <c r="S122" s="13">
        <v>25</v>
      </c>
      <c r="T122" s="14"/>
      <c r="U122" s="15">
        <f t="shared" si="362"/>
        <v>107</v>
      </c>
      <c r="V122" s="32">
        <v>87</v>
      </c>
      <c r="W122" s="13">
        <v>2</v>
      </c>
      <c r="X122" s="13">
        <v>41</v>
      </c>
      <c r="Y122" s="14"/>
      <c r="Z122" s="15">
        <f t="shared" si="363"/>
        <v>130</v>
      </c>
      <c r="AA122" s="32"/>
      <c r="AB122" s="13"/>
      <c r="AC122" s="13"/>
      <c r="AD122" s="14"/>
      <c r="AE122" s="15">
        <f t="shared" si="364"/>
        <v>0</v>
      </c>
      <c r="AF122" s="32">
        <v>103</v>
      </c>
      <c r="AG122" s="13">
        <v>1</v>
      </c>
      <c r="AH122" s="13">
        <v>33</v>
      </c>
      <c r="AI122" s="14"/>
      <c r="AJ122" s="15">
        <f t="shared" si="365"/>
        <v>137</v>
      </c>
      <c r="AK122" s="32">
        <v>46</v>
      </c>
      <c r="AL122" s="13">
        <v>6</v>
      </c>
      <c r="AM122" s="13">
        <v>15</v>
      </c>
      <c r="AN122" s="14"/>
      <c r="AO122" s="15">
        <f t="shared" si="366"/>
        <v>67</v>
      </c>
      <c r="AP122" s="32">
        <v>67</v>
      </c>
      <c r="AQ122" s="13">
        <v>3</v>
      </c>
      <c r="AR122" s="13">
        <v>42</v>
      </c>
      <c r="AS122" s="14"/>
      <c r="AT122" s="15">
        <f t="shared" si="367"/>
        <v>112</v>
      </c>
      <c r="AU122" s="32">
        <v>147</v>
      </c>
      <c r="AV122" s="13">
        <v>7</v>
      </c>
      <c r="AW122" s="13">
        <v>54</v>
      </c>
      <c r="AX122" s="14"/>
      <c r="AY122" s="15">
        <f t="shared" si="368"/>
        <v>208</v>
      </c>
      <c r="AZ122" s="32">
        <v>145</v>
      </c>
      <c r="BA122" s="13">
        <v>2</v>
      </c>
      <c r="BB122" s="13">
        <v>67</v>
      </c>
      <c r="BC122" s="14"/>
      <c r="BD122" s="15">
        <f t="shared" si="369"/>
        <v>214</v>
      </c>
      <c r="BE122" s="32">
        <v>46</v>
      </c>
      <c r="BF122" s="13"/>
      <c r="BG122" s="13">
        <v>16</v>
      </c>
      <c r="BH122" s="14"/>
      <c r="BI122" s="15">
        <f t="shared" si="370"/>
        <v>62</v>
      </c>
      <c r="BJ122" s="32">
        <v>44</v>
      </c>
      <c r="BK122" s="13"/>
      <c r="BL122" s="13">
        <v>17</v>
      </c>
      <c r="BM122" s="14"/>
      <c r="BN122" s="15">
        <f t="shared" si="371"/>
        <v>61</v>
      </c>
      <c r="BO122" s="66">
        <f t="shared" si="379"/>
        <v>807</v>
      </c>
      <c r="BP122" s="13">
        <f t="shared" si="380"/>
        <v>24</v>
      </c>
      <c r="BQ122" s="13">
        <f t="shared" si="381"/>
        <v>319</v>
      </c>
      <c r="BR122" s="14">
        <f t="shared" si="382"/>
        <v>0</v>
      </c>
      <c r="BS122" s="33">
        <f t="shared" si="294"/>
        <v>1150</v>
      </c>
    </row>
    <row r="123" spans="2:71" x14ac:dyDescent="0.3">
      <c r="B123" s="269"/>
      <c r="C123" s="230"/>
      <c r="D123" s="233"/>
      <c r="E123" s="239"/>
      <c r="F123" s="121" t="s">
        <v>61</v>
      </c>
      <c r="G123" s="32">
        <v>13</v>
      </c>
      <c r="H123" s="13"/>
      <c r="I123" s="13">
        <v>6</v>
      </c>
      <c r="J123" s="14"/>
      <c r="K123" s="15">
        <f t="shared" ref="K123:K124" si="383">SUM(G123:J123)</f>
        <v>19</v>
      </c>
      <c r="L123" s="32">
        <v>22</v>
      </c>
      <c r="M123" s="13">
        <v>1</v>
      </c>
      <c r="N123" s="13">
        <v>11</v>
      </c>
      <c r="O123" s="14"/>
      <c r="P123" s="15">
        <f t="shared" si="361"/>
        <v>34</v>
      </c>
      <c r="Q123" s="32">
        <v>45</v>
      </c>
      <c r="R123" s="13"/>
      <c r="S123" s="13">
        <v>5</v>
      </c>
      <c r="T123" s="14"/>
      <c r="U123" s="15">
        <f t="shared" si="362"/>
        <v>50</v>
      </c>
      <c r="V123" s="32">
        <v>29</v>
      </c>
      <c r="W123" s="13">
        <v>2</v>
      </c>
      <c r="X123" s="13">
        <v>17</v>
      </c>
      <c r="Y123" s="14"/>
      <c r="Z123" s="15">
        <f t="shared" si="363"/>
        <v>48</v>
      </c>
      <c r="AA123" s="32"/>
      <c r="AB123" s="13"/>
      <c r="AC123" s="13"/>
      <c r="AD123" s="14"/>
      <c r="AE123" s="15">
        <f t="shared" si="364"/>
        <v>0</v>
      </c>
      <c r="AF123" s="32">
        <v>38</v>
      </c>
      <c r="AG123" s="13">
        <v>2</v>
      </c>
      <c r="AH123" s="13">
        <v>6</v>
      </c>
      <c r="AI123" s="14"/>
      <c r="AJ123" s="15">
        <f t="shared" si="365"/>
        <v>46</v>
      </c>
      <c r="AK123" s="32">
        <v>14</v>
      </c>
      <c r="AL123" s="13"/>
      <c r="AM123" s="13">
        <v>2</v>
      </c>
      <c r="AN123" s="14"/>
      <c r="AO123" s="15">
        <f t="shared" si="366"/>
        <v>16</v>
      </c>
      <c r="AP123" s="32">
        <v>20</v>
      </c>
      <c r="AQ123" s="13"/>
      <c r="AR123" s="13">
        <v>3</v>
      </c>
      <c r="AS123" s="14"/>
      <c r="AT123" s="15">
        <f t="shared" si="367"/>
        <v>23</v>
      </c>
      <c r="AU123" s="32">
        <v>54</v>
      </c>
      <c r="AV123" s="13"/>
      <c r="AW123" s="13">
        <v>17</v>
      </c>
      <c r="AX123" s="14"/>
      <c r="AY123" s="15">
        <f t="shared" si="368"/>
        <v>71</v>
      </c>
      <c r="AZ123" s="32">
        <v>43</v>
      </c>
      <c r="BA123" s="13">
        <v>1</v>
      </c>
      <c r="BB123" s="13">
        <v>15</v>
      </c>
      <c r="BC123" s="14"/>
      <c r="BD123" s="15">
        <f t="shared" si="369"/>
        <v>59</v>
      </c>
      <c r="BE123" s="32">
        <v>18</v>
      </c>
      <c r="BF123" s="13"/>
      <c r="BG123" s="13">
        <v>4</v>
      </c>
      <c r="BH123" s="14"/>
      <c r="BI123" s="15">
        <f t="shared" si="370"/>
        <v>22</v>
      </c>
      <c r="BJ123" s="32">
        <v>26</v>
      </c>
      <c r="BK123" s="13"/>
      <c r="BL123" s="13">
        <v>3</v>
      </c>
      <c r="BM123" s="14"/>
      <c r="BN123" s="15">
        <f t="shared" si="371"/>
        <v>29</v>
      </c>
      <c r="BO123" s="66">
        <f t="shared" si="379"/>
        <v>322</v>
      </c>
      <c r="BP123" s="13">
        <f t="shared" si="380"/>
        <v>6</v>
      </c>
      <c r="BQ123" s="13">
        <f t="shared" si="381"/>
        <v>89</v>
      </c>
      <c r="BR123" s="14">
        <f t="shared" si="382"/>
        <v>0</v>
      </c>
      <c r="BS123" s="33">
        <f t="shared" ref="BS123:BS124" si="384">SUM(BO123:BR123)</f>
        <v>417</v>
      </c>
    </row>
    <row r="124" spans="2:71" x14ac:dyDescent="0.3">
      <c r="B124" s="269"/>
      <c r="C124" s="230"/>
      <c r="D124" s="233"/>
      <c r="E124" s="239"/>
      <c r="F124" s="121" t="s">
        <v>62</v>
      </c>
      <c r="G124" s="32">
        <v>1</v>
      </c>
      <c r="H124" s="13"/>
      <c r="I124" s="13"/>
      <c r="J124" s="14"/>
      <c r="K124" s="15">
        <f t="shared" si="383"/>
        <v>1</v>
      </c>
      <c r="L124" s="32">
        <v>2</v>
      </c>
      <c r="M124" s="13"/>
      <c r="N124" s="13">
        <v>1</v>
      </c>
      <c r="O124" s="14"/>
      <c r="P124" s="15">
        <f t="shared" si="361"/>
        <v>3</v>
      </c>
      <c r="Q124" s="32">
        <v>9</v>
      </c>
      <c r="R124" s="13"/>
      <c r="S124" s="13">
        <v>2</v>
      </c>
      <c r="T124" s="14"/>
      <c r="U124" s="15">
        <f t="shared" si="362"/>
        <v>11</v>
      </c>
      <c r="V124" s="32">
        <v>7</v>
      </c>
      <c r="W124" s="13"/>
      <c r="X124" s="13">
        <v>5</v>
      </c>
      <c r="Y124" s="14"/>
      <c r="Z124" s="15">
        <f t="shared" si="363"/>
        <v>12</v>
      </c>
      <c r="AA124" s="32"/>
      <c r="AB124" s="13"/>
      <c r="AC124" s="13"/>
      <c r="AD124" s="14"/>
      <c r="AE124" s="15">
        <f t="shared" si="364"/>
        <v>0</v>
      </c>
      <c r="AF124" s="32">
        <v>13</v>
      </c>
      <c r="AG124" s="13"/>
      <c r="AH124" s="13">
        <v>1</v>
      </c>
      <c r="AI124" s="14"/>
      <c r="AJ124" s="15">
        <f t="shared" si="365"/>
        <v>14</v>
      </c>
      <c r="AK124" s="32">
        <v>3</v>
      </c>
      <c r="AL124" s="13">
        <v>1</v>
      </c>
      <c r="AM124" s="13">
        <v>4</v>
      </c>
      <c r="AN124" s="14"/>
      <c r="AO124" s="15">
        <f t="shared" si="366"/>
        <v>8</v>
      </c>
      <c r="AP124" s="32">
        <v>8</v>
      </c>
      <c r="AQ124" s="13"/>
      <c r="AR124" s="13">
        <v>5</v>
      </c>
      <c r="AS124" s="14"/>
      <c r="AT124" s="15">
        <f t="shared" si="367"/>
        <v>13</v>
      </c>
      <c r="AU124" s="32">
        <v>19</v>
      </c>
      <c r="AV124" s="13"/>
      <c r="AW124" s="13">
        <v>7</v>
      </c>
      <c r="AX124" s="14"/>
      <c r="AY124" s="15">
        <f t="shared" si="368"/>
        <v>26</v>
      </c>
      <c r="AZ124" s="32">
        <v>10</v>
      </c>
      <c r="BA124" s="13"/>
      <c r="BB124" s="13">
        <v>7</v>
      </c>
      <c r="BC124" s="14"/>
      <c r="BD124" s="15">
        <f t="shared" si="369"/>
        <v>17</v>
      </c>
      <c r="BE124" s="32">
        <v>5</v>
      </c>
      <c r="BF124" s="13"/>
      <c r="BG124" s="13">
        <v>1</v>
      </c>
      <c r="BH124" s="14"/>
      <c r="BI124" s="15">
        <f t="shared" si="370"/>
        <v>6</v>
      </c>
      <c r="BJ124" s="32">
        <v>4</v>
      </c>
      <c r="BK124" s="13"/>
      <c r="BL124" s="13">
        <v>2</v>
      </c>
      <c r="BM124" s="14"/>
      <c r="BN124" s="15">
        <f t="shared" si="371"/>
        <v>6</v>
      </c>
      <c r="BO124" s="66">
        <f t="shared" si="379"/>
        <v>81</v>
      </c>
      <c r="BP124" s="13">
        <f t="shared" si="380"/>
        <v>1</v>
      </c>
      <c r="BQ124" s="13">
        <f t="shared" si="381"/>
        <v>35</v>
      </c>
      <c r="BR124" s="14">
        <f t="shared" si="382"/>
        <v>0</v>
      </c>
      <c r="BS124" s="33">
        <f t="shared" si="384"/>
        <v>117</v>
      </c>
    </row>
    <row r="125" spans="2:71" x14ac:dyDescent="0.3">
      <c r="B125" s="269"/>
      <c r="C125" s="230"/>
      <c r="D125" s="233"/>
      <c r="E125" s="239"/>
      <c r="F125" s="121" t="s">
        <v>156</v>
      </c>
      <c r="G125" s="32">
        <v>11</v>
      </c>
      <c r="H125" s="13"/>
      <c r="I125" s="13">
        <v>11</v>
      </c>
      <c r="J125" s="14"/>
      <c r="K125" s="15">
        <f t="shared" si="293"/>
        <v>22</v>
      </c>
      <c r="L125" s="32">
        <v>18</v>
      </c>
      <c r="M125" s="13"/>
      <c r="N125" s="13">
        <v>20</v>
      </c>
      <c r="O125" s="14"/>
      <c r="P125" s="15">
        <f t="shared" si="361"/>
        <v>38</v>
      </c>
      <c r="Q125" s="32">
        <v>10</v>
      </c>
      <c r="R125" s="13"/>
      <c r="S125" s="13">
        <v>18</v>
      </c>
      <c r="T125" s="14"/>
      <c r="U125" s="15">
        <f t="shared" si="362"/>
        <v>28</v>
      </c>
      <c r="V125" s="32">
        <v>29</v>
      </c>
      <c r="W125" s="13">
        <v>1</v>
      </c>
      <c r="X125" s="13">
        <v>29</v>
      </c>
      <c r="Y125" s="14"/>
      <c r="Z125" s="15">
        <f t="shared" si="363"/>
        <v>59</v>
      </c>
      <c r="AA125" s="32"/>
      <c r="AB125" s="13"/>
      <c r="AC125" s="13"/>
      <c r="AD125" s="14"/>
      <c r="AE125" s="15">
        <f t="shared" si="364"/>
        <v>0</v>
      </c>
      <c r="AF125" s="32">
        <v>23</v>
      </c>
      <c r="AG125" s="13">
        <v>1</v>
      </c>
      <c r="AH125" s="13">
        <v>34</v>
      </c>
      <c r="AI125" s="14"/>
      <c r="AJ125" s="15">
        <f t="shared" si="365"/>
        <v>58</v>
      </c>
      <c r="AK125" s="32">
        <v>6</v>
      </c>
      <c r="AL125" s="13">
        <v>1</v>
      </c>
      <c r="AM125" s="13">
        <v>7</v>
      </c>
      <c r="AN125" s="14"/>
      <c r="AO125" s="15">
        <f t="shared" si="366"/>
        <v>14</v>
      </c>
      <c r="AP125" s="32">
        <v>7</v>
      </c>
      <c r="AQ125" s="13"/>
      <c r="AR125" s="13">
        <v>4</v>
      </c>
      <c r="AS125" s="14"/>
      <c r="AT125" s="15">
        <f t="shared" si="367"/>
        <v>11</v>
      </c>
      <c r="AU125" s="32">
        <v>13</v>
      </c>
      <c r="AV125" s="13">
        <v>1</v>
      </c>
      <c r="AW125" s="13">
        <v>19</v>
      </c>
      <c r="AX125" s="14"/>
      <c r="AY125" s="15">
        <f t="shared" si="368"/>
        <v>33</v>
      </c>
      <c r="AZ125" s="32">
        <v>22</v>
      </c>
      <c r="BA125" s="13"/>
      <c r="BB125" s="13">
        <v>42</v>
      </c>
      <c r="BC125" s="14"/>
      <c r="BD125" s="15">
        <f t="shared" si="369"/>
        <v>64</v>
      </c>
      <c r="BE125" s="32">
        <v>8</v>
      </c>
      <c r="BF125" s="13"/>
      <c r="BG125" s="13">
        <v>5</v>
      </c>
      <c r="BH125" s="14"/>
      <c r="BI125" s="15">
        <f t="shared" si="370"/>
        <v>13</v>
      </c>
      <c r="BJ125" s="32">
        <v>10</v>
      </c>
      <c r="BK125" s="13"/>
      <c r="BL125" s="13">
        <v>9</v>
      </c>
      <c r="BM125" s="14"/>
      <c r="BN125" s="15">
        <f t="shared" si="371"/>
        <v>19</v>
      </c>
      <c r="BO125" s="66">
        <f t="shared" si="379"/>
        <v>157</v>
      </c>
      <c r="BP125" s="13">
        <f t="shared" si="380"/>
        <v>4</v>
      </c>
      <c r="BQ125" s="13">
        <f t="shared" si="381"/>
        <v>198</v>
      </c>
      <c r="BR125" s="14">
        <f t="shared" si="382"/>
        <v>0</v>
      </c>
      <c r="BS125" s="33">
        <f t="shared" si="294"/>
        <v>359</v>
      </c>
    </row>
    <row r="126" spans="2:71" x14ac:dyDescent="0.3">
      <c r="B126" s="269"/>
      <c r="C126" s="230"/>
      <c r="D126" s="233"/>
      <c r="E126" s="239"/>
      <c r="F126" s="123" t="s">
        <v>157</v>
      </c>
      <c r="G126" s="34">
        <v>1</v>
      </c>
      <c r="H126" s="16"/>
      <c r="I126" s="16"/>
      <c r="J126" s="17"/>
      <c r="K126" s="18">
        <f t="shared" si="293"/>
        <v>1</v>
      </c>
      <c r="L126" s="34">
        <v>2</v>
      </c>
      <c r="M126" s="16"/>
      <c r="N126" s="16">
        <v>2</v>
      </c>
      <c r="O126" s="17"/>
      <c r="P126" s="18">
        <f t="shared" si="361"/>
        <v>4</v>
      </c>
      <c r="Q126" s="34">
        <v>8</v>
      </c>
      <c r="R126" s="16"/>
      <c r="S126" s="16">
        <v>3</v>
      </c>
      <c r="T126" s="17"/>
      <c r="U126" s="18">
        <f t="shared" si="362"/>
        <v>11</v>
      </c>
      <c r="V126" s="34">
        <v>5</v>
      </c>
      <c r="W126" s="16"/>
      <c r="X126" s="16">
        <v>12</v>
      </c>
      <c r="Y126" s="17"/>
      <c r="Z126" s="18">
        <f t="shared" si="363"/>
        <v>17</v>
      </c>
      <c r="AA126" s="34"/>
      <c r="AB126" s="16"/>
      <c r="AC126" s="16"/>
      <c r="AD126" s="17"/>
      <c r="AE126" s="18">
        <f t="shared" si="364"/>
        <v>0</v>
      </c>
      <c r="AF126" s="34">
        <v>7</v>
      </c>
      <c r="AG126" s="16"/>
      <c r="AH126" s="16">
        <v>10</v>
      </c>
      <c r="AI126" s="17"/>
      <c r="AJ126" s="18">
        <f t="shared" si="365"/>
        <v>17</v>
      </c>
      <c r="AK126" s="34">
        <v>3</v>
      </c>
      <c r="AL126" s="16"/>
      <c r="AM126" s="16">
        <v>4</v>
      </c>
      <c r="AN126" s="17"/>
      <c r="AO126" s="18">
        <f t="shared" si="366"/>
        <v>7</v>
      </c>
      <c r="AP126" s="34">
        <v>7</v>
      </c>
      <c r="AQ126" s="16"/>
      <c r="AR126" s="16">
        <v>3</v>
      </c>
      <c r="AS126" s="17"/>
      <c r="AT126" s="18">
        <f t="shared" si="367"/>
        <v>10</v>
      </c>
      <c r="AU126" s="34">
        <v>3</v>
      </c>
      <c r="AV126" s="16"/>
      <c r="AW126" s="16">
        <v>15</v>
      </c>
      <c r="AX126" s="17"/>
      <c r="AY126" s="18">
        <f t="shared" si="368"/>
        <v>18</v>
      </c>
      <c r="AZ126" s="34">
        <v>6</v>
      </c>
      <c r="BA126" s="16"/>
      <c r="BB126" s="16">
        <v>8</v>
      </c>
      <c r="BC126" s="17"/>
      <c r="BD126" s="18">
        <f t="shared" si="369"/>
        <v>14</v>
      </c>
      <c r="BE126" s="34"/>
      <c r="BF126" s="16"/>
      <c r="BG126" s="16">
        <v>3</v>
      </c>
      <c r="BH126" s="17"/>
      <c r="BI126" s="18">
        <f t="shared" si="370"/>
        <v>3</v>
      </c>
      <c r="BJ126" s="34">
        <v>3</v>
      </c>
      <c r="BK126" s="16"/>
      <c r="BL126" s="16">
        <v>1</v>
      </c>
      <c r="BM126" s="17"/>
      <c r="BN126" s="18">
        <f t="shared" si="371"/>
        <v>4</v>
      </c>
      <c r="BO126" s="70">
        <f t="shared" si="379"/>
        <v>45</v>
      </c>
      <c r="BP126" s="16">
        <f t="shared" si="380"/>
        <v>0</v>
      </c>
      <c r="BQ126" s="16">
        <f t="shared" si="381"/>
        <v>61</v>
      </c>
      <c r="BR126" s="17">
        <f t="shared" si="382"/>
        <v>0</v>
      </c>
      <c r="BS126" s="35">
        <f t="shared" si="294"/>
        <v>106</v>
      </c>
    </row>
    <row r="127" spans="2:71" x14ac:dyDescent="0.3">
      <c r="B127" s="269"/>
      <c r="C127" s="230"/>
      <c r="D127" s="233"/>
      <c r="E127" s="239"/>
      <c r="F127" s="123" t="s">
        <v>148</v>
      </c>
      <c r="G127" s="34">
        <v>21</v>
      </c>
      <c r="H127" s="16"/>
      <c r="I127" s="16">
        <v>7</v>
      </c>
      <c r="J127" s="17"/>
      <c r="K127" s="18">
        <f t="shared" ref="K127:K130" si="385">SUM(G127:J127)</f>
        <v>28</v>
      </c>
      <c r="L127" s="34"/>
      <c r="M127" s="16"/>
      <c r="N127" s="16"/>
      <c r="O127" s="17"/>
      <c r="P127" s="18">
        <f t="shared" ref="P127:P130" si="386">SUM(L127:O127)</f>
        <v>0</v>
      </c>
      <c r="Q127" s="34"/>
      <c r="R127" s="16"/>
      <c r="S127" s="16"/>
      <c r="T127" s="17"/>
      <c r="U127" s="18">
        <f t="shared" ref="U127:U130" si="387">SUM(Q127:T127)</f>
        <v>0</v>
      </c>
      <c r="V127" s="34"/>
      <c r="W127" s="16"/>
      <c r="X127" s="16"/>
      <c r="Y127" s="17"/>
      <c r="Z127" s="18">
        <f t="shared" ref="Z127:Z130" si="388">SUM(V127:Y127)</f>
        <v>0</v>
      </c>
      <c r="AA127" s="34">
        <v>434</v>
      </c>
      <c r="AB127" s="16">
        <v>23</v>
      </c>
      <c r="AC127" s="16">
        <v>141</v>
      </c>
      <c r="AD127" s="17"/>
      <c r="AE127" s="18">
        <f t="shared" ref="AE127:AE130" si="389">SUM(AA127:AD127)</f>
        <v>598</v>
      </c>
      <c r="AF127" s="34"/>
      <c r="AG127" s="16"/>
      <c r="AH127" s="16"/>
      <c r="AI127" s="17"/>
      <c r="AJ127" s="18">
        <f t="shared" ref="AJ127:AJ130" si="390">SUM(AF127:AI127)</f>
        <v>0</v>
      </c>
      <c r="AK127" s="34"/>
      <c r="AL127" s="16"/>
      <c r="AM127" s="16"/>
      <c r="AN127" s="17"/>
      <c r="AO127" s="18">
        <f t="shared" ref="AO127:AO130" si="391">SUM(AK127:AN127)</f>
        <v>0</v>
      </c>
      <c r="AP127" s="34"/>
      <c r="AQ127" s="16"/>
      <c r="AR127" s="16"/>
      <c r="AS127" s="17"/>
      <c r="AT127" s="18">
        <f t="shared" ref="AT127:AT130" si="392">SUM(AP127:AS127)</f>
        <v>0</v>
      </c>
      <c r="AU127" s="34"/>
      <c r="AV127" s="16"/>
      <c r="AW127" s="16"/>
      <c r="AX127" s="17"/>
      <c r="AY127" s="18">
        <f t="shared" ref="AY127:AY130" si="393">SUM(AU127:AX127)</f>
        <v>0</v>
      </c>
      <c r="AZ127" s="34"/>
      <c r="BA127" s="16"/>
      <c r="BB127" s="16"/>
      <c r="BC127" s="17"/>
      <c r="BD127" s="18">
        <f t="shared" ref="BD127:BD130" si="394">SUM(AZ127:BC127)</f>
        <v>0</v>
      </c>
      <c r="BE127" s="34"/>
      <c r="BF127" s="16"/>
      <c r="BG127" s="16"/>
      <c r="BH127" s="17"/>
      <c r="BI127" s="18">
        <f t="shared" ref="BI127:BI130" si="395">SUM(BE127:BH127)</f>
        <v>0</v>
      </c>
      <c r="BJ127" s="34">
        <v>25</v>
      </c>
      <c r="BK127" s="16">
        <v>1</v>
      </c>
      <c r="BL127" s="16">
        <v>6</v>
      </c>
      <c r="BM127" s="17"/>
      <c r="BN127" s="18">
        <f t="shared" ref="BN127:BN130" si="396">SUM(BJ127:BM127)</f>
        <v>32</v>
      </c>
      <c r="BO127" s="70">
        <f t="shared" si="379"/>
        <v>480</v>
      </c>
      <c r="BP127" s="16">
        <f t="shared" si="380"/>
        <v>24</v>
      </c>
      <c r="BQ127" s="16">
        <f t="shared" si="381"/>
        <v>154</v>
      </c>
      <c r="BR127" s="17">
        <f t="shared" si="382"/>
        <v>0</v>
      </c>
      <c r="BS127" s="35">
        <f t="shared" ref="BS127:BS130" si="397">SUM(BO127:BR127)</f>
        <v>658</v>
      </c>
    </row>
    <row r="128" spans="2:71" x14ac:dyDescent="0.3">
      <c r="B128" s="269"/>
      <c r="C128" s="230"/>
      <c r="D128" s="233"/>
      <c r="E128" s="239"/>
      <c r="F128" s="121" t="s">
        <v>149</v>
      </c>
      <c r="G128" s="32"/>
      <c r="H128" s="13"/>
      <c r="I128" s="13"/>
      <c r="J128" s="14"/>
      <c r="K128" s="15">
        <f t="shared" si="385"/>
        <v>0</v>
      </c>
      <c r="L128" s="32"/>
      <c r="M128" s="13"/>
      <c r="N128" s="13"/>
      <c r="O128" s="14"/>
      <c r="P128" s="15">
        <f t="shared" si="386"/>
        <v>0</v>
      </c>
      <c r="Q128" s="32"/>
      <c r="R128" s="13"/>
      <c r="S128" s="13"/>
      <c r="T128" s="14"/>
      <c r="U128" s="15">
        <f t="shared" si="387"/>
        <v>0</v>
      </c>
      <c r="V128" s="32"/>
      <c r="W128" s="13"/>
      <c r="X128" s="13"/>
      <c r="Y128" s="14"/>
      <c r="Z128" s="15">
        <f t="shared" si="388"/>
        <v>0</v>
      </c>
      <c r="AA128" s="32">
        <v>119</v>
      </c>
      <c r="AB128" s="13">
        <v>5</v>
      </c>
      <c r="AC128" s="13">
        <v>41</v>
      </c>
      <c r="AD128" s="14"/>
      <c r="AE128" s="15">
        <f t="shared" si="389"/>
        <v>165</v>
      </c>
      <c r="AF128" s="32"/>
      <c r="AG128" s="13"/>
      <c r="AH128" s="13"/>
      <c r="AI128" s="14"/>
      <c r="AJ128" s="15">
        <f t="shared" si="390"/>
        <v>0</v>
      </c>
      <c r="AK128" s="32"/>
      <c r="AL128" s="13"/>
      <c r="AM128" s="13"/>
      <c r="AN128" s="14"/>
      <c r="AO128" s="15">
        <f t="shared" si="391"/>
        <v>0</v>
      </c>
      <c r="AP128" s="32"/>
      <c r="AQ128" s="13"/>
      <c r="AR128" s="13"/>
      <c r="AS128" s="14"/>
      <c r="AT128" s="15">
        <f t="shared" si="392"/>
        <v>0</v>
      </c>
      <c r="AU128" s="32"/>
      <c r="AV128" s="13"/>
      <c r="AW128" s="13"/>
      <c r="AX128" s="14"/>
      <c r="AY128" s="15">
        <f t="shared" si="393"/>
        <v>0</v>
      </c>
      <c r="AZ128" s="32"/>
      <c r="BA128" s="13"/>
      <c r="BB128" s="13"/>
      <c r="BC128" s="14"/>
      <c r="BD128" s="15">
        <f t="shared" si="394"/>
        <v>0</v>
      </c>
      <c r="BE128" s="32"/>
      <c r="BF128" s="13"/>
      <c r="BG128" s="13"/>
      <c r="BH128" s="14"/>
      <c r="BI128" s="15">
        <f t="shared" si="395"/>
        <v>0</v>
      </c>
      <c r="BJ128" s="32">
        <v>12</v>
      </c>
      <c r="BK128" s="13"/>
      <c r="BL128" s="13">
        <v>1</v>
      </c>
      <c r="BM128" s="14"/>
      <c r="BN128" s="15">
        <f t="shared" si="396"/>
        <v>13</v>
      </c>
      <c r="BO128" s="66">
        <f t="shared" si="379"/>
        <v>131</v>
      </c>
      <c r="BP128" s="13">
        <f t="shared" si="380"/>
        <v>5</v>
      </c>
      <c r="BQ128" s="13">
        <f t="shared" si="381"/>
        <v>42</v>
      </c>
      <c r="BR128" s="14">
        <f t="shared" si="382"/>
        <v>0</v>
      </c>
      <c r="BS128" s="33">
        <f t="shared" si="397"/>
        <v>178</v>
      </c>
    </row>
    <row r="129" spans="2:71" x14ac:dyDescent="0.3">
      <c r="B129" s="269"/>
      <c r="C129" s="230"/>
      <c r="D129" s="233"/>
      <c r="E129" s="239"/>
      <c r="F129" s="121" t="s">
        <v>158</v>
      </c>
      <c r="G129" s="32">
        <v>12</v>
      </c>
      <c r="H129" s="13"/>
      <c r="I129" s="13">
        <v>6</v>
      </c>
      <c r="J129" s="14"/>
      <c r="K129" s="15">
        <f t="shared" si="385"/>
        <v>18</v>
      </c>
      <c r="L129" s="32"/>
      <c r="M129" s="13"/>
      <c r="N129" s="13"/>
      <c r="O129" s="14"/>
      <c r="P129" s="15">
        <f t="shared" si="386"/>
        <v>0</v>
      </c>
      <c r="Q129" s="32"/>
      <c r="R129" s="13"/>
      <c r="S129" s="13"/>
      <c r="T129" s="14"/>
      <c r="U129" s="15">
        <f t="shared" si="387"/>
        <v>0</v>
      </c>
      <c r="V129" s="32"/>
      <c r="W129" s="13"/>
      <c r="X129" s="13"/>
      <c r="Y129" s="14"/>
      <c r="Z129" s="15">
        <f t="shared" si="388"/>
        <v>0</v>
      </c>
      <c r="AA129" s="32">
        <v>49</v>
      </c>
      <c r="AB129" s="13">
        <v>9</v>
      </c>
      <c r="AC129" s="13">
        <v>95</v>
      </c>
      <c r="AD129" s="14"/>
      <c r="AE129" s="15">
        <f t="shared" si="389"/>
        <v>153</v>
      </c>
      <c r="AF129" s="32"/>
      <c r="AG129" s="13"/>
      <c r="AH129" s="13"/>
      <c r="AI129" s="14"/>
      <c r="AJ129" s="15">
        <f t="shared" si="390"/>
        <v>0</v>
      </c>
      <c r="AK129" s="32"/>
      <c r="AL129" s="13"/>
      <c r="AM129" s="13"/>
      <c r="AN129" s="14"/>
      <c r="AO129" s="15">
        <f t="shared" si="391"/>
        <v>0</v>
      </c>
      <c r="AP129" s="32"/>
      <c r="AQ129" s="13"/>
      <c r="AR129" s="13"/>
      <c r="AS129" s="14"/>
      <c r="AT129" s="15">
        <f t="shared" si="392"/>
        <v>0</v>
      </c>
      <c r="AU129" s="32"/>
      <c r="AV129" s="13"/>
      <c r="AW129" s="13"/>
      <c r="AX129" s="14"/>
      <c r="AY129" s="15">
        <f t="shared" si="393"/>
        <v>0</v>
      </c>
      <c r="AZ129" s="32"/>
      <c r="BA129" s="13"/>
      <c r="BB129" s="13"/>
      <c r="BC129" s="14"/>
      <c r="BD129" s="15">
        <f t="shared" si="394"/>
        <v>0</v>
      </c>
      <c r="BE129" s="32"/>
      <c r="BF129" s="13"/>
      <c r="BG129" s="13"/>
      <c r="BH129" s="14"/>
      <c r="BI129" s="15">
        <f t="shared" si="395"/>
        <v>0</v>
      </c>
      <c r="BJ129" s="32">
        <v>2</v>
      </c>
      <c r="BK129" s="13"/>
      <c r="BL129" s="13"/>
      <c r="BM129" s="14"/>
      <c r="BN129" s="15">
        <f t="shared" si="396"/>
        <v>2</v>
      </c>
      <c r="BO129" s="66">
        <f t="shared" si="379"/>
        <v>63</v>
      </c>
      <c r="BP129" s="13">
        <f t="shared" si="380"/>
        <v>9</v>
      </c>
      <c r="BQ129" s="13">
        <f t="shared" si="381"/>
        <v>101</v>
      </c>
      <c r="BR129" s="14">
        <f t="shared" si="382"/>
        <v>0</v>
      </c>
      <c r="BS129" s="33">
        <f t="shared" si="397"/>
        <v>173</v>
      </c>
    </row>
    <row r="130" spans="2:71" x14ac:dyDescent="0.3">
      <c r="B130" s="269"/>
      <c r="C130" s="230"/>
      <c r="D130" s="233"/>
      <c r="E130" s="239"/>
      <c r="F130" s="122" t="s">
        <v>159</v>
      </c>
      <c r="G130" s="135"/>
      <c r="H130" s="136"/>
      <c r="I130" s="136"/>
      <c r="J130" s="137"/>
      <c r="K130" s="138">
        <f t="shared" si="385"/>
        <v>0</v>
      </c>
      <c r="L130" s="135"/>
      <c r="M130" s="136"/>
      <c r="N130" s="136"/>
      <c r="O130" s="137"/>
      <c r="P130" s="138">
        <f t="shared" si="386"/>
        <v>0</v>
      </c>
      <c r="Q130" s="135"/>
      <c r="R130" s="136"/>
      <c r="S130" s="136"/>
      <c r="T130" s="137"/>
      <c r="U130" s="138">
        <f t="shared" si="387"/>
        <v>0</v>
      </c>
      <c r="V130" s="135"/>
      <c r="W130" s="136"/>
      <c r="X130" s="136"/>
      <c r="Y130" s="137"/>
      <c r="Z130" s="138">
        <f t="shared" si="388"/>
        <v>0</v>
      </c>
      <c r="AA130" s="135">
        <v>15</v>
      </c>
      <c r="AB130" s="136">
        <v>3</v>
      </c>
      <c r="AC130" s="136">
        <v>34</v>
      </c>
      <c r="AD130" s="137"/>
      <c r="AE130" s="138">
        <f t="shared" si="389"/>
        <v>52</v>
      </c>
      <c r="AF130" s="135"/>
      <c r="AG130" s="136"/>
      <c r="AH130" s="136"/>
      <c r="AI130" s="137"/>
      <c r="AJ130" s="138">
        <f t="shared" si="390"/>
        <v>0</v>
      </c>
      <c r="AK130" s="135"/>
      <c r="AL130" s="136"/>
      <c r="AM130" s="136"/>
      <c r="AN130" s="137"/>
      <c r="AO130" s="138">
        <f t="shared" si="391"/>
        <v>0</v>
      </c>
      <c r="AP130" s="135"/>
      <c r="AQ130" s="136"/>
      <c r="AR130" s="136"/>
      <c r="AS130" s="137"/>
      <c r="AT130" s="138">
        <f t="shared" si="392"/>
        <v>0</v>
      </c>
      <c r="AU130" s="135"/>
      <c r="AV130" s="136"/>
      <c r="AW130" s="136"/>
      <c r="AX130" s="137"/>
      <c r="AY130" s="138">
        <f t="shared" si="393"/>
        <v>0</v>
      </c>
      <c r="AZ130" s="135"/>
      <c r="BA130" s="136"/>
      <c r="BB130" s="136"/>
      <c r="BC130" s="137"/>
      <c r="BD130" s="138">
        <f t="shared" si="394"/>
        <v>0</v>
      </c>
      <c r="BE130" s="135"/>
      <c r="BF130" s="136"/>
      <c r="BG130" s="136"/>
      <c r="BH130" s="137"/>
      <c r="BI130" s="138">
        <f t="shared" si="395"/>
        <v>0</v>
      </c>
      <c r="BJ130" s="135"/>
      <c r="BK130" s="136"/>
      <c r="BL130" s="136">
        <v>1</v>
      </c>
      <c r="BM130" s="137"/>
      <c r="BN130" s="138">
        <f t="shared" si="396"/>
        <v>1</v>
      </c>
      <c r="BO130" s="140">
        <f t="shared" si="379"/>
        <v>15</v>
      </c>
      <c r="BP130" s="136">
        <f t="shared" si="380"/>
        <v>3</v>
      </c>
      <c r="BQ130" s="136">
        <f t="shared" si="381"/>
        <v>35</v>
      </c>
      <c r="BR130" s="137">
        <f t="shared" si="382"/>
        <v>0</v>
      </c>
      <c r="BS130" s="139">
        <f t="shared" si="397"/>
        <v>53</v>
      </c>
    </row>
    <row r="131" spans="2:71" x14ac:dyDescent="0.3">
      <c r="B131" s="269"/>
      <c r="C131" s="230"/>
      <c r="D131" s="233"/>
      <c r="E131" s="240"/>
      <c r="F131" s="125" t="s">
        <v>55</v>
      </c>
      <c r="G131" s="126">
        <f>SUM(G121:G130)</f>
        <v>243</v>
      </c>
      <c r="H131" s="127">
        <f>SUM(H121:H130)</f>
        <v>2</v>
      </c>
      <c r="I131" s="127">
        <f>SUM(I121:I130)</f>
        <v>63</v>
      </c>
      <c r="J131" s="128">
        <f>SUM(J121:J130)</f>
        <v>0</v>
      </c>
      <c r="K131" s="129">
        <f t="shared" si="293"/>
        <v>308</v>
      </c>
      <c r="L131" s="126">
        <f>SUM(L121:L130)</f>
        <v>399</v>
      </c>
      <c r="M131" s="127">
        <f>SUM(M121:M130)</f>
        <v>7</v>
      </c>
      <c r="N131" s="127">
        <f>SUM(N121:N130)</f>
        <v>115</v>
      </c>
      <c r="O131" s="128">
        <f>SUM(O121:O130)</f>
        <v>0</v>
      </c>
      <c r="P131" s="129">
        <f t="shared" ref="P131:P153" si="398">SUM(L131:O131)</f>
        <v>521</v>
      </c>
      <c r="Q131" s="126">
        <f>SUM(Q121:Q130)</f>
        <v>496</v>
      </c>
      <c r="R131" s="127">
        <f>SUM(R121:R130)</f>
        <v>4</v>
      </c>
      <c r="S131" s="127">
        <f>SUM(S121:S130)</f>
        <v>164</v>
      </c>
      <c r="T131" s="128">
        <f>SUM(T121:T130)</f>
        <v>0</v>
      </c>
      <c r="U131" s="129">
        <f t="shared" ref="U131:U153" si="399">SUM(Q131:T131)</f>
        <v>664</v>
      </c>
      <c r="V131" s="126">
        <f>SUM(V121:V130)</f>
        <v>527</v>
      </c>
      <c r="W131" s="127">
        <f>SUM(W121:W130)</f>
        <v>17</v>
      </c>
      <c r="X131" s="127">
        <f>SUM(X121:X130)</f>
        <v>246</v>
      </c>
      <c r="Y131" s="128">
        <f>SUM(Y121:Y130)</f>
        <v>0</v>
      </c>
      <c r="Z131" s="129">
        <f t="shared" ref="Z131:Z153" si="400">SUM(V131:Y131)</f>
        <v>790</v>
      </c>
      <c r="AA131" s="126">
        <f>SUM(AA121:AA130)</f>
        <v>617</v>
      </c>
      <c r="AB131" s="127">
        <f>SUM(AB121:AB130)</f>
        <v>40</v>
      </c>
      <c r="AC131" s="127">
        <f>SUM(AC121:AC130)</f>
        <v>311</v>
      </c>
      <c r="AD131" s="128">
        <f>SUM(AD121:AD130)</f>
        <v>0</v>
      </c>
      <c r="AE131" s="129">
        <f t="shared" ref="AE131:AE153" si="401">SUM(AA131:AD131)</f>
        <v>968</v>
      </c>
      <c r="AF131" s="126">
        <f>SUM(AF121:AF130)</f>
        <v>502</v>
      </c>
      <c r="AG131" s="127">
        <f>SUM(AG121:AG130)</f>
        <v>13</v>
      </c>
      <c r="AH131" s="127">
        <f>SUM(AH121:AH130)</f>
        <v>172</v>
      </c>
      <c r="AI131" s="128">
        <f>SUM(AI121:AI130)</f>
        <v>0</v>
      </c>
      <c r="AJ131" s="129">
        <f t="shared" ref="AJ131:AJ153" si="402">SUM(AF131:AI131)</f>
        <v>687</v>
      </c>
      <c r="AK131" s="126">
        <f>SUM(AK121:AK130)</f>
        <v>160</v>
      </c>
      <c r="AL131" s="127">
        <f>SUM(AL121:AL130)</f>
        <v>15</v>
      </c>
      <c r="AM131" s="127">
        <f>SUM(AM121:AM130)</f>
        <v>64</v>
      </c>
      <c r="AN131" s="128">
        <f>SUM(AN121:AN130)</f>
        <v>0</v>
      </c>
      <c r="AO131" s="129">
        <f t="shared" ref="AO131:AO153" si="403">SUM(AK131:AN131)</f>
        <v>239</v>
      </c>
      <c r="AP131" s="126">
        <f>SUM(AP121:AP130)</f>
        <v>294</v>
      </c>
      <c r="AQ131" s="127">
        <f>SUM(AQ121:AQ130)</f>
        <v>7</v>
      </c>
      <c r="AR131" s="127">
        <f>SUM(AR121:AR130)</f>
        <v>110</v>
      </c>
      <c r="AS131" s="128">
        <f>SUM(AS121:AS130)</f>
        <v>0</v>
      </c>
      <c r="AT131" s="129">
        <f t="shared" ref="AT131:AT153" si="404">SUM(AP131:AS131)</f>
        <v>411</v>
      </c>
      <c r="AU131" s="126">
        <f>SUM(AU121:AU130)</f>
        <v>616</v>
      </c>
      <c r="AV131" s="127">
        <f>SUM(AV121:AV130)</f>
        <v>14</v>
      </c>
      <c r="AW131" s="127">
        <f>SUM(AW121:AW130)</f>
        <v>249</v>
      </c>
      <c r="AX131" s="128">
        <f>SUM(AX121:AX130)</f>
        <v>0</v>
      </c>
      <c r="AY131" s="129">
        <f t="shared" ref="AY131:AY153" si="405">SUM(AU131:AX131)</f>
        <v>879</v>
      </c>
      <c r="AZ131" s="126">
        <f>SUM(AZ121:AZ130)</f>
        <v>729</v>
      </c>
      <c r="BA131" s="127">
        <f>SUM(BA121:BA130)</f>
        <v>17</v>
      </c>
      <c r="BB131" s="127">
        <f>SUM(BB121:BB130)</f>
        <v>325</v>
      </c>
      <c r="BC131" s="128">
        <f>SUM(BC121:BC130)</f>
        <v>0</v>
      </c>
      <c r="BD131" s="129">
        <f t="shared" ref="BD131:BD153" si="406">SUM(AZ131:BC131)</f>
        <v>1071</v>
      </c>
      <c r="BE131" s="126">
        <f>SUM(BE121:BE130)</f>
        <v>255</v>
      </c>
      <c r="BF131" s="127">
        <f>SUM(BF121:BF130)</f>
        <v>8</v>
      </c>
      <c r="BG131" s="127">
        <f>SUM(BG121:BG130)</f>
        <v>66</v>
      </c>
      <c r="BH131" s="128">
        <f>SUM(BH121:BH130)</f>
        <v>0</v>
      </c>
      <c r="BI131" s="129">
        <f t="shared" ref="BI131:BI153" si="407">SUM(BE131:BH131)</f>
        <v>329</v>
      </c>
      <c r="BJ131" s="126">
        <f>SUM(BJ121:BJ130)</f>
        <v>341</v>
      </c>
      <c r="BK131" s="127">
        <f>SUM(BK121:BK130)</f>
        <v>3</v>
      </c>
      <c r="BL131" s="127">
        <f>SUM(BL121:BL130)</f>
        <v>78</v>
      </c>
      <c r="BM131" s="128">
        <f>SUM(BM121:BM130)</f>
        <v>0</v>
      </c>
      <c r="BN131" s="129">
        <f t="shared" ref="BN131:BN153" si="408">SUM(BJ131:BM131)</f>
        <v>422</v>
      </c>
      <c r="BO131" s="131">
        <f>SUM(BO121:BO130)</f>
        <v>5179</v>
      </c>
      <c r="BP131" s="127">
        <f>SUM(BP121:BP130)</f>
        <v>147</v>
      </c>
      <c r="BQ131" s="127">
        <f>SUM(BQ121:BQ130)</f>
        <v>1963</v>
      </c>
      <c r="BR131" s="128">
        <f>SUM(BR121:BR130)</f>
        <v>0</v>
      </c>
      <c r="BS131" s="130">
        <f t="shared" si="294"/>
        <v>7289</v>
      </c>
    </row>
    <row r="132" spans="2:71" x14ac:dyDescent="0.3">
      <c r="B132" s="269"/>
      <c r="C132" s="230"/>
      <c r="D132" s="234"/>
      <c r="E132" s="236" t="s">
        <v>57</v>
      </c>
      <c r="F132" s="237"/>
      <c r="G132" s="38">
        <f>SUM(G111,G120,G131)</f>
        <v>738</v>
      </c>
      <c r="H132" s="19">
        <f>SUM(H111,H120,H131)</f>
        <v>4</v>
      </c>
      <c r="I132" s="19">
        <f>SUM(I111,I120,I131)</f>
        <v>147</v>
      </c>
      <c r="J132" s="20">
        <f>SUM(J111,J120,J131)</f>
        <v>0</v>
      </c>
      <c r="K132" s="21">
        <f t="shared" si="293"/>
        <v>889</v>
      </c>
      <c r="L132" s="38">
        <f>SUM(L111,L120,L131)</f>
        <v>1753</v>
      </c>
      <c r="M132" s="19">
        <f>SUM(M111,M120,M131)</f>
        <v>25</v>
      </c>
      <c r="N132" s="19">
        <f>SUM(N111,N120,N131)</f>
        <v>610</v>
      </c>
      <c r="O132" s="20">
        <f>SUM(O111,O120,O131)</f>
        <v>0</v>
      </c>
      <c r="P132" s="21">
        <f t="shared" si="398"/>
        <v>2388</v>
      </c>
      <c r="Q132" s="38">
        <f>SUM(Q111,Q120,Q131)</f>
        <v>2225</v>
      </c>
      <c r="R132" s="19">
        <f>SUM(R111,R120,R131)</f>
        <v>21</v>
      </c>
      <c r="S132" s="19">
        <f>SUM(S111,S120,S131)</f>
        <v>805</v>
      </c>
      <c r="T132" s="20">
        <f>SUM(T111,T120,T131)</f>
        <v>0</v>
      </c>
      <c r="U132" s="21">
        <f t="shared" si="399"/>
        <v>3051</v>
      </c>
      <c r="V132" s="38">
        <f>SUM(V111,V120,V131)</f>
        <v>2090</v>
      </c>
      <c r="W132" s="19">
        <f>SUM(W111,W120,W131)</f>
        <v>64</v>
      </c>
      <c r="X132" s="19">
        <f>SUM(X111,X120,X131)</f>
        <v>986</v>
      </c>
      <c r="Y132" s="20">
        <f>SUM(Y111,Y120,Y131)</f>
        <v>0</v>
      </c>
      <c r="Z132" s="21">
        <f t="shared" si="400"/>
        <v>3140</v>
      </c>
      <c r="AA132" s="38">
        <f>SUM(AA111,AA120,AA131)</f>
        <v>1863</v>
      </c>
      <c r="AB132" s="19">
        <f>SUM(AB111,AB120,AB131)</f>
        <v>103</v>
      </c>
      <c r="AC132" s="19">
        <f>SUM(AC111,AC120,AC131)</f>
        <v>932</v>
      </c>
      <c r="AD132" s="20">
        <f>SUM(AD111,AD120,AD131)</f>
        <v>0</v>
      </c>
      <c r="AE132" s="21">
        <f t="shared" si="401"/>
        <v>2898</v>
      </c>
      <c r="AF132" s="38">
        <f>SUM(AF111,AF120,AF131)</f>
        <v>1363</v>
      </c>
      <c r="AG132" s="19">
        <f>SUM(AG111,AG120,AG131)</f>
        <v>28</v>
      </c>
      <c r="AH132" s="19">
        <f>SUM(AH111,AH120,AH131)</f>
        <v>454</v>
      </c>
      <c r="AI132" s="20">
        <f>SUM(AI111,AI120,AI131)</f>
        <v>0</v>
      </c>
      <c r="AJ132" s="21">
        <f t="shared" si="402"/>
        <v>1845</v>
      </c>
      <c r="AK132" s="38">
        <f>SUM(AK111,AK120,AK131)</f>
        <v>443</v>
      </c>
      <c r="AL132" s="19">
        <f>SUM(AL111,AL120,AL131)</f>
        <v>35</v>
      </c>
      <c r="AM132" s="19">
        <f>SUM(AM111,AM120,AM131)</f>
        <v>160</v>
      </c>
      <c r="AN132" s="20">
        <f>SUM(AN111,AN120,AN131)</f>
        <v>0</v>
      </c>
      <c r="AO132" s="21">
        <f t="shared" si="403"/>
        <v>638</v>
      </c>
      <c r="AP132" s="38">
        <f>SUM(AP111,AP120,AP131)</f>
        <v>1195</v>
      </c>
      <c r="AQ132" s="19">
        <f>SUM(AQ111,AQ120,AQ131)</f>
        <v>22</v>
      </c>
      <c r="AR132" s="19">
        <f>SUM(AR111,AR120,AR131)</f>
        <v>543</v>
      </c>
      <c r="AS132" s="20">
        <f>SUM(AS111,AS120,AS131)</f>
        <v>0</v>
      </c>
      <c r="AT132" s="21">
        <f t="shared" si="404"/>
        <v>1760</v>
      </c>
      <c r="AU132" s="38">
        <f>SUM(AU111,AU120,AU131)</f>
        <v>2990</v>
      </c>
      <c r="AV132" s="19">
        <f>SUM(AV111,AV120,AV131)</f>
        <v>76</v>
      </c>
      <c r="AW132" s="19">
        <f>SUM(AW111,AW120,AW131)</f>
        <v>1502</v>
      </c>
      <c r="AX132" s="20">
        <f>SUM(AX111,AX120,AX131)</f>
        <v>0</v>
      </c>
      <c r="AY132" s="21">
        <f t="shared" si="405"/>
        <v>4568</v>
      </c>
      <c r="AZ132" s="38">
        <f>SUM(AZ111,AZ120,AZ131)</f>
        <v>2843</v>
      </c>
      <c r="BA132" s="19">
        <f>SUM(BA111,BA120,BA131)</f>
        <v>62</v>
      </c>
      <c r="BB132" s="19">
        <f>SUM(BB111,BB120,BB131)</f>
        <v>1310</v>
      </c>
      <c r="BC132" s="20">
        <f>SUM(BC111,BC120,BC131)</f>
        <v>0</v>
      </c>
      <c r="BD132" s="21">
        <f t="shared" si="406"/>
        <v>4215</v>
      </c>
      <c r="BE132" s="38">
        <f>SUM(BE111,BE120,BE131)</f>
        <v>712</v>
      </c>
      <c r="BF132" s="19">
        <f>SUM(BF111,BF120,BF131)</f>
        <v>16</v>
      </c>
      <c r="BG132" s="19">
        <f>SUM(BG111,BG120,BG131)</f>
        <v>157</v>
      </c>
      <c r="BH132" s="20">
        <f>SUM(BH111,BH120,BH131)</f>
        <v>0</v>
      </c>
      <c r="BI132" s="21">
        <f t="shared" si="407"/>
        <v>885</v>
      </c>
      <c r="BJ132" s="38">
        <f>SUM(BJ111,BJ120,BJ131)</f>
        <v>999</v>
      </c>
      <c r="BK132" s="19">
        <f>SUM(BK111,BK120,BK131)</f>
        <v>15</v>
      </c>
      <c r="BL132" s="19">
        <f>SUM(BL111,BL120,BL131)</f>
        <v>213</v>
      </c>
      <c r="BM132" s="20">
        <f>SUM(BM111,BM120,BM131)</f>
        <v>0</v>
      </c>
      <c r="BN132" s="21">
        <f t="shared" si="408"/>
        <v>1227</v>
      </c>
      <c r="BO132" s="69">
        <f>SUM(BO111,BO120,BO131)</f>
        <v>19214</v>
      </c>
      <c r="BP132" s="19">
        <f>SUM(BP111,BP120,BP131)</f>
        <v>471</v>
      </c>
      <c r="BQ132" s="19">
        <f>SUM(BQ111,BQ120,BQ131)</f>
        <v>7819</v>
      </c>
      <c r="BR132" s="20">
        <f>SUM(BR111,BR120,BR131)</f>
        <v>0</v>
      </c>
      <c r="BS132" s="39">
        <f t="shared" si="294"/>
        <v>27504</v>
      </c>
    </row>
    <row r="133" spans="2:71" x14ac:dyDescent="0.3">
      <c r="B133" s="269"/>
      <c r="C133" s="231"/>
      <c r="D133" s="238" t="s">
        <v>4</v>
      </c>
      <c r="E133" s="238"/>
      <c r="F133" s="238"/>
      <c r="G133" s="40">
        <f>G132</f>
        <v>738</v>
      </c>
      <c r="H133" s="22">
        <f>H132</f>
        <v>4</v>
      </c>
      <c r="I133" s="22">
        <f>I132</f>
        <v>147</v>
      </c>
      <c r="J133" s="23">
        <f>J132</f>
        <v>0</v>
      </c>
      <c r="K133" s="166">
        <f t="shared" ref="K133:K226" si="409">SUM(G133:J133)</f>
        <v>889</v>
      </c>
      <c r="L133" s="40">
        <f>L132</f>
        <v>1753</v>
      </c>
      <c r="M133" s="22">
        <f>M132</f>
        <v>25</v>
      </c>
      <c r="N133" s="22">
        <f>N132</f>
        <v>610</v>
      </c>
      <c r="O133" s="23">
        <f>O132</f>
        <v>0</v>
      </c>
      <c r="P133" s="166">
        <f t="shared" si="398"/>
        <v>2388</v>
      </c>
      <c r="Q133" s="40">
        <f>Q132</f>
        <v>2225</v>
      </c>
      <c r="R133" s="22">
        <f>R132</f>
        <v>21</v>
      </c>
      <c r="S133" s="22">
        <f>S132</f>
        <v>805</v>
      </c>
      <c r="T133" s="23">
        <f>T132</f>
        <v>0</v>
      </c>
      <c r="U133" s="166">
        <f t="shared" si="399"/>
        <v>3051</v>
      </c>
      <c r="V133" s="40">
        <f>V132</f>
        <v>2090</v>
      </c>
      <c r="W133" s="22">
        <f>W132</f>
        <v>64</v>
      </c>
      <c r="X133" s="22">
        <f>X132</f>
        <v>986</v>
      </c>
      <c r="Y133" s="23">
        <f>Y132</f>
        <v>0</v>
      </c>
      <c r="Z133" s="166">
        <f t="shared" si="400"/>
        <v>3140</v>
      </c>
      <c r="AA133" s="40">
        <f>AA132</f>
        <v>1863</v>
      </c>
      <c r="AB133" s="22">
        <f>AB132</f>
        <v>103</v>
      </c>
      <c r="AC133" s="22">
        <f>AC132</f>
        <v>932</v>
      </c>
      <c r="AD133" s="23">
        <f>AD132</f>
        <v>0</v>
      </c>
      <c r="AE133" s="166">
        <f t="shared" si="401"/>
        <v>2898</v>
      </c>
      <c r="AF133" s="40">
        <f>AF132</f>
        <v>1363</v>
      </c>
      <c r="AG133" s="22">
        <f>AG132</f>
        <v>28</v>
      </c>
      <c r="AH133" s="22">
        <f>AH132</f>
        <v>454</v>
      </c>
      <c r="AI133" s="23">
        <f>AI132</f>
        <v>0</v>
      </c>
      <c r="AJ133" s="166">
        <f t="shared" si="402"/>
        <v>1845</v>
      </c>
      <c r="AK133" s="40">
        <f>AK132</f>
        <v>443</v>
      </c>
      <c r="AL133" s="22">
        <f>AL132</f>
        <v>35</v>
      </c>
      <c r="AM133" s="22">
        <f>AM132</f>
        <v>160</v>
      </c>
      <c r="AN133" s="23">
        <f>AN132</f>
        <v>0</v>
      </c>
      <c r="AO133" s="166">
        <f t="shared" si="403"/>
        <v>638</v>
      </c>
      <c r="AP133" s="40">
        <f>AP132</f>
        <v>1195</v>
      </c>
      <c r="AQ133" s="22">
        <f>AQ132</f>
        <v>22</v>
      </c>
      <c r="AR133" s="22">
        <f>AR132</f>
        <v>543</v>
      </c>
      <c r="AS133" s="23">
        <f>AS132</f>
        <v>0</v>
      </c>
      <c r="AT133" s="166">
        <f t="shared" si="404"/>
        <v>1760</v>
      </c>
      <c r="AU133" s="40">
        <f>AU132</f>
        <v>2990</v>
      </c>
      <c r="AV133" s="22">
        <f>AV132</f>
        <v>76</v>
      </c>
      <c r="AW133" s="22">
        <f>AW132</f>
        <v>1502</v>
      </c>
      <c r="AX133" s="23">
        <f>AX132</f>
        <v>0</v>
      </c>
      <c r="AY133" s="166">
        <f t="shared" si="405"/>
        <v>4568</v>
      </c>
      <c r="AZ133" s="40">
        <f>AZ132</f>
        <v>2843</v>
      </c>
      <c r="BA133" s="22">
        <f>BA132</f>
        <v>62</v>
      </c>
      <c r="BB133" s="22">
        <f>BB132</f>
        <v>1310</v>
      </c>
      <c r="BC133" s="23">
        <f>BC132</f>
        <v>0</v>
      </c>
      <c r="BD133" s="166">
        <f t="shared" si="406"/>
        <v>4215</v>
      </c>
      <c r="BE133" s="40">
        <f>BE132</f>
        <v>712</v>
      </c>
      <c r="BF133" s="22">
        <f>BF132</f>
        <v>16</v>
      </c>
      <c r="BG133" s="22">
        <f>BG132</f>
        <v>157</v>
      </c>
      <c r="BH133" s="23">
        <f>BH132</f>
        <v>0</v>
      </c>
      <c r="BI133" s="166">
        <f t="shared" si="407"/>
        <v>885</v>
      </c>
      <c r="BJ133" s="40">
        <f>BJ132</f>
        <v>999</v>
      </c>
      <c r="BK133" s="22">
        <f>BK132</f>
        <v>15</v>
      </c>
      <c r="BL133" s="22">
        <f>BL132</f>
        <v>213</v>
      </c>
      <c r="BM133" s="23">
        <f>BM132</f>
        <v>0</v>
      </c>
      <c r="BN133" s="166">
        <f t="shared" si="408"/>
        <v>1227</v>
      </c>
      <c r="BO133" s="68">
        <f>BO132</f>
        <v>19214</v>
      </c>
      <c r="BP133" s="22">
        <f>BP132</f>
        <v>471</v>
      </c>
      <c r="BQ133" s="22">
        <f>BQ132</f>
        <v>7819</v>
      </c>
      <c r="BR133" s="23">
        <f>BR132</f>
        <v>0</v>
      </c>
      <c r="BS133" s="41">
        <f t="shared" si="294"/>
        <v>27504</v>
      </c>
    </row>
    <row r="134" spans="2:71" x14ac:dyDescent="0.3">
      <c r="B134" s="269"/>
      <c r="C134" s="229" t="s">
        <v>0</v>
      </c>
      <c r="D134" s="232" t="s">
        <v>0</v>
      </c>
      <c r="E134" s="219" t="s">
        <v>63</v>
      </c>
      <c r="F134" s="120" t="s">
        <v>124</v>
      </c>
      <c r="G134" s="30">
        <v>10</v>
      </c>
      <c r="H134" s="7"/>
      <c r="I134" s="7">
        <v>2</v>
      </c>
      <c r="J134" s="8"/>
      <c r="K134" s="9">
        <f t="shared" si="409"/>
        <v>12</v>
      </c>
      <c r="L134" s="30">
        <v>14</v>
      </c>
      <c r="M134" s="7"/>
      <c r="N134" s="7"/>
      <c r="O134" s="8"/>
      <c r="P134" s="9">
        <f t="shared" si="398"/>
        <v>14</v>
      </c>
      <c r="Q134" s="30">
        <v>9</v>
      </c>
      <c r="R134" s="7"/>
      <c r="S134" s="7"/>
      <c r="T134" s="8"/>
      <c r="U134" s="9">
        <f t="shared" si="399"/>
        <v>9</v>
      </c>
      <c r="V134" s="30">
        <v>16</v>
      </c>
      <c r="W134" s="7"/>
      <c r="X134" s="7">
        <v>3</v>
      </c>
      <c r="Y134" s="8"/>
      <c r="Z134" s="9">
        <f t="shared" si="400"/>
        <v>19</v>
      </c>
      <c r="AA134" s="30">
        <v>10</v>
      </c>
      <c r="AB134" s="7"/>
      <c r="AC134" s="7">
        <v>1</v>
      </c>
      <c r="AD134" s="8"/>
      <c r="AE134" s="9">
        <f t="shared" si="401"/>
        <v>11</v>
      </c>
      <c r="AF134" s="30">
        <v>16</v>
      </c>
      <c r="AG134" s="7"/>
      <c r="AH134" s="7"/>
      <c r="AI134" s="8"/>
      <c r="AJ134" s="9">
        <f t="shared" si="402"/>
        <v>16</v>
      </c>
      <c r="AK134" s="30">
        <v>5</v>
      </c>
      <c r="AL134" s="7"/>
      <c r="AM134" s="7"/>
      <c r="AN134" s="8"/>
      <c r="AO134" s="9">
        <f t="shared" si="403"/>
        <v>5</v>
      </c>
      <c r="AP134" s="30">
        <v>7</v>
      </c>
      <c r="AQ134" s="7"/>
      <c r="AR134" s="7"/>
      <c r="AS134" s="8"/>
      <c r="AT134" s="9">
        <f t="shared" si="404"/>
        <v>7</v>
      </c>
      <c r="AU134" s="30">
        <v>20</v>
      </c>
      <c r="AV134" s="7"/>
      <c r="AW134" s="7">
        <v>2</v>
      </c>
      <c r="AX134" s="8"/>
      <c r="AY134" s="9">
        <f t="shared" si="405"/>
        <v>22</v>
      </c>
      <c r="AZ134" s="30">
        <v>21</v>
      </c>
      <c r="BA134" s="7"/>
      <c r="BB134" s="7"/>
      <c r="BC134" s="8"/>
      <c r="BD134" s="9">
        <f t="shared" si="406"/>
        <v>21</v>
      </c>
      <c r="BE134" s="30">
        <v>9</v>
      </c>
      <c r="BF134" s="7"/>
      <c r="BG134" s="7"/>
      <c r="BH134" s="8"/>
      <c r="BI134" s="9">
        <f t="shared" si="407"/>
        <v>9</v>
      </c>
      <c r="BJ134" s="30">
        <v>9</v>
      </c>
      <c r="BK134" s="7"/>
      <c r="BL134" s="7"/>
      <c r="BM134" s="8"/>
      <c r="BN134" s="9">
        <f t="shared" si="408"/>
        <v>9</v>
      </c>
      <c r="BO134" s="65">
        <f t="shared" ref="BO134:BO165" si="410">SUM(G134,L134,Q134,V134,AA134,AF134,AK134,AP134,AU134,AZ134,BE134,BJ134)</f>
        <v>146</v>
      </c>
      <c r="BP134" s="7">
        <f t="shared" ref="BP134:BP165" si="411">SUM(H134,M134,R134,W134,AB134,AG134,AL134,AQ134,AV134,BA134,BF134,BK134)</f>
        <v>0</v>
      </c>
      <c r="BQ134" s="7">
        <f t="shared" ref="BQ134:BQ165" si="412">SUM(I134,N134,S134,X134,AC134,AH134,AM134,AR134,AW134,BB134,BG134,BL134)</f>
        <v>8</v>
      </c>
      <c r="BR134" s="8">
        <f t="shared" ref="BR134:BR165" si="413">SUM(J134,O134,T134,Y134,AD134,AI134,AN134,AS134,AX134,BC134,BH134,BM134)</f>
        <v>0</v>
      </c>
      <c r="BS134" s="31">
        <f t="shared" ref="BS134:BS226" si="414">SUM(BO134:BR134)</f>
        <v>154</v>
      </c>
    </row>
    <row r="135" spans="2:71" x14ac:dyDescent="0.3">
      <c r="B135" s="269"/>
      <c r="C135" s="230"/>
      <c r="D135" s="233"/>
      <c r="E135" s="220"/>
      <c r="F135" s="123" t="s">
        <v>125</v>
      </c>
      <c r="G135" s="34"/>
      <c r="H135" s="16"/>
      <c r="I135" s="16"/>
      <c r="J135" s="17"/>
      <c r="K135" s="18">
        <f t="shared" si="409"/>
        <v>0</v>
      </c>
      <c r="L135" s="34">
        <v>1</v>
      </c>
      <c r="M135" s="16"/>
      <c r="N135" s="16"/>
      <c r="O135" s="17"/>
      <c r="P135" s="18">
        <f t="shared" si="398"/>
        <v>1</v>
      </c>
      <c r="Q135" s="34">
        <v>2</v>
      </c>
      <c r="R135" s="16"/>
      <c r="S135" s="16"/>
      <c r="T135" s="17"/>
      <c r="U135" s="18">
        <f t="shared" si="399"/>
        <v>2</v>
      </c>
      <c r="V135" s="34">
        <v>1</v>
      </c>
      <c r="W135" s="16"/>
      <c r="X135" s="16">
        <v>1</v>
      </c>
      <c r="Y135" s="17"/>
      <c r="Z135" s="18">
        <f t="shared" si="400"/>
        <v>2</v>
      </c>
      <c r="AA135" s="34">
        <v>5</v>
      </c>
      <c r="AB135" s="16"/>
      <c r="AC135" s="16"/>
      <c r="AD135" s="17"/>
      <c r="AE135" s="18">
        <f t="shared" si="401"/>
        <v>5</v>
      </c>
      <c r="AF135" s="34">
        <v>3</v>
      </c>
      <c r="AG135" s="16"/>
      <c r="AH135" s="16">
        <v>1</v>
      </c>
      <c r="AI135" s="17"/>
      <c r="AJ135" s="18">
        <f t="shared" si="402"/>
        <v>4</v>
      </c>
      <c r="AK135" s="34"/>
      <c r="AL135" s="16"/>
      <c r="AM135" s="16"/>
      <c r="AN135" s="17"/>
      <c r="AO135" s="18">
        <f t="shared" si="403"/>
        <v>0</v>
      </c>
      <c r="AP135" s="34">
        <v>1</v>
      </c>
      <c r="AQ135" s="16"/>
      <c r="AR135" s="16"/>
      <c r="AS135" s="17"/>
      <c r="AT135" s="18">
        <f t="shared" si="404"/>
        <v>1</v>
      </c>
      <c r="AU135" s="34">
        <v>4</v>
      </c>
      <c r="AV135" s="16"/>
      <c r="AW135" s="16">
        <v>1</v>
      </c>
      <c r="AX135" s="17"/>
      <c r="AY135" s="18">
        <f t="shared" si="405"/>
        <v>5</v>
      </c>
      <c r="AZ135" s="34">
        <v>5</v>
      </c>
      <c r="BA135" s="16"/>
      <c r="BB135" s="16"/>
      <c r="BC135" s="17"/>
      <c r="BD135" s="18">
        <f t="shared" si="406"/>
        <v>5</v>
      </c>
      <c r="BE135" s="34">
        <v>2</v>
      </c>
      <c r="BF135" s="16"/>
      <c r="BG135" s="16"/>
      <c r="BH135" s="17"/>
      <c r="BI135" s="18">
        <f t="shared" si="407"/>
        <v>2</v>
      </c>
      <c r="BJ135" s="34">
        <v>1</v>
      </c>
      <c r="BK135" s="16"/>
      <c r="BL135" s="16">
        <v>1</v>
      </c>
      <c r="BM135" s="17"/>
      <c r="BN135" s="18">
        <f t="shared" si="408"/>
        <v>2</v>
      </c>
      <c r="BO135" s="70">
        <f t="shared" si="410"/>
        <v>25</v>
      </c>
      <c r="BP135" s="16">
        <f t="shared" si="411"/>
        <v>0</v>
      </c>
      <c r="BQ135" s="16">
        <f t="shared" si="412"/>
        <v>4</v>
      </c>
      <c r="BR135" s="17">
        <f t="shared" si="413"/>
        <v>0</v>
      </c>
      <c r="BS135" s="35">
        <f t="shared" si="414"/>
        <v>29</v>
      </c>
    </row>
    <row r="136" spans="2:71" x14ac:dyDescent="0.3">
      <c r="B136" s="269"/>
      <c r="C136" s="230"/>
      <c r="D136" s="233"/>
      <c r="E136" s="220"/>
      <c r="F136" s="123" t="s">
        <v>64</v>
      </c>
      <c r="G136" s="34">
        <v>9</v>
      </c>
      <c r="H136" s="16"/>
      <c r="I136" s="16">
        <v>2</v>
      </c>
      <c r="J136" s="17"/>
      <c r="K136" s="18">
        <f t="shared" ref="K136:K138" si="415">SUM(G136:J136)</f>
        <v>11</v>
      </c>
      <c r="L136" s="34">
        <v>6</v>
      </c>
      <c r="M136" s="16"/>
      <c r="N136" s="16">
        <v>1</v>
      </c>
      <c r="O136" s="17"/>
      <c r="P136" s="18">
        <f t="shared" si="398"/>
        <v>7</v>
      </c>
      <c r="Q136" s="34">
        <v>15</v>
      </c>
      <c r="R136" s="16"/>
      <c r="S136" s="16"/>
      <c r="T136" s="17"/>
      <c r="U136" s="18">
        <f t="shared" si="399"/>
        <v>15</v>
      </c>
      <c r="V136" s="34">
        <v>21</v>
      </c>
      <c r="W136" s="16"/>
      <c r="X136" s="16">
        <v>1</v>
      </c>
      <c r="Y136" s="17"/>
      <c r="Z136" s="18">
        <f t="shared" si="400"/>
        <v>22</v>
      </c>
      <c r="AA136" s="34">
        <v>17</v>
      </c>
      <c r="AB136" s="16"/>
      <c r="AC136" s="16">
        <v>2</v>
      </c>
      <c r="AD136" s="17"/>
      <c r="AE136" s="18">
        <f t="shared" si="401"/>
        <v>19</v>
      </c>
      <c r="AF136" s="34">
        <v>22</v>
      </c>
      <c r="AG136" s="16"/>
      <c r="AH136" s="16">
        <v>2</v>
      </c>
      <c r="AI136" s="17"/>
      <c r="AJ136" s="18">
        <f t="shared" si="402"/>
        <v>24</v>
      </c>
      <c r="AK136" s="34">
        <v>5</v>
      </c>
      <c r="AL136" s="16"/>
      <c r="AM136" s="16"/>
      <c r="AN136" s="17"/>
      <c r="AO136" s="18">
        <f t="shared" si="403"/>
        <v>5</v>
      </c>
      <c r="AP136" s="34">
        <v>17</v>
      </c>
      <c r="AQ136" s="16"/>
      <c r="AR136" s="16">
        <v>1</v>
      </c>
      <c r="AS136" s="17"/>
      <c r="AT136" s="18">
        <f t="shared" si="404"/>
        <v>18</v>
      </c>
      <c r="AU136" s="34">
        <v>37</v>
      </c>
      <c r="AV136" s="16"/>
      <c r="AW136" s="16">
        <v>2</v>
      </c>
      <c r="AX136" s="17"/>
      <c r="AY136" s="18">
        <f t="shared" si="405"/>
        <v>39</v>
      </c>
      <c r="AZ136" s="34">
        <v>71</v>
      </c>
      <c r="BA136" s="16">
        <v>1</v>
      </c>
      <c r="BB136" s="16">
        <v>2</v>
      </c>
      <c r="BC136" s="17"/>
      <c r="BD136" s="18">
        <f t="shared" si="406"/>
        <v>74</v>
      </c>
      <c r="BE136" s="34">
        <v>4</v>
      </c>
      <c r="BF136" s="16"/>
      <c r="BG136" s="16"/>
      <c r="BH136" s="17"/>
      <c r="BI136" s="18">
        <f t="shared" si="407"/>
        <v>4</v>
      </c>
      <c r="BJ136" s="34">
        <v>10</v>
      </c>
      <c r="BK136" s="16"/>
      <c r="BL136" s="16"/>
      <c r="BM136" s="17"/>
      <c r="BN136" s="18">
        <f t="shared" si="408"/>
        <v>10</v>
      </c>
      <c r="BO136" s="70">
        <f t="shared" si="410"/>
        <v>234</v>
      </c>
      <c r="BP136" s="16">
        <f t="shared" si="411"/>
        <v>1</v>
      </c>
      <c r="BQ136" s="16">
        <f t="shared" si="412"/>
        <v>13</v>
      </c>
      <c r="BR136" s="17">
        <f t="shared" si="413"/>
        <v>0</v>
      </c>
      <c r="BS136" s="35">
        <f t="shared" ref="BS136:BS138" si="416">SUM(BO136:BR136)</f>
        <v>248</v>
      </c>
    </row>
    <row r="137" spans="2:71" x14ac:dyDescent="0.3">
      <c r="B137" s="269"/>
      <c r="C137" s="230"/>
      <c r="D137" s="233"/>
      <c r="E137" s="220"/>
      <c r="F137" s="123" t="s">
        <v>65</v>
      </c>
      <c r="G137" s="34">
        <v>1</v>
      </c>
      <c r="H137" s="16"/>
      <c r="I137" s="16"/>
      <c r="J137" s="17"/>
      <c r="K137" s="18">
        <f t="shared" si="415"/>
        <v>1</v>
      </c>
      <c r="L137" s="34"/>
      <c r="M137" s="16"/>
      <c r="N137" s="16"/>
      <c r="O137" s="17"/>
      <c r="P137" s="18">
        <f t="shared" si="398"/>
        <v>0</v>
      </c>
      <c r="Q137" s="34">
        <v>1</v>
      </c>
      <c r="R137" s="16"/>
      <c r="S137" s="16"/>
      <c r="T137" s="17"/>
      <c r="U137" s="18">
        <f t="shared" si="399"/>
        <v>1</v>
      </c>
      <c r="V137" s="34"/>
      <c r="W137" s="16"/>
      <c r="X137" s="16"/>
      <c r="Y137" s="17"/>
      <c r="Z137" s="18">
        <f t="shared" si="400"/>
        <v>0</v>
      </c>
      <c r="AA137" s="34"/>
      <c r="AB137" s="16"/>
      <c r="AC137" s="16"/>
      <c r="AD137" s="17"/>
      <c r="AE137" s="18">
        <f t="shared" si="401"/>
        <v>0</v>
      </c>
      <c r="AF137" s="34"/>
      <c r="AG137" s="16"/>
      <c r="AH137" s="16"/>
      <c r="AI137" s="17"/>
      <c r="AJ137" s="18">
        <f t="shared" si="402"/>
        <v>0</v>
      </c>
      <c r="AK137" s="34"/>
      <c r="AL137" s="16"/>
      <c r="AM137" s="16"/>
      <c r="AN137" s="17"/>
      <c r="AO137" s="18">
        <f t="shared" si="403"/>
        <v>0</v>
      </c>
      <c r="AP137" s="34"/>
      <c r="AQ137" s="16"/>
      <c r="AR137" s="16"/>
      <c r="AS137" s="17"/>
      <c r="AT137" s="18">
        <f t="shared" si="404"/>
        <v>0</v>
      </c>
      <c r="AU137" s="34">
        <v>6</v>
      </c>
      <c r="AV137" s="16"/>
      <c r="AW137" s="16"/>
      <c r="AX137" s="17"/>
      <c r="AY137" s="18">
        <f t="shared" si="405"/>
        <v>6</v>
      </c>
      <c r="AZ137" s="34">
        <v>9</v>
      </c>
      <c r="BA137" s="16"/>
      <c r="BB137" s="16"/>
      <c r="BC137" s="17"/>
      <c r="BD137" s="18">
        <f t="shared" si="406"/>
        <v>9</v>
      </c>
      <c r="BE137" s="34">
        <v>2</v>
      </c>
      <c r="BF137" s="16"/>
      <c r="BG137" s="16"/>
      <c r="BH137" s="17"/>
      <c r="BI137" s="18">
        <f t="shared" si="407"/>
        <v>2</v>
      </c>
      <c r="BJ137" s="34"/>
      <c r="BK137" s="16"/>
      <c r="BL137" s="16"/>
      <c r="BM137" s="17"/>
      <c r="BN137" s="18">
        <f t="shared" si="408"/>
        <v>0</v>
      </c>
      <c r="BO137" s="70">
        <f t="shared" si="410"/>
        <v>19</v>
      </c>
      <c r="BP137" s="16">
        <f t="shared" si="411"/>
        <v>0</v>
      </c>
      <c r="BQ137" s="16">
        <f t="shared" si="412"/>
        <v>0</v>
      </c>
      <c r="BR137" s="17">
        <f t="shared" si="413"/>
        <v>0</v>
      </c>
      <c r="BS137" s="35">
        <f t="shared" si="416"/>
        <v>19</v>
      </c>
    </row>
    <row r="138" spans="2:71" x14ac:dyDescent="0.3">
      <c r="B138" s="269"/>
      <c r="C138" s="230"/>
      <c r="D138" s="233"/>
      <c r="E138" s="220"/>
      <c r="F138" s="123" t="s">
        <v>66</v>
      </c>
      <c r="G138" s="34"/>
      <c r="H138" s="16"/>
      <c r="I138" s="16"/>
      <c r="J138" s="17"/>
      <c r="K138" s="18">
        <f t="shared" si="415"/>
        <v>0</v>
      </c>
      <c r="L138" s="34">
        <v>2</v>
      </c>
      <c r="M138" s="16"/>
      <c r="N138" s="16"/>
      <c r="O138" s="17"/>
      <c r="P138" s="18">
        <f t="shared" si="398"/>
        <v>2</v>
      </c>
      <c r="Q138" s="34">
        <v>2</v>
      </c>
      <c r="R138" s="16"/>
      <c r="S138" s="16"/>
      <c r="T138" s="17"/>
      <c r="U138" s="18">
        <f t="shared" si="399"/>
        <v>2</v>
      </c>
      <c r="V138" s="34">
        <v>2</v>
      </c>
      <c r="W138" s="16"/>
      <c r="X138" s="16">
        <v>2</v>
      </c>
      <c r="Y138" s="17"/>
      <c r="Z138" s="18">
        <f t="shared" si="400"/>
        <v>4</v>
      </c>
      <c r="AA138" s="34">
        <v>1</v>
      </c>
      <c r="AB138" s="16"/>
      <c r="AC138" s="16">
        <v>4</v>
      </c>
      <c r="AD138" s="17"/>
      <c r="AE138" s="18">
        <f t="shared" si="401"/>
        <v>5</v>
      </c>
      <c r="AF138" s="34">
        <v>4</v>
      </c>
      <c r="AG138" s="16">
        <v>1</v>
      </c>
      <c r="AH138" s="16">
        <v>3</v>
      </c>
      <c r="AI138" s="17"/>
      <c r="AJ138" s="18">
        <f t="shared" si="402"/>
        <v>8</v>
      </c>
      <c r="AK138" s="34"/>
      <c r="AL138" s="16"/>
      <c r="AM138" s="16"/>
      <c r="AN138" s="17"/>
      <c r="AO138" s="18">
        <f t="shared" si="403"/>
        <v>0</v>
      </c>
      <c r="AP138" s="34">
        <v>3</v>
      </c>
      <c r="AQ138" s="16"/>
      <c r="AR138" s="16">
        <v>1</v>
      </c>
      <c r="AS138" s="17"/>
      <c r="AT138" s="18">
        <f t="shared" si="404"/>
        <v>4</v>
      </c>
      <c r="AU138" s="34">
        <v>2</v>
      </c>
      <c r="AV138" s="16"/>
      <c r="AW138" s="16"/>
      <c r="AX138" s="17"/>
      <c r="AY138" s="18">
        <f t="shared" si="405"/>
        <v>2</v>
      </c>
      <c r="AZ138" s="34">
        <v>4</v>
      </c>
      <c r="BA138" s="16">
        <v>1</v>
      </c>
      <c r="BB138" s="16">
        <v>1</v>
      </c>
      <c r="BC138" s="17"/>
      <c r="BD138" s="18">
        <f t="shared" si="406"/>
        <v>6</v>
      </c>
      <c r="BE138" s="34"/>
      <c r="BF138" s="16"/>
      <c r="BG138" s="16"/>
      <c r="BH138" s="17"/>
      <c r="BI138" s="18">
        <f t="shared" si="407"/>
        <v>0</v>
      </c>
      <c r="BJ138" s="34">
        <v>3</v>
      </c>
      <c r="BK138" s="16"/>
      <c r="BL138" s="16"/>
      <c r="BM138" s="17"/>
      <c r="BN138" s="18">
        <f t="shared" si="408"/>
        <v>3</v>
      </c>
      <c r="BO138" s="70">
        <f t="shared" si="410"/>
        <v>23</v>
      </c>
      <c r="BP138" s="16">
        <f t="shared" si="411"/>
        <v>2</v>
      </c>
      <c r="BQ138" s="16">
        <f t="shared" si="412"/>
        <v>11</v>
      </c>
      <c r="BR138" s="17">
        <f t="shared" si="413"/>
        <v>0</v>
      </c>
      <c r="BS138" s="35">
        <f t="shared" si="416"/>
        <v>36</v>
      </c>
    </row>
    <row r="139" spans="2:71" x14ac:dyDescent="0.3">
      <c r="B139" s="269"/>
      <c r="C139" s="230"/>
      <c r="D139" s="233"/>
      <c r="E139" s="220"/>
      <c r="F139" s="123" t="s">
        <v>207</v>
      </c>
      <c r="G139" s="34"/>
      <c r="H139" s="16"/>
      <c r="I139" s="16"/>
      <c r="J139" s="17"/>
      <c r="K139" s="18">
        <f t="shared" ref="K139:K142" si="417">SUM(G139:J139)</f>
        <v>0</v>
      </c>
      <c r="L139" s="34"/>
      <c r="M139" s="16"/>
      <c r="N139" s="16"/>
      <c r="O139" s="17"/>
      <c r="P139" s="18">
        <f t="shared" ref="P139:P142" si="418">SUM(L139:O139)</f>
        <v>0</v>
      </c>
      <c r="Q139" s="34"/>
      <c r="R139" s="16"/>
      <c r="S139" s="16">
        <v>1</v>
      </c>
      <c r="T139" s="17"/>
      <c r="U139" s="18">
        <f t="shared" ref="U139:U142" si="419">SUM(Q139:T139)</f>
        <v>1</v>
      </c>
      <c r="V139" s="34"/>
      <c r="W139" s="16"/>
      <c r="X139" s="16"/>
      <c r="Y139" s="17"/>
      <c r="Z139" s="18">
        <f t="shared" ref="Z139:Z142" si="420">SUM(V139:Y139)</f>
        <v>0</v>
      </c>
      <c r="AA139" s="34"/>
      <c r="AB139" s="16"/>
      <c r="AC139" s="16"/>
      <c r="AD139" s="17"/>
      <c r="AE139" s="18">
        <f t="shared" ref="AE139:AE142" si="421">SUM(AA139:AD139)</f>
        <v>0</v>
      </c>
      <c r="AF139" s="34"/>
      <c r="AG139" s="16"/>
      <c r="AH139" s="16"/>
      <c r="AI139" s="17"/>
      <c r="AJ139" s="18">
        <f t="shared" ref="AJ139:AJ142" si="422">SUM(AF139:AI139)</f>
        <v>0</v>
      </c>
      <c r="AK139" s="34"/>
      <c r="AL139" s="16"/>
      <c r="AM139" s="16"/>
      <c r="AN139" s="17"/>
      <c r="AO139" s="18">
        <f t="shared" ref="AO139:AO142" si="423">SUM(AK139:AN139)</f>
        <v>0</v>
      </c>
      <c r="AP139" s="34"/>
      <c r="AQ139" s="16"/>
      <c r="AR139" s="16"/>
      <c r="AS139" s="17"/>
      <c r="AT139" s="18">
        <f t="shared" ref="AT139:AT142" si="424">SUM(AP139:AS139)</f>
        <v>0</v>
      </c>
      <c r="AU139" s="34"/>
      <c r="AV139" s="16"/>
      <c r="AW139" s="16"/>
      <c r="AX139" s="17"/>
      <c r="AY139" s="18">
        <f t="shared" ref="AY139:AY142" si="425">SUM(AU139:AX139)</f>
        <v>0</v>
      </c>
      <c r="AZ139" s="34"/>
      <c r="BA139" s="16"/>
      <c r="BB139" s="16"/>
      <c r="BC139" s="17"/>
      <c r="BD139" s="18">
        <f t="shared" ref="BD139:BD142" si="426">SUM(AZ139:BC139)</f>
        <v>0</v>
      </c>
      <c r="BE139" s="34"/>
      <c r="BF139" s="16"/>
      <c r="BG139" s="16"/>
      <c r="BH139" s="17"/>
      <c r="BI139" s="18">
        <f t="shared" ref="BI139:BI142" si="427">SUM(BE139:BH139)</f>
        <v>0</v>
      </c>
      <c r="BJ139" s="34"/>
      <c r="BK139" s="16"/>
      <c r="BL139" s="16"/>
      <c r="BM139" s="17"/>
      <c r="BN139" s="18">
        <f t="shared" ref="BN139:BN142" si="428">SUM(BJ139:BM139)</f>
        <v>0</v>
      </c>
      <c r="BO139" s="70">
        <f t="shared" si="410"/>
        <v>0</v>
      </c>
      <c r="BP139" s="16">
        <f t="shared" si="411"/>
        <v>0</v>
      </c>
      <c r="BQ139" s="16">
        <f t="shared" si="412"/>
        <v>1</v>
      </c>
      <c r="BR139" s="17">
        <f t="shared" si="413"/>
        <v>0</v>
      </c>
      <c r="BS139" s="35">
        <f t="shared" ref="BS139:BS142" si="429">SUM(BO139:BR139)</f>
        <v>1</v>
      </c>
    </row>
    <row r="140" spans="2:71" x14ac:dyDescent="0.3">
      <c r="B140" s="269"/>
      <c r="C140" s="230"/>
      <c r="D140" s="233"/>
      <c r="E140" s="220"/>
      <c r="F140" s="123" t="s">
        <v>258</v>
      </c>
      <c r="G140" s="34"/>
      <c r="H140" s="16"/>
      <c r="I140" s="16"/>
      <c r="J140" s="17"/>
      <c r="K140" s="18">
        <f t="shared" si="417"/>
        <v>0</v>
      </c>
      <c r="L140" s="34"/>
      <c r="M140" s="16"/>
      <c r="N140" s="16"/>
      <c r="O140" s="17"/>
      <c r="P140" s="18">
        <f t="shared" si="418"/>
        <v>0</v>
      </c>
      <c r="Q140" s="34">
        <v>2</v>
      </c>
      <c r="R140" s="16"/>
      <c r="S140" s="16"/>
      <c r="T140" s="17"/>
      <c r="U140" s="18">
        <f t="shared" si="419"/>
        <v>2</v>
      </c>
      <c r="V140" s="34">
        <v>61</v>
      </c>
      <c r="W140" s="16"/>
      <c r="X140" s="16">
        <v>4</v>
      </c>
      <c r="Y140" s="17"/>
      <c r="Z140" s="18">
        <f t="shared" si="420"/>
        <v>65</v>
      </c>
      <c r="AA140" s="34">
        <v>51</v>
      </c>
      <c r="AB140" s="16">
        <v>2</v>
      </c>
      <c r="AC140" s="16"/>
      <c r="AD140" s="17"/>
      <c r="AE140" s="18">
        <f t="shared" si="421"/>
        <v>53</v>
      </c>
      <c r="AF140" s="34">
        <v>24</v>
      </c>
      <c r="AG140" s="16"/>
      <c r="AH140" s="16">
        <v>1</v>
      </c>
      <c r="AI140" s="17"/>
      <c r="AJ140" s="18">
        <f t="shared" si="422"/>
        <v>25</v>
      </c>
      <c r="AK140" s="34">
        <v>3</v>
      </c>
      <c r="AL140" s="16"/>
      <c r="AM140" s="16"/>
      <c r="AN140" s="17"/>
      <c r="AO140" s="18">
        <f t="shared" si="423"/>
        <v>3</v>
      </c>
      <c r="AP140" s="34">
        <v>19</v>
      </c>
      <c r="AQ140" s="16"/>
      <c r="AR140" s="16"/>
      <c r="AS140" s="17"/>
      <c r="AT140" s="18">
        <f t="shared" si="424"/>
        <v>19</v>
      </c>
      <c r="AU140" s="34">
        <v>44</v>
      </c>
      <c r="AV140" s="16"/>
      <c r="AW140" s="16">
        <v>1</v>
      </c>
      <c r="AX140" s="17"/>
      <c r="AY140" s="18">
        <f t="shared" si="425"/>
        <v>45</v>
      </c>
      <c r="AZ140" s="34">
        <v>83</v>
      </c>
      <c r="BA140" s="16">
        <v>1</v>
      </c>
      <c r="BB140" s="16">
        <v>3</v>
      </c>
      <c r="BC140" s="17"/>
      <c r="BD140" s="18">
        <f t="shared" si="426"/>
        <v>87</v>
      </c>
      <c r="BE140" s="34">
        <v>15</v>
      </c>
      <c r="BF140" s="16"/>
      <c r="BG140" s="16"/>
      <c r="BH140" s="17"/>
      <c r="BI140" s="18">
        <f t="shared" si="427"/>
        <v>15</v>
      </c>
      <c r="BJ140" s="34">
        <v>12</v>
      </c>
      <c r="BK140" s="16"/>
      <c r="BL140" s="16"/>
      <c r="BM140" s="17"/>
      <c r="BN140" s="18">
        <f t="shared" si="428"/>
        <v>12</v>
      </c>
      <c r="BO140" s="70">
        <f t="shared" si="410"/>
        <v>314</v>
      </c>
      <c r="BP140" s="16">
        <f t="shared" si="411"/>
        <v>3</v>
      </c>
      <c r="BQ140" s="16">
        <f t="shared" si="412"/>
        <v>9</v>
      </c>
      <c r="BR140" s="17">
        <f t="shared" si="413"/>
        <v>0</v>
      </c>
      <c r="BS140" s="35">
        <f t="shared" si="429"/>
        <v>326</v>
      </c>
    </row>
    <row r="141" spans="2:71" x14ac:dyDescent="0.3">
      <c r="B141" s="269"/>
      <c r="C141" s="230"/>
      <c r="D141" s="233"/>
      <c r="E141" s="220"/>
      <c r="F141" s="123" t="s">
        <v>259</v>
      </c>
      <c r="G141" s="34"/>
      <c r="H141" s="16"/>
      <c r="I141" s="16"/>
      <c r="J141" s="17"/>
      <c r="K141" s="18">
        <f t="shared" si="417"/>
        <v>0</v>
      </c>
      <c r="L141" s="34"/>
      <c r="M141" s="16"/>
      <c r="N141" s="16"/>
      <c r="O141" s="17"/>
      <c r="P141" s="18">
        <f t="shared" si="418"/>
        <v>0</v>
      </c>
      <c r="Q141" s="34"/>
      <c r="R141" s="16"/>
      <c r="S141" s="16"/>
      <c r="T141" s="17"/>
      <c r="U141" s="18">
        <f t="shared" si="419"/>
        <v>0</v>
      </c>
      <c r="V141" s="34">
        <v>7</v>
      </c>
      <c r="W141" s="16"/>
      <c r="X141" s="16"/>
      <c r="Y141" s="17"/>
      <c r="Z141" s="18">
        <f t="shared" si="420"/>
        <v>7</v>
      </c>
      <c r="AA141" s="34">
        <v>12</v>
      </c>
      <c r="AB141" s="16"/>
      <c r="AC141" s="16"/>
      <c r="AD141" s="17"/>
      <c r="AE141" s="18">
        <f t="shared" si="421"/>
        <v>12</v>
      </c>
      <c r="AF141" s="34">
        <v>1</v>
      </c>
      <c r="AG141" s="16"/>
      <c r="AH141" s="16"/>
      <c r="AI141" s="17"/>
      <c r="AJ141" s="18">
        <f t="shared" si="422"/>
        <v>1</v>
      </c>
      <c r="AK141" s="34">
        <v>1</v>
      </c>
      <c r="AL141" s="16"/>
      <c r="AM141" s="16"/>
      <c r="AN141" s="17"/>
      <c r="AO141" s="18">
        <f t="shared" si="423"/>
        <v>1</v>
      </c>
      <c r="AP141" s="34">
        <v>3</v>
      </c>
      <c r="AQ141" s="16"/>
      <c r="AR141" s="16"/>
      <c r="AS141" s="17"/>
      <c r="AT141" s="18">
        <f t="shared" si="424"/>
        <v>3</v>
      </c>
      <c r="AU141" s="34">
        <v>6</v>
      </c>
      <c r="AV141" s="16"/>
      <c r="AW141" s="16"/>
      <c r="AX141" s="17"/>
      <c r="AY141" s="18">
        <f t="shared" si="425"/>
        <v>6</v>
      </c>
      <c r="AZ141" s="34">
        <v>5</v>
      </c>
      <c r="BA141" s="16"/>
      <c r="BB141" s="16"/>
      <c r="BC141" s="17"/>
      <c r="BD141" s="18">
        <f t="shared" si="426"/>
        <v>5</v>
      </c>
      <c r="BE141" s="34">
        <v>1</v>
      </c>
      <c r="BF141" s="16"/>
      <c r="BG141" s="16"/>
      <c r="BH141" s="17"/>
      <c r="BI141" s="18">
        <f t="shared" si="427"/>
        <v>1</v>
      </c>
      <c r="BJ141" s="34"/>
      <c r="BK141" s="16"/>
      <c r="BL141" s="16"/>
      <c r="BM141" s="17"/>
      <c r="BN141" s="18">
        <f t="shared" si="428"/>
        <v>0</v>
      </c>
      <c r="BO141" s="70">
        <f t="shared" si="410"/>
        <v>36</v>
      </c>
      <c r="BP141" s="16">
        <f t="shared" si="411"/>
        <v>0</v>
      </c>
      <c r="BQ141" s="16">
        <f t="shared" si="412"/>
        <v>0</v>
      </c>
      <c r="BR141" s="17">
        <f t="shared" si="413"/>
        <v>0</v>
      </c>
      <c r="BS141" s="35">
        <f t="shared" si="429"/>
        <v>36</v>
      </c>
    </row>
    <row r="142" spans="2:71" x14ac:dyDescent="0.3">
      <c r="B142" s="269"/>
      <c r="C142" s="230"/>
      <c r="D142" s="233"/>
      <c r="E142" s="220"/>
      <c r="F142" s="123" t="s">
        <v>260</v>
      </c>
      <c r="G142" s="34"/>
      <c r="H142" s="16"/>
      <c r="I142" s="16"/>
      <c r="J142" s="17"/>
      <c r="K142" s="18">
        <f t="shared" si="417"/>
        <v>0</v>
      </c>
      <c r="L142" s="34"/>
      <c r="M142" s="16"/>
      <c r="N142" s="16"/>
      <c r="O142" s="17"/>
      <c r="P142" s="18">
        <f t="shared" si="418"/>
        <v>0</v>
      </c>
      <c r="Q142" s="34"/>
      <c r="R142" s="16"/>
      <c r="S142" s="16"/>
      <c r="T142" s="17"/>
      <c r="U142" s="18">
        <f t="shared" si="419"/>
        <v>0</v>
      </c>
      <c r="V142" s="34">
        <v>7</v>
      </c>
      <c r="W142" s="16"/>
      <c r="X142" s="16">
        <v>6</v>
      </c>
      <c r="Y142" s="17"/>
      <c r="Z142" s="18">
        <f t="shared" si="420"/>
        <v>13</v>
      </c>
      <c r="AA142" s="34">
        <v>8</v>
      </c>
      <c r="AB142" s="16"/>
      <c r="AC142" s="16">
        <v>7</v>
      </c>
      <c r="AD142" s="17"/>
      <c r="AE142" s="18">
        <f t="shared" si="421"/>
        <v>15</v>
      </c>
      <c r="AF142" s="34">
        <v>4</v>
      </c>
      <c r="AG142" s="16"/>
      <c r="AH142" s="16">
        <v>4</v>
      </c>
      <c r="AI142" s="17"/>
      <c r="AJ142" s="18">
        <f t="shared" si="422"/>
        <v>8</v>
      </c>
      <c r="AK142" s="34">
        <v>1</v>
      </c>
      <c r="AL142" s="16"/>
      <c r="AM142" s="16"/>
      <c r="AN142" s="17"/>
      <c r="AO142" s="18">
        <f t="shared" si="423"/>
        <v>1</v>
      </c>
      <c r="AP142" s="34">
        <v>1</v>
      </c>
      <c r="AQ142" s="16">
        <v>1</v>
      </c>
      <c r="AR142" s="16"/>
      <c r="AS142" s="17"/>
      <c r="AT142" s="18">
        <f t="shared" si="424"/>
        <v>2</v>
      </c>
      <c r="AU142" s="34">
        <v>4</v>
      </c>
      <c r="AV142" s="16"/>
      <c r="AW142" s="16"/>
      <c r="AX142" s="17"/>
      <c r="AY142" s="18">
        <f t="shared" si="425"/>
        <v>4</v>
      </c>
      <c r="AZ142" s="34">
        <v>5</v>
      </c>
      <c r="BA142" s="16"/>
      <c r="BB142" s="16">
        <v>4</v>
      </c>
      <c r="BC142" s="17"/>
      <c r="BD142" s="18">
        <f t="shared" si="426"/>
        <v>9</v>
      </c>
      <c r="BE142" s="34">
        <v>4</v>
      </c>
      <c r="BF142" s="16">
        <v>1</v>
      </c>
      <c r="BG142" s="16"/>
      <c r="BH142" s="17"/>
      <c r="BI142" s="18">
        <f t="shared" si="427"/>
        <v>5</v>
      </c>
      <c r="BJ142" s="34">
        <v>4</v>
      </c>
      <c r="BK142" s="16"/>
      <c r="BL142" s="16">
        <v>1</v>
      </c>
      <c r="BM142" s="17"/>
      <c r="BN142" s="18">
        <f t="shared" si="428"/>
        <v>5</v>
      </c>
      <c r="BO142" s="70">
        <f t="shared" si="410"/>
        <v>38</v>
      </c>
      <c r="BP142" s="16">
        <f t="shared" si="411"/>
        <v>2</v>
      </c>
      <c r="BQ142" s="16">
        <f t="shared" si="412"/>
        <v>22</v>
      </c>
      <c r="BR142" s="17">
        <f t="shared" si="413"/>
        <v>0</v>
      </c>
      <c r="BS142" s="35">
        <f t="shared" si="429"/>
        <v>62</v>
      </c>
    </row>
    <row r="143" spans="2:71" x14ac:dyDescent="0.3">
      <c r="B143" s="269"/>
      <c r="C143" s="230"/>
      <c r="D143" s="233"/>
      <c r="E143" s="220"/>
      <c r="F143" s="123" t="s">
        <v>261</v>
      </c>
      <c r="G143" s="34"/>
      <c r="H143" s="16"/>
      <c r="I143" s="16"/>
      <c r="J143" s="17"/>
      <c r="K143" s="18">
        <f t="shared" ref="K143" si="430">SUM(G143:J143)</f>
        <v>0</v>
      </c>
      <c r="L143" s="34"/>
      <c r="M143" s="16"/>
      <c r="N143" s="16"/>
      <c r="O143" s="17"/>
      <c r="P143" s="18">
        <f t="shared" ref="P143" si="431">SUM(L143:O143)</f>
        <v>0</v>
      </c>
      <c r="Q143" s="34"/>
      <c r="R143" s="16"/>
      <c r="S143" s="16"/>
      <c r="T143" s="17"/>
      <c r="U143" s="18">
        <f t="shared" ref="U143" si="432">SUM(Q143:T143)</f>
        <v>0</v>
      </c>
      <c r="V143" s="34">
        <v>1</v>
      </c>
      <c r="W143" s="16"/>
      <c r="X143" s="16"/>
      <c r="Y143" s="17"/>
      <c r="Z143" s="18">
        <f t="shared" ref="Z143" si="433">SUM(V143:Y143)</f>
        <v>1</v>
      </c>
      <c r="AA143" s="34">
        <v>1</v>
      </c>
      <c r="AB143" s="16"/>
      <c r="AC143" s="16">
        <v>4</v>
      </c>
      <c r="AD143" s="17"/>
      <c r="AE143" s="18">
        <f t="shared" ref="AE143" si="434">SUM(AA143:AD143)</f>
        <v>5</v>
      </c>
      <c r="AF143" s="34"/>
      <c r="AG143" s="16"/>
      <c r="AH143" s="16">
        <v>1</v>
      </c>
      <c r="AI143" s="17"/>
      <c r="AJ143" s="18">
        <f t="shared" ref="AJ143" si="435">SUM(AF143:AI143)</f>
        <v>1</v>
      </c>
      <c r="AK143" s="34"/>
      <c r="AL143" s="16"/>
      <c r="AM143" s="16"/>
      <c r="AN143" s="17"/>
      <c r="AO143" s="18">
        <f t="shared" ref="AO143" si="436">SUM(AK143:AN143)</f>
        <v>0</v>
      </c>
      <c r="AP143" s="34">
        <v>1</v>
      </c>
      <c r="AQ143" s="16"/>
      <c r="AR143" s="16"/>
      <c r="AS143" s="17"/>
      <c r="AT143" s="18">
        <f t="shared" ref="AT143" si="437">SUM(AP143:AS143)</f>
        <v>1</v>
      </c>
      <c r="AU143" s="34"/>
      <c r="AV143" s="16"/>
      <c r="AW143" s="16"/>
      <c r="AX143" s="17"/>
      <c r="AY143" s="18">
        <f t="shared" ref="AY143" si="438">SUM(AU143:AX143)</f>
        <v>0</v>
      </c>
      <c r="AZ143" s="34">
        <v>2</v>
      </c>
      <c r="BA143" s="16"/>
      <c r="BB143" s="16"/>
      <c r="BC143" s="17"/>
      <c r="BD143" s="18">
        <f t="shared" ref="BD143" si="439">SUM(AZ143:BC143)</f>
        <v>2</v>
      </c>
      <c r="BE143" s="34"/>
      <c r="BF143" s="16"/>
      <c r="BG143" s="16"/>
      <c r="BH143" s="17"/>
      <c r="BI143" s="18">
        <f t="shared" ref="BI143" si="440">SUM(BE143:BH143)</f>
        <v>0</v>
      </c>
      <c r="BJ143" s="34"/>
      <c r="BK143" s="16"/>
      <c r="BL143" s="16"/>
      <c r="BM143" s="17"/>
      <c r="BN143" s="18">
        <f t="shared" ref="BN143" si="441">SUM(BJ143:BM143)</f>
        <v>0</v>
      </c>
      <c r="BO143" s="70">
        <f t="shared" si="410"/>
        <v>5</v>
      </c>
      <c r="BP143" s="16">
        <f t="shared" si="411"/>
        <v>0</v>
      </c>
      <c r="BQ143" s="16">
        <f t="shared" si="412"/>
        <v>5</v>
      </c>
      <c r="BR143" s="17">
        <f t="shared" si="413"/>
        <v>0</v>
      </c>
      <c r="BS143" s="35">
        <f t="shared" ref="BS143" si="442">SUM(BO143:BR143)</f>
        <v>10</v>
      </c>
    </row>
    <row r="144" spans="2:71" x14ac:dyDescent="0.3">
      <c r="B144" s="269"/>
      <c r="C144" s="230"/>
      <c r="D144" s="233"/>
      <c r="E144" s="220"/>
      <c r="F144" s="123" t="s">
        <v>67</v>
      </c>
      <c r="G144" s="34">
        <v>42</v>
      </c>
      <c r="H144" s="16">
        <v>2</v>
      </c>
      <c r="I144" s="16">
        <v>4</v>
      </c>
      <c r="J144" s="17"/>
      <c r="K144" s="18">
        <f t="shared" ref="K144:K153" si="443">SUM(G144:J144)</f>
        <v>48</v>
      </c>
      <c r="L144" s="34">
        <v>35</v>
      </c>
      <c r="M144" s="16"/>
      <c r="N144" s="16">
        <v>9</v>
      </c>
      <c r="O144" s="17"/>
      <c r="P144" s="18">
        <f t="shared" si="398"/>
        <v>44</v>
      </c>
      <c r="Q144" s="34">
        <v>50</v>
      </c>
      <c r="R144" s="16">
        <v>1</v>
      </c>
      <c r="S144" s="16">
        <v>13</v>
      </c>
      <c r="T144" s="17"/>
      <c r="U144" s="18">
        <f t="shared" si="399"/>
        <v>64</v>
      </c>
      <c r="V144" s="34">
        <v>6</v>
      </c>
      <c r="W144" s="16"/>
      <c r="X144" s="16"/>
      <c r="Y144" s="17"/>
      <c r="Z144" s="18">
        <f t="shared" si="400"/>
        <v>6</v>
      </c>
      <c r="AA144" s="34"/>
      <c r="AB144" s="16"/>
      <c r="AC144" s="16"/>
      <c r="AD144" s="17"/>
      <c r="AE144" s="18">
        <f t="shared" si="401"/>
        <v>0</v>
      </c>
      <c r="AF144" s="34"/>
      <c r="AG144" s="16"/>
      <c r="AH144" s="16"/>
      <c r="AI144" s="17"/>
      <c r="AJ144" s="18">
        <f t="shared" si="402"/>
        <v>0</v>
      </c>
      <c r="AK144" s="34"/>
      <c r="AL144" s="16"/>
      <c r="AM144" s="16"/>
      <c r="AN144" s="17"/>
      <c r="AO144" s="18">
        <f t="shared" si="403"/>
        <v>0</v>
      </c>
      <c r="AP144" s="34"/>
      <c r="AQ144" s="16"/>
      <c r="AR144" s="16"/>
      <c r="AS144" s="17"/>
      <c r="AT144" s="18">
        <f t="shared" si="404"/>
        <v>0</v>
      </c>
      <c r="AU144" s="34"/>
      <c r="AV144" s="16"/>
      <c r="AW144" s="16"/>
      <c r="AX144" s="17"/>
      <c r="AY144" s="18">
        <f t="shared" si="405"/>
        <v>0</v>
      </c>
      <c r="AZ144" s="34"/>
      <c r="BA144" s="16"/>
      <c r="BB144" s="16"/>
      <c r="BC144" s="17"/>
      <c r="BD144" s="18">
        <f t="shared" si="406"/>
        <v>0</v>
      </c>
      <c r="BE144" s="34"/>
      <c r="BF144" s="16"/>
      <c r="BG144" s="16"/>
      <c r="BH144" s="17"/>
      <c r="BI144" s="18">
        <f t="shared" si="407"/>
        <v>0</v>
      </c>
      <c r="BJ144" s="34"/>
      <c r="BK144" s="16"/>
      <c r="BL144" s="16"/>
      <c r="BM144" s="17"/>
      <c r="BN144" s="18">
        <f t="shared" si="408"/>
        <v>0</v>
      </c>
      <c r="BO144" s="70">
        <f t="shared" si="410"/>
        <v>133</v>
      </c>
      <c r="BP144" s="16">
        <f t="shared" si="411"/>
        <v>3</v>
      </c>
      <c r="BQ144" s="16">
        <f t="shared" si="412"/>
        <v>26</v>
      </c>
      <c r="BR144" s="17">
        <f t="shared" si="413"/>
        <v>0</v>
      </c>
      <c r="BS144" s="35">
        <f t="shared" ref="BS144:BS155" si="444">SUM(BO144:BR144)</f>
        <v>162</v>
      </c>
    </row>
    <row r="145" spans="2:71" x14ac:dyDescent="0.3">
      <c r="B145" s="269"/>
      <c r="C145" s="230"/>
      <c r="D145" s="233"/>
      <c r="E145" s="220"/>
      <c r="F145" s="123" t="s">
        <v>68</v>
      </c>
      <c r="G145" s="34"/>
      <c r="H145" s="16"/>
      <c r="I145" s="16">
        <v>1</v>
      </c>
      <c r="J145" s="17"/>
      <c r="K145" s="18">
        <f t="shared" si="443"/>
        <v>1</v>
      </c>
      <c r="L145" s="34">
        <v>6</v>
      </c>
      <c r="M145" s="16"/>
      <c r="N145" s="16">
        <v>1</v>
      </c>
      <c r="O145" s="17"/>
      <c r="P145" s="18">
        <f t="shared" si="398"/>
        <v>7</v>
      </c>
      <c r="Q145" s="34">
        <v>5</v>
      </c>
      <c r="R145" s="16"/>
      <c r="S145" s="16">
        <v>3</v>
      </c>
      <c r="T145" s="17"/>
      <c r="U145" s="18">
        <f t="shared" si="399"/>
        <v>8</v>
      </c>
      <c r="V145" s="34">
        <v>2</v>
      </c>
      <c r="W145" s="16"/>
      <c r="X145" s="16"/>
      <c r="Y145" s="17"/>
      <c r="Z145" s="18">
        <f t="shared" si="400"/>
        <v>2</v>
      </c>
      <c r="AA145" s="34"/>
      <c r="AB145" s="16"/>
      <c r="AC145" s="16"/>
      <c r="AD145" s="17"/>
      <c r="AE145" s="18">
        <f t="shared" si="401"/>
        <v>0</v>
      </c>
      <c r="AF145" s="34"/>
      <c r="AG145" s="16"/>
      <c r="AH145" s="16"/>
      <c r="AI145" s="17"/>
      <c r="AJ145" s="18">
        <f t="shared" si="402"/>
        <v>0</v>
      </c>
      <c r="AK145" s="34"/>
      <c r="AL145" s="16"/>
      <c r="AM145" s="16"/>
      <c r="AN145" s="17"/>
      <c r="AO145" s="18">
        <f t="shared" si="403"/>
        <v>0</v>
      </c>
      <c r="AP145" s="34"/>
      <c r="AQ145" s="16"/>
      <c r="AR145" s="16"/>
      <c r="AS145" s="17"/>
      <c r="AT145" s="18">
        <f t="shared" si="404"/>
        <v>0</v>
      </c>
      <c r="AU145" s="34"/>
      <c r="AV145" s="16"/>
      <c r="AW145" s="16"/>
      <c r="AX145" s="17"/>
      <c r="AY145" s="18">
        <f t="shared" si="405"/>
        <v>0</v>
      </c>
      <c r="AZ145" s="34"/>
      <c r="BA145" s="16"/>
      <c r="BB145" s="16"/>
      <c r="BC145" s="17"/>
      <c r="BD145" s="18">
        <f t="shared" si="406"/>
        <v>0</v>
      </c>
      <c r="BE145" s="34"/>
      <c r="BF145" s="16"/>
      <c r="BG145" s="16"/>
      <c r="BH145" s="17"/>
      <c r="BI145" s="18">
        <f t="shared" si="407"/>
        <v>0</v>
      </c>
      <c r="BJ145" s="34"/>
      <c r="BK145" s="16"/>
      <c r="BL145" s="16"/>
      <c r="BM145" s="17"/>
      <c r="BN145" s="18">
        <f t="shared" si="408"/>
        <v>0</v>
      </c>
      <c r="BO145" s="70">
        <f t="shared" si="410"/>
        <v>13</v>
      </c>
      <c r="BP145" s="16">
        <f t="shared" si="411"/>
        <v>0</v>
      </c>
      <c r="BQ145" s="16">
        <f t="shared" si="412"/>
        <v>5</v>
      </c>
      <c r="BR145" s="17">
        <f t="shared" si="413"/>
        <v>0</v>
      </c>
      <c r="BS145" s="35">
        <f t="shared" si="444"/>
        <v>18</v>
      </c>
    </row>
    <row r="146" spans="2:71" x14ac:dyDescent="0.3">
      <c r="B146" s="269"/>
      <c r="C146" s="230"/>
      <c r="D146" s="233"/>
      <c r="E146" s="220"/>
      <c r="F146" s="123" t="s">
        <v>296</v>
      </c>
      <c r="G146" s="34"/>
      <c r="H146" s="16"/>
      <c r="I146" s="16"/>
      <c r="J146" s="17"/>
      <c r="K146" s="18">
        <f t="shared" ref="K146:K147" si="445">SUM(G146:J146)</f>
        <v>0</v>
      </c>
      <c r="L146" s="34"/>
      <c r="M146" s="16"/>
      <c r="N146" s="16"/>
      <c r="O146" s="17"/>
      <c r="P146" s="18">
        <f t="shared" ref="P146:P147" si="446">SUM(L146:O146)</f>
        <v>0</v>
      </c>
      <c r="Q146" s="34"/>
      <c r="R146" s="16"/>
      <c r="S146" s="16"/>
      <c r="T146" s="17"/>
      <c r="U146" s="18">
        <f t="shared" ref="U146:U147" si="447">SUM(Q146:T146)</f>
        <v>0</v>
      </c>
      <c r="V146" s="34">
        <v>75</v>
      </c>
      <c r="W146" s="16">
        <v>7</v>
      </c>
      <c r="X146" s="16">
        <v>43</v>
      </c>
      <c r="Y146" s="17"/>
      <c r="Z146" s="18">
        <f t="shared" ref="Z146:Z147" si="448">SUM(V146:Y146)</f>
        <v>125</v>
      </c>
      <c r="AA146" s="34">
        <v>113</v>
      </c>
      <c r="AB146" s="16">
        <v>12</v>
      </c>
      <c r="AC146" s="16">
        <v>56</v>
      </c>
      <c r="AD146" s="17"/>
      <c r="AE146" s="18">
        <f t="shared" ref="AE146:AE147" si="449">SUM(AA146:AD146)</f>
        <v>181</v>
      </c>
      <c r="AF146" s="34">
        <v>136</v>
      </c>
      <c r="AG146" s="16">
        <v>4</v>
      </c>
      <c r="AH146" s="16">
        <v>49</v>
      </c>
      <c r="AI146" s="17"/>
      <c r="AJ146" s="18">
        <f t="shared" ref="AJ146:AJ147" si="450">SUM(AF146:AI146)</f>
        <v>189</v>
      </c>
      <c r="AK146" s="34">
        <v>48</v>
      </c>
      <c r="AL146" s="16">
        <v>8</v>
      </c>
      <c r="AM146" s="16">
        <v>33</v>
      </c>
      <c r="AN146" s="17"/>
      <c r="AO146" s="18">
        <f t="shared" ref="AO146:AO147" si="451">SUM(AK146:AN146)</f>
        <v>89</v>
      </c>
      <c r="AP146" s="34">
        <v>78</v>
      </c>
      <c r="AQ146" s="16">
        <v>5</v>
      </c>
      <c r="AR146" s="16">
        <v>36</v>
      </c>
      <c r="AS146" s="17"/>
      <c r="AT146" s="18">
        <f t="shared" ref="AT146:AT147" si="452">SUM(AP146:AS146)</f>
        <v>119</v>
      </c>
      <c r="AU146" s="34">
        <v>169</v>
      </c>
      <c r="AV146" s="16">
        <v>25</v>
      </c>
      <c r="AW146" s="16">
        <v>65</v>
      </c>
      <c r="AX146" s="17"/>
      <c r="AY146" s="18">
        <f t="shared" ref="AY146:AY147" si="453">SUM(AU146:AX146)</f>
        <v>259</v>
      </c>
      <c r="AZ146" s="34">
        <v>381</v>
      </c>
      <c r="BA146" s="16">
        <v>39</v>
      </c>
      <c r="BB146" s="16">
        <v>112</v>
      </c>
      <c r="BC146" s="17"/>
      <c r="BD146" s="18">
        <f t="shared" ref="BD146:BD147" si="454">SUM(AZ146:BC146)</f>
        <v>532</v>
      </c>
      <c r="BE146" s="34">
        <v>117</v>
      </c>
      <c r="BF146" s="16">
        <v>19</v>
      </c>
      <c r="BG146" s="16">
        <v>34</v>
      </c>
      <c r="BH146" s="17"/>
      <c r="BI146" s="18">
        <f t="shared" ref="BI146:BI147" si="455">SUM(BE146:BH146)</f>
        <v>170</v>
      </c>
      <c r="BJ146" s="34">
        <v>78</v>
      </c>
      <c r="BK146" s="16">
        <v>4</v>
      </c>
      <c r="BL146" s="16">
        <v>33</v>
      </c>
      <c r="BM146" s="17"/>
      <c r="BN146" s="18">
        <f t="shared" ref="BN146:BN147" si="456">SUM(BJ146:BM146)</f>
        <v>115</v>
      </c>
      <c r="BO146" s="70">
        <f t="shared" si="410"/>
        <v>1195</v>
      </c>
      <c r="BP146" s="16">
        <f t="shared" si="411"/>
        <v>123</v>
      </c>
      <c r="BQ146" s="16">
        <f t="shared" si="412"/>
        <v>461</v>
      </c>
      <c r="BR146" s="17">
        <f t="shared" si="413"/>
        <v>0</v>
      </c>
      <c r="BS146" s="35">
        <f t="shared" ref="BS146:BS147" si="457">SUM(BO146:BR146)</f>
        <v>1779</v>
      </c>
    </row>
    <row r="147" spans="2:71" x14ac:dyDescent="0.3">
      <c r="B147" s="269"/>
      <c r="C147" s="230"/>
      <c r="D147" s="233"/>
      <c r="E147" s="220"/>
      <c r="F147" s="123" t="s">
        <v>297</v>
      </c>
      <c r="G147" s="34"/>
      <c r="H147" s="16"/>
      <c r="I147" s="16"/>
      <c r="J147" s="17"/>
      <c r="K147" s="18">
        <f t="shared" si="445"/>
        <v>0</v>
      </c>
      <c r="L147" s="34"/>
      <c r="M147" s="16"/>
      <c r="N147" s="16"/>
      <c r="O147" s="17"/>
      <c r="P147" s="18">
        <f t="shared" si="446"/>
        <v>0</v>
      </c>
      <c r="Q147" s="34"/>
      <c r="R147" s="16"/>
      <c r="S147" s="16"/>
      <c r="T147" s="17"/>
      <c r="U147" s="18">
        <f t="shared" si="447"/>
        <v>0</v>
      </c>
      <c r="V147" s="34">
        <v>21</v>
      </c>
      <c r="W147" s="16">
        <v>2</v>
      </c>
      <c r="X147" s="16">
        <v>6</v>
      </c>
      <c r="Y147" s="17"/>
      <c r="Z147" s="18">
        <f t="shared" si="448"/>
        <v>29</v>
      </c>
      <c r="AA147" s="34">
        <v>29</v>
      </c>
      <c r="AB147" s="16">
        <v>2</v>
      </c>
      <c r="AC147" s="16">
        <v>19</v>
      </c>
      <c r="AD147" s="17"/>
      <c r="AE147" s="18">
        <f t="shared" si="449"/>
        <v>50</v>
      </c>
      <c r="AF147" s="34">
        <v>22</v>
      </c>
      <c r="AG147" s="16">
        <v>3</v>
      </c>
      <c r="AH147" s="16">
        <v>13</v>
      </c>
      <c r="AI147" s="17"/>
      <c r="AJ147" s="18">
        <f t="shared" si="450"/>
        <v>38</v>
      </c>
      <c r="AK147" s="34">
        <v>10</v>
      </c>
      <c r="AL147" s="16">
        <v>2</v>
      </c>
      <c r="AM147" s="16">
        <v>8</v>
      </c>
      <c r="AN147" s="17"/>
      <c r="AO147" s="18">
        <f t="shared" si="451"/>
        <v>20</v>
      </c>
      <c r="AP147" s="34">
        <v>19</v>
      </c>
      <c r="AQ147" s="16"/>
      <c r="AR147" s="16">
        <v>16</v>
      </c>
      <c r="AS147" s="17"/>
      <c r="AT147" s="18">
        <f t="shared" si="452"/>
        <v>35</v>
      </c>
      <c r="AU147" s="34">
        <v>36</v>
      </c>
      <c r="AV147" s="16">
        <v>2</v>
      </c>
      <c r="AW147" s="16">
        <v>23</v>
      </c>
      <c r="AX147" s="17"/>
      <c r="AY147" s="18">
        <f t="shared" si="453"/>
        <v>61</v>
      </c>
      <c r="AZ147" s="34">
        <v>39</v>
      </c>
      <c r="BA147" s="16">
        <v>2</v>
      </c>
      <c r="BB147" s="16">
        <v>29</v>
      </c>
      <c r="BC147" s="17"/>
      <c r="BD147" s="18">
        <f t="shared" si="454"/>
        <v>70</v>
      </c>
      <c r="BE147" s="34">
        <v>7</v>
      </c>
      <c r="BF147" s="16">
        <v>2</v>
      </c>
      <c r="BG147" s="16">
        <v>8</v>
      </c>
      <c r="BH147" s="17"/>
      <c r="BI147" s="18">
        <f t="shared" si="455"/>
        <v>17</v>
      </c>
      <c r="BJ147" s="34">
        <v>15</v>
      </c>
      <c r="BK147" s="16"/>
      <c r="BL147" s="16">
        <v>3</v>
      </c>
      <c r="BM147" s="17"/>
      <c r="BN147" s="18">
        <f t="shared" si="456"/>
        <v>18</v>
      </c>
      <c r="BO147" s="70">
        <f t="shared" si="410"/>
        <v>198</v>
      </c>
      <c r="BP147" s="16">
        <f t="shared" si="411"/>
        <v>15</v>
      </c>
      <c r="BQ147" s="16">
        <f t="shared" si="412"/>
        <v>125</v>
      </c>
      <c r="BR147" s="17">
        <f t="shared" si="413"/>
        <v>0</v>
      </c>
      <c r="BS147" s="35">
        <f t="shared" si="457"/>
        <v>338</v>
      </c>
    </row>
    <row r="148" spans="2:71" x14ac:dyDescent="0.3">
      <c r="B148" s="269"/>
      <c r="C148" s="230"/>
      <c r="D148" s="233"/>
      <c r="E148" s="220"/>
      <c r="F148" s="123" t="s">
        <v>298</v>
      </c>
      <c r="G148" s="34"/>
      <c r="H148" s="16"/>
      <c r="I148" s="16"/>
      <c r="J148" s="17"/>
      <c r="K148" s="18">
        <f t="shared" ref="K148:K149" si="458">SUM(G148:J148)</f>
        <v>0</v>
      </c>
      <c r="L148" s="34"/>
      <c r="M148" s="16"/>
      <c r="N148" s="16"/>
      <c r="O148" s="17"/>
      <c r="P148" s="18">
        <f t="shared" ref="P148:P149" si="459">SUM(L148:O148)</f>
        <v>0</v>
      </c>
      <c r="Q148" s="34"/>
      <c r="R148" s="16"/>
      <c r="S148" s="16"/>
      <c r="T148" s="17"/>
      <c r="U148" s="18">
        <f t="shared" ref="U148:U149" si="460">SUM(Q148:T148)</f>
        <v>0</v>
      </c>
      <c r="V148" s="34">
        <v>62</v>
      </c>
      <c r="W148" s="16">
        <v>4</v>
      </c>
      <c r="X148" s="16">
        <v>24</v>
      </c>
      <c r="Y148" s="17"/>
      <c r="Z148" s="18">
        <f t="shared" ref="Z148:Z149" si="461">SUM(V148:Y148)</f>
        <v>90</v>
      </c>
      <c r="AA148" s="34">
        <v>76</v>
      </c>
      <c r="AB148" s="16">
        <v>7</v>
      </c>
      <c r="AC148" s="16">
        <v>30</v>
      </c>
      <c r="AD148" s="17"/>
      <c r="AE148" s="18">
        <f t="shared" ref="AE148:AE149" si="462">SUM(AA148:AD148)</f>
        <v>113</v>
      </c>
      <c r="AF148" s="34">
        <v>81</v>
      </c>
      <c r="AG148" s="16">
        <v>2</v>
      </c>
      <c r="AH148" s="16">
        <v>24</v>
      </c>
      <c r="AI148" s="17"/>
      <c r="AJ148" s="18">
        <f t="shared" ref="AJ148:AJ149" si="463">SUM(AF148:AI148)</f>
        <v>107</v>
      </c>
      <c r="AK148" s="34">
        <v>41</v>
      </c>
      <c r="AL148" s="16">
        <v>4</v>
      </c>
      <c r="AM148" s="16">
        <v>9</v>
      </c>
      <c r="AN148" s="17"/>
      <c r="AO148" s="18">
        <f t="shared" ref="AO148:AO149" si="464">SUM(AK148:AN148)</f>
        <v>54</v>
      </c>
      <c r="AP148" s="34">
        <v>55</v>
      </c>
      <c r="AQ148" s="16"/>
      <c r="AR148" s="16">
        <v>18</v>
      </c>
      <c r="AS148" s="17"/>
      <c r="AT148" s="18">
        <f t="shared" ref="AT148:AT149" si="465">SUM(AP148:AS148)</f>
        <v>73</v>
      </c>
      <c r="AU148" s="34">
        <v>94</v>
      </c>
      <c r="AV148" s="16">
        <v>12</v>
      </c>
      <c r="AW148" s="16">
        <v>22</v>
      </c>
      <c r="AX148" s="17"/>
      <c r="AY148" s="18">
        <f t="shared" ref="AY148:AY149" si="466">SUM(AU148:AX148)</f>
        <v>128</v>
      </c>
      <c r="AZ148" s="34">
        <v>174</v>
      </c>
      <c r="BA148" s="16">
        <v>19</v>
      </c>
      <c r="BB148" s="16">
        <v>55</v>
      </c>
      <c r="BC148" s="17"/>
      <c r="BD148" s="18">
        <f t="shared" ref="BD148:BD149" si="467">SUM(AZ148:BC148)</f>
        <v>248</v>
      </c>
      <c r="BE148" s="34">
        <v>60</v>
      </c>
      <c r="BF148" s="16">
        <v>12</v>
      </c>
      <c r="BG148" s="16">
        <v>13</v>
      </c>
      <c r="BH148" s="17"/>
      <c r="BI148" s="18">
        <f t="shared" ref="BI148:BI149" si="468">SUM(BE148:BH148)</f>
        <v>85</v>
      </c>
      <c r="BJ148" s="34">
        <v>59</v>
      </c>
      <c r="BK148" s="16">
        <v>2</v>
      </c>
      <c r="BL148" s="16">
        <v>14</v>
      </c>
      <c r="BM148" s="17"/>
      <c r="BN148" s="18">
        <f t="shared" ref="BN148:BN149" si="469">SUM(BJ148:BM148)</f>
        <v>75</v>
      </c>
      <c r="BO148" s="70">
        <f t="shared" si="410"/>
        <v>702</v>
      </c>
      <c r="BP148" s="16">
        <f t="shared" si="411"/>
        <v>62</v>
      </c>
      <c r="BQ148" s="16">
        <f t="shared" si="412"/>
        <v>209</v>
      </c>
      <c r="BR148" s="17">
        <f t="shared" si="413"/>
        <v>0</v>
      </c>
      <c r="BS148" s="35">
        <f t="shared" ref="BS148:BS149" si="470">SUM(BO148:BR148)</f>
        <v>973</v>
      </c>
    </row>
    <row r="149" spans="2:71" x14ac:dyDescent="0.3">
      <c r="B149" s="269"/>
      <c r="C149" s="230"/>
      <c r="D149" s="233"/>
      <c r="E149" s="220"/>
      <c r="F149" s="123" t="s">
        <v>299</v>
      </c>
      <c r="G149" s="34"/>
      <c r="H149" s="16"/>
      <c r="I149" s="16"/>
      <c r="J149" s="17"/>
      <c r="K149" s="18">
        <f t="shared" si="458"/>
        <v>0</v>
      </c>
      <c r="L149" s="34"/>
      <c r="M149" s="16"/>
      <c r="N149" s="16"/>
      <c r="O149" s="17"/>
      <c r="P149" s="18">
        <f t="shared" si="459"/>
        <v>0</v>
      </c>
      <c r="Q149" s="34"/>
      <c r="R149" s="16"/>
      <c r="S149" s="16"/>
      <c r="T149" s="17"/>
      <c r="U149" s="18">
        <f t="shared" si="460"/>
        <v>0</v>
      </c>
      <c r="V149" s="34">
        <v>13</v>
      </c>
      <c r="W149" s="16">
        <v>1</v>
      </c>
      <c r="X149" s="16">
        <v>4</v>
      </c>
      <c r="Y149" s="17"/>
      <c r="Z149" s="18">
        <f t="shared" si="461"/>
        <v>18</v>
      </c>
      <c r="AA149" s="34">
        <v>19</v>
      </c>
      <c r="AB149" s="16">
        <v>1</v>
      </c>
      <c r="AC149" s="16">
        <v>7</v>
      </c>
      <c r="AD149" s="17"/>
      <c r="AE149" s="18">
        <f t="shared" si="462"/>
        <v>27</v>
      </c>
      <c r="AF149" s="34">
        <v>20</v>
      </c>
      <c r="AG149" s="16">
        <v>2</v>
      </c>
      <c r="AH149" s="16">
        <v>3</v>
      </c>
      <c r="AI149" s="17"/>
      <c r="AJ149" s="18">
        <f t="shared" si="463"/>
        <v>25</v>
      </c>
      <c r="AK149" s="34">
        <v>4</v>
      </c>
      <c r="AL149" s="16">
        <v>2</v>
      </c>
      <c r="AM149" s="16">
        <v>1</v>
      </c>
      <c r="AN149" s="17"/>
      <c r="AO149" s="18">
        <f t="shared" si="464"/>
        <v>7</v>
      </c>
      <c r="AP149" s="34">
        <v>18</v>
      </c>
      <c r="AQ149" s="16"/>
      <c r="AR149" s="16">
        <v>4</v>
      </c>
      <c r="AS149" s="17"/>
      <c r="AT149" s="18">
        <f t="shared" si="465"/>
        <v>22</v>
      </c>
      <c r="AU149" s="34">
        <v>25</v>
      </c>
      <c r="AV149" s="16">
        <v>1</v>
      </c>
      <c r="AW149" s="16">
        <v>13</v>
      </c>
      <c r="AX149" s="17"/>
      <c r="AY149" s="18">
        <f t="shared" si="466"/>
        <v>39</v>
      </c>
      <c r="AZ149" s="34">
        <v>29</v>
      </c>
      <c r="BA149" s="16">
        <v>3</v>
      </c>
      <c r="BB149" s="16">
        <v>11</v>
      </c>
      <c r="BC149" s="17"/>
      <c r="BD149" s="18">
        <f t="shared" si="467"/>
        <v>43</v>
      </c>
      <c r="BE149" s="34">
        <v>8</v>
      </c>
      <c r="BF149" s="16"/>
      <c r="BG149" s="16">
        <v>4</v>
      </c>
      <c r="BH149" s="17"/>
      <c r="BI149" s="18">
        <f t="shared" si="468"/>
        <v>12</v>
      </c>
      <c r="BJ149" s="34">
        <v>8</v>
      </c>
      <c r="BK149" s="16"/>
      <c r="BL149" s="16">
        <v>2</v>
      </c>
      <c r="BM149" s="17"/>
      <c r="BN149" s="18">
        <f t="shared" si="469"/>
        <v>10</v>
      </c>
      <c r="BO149" s="70">
        <f t="shared" si="410"/>
        <v>144</v>
      </c>
      <c r="BP149" s="16">
        <f t="shared" si="411"/>
        <v>10</v>
      </c>
      <c r="BQ149" s="16">
        <f t="shared" si="412"/>
        <v>49</v>
      </c>
      <c r="BR149" s="17">
        <f t="shared" si="413"/>
        <v>0</v>
      </c>
      <c r="BS149" s="35">
        <f t="shared" si="470"/>
        <v>203</v>
      </c>
    </row>
    <row r="150" spans="2:71" x14ac:dyDescent="0.3">
      <c r="B150" s="269"/>
      <c r="C150" s="230"/>
      <c r="D150" s="233"/>
      <c r="E150" s="220"/>
      <c r="F150" s="123" t="s">
        <v>208</v>
      </c>
      <c r="G150" s="34">
        <v>89</v>
      </c>
      <c r="H150" s="16"/>
      <c r="I150" s="16">
        <v>50</v>
      </c>
      <c r="J150" s="17"/>
      <c r="K150" s="18">
        <f t="shared" ref="K150:K151" si="471">SUM(G150:J150)</f>
        <v>139</v>
      </c>
      <c r="L150" s="34">
        <v>86</v>
      </c>
      <c r="M150" s="16">
        <v>2</v>
      </c>
      <c r="N150" s="16">
        <v>43</v>
      </c>
      <c r="O150" s="17"/>
      <c r="P150" s="18">
        <f t="shared" si="398"/>
        <v>131</v>
      </c>
      <c r="Q150" s="34">
        <v>64</v>
      </c>
      <c r="R150" s="16">
        <v>3</v>
      </c>
      <c r="S150" s="16">
        <v>41</v>
      </c>
      <c r="T150" s="17"/>
      <c r="U150" s="18">
        <f t="shared" si="399"/>
        <v>108</v>
      </c>
      <c r="V150" s="34">
        <v>38</v>
      </c>
      <c r="W150" s="16">
        <v>9</v>
      </c>
      <c r="X150" s="16">
        <v>27</v>
      </c>
      <c r="Y150" s="17"/>
      <c r="Z150" s="18">
        <f t="shared" si="400"/>
        <v>74</v>
      </c>
      <c r="AA150" s="34">
        <v>33</v>
      </c>
      <c r="AB150" s="16">
        <v>5</v>
      </c>
      <c r="AC150" s="16">
        <v>31</v>
      </c>
      <c r="AD150" s="17"/>
      <c r="AE150" s="18">
        <f t="shared" si="401"/>
        <v>69</v>
      </c>
      <c r="AF150" s="34">
        <v>62</v>
      </c>
      <c r="AG150" s="16">
        <v>2</v>
      </c>
      <c r="AH150" s="16">
        <v>46</v>
      </c>
      <c r="AI150" s="17"/>
      <c r="AJ150" s="18">
        <f t="shared" si="402"/>
        <v>110</v>
      </c>
      <c r="AK150" s="34">
        <v>43</v>
      </c>
      <c r="AL150" s="16">
        <v>18</v>
      </c>
      <c r="AM150" s="16">
        <v>34</v>
      </c>
      <c r="AN150" s="17"/>
      <c r="AO150" s="18">
        <f t="shared" si="403"/>
        <v>95</v>
      </c>
      <c r="AP150" s="34">
        <v>33</v>
      </c>
      <c r="AQ150" s="16">
        <v>2</v>
      </c>
      <c r="AR150" s="16">
        <v>40</v>
      </c>
      <c r="AS150" s="17"/>
      <c r="AT150" s="18">
        <f t="shared" si="404"/>
        <v>75</v>
      </c>
      <c r="AU150" s="34">
        <v>35</v>
      </c>
      <c r="AV150" s="16">
        <v>4</v>
      </c>
      <c r="AW150" s="16">
        <v>41</v>
      </c>
      <c r="AX150" s="17"/>
      <c r="AY150" s="18">
        <f t="shared" si="405"/>
        <v>80</v>
      </c>
      <c r="AZ150" s="34">
        <v>69</v>
      </c>
      <c r="BA150" s="16">
        <v>3</v>
      </c>
      <c r="BB150" s="16">
        <v>44</v>
      </c>
      <c r="BC150" s="17"/>
      <c r="BD150" s="18">
        <f t="shared" si="406"/>
        <v>116</v>
      </c>
      <c r="BE150" s="34">
        <v>33</v>
      </c>
      <c r="BF150" s="16">
        <v>4</v>
      </c>
      <c r="BG150" s="16">
        <v>21</v>
      </c>
      <c r="BH150" s="17"/>
      <c r="BI150" s="18">
        <f t="shared" si="407"/>
        <v>58</v>
      </c>
      <c r="BJ150" s="34">
        <v>57</v>
      </c>
      <c r="BK150" s="16">
        <v>8</v>
      </c>
      <c r="BL150" s="16">
        <v>19</v>
      </c>
      <c r="BM150" s="17"/>
      <c r="BN150" s="18">
        <f t="shared" si="408"/>
        <v>84</v>
      </c>
      <c r="BO150" s="70">
        <f t="shared" si="410"/>
        <v>642</v>
      </c>
      <c r="BP150" s="16">
        <f t="shared" si="411"/>
        <v>60</v>
      </c>
      <c r="BQ150" s="16">
        <f t="shared" si="412"/>
        <v>437</v>
      </c>
      <c r="BR150" s="17">
        <f t="shared" si="413"/>
        <v>0</v>
      </c>
      <c r="BS150" s="35">
        <f t="shared" ref="BS150:BS151" si="472">SUM(BO150:BR150)</f>
        <v>1139</v>
      </c>
    </row>
    <row r="151" spans="2:71" x14ac:dyDescent="0.3">
      <c r="B151" s="269"/>
      <c r="C151" s="230"/>
      <c r="D151" s="233"/>
      <c r="E151" s="220"/>
      <c r="F151" s="123" t="s">
        <v>209</v>
      </c>
      <c r="G151" s="34">
        <v>8</v>
      </c>
      <c r="H151" s="16"/>
      <c r="I151" s="16">
        <v>2</v>
      </c>
      <c r="J151" s="17"/>
      <c r="K151" s="18">
        <f t="shared" si="471"/>
        <v>10</v>
      </c>
      <c r="L151" s="34">
        <v>8</v>
      </c>
      <c r="M151" s="16"/>
      <c r="N151" s="16">
        <v>6</v>
      </c>
      <c r="O151" s="17"/>
      <c r="P151" s="18">
        <f t="shared" si="398"/>
        <v>14</v>
      </c>
      <c r="Q151" s="34">
        <v>16</v>
      </c>
      <c r="R151" s="16">
        <v>2</v>
      </c>
      <c r="S151" s="16">
        <v>8</v>
      </c>
      <c r="T151" s="17"/>
      <c r="U151" s="18">
        <f t="shared" si="399"/>
        <v>26</v>
      </c>
      <c r="V151" s="34">
        <v>12</v>
      </c>
      <c r="W151" s="16">
        <v>2</v>
      </c>
      <c r="X151" s="16">
        <v>11</v>
      </c>
      <c r="Y151" s="17"/>
      <c r="Z151" s="18">
        <f t="shared" si="400"/>
        <v>25</v>
      </c>
      <c r="AA151" s="34">
        <v>14</v>
      </c>
      <c r="AB151" s="16">
        <v>4</v>
      </c>
      <c r="AC151" s="16">
        <v>8</v>
      </c>
      <c r="AD151" s="17"/>
      <c r="AE151" s="18">
        <f t="shared" si="401"/>
        <v>26</v>
      </c>
      <c r="AF151" s="34">
        <v>20</v>
      </c>
      <c r="AG151" s="16"/>
      <c r="AH151" s="16">
        <v>11</v>
      </c>
      <c r="AI151" s="17"/>
      <c r="AJ151" s="18">
        <f t="shared" si="402"/>
        <v>31</v>
      </c>
      <c r="AK151" s="34">
        <v>18</v>
      </c>
      <c r="AL151" s="16">
        <v>1</v>
      </c>
      <c r="AM151" s="16">
        <v>6</v>
      </c>
      <c r="AN151" s="17"/>
      <c r="AO151" s="18">
        <f t="shared" si="403"/>
        <v>25</v>
      </c>
      <c r="AP151" s="34">
        <v>9</v>
      </c>
      <c r="AQ151" s="16">
        <v>2</v>
      </c>
      <c r="AR151" s="16">
        <v>16</v>
      </c>
      <c r="AS151" s="17"/>
      <c r="AT151" s="18">
        <f t="shared" si="404"/>
        <v>27</v>
      </c>
      <c r="AU151" s="34">
        <v>11</v>
      </c>
      <c r="AV151" s="16"/>
      <c r="AW151" s="16">
        <v>3</v>
      </c>
      <c r="AX151" s="17"/>
      <c r="AY151" s="18">
        <f t="shared" si="405"/>
        <v>14</v>
      </c>
      <c r="AZ151" s="34">
        <v>18</v>
      </c>
      <c r="BA151" s="16">
        <v>1</v>
      </c>
      <c r="BB151" s="16">
        <v>8</v>
      </c>
      <c r="BC151" s="17"/>
      <c r="BD151" s="18">
        <f t="shared" si="406"/>
        <v>27</v>
      </c>
      <c r="BE151" s="34">
        <v>14</v>
      </c>
      <c r="BF151" s="16"/>
      <c r="BG151" s="16">
        <v>2</v>
      </c>
      <c r="BH151" s="17"/>
      <c r="BI151" s="18">
        <f t="shared" si="407"/>
        <v>16</v>
      </c>
      <c r="BJ151" s="34">
        <v>19</v>
      </c>
      <c r="BK151" s="16">
        <v>1</v>
      </c>
      <c r="BL151" s="16">
        <v>2</v>
      </c>
      <c r="BM151" s="17"/>
      <c r="BN151" s="18">
        <f t="shared" si="408"/>
        <v>22</v>
      </c>
      <c r="BO151" s="70">
        <f t="shared" si="410"/>
        <v>167</v>
      </c>
      <c r="BP151" s="16">
        <f t="shared" si="411"/>
        <v>13</v>
      </c>
      <c r="BQ151" s="16">
        <f t="shared" si="412"/>
        <v>83</v>
      </c>
      <c r="BR151" s="17">
        <f t="shared" si="413"/>
        <v>0</v>
      </c>
      <c r="BS151" s="35">
        <f t="shared" si="472"/>
        <v>263</v>
      </c>
    </row>
    <row r="152" spans="2:71" x14ac:dyDescent="0.3">
      <c r="B152" s="269"/>
      <c r="C152" s="230"/>
      <c r="D152" s="233"/>
      <c r="E152" s="220"/>
      <c r="F152" s="123" t="s">
        <v>210</v>
      </c>
      <c r="G152" s="34">
        <v>51</v>
      </c>
      <c r="H152" s="16">
        <v>1</v>
      </c>
      <c r="I152" s="16">
        <v>28</v>
      </c>
      <c r="J152" s="17"/>
      <c r="K152" s="18">
        <f t="shared" si="443"/>
        <v>80</v>
      </c>
      <c r="L152" s="34">
        <v>53</v>
      </c>
      <c r="M152" s="16"/>
      <c r="N152" s="16">
        <v>29</v>
      </c>
      <c r="O152" s="17"/>
      <c r="P152" s="18">
        <f t="shared" si="398"/>
        <v>82</v>
      </c>
      <c r="Q152" s="34">
        <v>47</v>
      </c>
      <c r="R152" s="16">
        <v>5</v>
      </c>
      <c r="S152" s="16">
        <v>26</v>
      </c>
      <c r="T152" s="17"/>
      <c r="U152" s="18">
        <f t="shared" si="399"/>
        <v>78</v>
      </c>
      <c r="V152" s="194">
        <v>24</v>
      </c>
      <c r="W152" s="16">
        <v>5</v>
      </c>
      <c r="X152" s="16">
        <v>26</v>
      </c>
      <c r="Y152" s="17"/>
      <c r="Z152" s="18">
        <f t="shared" si="400"/>
        <v>55</v>
      </c>
      <c r="AA152" s="34">
        <v>33</v>
      </c>
      <c r="AB152" s="16">
        <v>4</v>
      </c>
      <c r="AC152" s="16">
        <v>22</v>
      </c>
      <c r="AD152" s="17"/>
      <c r="AE152" s="18">
        <f t="shared" si="401"/>
        <v>59</v>
      </c>
      <c r="AF152" s="34">
        <v>57</v>
      </c>
      <c r="AG152" s="16">
        <v>3</v>
      </c>
      <c r="AH152" s="16">
        <v>31</v>
      </c>
      <c r="AI152" s="17"/>
      <c r="AJ152" s="18">
        <f t="shared" si="402"/>
        <v>91</v>
      </c>
      <c r="AK152" s="34">
        <v>30</v>
      </c>
      <c r="AL152" s="16">
        <v>8</v>
      </c>
      <c r="AM152" s="16">
        <v>19</v>
      </c>
      <c r="AN152" s="17"/>
      <c r="AO152" s="18">
        <f t="shared" si="403"/>
        <v>57</v>
      </c>
      <c r="AP152" s="34">
        <v>23</v>
      </c>
      <c r="AQ152" s="16"/>
      <c r="AR152" s="16">
        <v>22</v>
      </c>
      <c r="AS152" s="17"/>
      <c r="AT152" s="18">
        <f t="shared" si="404"/>
        <v>45</v>
      </c>
      <c r="AU152" s="34">
        <v>25</v>
      </c>
      <c r="AV152" s="16">
        <v>2</v>
      </c>
      <c r="AW152" s="16">
        <v>28</v>
      </c>
      <c r="AX152" s="17"/>
      <c r="AY152" s="18">
        <f t="shared" si="405"/>
        <v>55</v>
      </c>
      <c r="AZ152" s="34">
        <v>57</v>
      </c>
      <c r="BA152" s="16">
        <v>2</v>
      </c>
      <c r="BB152" s="16">
        <v>30</v>
      </c>
      <c r="BC152" s="17"/>
      <c r="BD152" s="18">
        <f t="shared" si="406"/>
        <v>89</v>
      </c>
      <c r="BE152" s="34">
        <v>29</v>
      </c>
      <c r="BF152" s="16"/>
      <c r="BG152" s="16">
        <v>15</v>
      </c>
      <c r="BH152" s="17"/>
      <c r="BI152" s="18">
        <f t="shared" si="407"/>
        <v>44</v>
      </c>
      <c r="BJ152" s="34">
        <v>41</v>
      </c>
      <c r="BK152" s="16">
        <v>1</v>
      </c>
      <c r="BL152" s="16">
        <v>11</v>
      </c>
      <c r="BM152" s="17"/>
      <c r="BN152" s="18">
        <f t="shared" si="408"/>
        <v>53</v>
      </c>
      <c r="BO152" s="70">
        <f t="shared" si="410"/>
        <v>470</v>
      </c>
      <c r="BP152" s="16">
        <f t="shared" si="411"/>
        <v>31</v>
      </c>
      <c r="BQ152" s="16">
        <f t="shared" si="412"/>
        <v>287</v>
      </c>
      <c r="BR152" s="17">
        <f t="shared" si="413"/>
        <v>0</v>
      </c>
      <c r="BS152" s="35">
        <f t="shared" si="444"/>
        <v>788</v>
      </c>
    </row>
    <row r="153" spans="2:71" x14ac:dyDescent="0.3">
      <c r="B153" s="269"/>
      <c r="C153" s="230"/>
      <c r="D153" s="233"/>
      <c r="E153" s="220"/>
      <c r="F153" s="123" t="s">
        <v>211</v>
      </c>
      <c r="G153" s="34">
        <v>2</v>
      </c>
      <c r="H153" s="16"/>
      <c r="I153" s="16">
        <v>1</v>
      </c>
      <c r="J153" s="17"/>
      <c r="K153" s="18">
        <f t="shared" si="443"/>
        <v>3</v>
      </c>
      <c r="L153" s="34">
        <v>5</v>
      </c>
      <c r="M153" s="16"/>
      <c r="N153" s="16">
        <v>2</v>
      </c>
      <c r="O153" s="17"/>
      <c r="P153" s="18">
        <f t="shared" si="398"/>
        <v>7</v>
      </c>
      <c r="Q153" s="34">
        <v>10</v>
      </c>
      <c r="R153" s="16">
        <v>2</v>
      </c>
      <c r="S153" s="16">
        <v>2</v>
      </c>
      <c r="T153" s="17"/>
      <c r="U153" s="18">
        <f t="shared" si="399"/>
        <v>14</v>
      </c>
      <c r="V153" s="34">
        <v>8</v>
      </c>
      <c r="W153" s="16"/>
      <c r="X153" s="16">
        <v>2</v>
      </c>
      <c r="Y153" s="17"/>
      <c r="Z153" s="18">
        <f t="shared" si="400"/>
        <v>10</v>
      </c>
      <c r="AA153" s="34">
        <v>8</v>
      </c>
      <c r="AB153" s="16">
        <v>2</v>
      </c>
      <c r="AC153" s="16">
        <v>8</v>
      </c>
      <c r="AD153" s="17"/>
      <c r="AE153" s="18">
        <f t="shared" si="401"/>
        <v>18</v>
      </c>
      <c r="AF153" s="34">
        <v>13</v>
      </c>
      <c r="AG153" s="16"/>
      <c r="AH153" s="16">
        <v>15</v>
      </c>
      <c r="AI153" s="17"/>
      <c r="AJ153" s="18">
        <f t="shared" si="402"/>
        <v>28</v>
      </c>
      <c r="AK153" s="34">
        <v>15</v>
      </c>
      <c r="AL153" s="16"/>
      <c r="AM153" s="16">
        <v>4</v>
      </c>
      <c r="AN153" s="17"/>
      <c r="AO153" s="18">
        <f t="shared" si="403"/>
        <v>19</v>
      </c>
      <c r="AP153" s="34">
        <v>6</v>
      </c>
      <c r="AQ153" s="16">
        <v>1</v>
      </c>
      <c r="AR153" s="16">
        <v>9</v>
      </c>
      <c r="AS153" s="17"/>
      <c r="AT153" s="18">
        <f t="shared" si="404"/>
        <v>16</v>
      </c>
      <c r="AU153" s="34">
        <v>6</v>
      </c>
      <c r="AV153" s="16"/>
      <c r="AW153" s="16">
        <v>7</v>
      </c>
      <c r="AX153" s="17"/>
      <c r="AY153" s="18">
        <f t="shared" si="405"/>
        <v>13</v>
      </c>
      <c r="AZ153" s="34">
        <v>13</v>
      </c>
      <c r="BA153" s="16">
        <v>1</v>
      </c>
      <c r="BB153" s="16">
        <v>8</v>
      </c>
      <c r="BC153" s="17"/>
      <c r="BD153" s="18">
        <f t="shared" si="406"/>
        <v>22</v>
      </c>
      <c r="BE153" s="34">
        <v>9</v>
      </c>
      <c r="BF153" s="16"/>
      <c r="BG153" s="16">
        <v>1</v>
      </c>
      <c r="BH153" s="17"/>
      <c r="BI153" s="18">
        <f t="shared" si="407"/>
        <v>10</v>
      </c>
      <c r="BJ153" s="34">
        <v>15</v>
      </c>
      <c r="BK153" s="16"/>
      <c r="BL153" s="16">
        <v>3</v>
      </c>
      <c r="BM153" s="17"/>
      <c r="BN153" s="18">
        <f t="shared" si="408"/>
        <v>18</v>
      </c>
      <c r="BO153" s="70">
        <f t="shared" si="410"/>
        <v>110</v>
      </c>
      <c r="BP153" s="16">
        <f t="shared" si="411"/>
        <v>6</v>
      </c>
      <c r="BQ153" s="16">
        <f t="shared" si="412"/>
        <v>62</v>
      </c>
      <c r="BR153" s="17">
        <f t="shared" si="413"/>
        <v>0</v>
      </c>
      <c r="BS153" s="35">
        <f t="shared" si="444"/>
        <v>178</v>
      </c>
    </row>
    <row r="154" spans="2:71" x14ac:dyDescent="0.3">
      <c r="B154" s="269"/>
      <c r="C154" s="230"/>
      <c r="D154" s="233"/>
      <c r="E154" s="220"/>
      <c r="F154" s="171" t="s">
        <v>292</v>
      </c>
      <c r="G154" s="172"/>
      <c r="H154" s="173"/>
      <c r="I154" s="173"/>
      <c r="J154" s="174"/>
      <c r="K154" s="175">
        <f t="shared" ref="K154:K155" si="473">SUM(G154:J154)</f>
        <v>0</v>
      </c>
      <c r="L154" s="172"/>
      <c r="M154" s="173"/>
      <c r="N154" s="173"/>
      <c r="O154" s="174"/>
      <c r="P154" s="175">
        <f t="shared" ref="P154:P155" si="474">SUM(L154:O154)</f>
        <v>0</v>
      </c>
      <c r="Q154" s="172"/>
      <c r="R154" s="173"/>
      <c r="S154" s="173"/>
      <c r="T154" s="174"/>
      <c r="U154" s="175">
        <f t="shared" ref="U154:U155" si="475">SUM(Q154:T154)</f>
        <v>0</v>
      </c>
      <c r="V154" s="172">
        <v>4</v>
      </c>
      <c r="W154" s="173"/>
      <c r="X154" s="173">
        <v>2</v>
      </c>
      <c r="Y154" s="174"/>
      <c r="Z154" s="175">
        <f t="shared" ref="Z154:Z155" si="476">SUM(V154:Y154)</f>
        <v>6</v>
      </c>
      <c r="AA154" s="172">
        <v>11</v>
      </c>
      <c r="AB154" s="173"/>
      <c r="AC154" s="173">
        <v>3</v>
      </c>
      <c r="AD154" s="174"/>
      <c r="AE154" s="175">
        <f t="shared" ref="AE154:AE155" si="477">SUM(AA154:AD154)</f>
        <v>14</v>
      </c>
      <c r="AF154" s="172">
        <v>13</v>
      </c>
      <c r="AG154" s="173"/>
      <c r="AH154" s="173">
        <v>3</v>
      </c>
      <c r="AI154" s="174"/>
      <c r="AJ154" s="175">
        <f t="shared" ref="AJ154:AJ155" si="478">SUM(AF154:AI154)</f>
        <v>16</v>
      </c>
      <c r="AK154" s="172">
        <v>4</v>
      </c>
      <c r="AL154" s="173">
        <v>2</v>
      </c>
      <c r="AM154" s="173"/>
      <c r="AN154" s="174"/>
      <c r="AO154" s="175">
        <f t="shared" ref="AO154:AO155" si="479">SUM(AK154:AN154)</f>
        <v>6</v>
      </c>
      <c r="AP154" s="172">
        <v>19</v>
      </c>
      <c r="AQ154" s="173">
        <v>4</v>
      </c>
      <c r="AR154" s="173">
        <v>3</v>
      </c>
      <c r="AS154" s="174"/>
      <c r="AT154" s="175">
        <f t="shared" ref="AT154:AT155" si="480">SUM(AP154:AS154)</f>
        <v>26</v>
      </c>
      <c r="AU154" s="172">
        <v>6</v>
      </c>
      <c r="AV154" s="173">
        <v>2</v>
      </c>
      <c r="AW154" s="173">
        <v>1</v>
      </c>
      <c r="AX154" s="174"/>
      <c r="AY154" s="175">
        <f t="shared" ref="AY154:AY155" si="481">SUM(AU154:AX154)</f>
        <v>9</v>
      </c>
      <c r="AZ154" s="172">
        <v>16</v>
      </c>
      <c r="BA154" s="173">
        <v>4</v>
      </c>
      <c r="BB154" s="173">
        <v>7</v>
      </c>
      <c r="BC154" s="174"/>
      <c r="BD154" s="175">
        <f t="shared" ref="BD154:BD155" si="482">SUM(AZ154:BC154)</f>
        <v>27</v>
      </c>
      <c r="BE154" s="172">
        <v>11</v>
      </c>
      <c r="BF154" s="173">
        <v>6</v>
      </c>
      <c r="BG154" s="173">
        <v>1</v>
      </c>
      <c r="BH154" s="174"/>
      <c r="BI154" s="175">
        <f t="shared" ref="BI154:BI155" si="483">SUM(BE154:BH154)</f>
        <v>18</v>
      </c>
      <c r="BJ154" s="172">
        <v>19</v>
      </c>
      <c r="BK154" s="173">
        <v>9</v>
      </c>
      <c r="BL154" s="173">
        <v>6</v>
      </c>
      <c r="BM154" s="174"/>
      <c r="BN154" s="175">
        <f t="shared" ref="BN154:BN155" si="484">SUM(BJ154:BM154)</f>
        <v>34</v>
      </c>
      <c r="BO154" s="177">
        <f t="shared" si="410"/>
        <v>103</v>
      </c>
      <c r="BP154" s="173">
        <f t="shared" si="411"/>
        <v>27</v>
      </c>
      <c r="BQ154" s="173">
        <f t="shared" si="412"/>
        <v>26</v>
      </c>
      <c r="BR154" s="174">
        <f t="shared" si="413"/>
        <v>0</v>
      </c>
      <c r="BS154" s="176">
        <f t="shared" si="444"/>
        <v>156</v>
      </c>
    </row>
    <row r="155" spans="2:71" x14ac:dyDescent="0.3">
      <c r="B155" s="269"/>
      <c r="C155" s="230"/>
      <c r="D155" s="233"/>
      <c r="E155" s="220"/>
      <c r="F155" s="171" t="s">
        <v>293</v>
      </c>
      <c r="G155" s="172"/>
      <c r="H155" s="173"/>
      <c r="I155" s="173"/>
      <c r="J155" s="174"/>
      <c r="K155" s="175">
        <f t="shared" si="473"/>
        <v>0</v>
      </c>
      <c r="L155" s="172"/>
      <c r="M155" s="173"/>
      <c r="N155" s="173"/>
      <c r="O155" s="174"/>
      <c r="P155" s="175">
        <f t="shared" si="474"/>
        <v>0</v>
      </c>
      <c r="Q155" s="172"/>
      <c r="R155" s="173"/>
      <c r="S155" s="173"/>
      <c r="T155" s="174"/>
      <c r="U155" s="175">
        <f t="shared" si="475"/>
        <v>0</v>
      </c>
      <c r="V155" s="172"/>
      <c r="W155" s="173"/>
      <c r="X155" s="173"/>
      <c r="Y155" s="174"/>
      <c r="Z155" s="175">
        <f t="shared" si="476"/>
        <v>0</v>
      </c>
      <c r="AA155" s="172">
        <v>1</v>
      </c>
      <c r="AB155" s="173"/>
      <c r="AC155" s="173">
        <v>2</v>
      </c>
      <c r="AD155" s="174"/>
      <c r="AE155" s="175">
        <f t="shared" si="477"/>
        <v>3</v>
      </c>
      <c r="AF155" s="172"/>
      <c r="AG155" s="173"/>
      <c r="AH155" s="173"/>
      <c r="AI155" s="174"/>
      <c r="AJ155" s="175">
        <f t="shared" si="478"/>
        <v>0</v>
      </c>
      <c r="AK155" s="172">
        <v>4</v>
      </c>
      <c r="AL155" s="173"/>
      <c r="AM155" s="173"/>
      <c r="AN155" s="174"/>
      <c r="AO155" s="175">
        <f t="shared" si="479"/>
        <v>4</v>
      </c>
      <c r="AP155" s="172">
        <v>5</v>
      </c>
      <c r="AQ155" s="173"/>
      <c r="AR155" s="173">
        <v>3</v>
      </c>
      <c r="AS155" s="174"/>
      <c r="AT155" s="175">
        <f t="shared" si="480"/>
        <v>8</v>
      </c>
      <c r="AU155" s="172">
        <v>2</v>
      </c>
      <c r="AV155" s="173"/>
      <c r="AW155" s="173"/>
      <c r="AX155" s="174"/>
      <c r="AY155" s="175">
        <f t="shared" si="481"/>
        <v>2</v>
      </c>
      <c r="AZ155" s="172">
        <v>2</v>
      </c>
      <c r="BA155" s="173"/>
      <c r="BB155" s="173">
        <v>3</v>
      </c>
      <c r="BC155" s="174"/>
      <c r="BD155" s="175">
        <f t="shared" si="482"/>
        <v>5</v>
      </c>
      <c r="BE155" s="172">
        <v>1</v>
      </c>
      <c r="BF155" s="173"/>
      <c r="BG155" s="173"/>
      <c r="BH155" s="174"/>
      <c r="BI155" s="175">
        <f t="shared" si="483"/>
        <v>1</v>
      </c>
      <c r="BJ155" s="172">
        <v>6</v>
      </c>
      <c r="BK155" s="173"/>
      <c r="BL155" s="173">
        <v>1</v>
      </c>
      <c r="BM155" s="174"/>
      <c r="BN155" s="175">
        <f t="shared" si="484"/>
        <v>7</v>
      </c>
      <c r="BO155" s="177">
        <f t="shared" si="410"/>
        <v>21</v>
      </c>
      <c r="BP155" s="173">
        <f t="shared" si="411"/>
        <v>0</v>
      </c>
      <c r="BQ155" s="173">
        <f t="shared" si="412"/>
        <v>9</v>
      </c>
      <c r="BR155" s="174">
        <f t="shared" si="413"/>
        <v>0</v>
      </c>
      <c r="BS155" s="176">
        <f t="shared" si="444"/>
        <v>30</v>
      </c>
    </row>
    <row r="156" spans="2:71" x14ac:dyDescent="0.3">
      <c r="B156" s="269"/>
      <c r="C156" s="230"/>
      <c r="D156" s="233"/>
      <c r="E156" s="220"/>
      <c r="F156" s="123" t="s">
        <v>113</v>
      </c>
      <c r="G156" s="34">
        <v>60</v>
      </c>
      <c r="H156" s="16">
        <v>1</v>
      </c>
      <c r="I156" s="16">
        <v>3</v>
      </c>
      <c r="J156" s="17"/>
      <c r="K156" s="18">
        <f t="shared" ref="K156:K157" si="485">SUM(G156:J156)</f>
        <v>64</v>
      </c>
      <c r="L156" s="34">
        <v>875</v>
      </c>
      <c r="M156" s="16">
        <v>62</v>
      </c>
      <c r="N156" s="16">
        <v>49</v>
      </c>
      <c r="O156" s="17"/>
      <c r="P156" s="18">
        <f t="shared" ref="P156:P157" si="486">SUM(L156:O156)</f>
        <v>986</v>
      </c>
      <c r="Q156" s="34">
        <v>472</v>
      </c>
      <c r="R156" s="16">
        <v>16</v>
      </c>
      <c r="S156" s="16">
        <v>19</v>
      </c>
      <c r="T156" s="17"/>
      <c r="U156" s="18">
        <f t="shared" ref="U156:U157" si="487">SUM(Q156:T156)</f>
        <v>507</v>
      </c>
      <c r="V156" s="34">
        <v>679</v>
      </c>
      <c r="W156" s="16">
        <v>26</v>
      </c>
      <c r="X156" s="16">
        <v>31</v>
      </c>
      <c r="Y156" s="17"/>
      <c r="Z156" s="18">
        <f t="shared" ref="Z156:Z157" si="488">SUM(V156:Y156)</f>
        <v>736</v>
      </c>
      <c r="AA156" s="34">
        <v>588</v>
      </c>
      <c r="AB156" s="16">
        <v>16</v>
      </c>
      <c r="AC156" s="16">
        <v>42</v>
      </c>
      <c r="AD156" s="17"/>
      <c r="AE156" s="18">
        <f t="shared" ref="AE156:AE157" si="489">SUM(AA156:AD156)</f>
        <v>646</v>
      </c>
      <c r="AF156" s="34">
        <v>537</v>
      </c>
      <c r="AG156" s="16">
        <v>9</v>
      </c>
      <c r="AH156" s="16">
        <v>22</v>
      </c>
      <c r="AI156" s="17"/>
      <c r="AJ156" s="18">
        <f t="shared" ref="AJ156:AJ157" si="490">SUM(AF156:AI156)</f>
        <v>568</v>
      </c>
      <c r="AK156" s="34">
        <v>210</v>
      </c>
      <c r="AL156" s="16">
        <v>6</v>
      </c>
      <c r="AM156" s="16">
        <v>3</v>
      </c>
      <c r="AN156" s="17"/>
      <c r="AO156" s="18">
        <f t="shared" ref="AO156:AO157" si="491">SUM(AK156:AN156)</f>
        <v>219</v>
      </c>
      <c r="AP156" s="34">
        <v>300</v>
      </c>
      <c r="AQ156" s="16">
        <v>7</v>
      </c>
      <c r="AR156" s="16">
        <v>6</v>
      </c>
      <c r="AS156" s="17"/>
      <c r="AT156" s="18">
        <f t="shared" ref="AT156:AT157" si="492">SUM(AP156:AS156)</f>
        <v>313</v>
      </c>
      <c r="AU156" s="34">
        <v>446</v>
      </c>
      <c r="AV156" s="16">
        <v>17</v>
      </c>
      <c r="AW156" s="16">
        <v>29</v>
      </c>
      <c r="AX156" s="17"/>
      <c r="AY156" s="18">
        <f t="shared" ref="AY156:AY157" si="493">SUM(AU156:AX156)</f>
        <v>492</v>
      </c>
      <c r="AZ156" s="34">
        <v>687</v>
      </c>
      <c r="BA156" s="16">
        <v>27</v>
      </c>
      <c r="BB156" s="16">
        <v>64</v>
      </c>
      <c r="BC156" s="17"/>
      <c r="BD156" s="18">
        <f t="shared" ref="BD156:BD157" si="494">SUM(AZ156:BC156)</f>
        <v>778</v>
      </c>
      <c r="BE156" s="34">
        <v>233</v>
      </c>
      <c r="BF156" s="16">
        <v>13</v>
      </c>
      <c r="BG156" s="16">
        <v>43</v>
      </c>
      <c r="BH156" s="17"/>
      <c r="BI156" s="18">
        <f t="shared" ref="BI156:BI157" si="495">SUM(BE156:BH156)</f>
        <v>289</v>
      </c>
      <c r="BJ156" s="34">
        <v>241</v>
      </c>
      <c r="BK156" s="16">
        <v>6</v>
      </c>
      <c r="BL156" s="16">
        <v>11</v>
      </c>
      <c r="BM156" s="17"/>
      <c r="BN156" s="18">
        <f t="shared" ref="BN156:BN157" si="496">SUM(BJ156:BM156)</f>
        <v>258</v>
      </c>
      <c r="BO156" s="70">
        <f t="shared" si="410"/>
        <v>5328</v>
      </c>
      <c r="BP156" s="16">
        <f t="shared" si="411"/>
        <v>206</v>
      </c>
      <c r="BQ156" s="16">
        <f t="shared" si="412"/>
        <v>322</v>
      </c>
      <c r="BR156" s="17">
        <f t="shared" si="413"/>
        <v>0</v>
      </c>
      <c r="BS156" s="35">
        <f t="shared" ref="BS156:BS157" si="497">SUM(BO156:BR156)</f>
        <v>5856</v>
      </c>
    </row>
    <row r="157" spans="2:71" x14ac:dyDescent="0.3">
      <c r="B157" s="269"/>
      <c r="C157" s="230"/>
      <c r="D157" s="233"/>
      <c r="E157" s="220"/>
      <c r="F157" s="123" t="s">
        <v>115</v>
      </c>
      <c r="G157" s="34"/>
      <c r="H157" s="16"/>
      <c r="I157" s="16"/>
      <c r="J157" s="17"/>
      <c r="K157" s="18">
        <f t="shared" si="485"/>
        <v>0</v>
      </c>
      <c r="L157" s="34">
        <v>24</v>
      </c>
      <c r="M157" s="16"/>
      <c r="N157" s="16">
        <v>2</v>
      </c>
      <c r="O157" s="17"/>
      <c r="P157" s="18">
        <f t="shared" si="486"/>
        <v>26</v>
      </c>
      <c r="Q157" s="34">
        <v>55</v>
      </c>
      <c r="R157" s="16"/>
      <c r="S157" s="16">
        <v>6</v>
      </c>
      <c r="T157" s="17"/>
      <c r="U157" s="18">
        <f t="shared" si="487"/>
        <v>61</v>
      </c>
      <c r="V157" s="34">
        <v>72</v>
      </c>
      <c r="W157" s="16">
        <v>2</v>
      </c>
      <c r="X157" s="16">
        <v>1</v>
      </c>
      <c r="Y157" s="17"/>
      <c r="Z157" s="18">
        <f t="shared" si="488"/>
        <v>75</v>
      </c>
      <c r="AA157" s="34">
        <v>32</v>
      </c>
      <c r="AB157" s="16"/>
      <c r="AC157" s="16">
        <v>6</v>
      </c>
      <c r="AD157" s="17"/>
      <c r="AE157" s="18">
        <f t="shared" si="489"/>
        <v>38</v>
      </c>
      <c r="AF157" s="34">
        <v>40</v>
      </c>
      <c r="AG157" s="16">
        <v>2</v>
      </c>
      <c r="AH157" s="16"/>
      <c r="AI157" s="17"/>
      <c r="AJ157" s="18">
        <f t="shared" si="490"/>
        <v>42</v>
      </c>
      <c r="AK157" s="34">
        <v>17</v>
      </c>
      <c r="AL157" s="16"/>
      <c r="AM157" s="16"/>
      <c r="AN157" s="17"/>
      <c r="AO157" s="18">
        <f t="shared" si="491"/>
        <v>17</v>
      </c>
      <c r="AP157" s="34">
        <v>37</v>
      </c>
      <c r="AQ157" s="16"/>
      <c r="AR157" s="16"/>
      <c r="AS157" s="17"/>
      <c r="AT157" s="18">
        <f t="shared" si="492"/>
        <v>37</v>
      </c>
      <c r="AU157" s="34">
        <v>43</v>
      </c>
      <c r="AV157" s="16"/>
      <c r="AW157" s="16">
        <v>8</v>
      </c>
      <c r="AX157" s="17"/>
      <c r="AY157" s="18">
        <f t="shared" si="493"/>
        <v>51</v>
      </c>
      <c r="AZ157" s="34">
        <v>60</v>
      </c>
      <c r="BA157" s="16">
        <v>1</v>
      </c>
      <c r="BB157" s="16">
        <v>12</v>
      </c>
      <c r="BC157" s="17"/>
      <c r="BD157" s="18">
        <f t="shared" si="494"/>
        <v>73</v>
      </c>
      <c r="BE157" s="34">
        <v>13</v>
      </c>
      <c r="BF157" s="16"/>
      <c r="BG157" s="16"/>
      <c r="BH157" s="17"/>
      <c r="BI157" s="18">
        <f t="shared" si="495"/>
        <v>13</v>
      </c>
      <c r="BJ157" s="34">
        <v>15</v>
      </c>
      <c r="BK157" s="16"/>
      <c r="BL157" s="16">
        <v>4</v>
      </c>
      <c r="BM157" s="17"/>
      <c r="BN157" s="18">
        <f t="shared" si="496"/>
        <v>19</v>
      </c>
      <c r="BO157" s="70">
        <f t="shared" si="410"/>
        <v>408</v>
      </c>
      <c r="BP157" s="16">
        <f t="shared" si="411"/>
        <v>5</v>
      </c>
      <c r="BQ157" s="16">
        <f t="shared" si="412"/>
        <v>39</v>
      </c>
      <c r="BR157" s="17">
        <f t="shared" si="413"/>
        <v>0</v>
      </c>
      <c r="BS157" s="35">
        <f t="shared" si="497"/>
        <v>452</v>
      </c>
    </row>
    <row r="158" spans="2:71" x14ac:dyDescent="0.3">
      <c r="B158" s="269"/>
      <c r="C158" s="230"/>
      <c r="D158" s="233"/>
      <c r="E158" s="220"/>
      <c r="F158" s="123" t="s">
        <v>116</v>
      </c>
      <c r="G158" s="34">
        <v>35</v>
      </c>
      <c r="H158" s="16"/>
      <c r="I158" s="16">
        <v>2</v>
      </c>
      <c r="J158" s="17"/>
      <c r="K158" s="18">
        <f t="shared" ref="K158:K159" si="498">SUM(G158:J158)</f>
        <v>37</v>
      </c>
      <c r="L158" s="34">
        <v>537</v>
      </c>
      <c r="M158" s="16">
        <v>20</v>
      </c>
      <c r="N158" s="16">
        <v>37</v>
      </c>
      <c r="O158" s="17"/>
      <c r="P158" s="18">
        <f t="shared" ref="P158:P159" si="499">SUM(L158:O158)</f>
        <v>594</v>
      </c>
      <c r="Q158" s="34">
        <v>312</v>
      </c>
      <c r="R158" s="16">
        <v>7</v>
      </c>
      <c r="S158" s="16">
        <v>14</v>
      </c>
      <c r="T158" s="17"/>
      <c r="U158" s="18">
        <f t="shared" ref="U158:U159" si="500">SUM(Q158:T158)</f>
        <v>333</v>
      </c>
      <c r="V158" s="34">
        <v>446</v>
      </c>
      <c r="W158" s="16">
        <v>8</v>
      </c>
      <c r="X158" s="16">
        <v>22</v>
      </c>
      <c r="Y158" s="17"/>
      <c r="Z158" s="18">
        <f t="shared" ref="Z158:Z159" si="501">SUM(V158:Y158)</f>
        <v>476</v>
      </c>
      <c r="AA158" s="34">
        <v>401</v>
      </c>
      <c r="AB158" s="16">
        <v>8</v>
      </c>
      <c r="AC158" s="16">
        <v>33</v>
      </c>
      <c r="AD158" s="17"/>
      <c r="AE158" s="18">
        <f t="shared" ref="AE158:AE159" si="502">SUM(AA158:AD158)</f>
        <v>442</v>
      </c>
      <c r="AF158" s="34">
        <v>330</v>
      </c>
      <c r="AG158" s="16">
        <v>6</v>
      </c>
      <c r="AH158" s="16">
        <v>11</v>
      </c>
      <c r="AI158" s="17"/>
      <c r="AJ158" s="18">
        <f t="shared" ref="AJ158:AJ159" si="503">SUM(AF158:AI158)</f>
        <v>347</v>
      </c>
      <c r="AK158" s="34">
        <v>119</v>
      </c>
      <c r="AL158" s="16">
        <v>2</v>
      </c>
      <c r="AM158" s="16">
        <v>3</v>
      </c>
      <c r="AN158" s="17"/>
      <c r="AO158" s="18">
        <f t="shared" ref="AO158:AO159" si="504">SUM(AK158:AN158)</f>
        <v>124</v>
      </c>
      <c r="AP158" s="34">
        <v>182</v>
      </c>
      <c r="AQ158" s="16">
        <v>2</v>
      </c>
      <c r="AR158" s="16">
        <v>5</v>
      </c>
      <c r="AS158" s="17"/>
      <c r="AT158" s="18">
        <f t="shared" ref="AT158:AT159" si="505">SUM(AP158:AS158)</f>
        <v>189</v>
      </c>
      <c r="AU158" s="34">
        <v>297</v>
      </c>
      <c r="AV158" s="16">
        <v>6</v>
      </c>
      <c r="AW158" s="16">
        <v>19</v>
      </c>
      <c r="AX158" s="17"/>
      <c r="AY158" s="18">
        <f t="shared" ref="AY158:AY159" si="506">SUM(AU158:AX158)</f>
        <v>322</v>
      </c>
      <c r="AZ158" s="34">
        <v>466</v>
      </c>
      <c r="BA158" s="16">
        <v>11</v>
      </c>
      <c r="BB158" s="16">
        <v>35</v>
      </c>
      <c r="BC158" s="17"/>
      <c r="BD158" s="18">
        <f t="shared" ref="BD158:BD159" si="507">SUM(AZ158:BC158)</f>
        <v>512</v>
      </c>
      <c r="BE158" s="34">
        <v>153</v>
      </c>
      <c r="BF158" s="16">
        <v>5</v>
      </c>
      <c r="BG158" s="16">
        <v>20</v>
      </c>
      <c r="BH158" s="17"/>
      <c r="BI158" s="18">
        <f t="shared" ref="BI158:BI159" si="508">SUM(BE158:BH158)</f>
        <v>178</v>
      </c>
      <c r="BJ158" s="34">
        <v>134</v>
      </c>
      <c r="BK158" s="16">
        <v>4</v>
      </c>
      <c r="BL158" s="16">
        <v>9</v>
      </c>
      <c r="BM158" s="17"/>
      <c r="BN158" s="18">
        <f t="shared" ref="BN158:BN159" si="509">SUM(BJ158:BM158)</f>
        <v>147</v>
      </c>
      <c r="BO158" s="70">
        <f t="shared" si="410"/>
        <v>3412</v>
      </c>
      <c r="BP158" s="16">
        <f t="shared" si="411"/>
        <v>79</v>
      </c>
      <c r="BQ158" s="16">
        <f t="shared" si="412"/>
        <v>210</v>
      </c>
      <c r="BR158" s="17">
        <f t="shared" si="413"/>
        <v>0</v>
      </c>
      <c r="BS158" s="35">
        <f t="shared" ref="BS158:BS159" si="510">SUM(BO158:BR158)</f>
        <v>3701</v>
      </c>
    </row>
    <row r="159" spans="2:71" x14ac:dyDescent="0.3">
      <c r="B159" s="269"/>
      <c r="C159" s="230"/>
      <c r="D159" s="233"/>
      <c r="E159" s="220"/>
      <c r="F159" s="123" t="s">
        <v>114</v>
      </c>
      <c r="G159" s="34"/>
      <c r="H159" s="16"/>
      <c r="I159" s="16"/>
      <c r="J159" s="17"/>
      <c r="K159" s="18">
        <f t="shared" si="498"/>
        <v>0</v>
      </c>
      <c r="L159" s="34">
        <v>15</v>
      </c>
      <c r="M159" s="16"/>
      <c r="N159" s="16"/>
      <c r="O159" s="17"/>
      <c r="P159" s="18">
        <f t="shared" si="499"/>
        <v>15</v>
      </c>
      <c r="Q159" s="34">
        <v>42</v>
      </c>
      <c r="R159" s="16">
        <v>1</v>
      </c>
      <c r="S159" s="16">
        <v>2</v>
      </c>
      <c r="T159" s="17"/>
      <c r="U159" s="18">
        <f t="shared" si="500"/>
        <v>45</v>
      </c>
      <c r="V159" s="34">
        <v>50</v>
      </c>
      <c r="W159" s="16">
        <v>1</v>
      </c>
      <c r="X159" s="16">
        <v>3</v>
      </c>
      <c r="Y159" s="17"/>
      <c r="Z159" s="18">
        <f t="shared" si="501"/>
        <v>54</v>
      </c>
      <c r="AA159" s="34">
        <v>17</v>
      </c>
      <c r="AB159" s="16">
        <v>1</v>
      </c>
      <c r="AC159" s="16">
        <v>4</v>
      </c>
      <c r="AD159" s="17"/>
      <c r="AE159" s="18">
        <f t="shared" si="502"/>
        <v>22</v>
      </c>
      <c r="AF159" s="34">
        <v>20</v>
      </c>
      <c r="AG159" s="16">
        <v>1</v>
      </c>
      <c r="AH159" s="16"/>
      <c r="AI159" s="17"/>
      <c r="AJ159" s="18">
        <f t="shared" si="503"/>
        <v>21</v>
      </c>
      <c r="AK159" s="34">
        <v>10</v>
      </c>
      <c r="AL159" s="16"/>
      <c r="AM159" s="16"/>
      <c r="AN159" s="17"/>
      <c r="AO159" s="18">
        <f t="shared" si="504"/>
        <v>10</v>
      </c>
      <c r="AP159" s="34">
        <v>22</v>
      </c>
      <c r="AQ159" s="16"/>
      <c r="AR159" s="16"/>
      <c r="AS159" s="17"/>
      <c r="AT159" s="18">
        <f t="shared" si="505"/>
        <v>22</v>
      </c>
      <c r="AU159" s="34">
        <v>33</v>
      </c>
      <c r="AV159" s="16"/>
      <c r="AW159" s="16">
        <v>2</v>
      </c>
      <c r="AX159" s="17"/>
      <c r="AY159" s="18">
        <f t="shared" si="506"/>
        <v>35</v>
      </c>
      <c r="AZ159" s="34">
        <v>49</v>
      </c>
      <c r="BA159" s="16"/>
      <c r="BB159" s="16">
        <v>5</v>
      </c>
      <c r="BC159" s="17"/>
      <c r="BD159" s="18">
        <f t="shared" si="507"/>
        <v>54</v>
      </c>
      <c r="BE159" s="34">
        <v>9</v>
      </c>
      <c r="BF159" s="16"/>
      <c r="BG159" s="16"/>
      <c r="BH159" s="17"/>
      <c r="BI159" s="18">
        <f t="shared" si="508"/>
        <v>9</v>
      </c>
      <c r="BJ159" s="34">
        <v>10</v>
      </c>
      <c r="BK159" s="16"/>
      <c r="BL159" s="16"/>
      <c r="BM159" s="17"/>
      <c r="BN159" s="18">
        <f t="shared" si="509"/>
        <v>10</v>
      </c>
      <c r="BO159" s="70">
        <f t="shared" si="410"/>
        <v>277</v>
      </c>
      <c r="BP159" s="16">
        <f t="shared" si="411"/>
        <v>4</v>
      </c>
      <c r="BQ159" s="16">
        <f t="shared" si="412"/>
        <v>16</v>
      </c>
      <c r="BR159" s="17">
        <f t="shared" si="413"/>
        <v>0</v>
      </c>
      <c r="BS159" s="35">
        <f t="shared" si="510"/>
        <v>297</v>
      </c>
    </row>
    <row r="160" spans="2:71" x14ac:dyDescent="0.3">
      <c r="B160" s="269"/>
      <c r="C160" s="230"/>
      <c r="D160" s="233"/>
      <c r="E160" s="220"/>
      <c r="F160" s="123" t="s">
        <v>117</v>
      </c>
      <c r="G160" s="34">
        <v>2</v>
      </c>
      <c r="H160" s="16"/>
      <c r="I160" s="16">
        <v>2</v>
      </c>
      <c r="J160" s="17"/>
      <c r="K160" s="18">
        <f t="shared" ref="K160" si="511">SUM(G160:J160)</f>
        <v>4</v>
      </c>
      <c r="L160" s="34"/>
      <c r="M160" s="16"/>
      <c r="N160" s="16">
        <v>1</v>
      </c>
      <c r="O160" s="17"/>
      <c r="P160" s="18">
        <f t="shared" ref="P160" si="512">SUM(L160:O160)</f>
        <v>1</v>
      </c>
      <c r="Q160" s="34"/>
      <c r="R160" s="16"/>
      <c r="S160" s="16"/>
      <c r="T160" s="17"/>
      <c r="U160" s="18">
        <f t="shared" ref="U160" si="513">SUM(Q160:T160)</f>
        <v>0</v>
      </c>
      <c r="V160" s="34">
        <v>2</v>
      </c>
      <c r="W160" s="16"/>
      <c r="X160" s="16"/>
      <c r="Y160" s="17"/>
      <c r="Z160" s="18">
        <f t="shared" ref="Z160" si="514">SUM(V160:Y160)</f>
        <v>2</v>
      </c>
      <c r="AA160" s="34"/>
      <c r="AB160" s="16"/>
      <c r="AC160" s="16"/>
      <c r="AD160" s="17"/>
      <c r="AE160" s="18">
        <f t="shared" ref="AE160" si="515">SUM(AA160:AD160)</f>
        <v>0</v>
      </c>
      <c r="AF160" s="34"/>
      <c r="AG160" s="16"/>
      <c r="AH160" s="16"/>
      <c r="AI160" s="17"/>
      <c r="AJ160" s="18">
        <f t="shared" ref="AJ160" si="516">SUM(AF160:AI160)</f>
        <v>0</v>
      </c>
      <c r="AK160" s="34"/>
      <c r="AL160" s="16"/>
      <c r="AM160" s="16"/>
      <c r="AN160" s="17"/>
      <c r="AO160" s="18">
        <f t="shared" ref="AO160" si="517">SUM(AK160:AN160)</f>
        <v>0</v>
      </c>
      <c r="AP160" s="34"/>
      <c r="AQ160" s="16"/>
      <c r="AR160" s="16"/>
      <c r="AS160" s="17"/>
      <c r="AT160" s="18">
        <f t="shared" ref="AT160" si="518">SUM(AP160:AS160)</f>
        <v>0</v>
      </c>
      <c r="AU160" s="34"/>
      <c r="AV160" s="16"/>
      <c r="AW160" s="16"/>
      <c r="AX160" s="17"/>
      <c r="AY160" s="18">
        <f t="shared" ref="AY160" si="519">SUM(AU160:AX160)</f>
        <v>0</v>
      </c>
      <c r="AZ160" s="34"/>
      <c r="BA160" s="16"/>
      <c r="BB160" s="16"/>
      <c r="BC160" s="17"/>
      <c r="BD160" s="18">
        <f t="shared" ref="BD160" si="520">SUM(AZ160:BC160)</f>
        <v>0</v>
      </c>
      <c r="BE160" s="34"/>
      <c r="BF160" s="16"/>
      <c r="BG160" s="16"/>
      <c r="BH160" s="17"/>
      <c r="BI160" s="18">
        <f t="shared" ref="BI160" si="521">SUM(BE160:BH160)</f>
        <v>0</v>
      </c>
      <c r="BJ160" s="34"/>
      <c r="BK160" s="16"/>
      <c r="BL160" s="16"/>
      <c r="BM160" s="17"/>
      <c r="BN160" s="18">
        <f t="shared" ref="BN160" si="522">SUM(BJ160:BM160)</f>
        <v>0</v>
      </c>
      <c r="BO160" s="70">
        <f t="shared" si="410"/>
        <v>4</v>
      </c>
      <c r="BP160" s="16">
        <f t="shared" si="411"/>
        <v>0</v>
      </c>
      <c r="BQ160" s="16">
        <f t="shared" si="412"/>
        <v>3</v>
      </c>
      <c r="BR160" s="17">
        <f t="shared" si="413"/>
        <v>0</v>
      </c>
      <c r="BS160" s="35">
        <f t="shared" ref="BS160" si="523">SUM(BO160:BR160)</f>
        <v>7</v>
      </c>
    </row>
    <row r="161" spans="2:71" x14ac:dyDescent="0.3">
      <c r="B161" s="269"/>
      <c r="C161" s="230"/>
      <c r="D161" s="233"/>
      <c r="E161" s="220"/>
      <c r="F161" s="123" t="s">
        <v>138</v>
      </c>
      <c r="G161" s="34"/>
      <c r="H161" s="16"/>
      <c r="I161" s="16"/>
      <c r="J161" s="17"/>
      <c r="K161" s="18">
        <f t="shared" ref="K161" si="524">SUM(G161:J161)</f>
        <v>0</v>
      </c>
      <c r="L161" s="34"/>
      <c r="M161" s="16"/>
      <c r="N161" s="16"/>
      <c r="O161" s="17"/>
      <c r="P161" s="18">
        <f t="shared" ref="P161:P162" si="525">SUM(L161:O161)</f>
        <v>0</v>
      </c>
      <c r="Q161" s="34"/>
      <c r="R161" s="16"/>
      <c r="S161" s="16"/>
      <c r="T161" s="17"/>
      <c r="U161" s="18">
        <f t="shared" ref="U161:U162" si="526">SUM(Q161:T161)</f>
        <v>0</v>
      </c>
      <c r="V161" s="34">
        <v>1</v>
      </c>
      <c r="W161" s="16"/>
      <c r="X161" s="16"/>
      <c r="Y161" s="17"/>
      <c r="Z161" s="18">
        <f t="shared" ref="Z161:Z162" si="527">SUM(V161:Y161)</f>
        <v>1</v>
      </c>
      <c r="AA161" s="34"/>
      <c r="AB161" s="16"/>
      <c r="AC161" s="16"/>
      <c r="AD161" s="17"/>
      <c r="AE161" s="18">
        <f t="shared" ref="AE161:AE162" si="528">SUM(AA161:AD161)</f>
        <v>0</v>
      </c>
      <c r="AF161" s="34"/>
      <c r="AG161" s="16"/>
      <c r="AH161" s="16"/>
      <c r="AI161" s="17"/>
      <c r="AJ161" s="18">
        <f t="shared" ref="AJ161:AJ162" si="529">SUM(AF161:AI161)</f>
        <v>0</v>
      </c>
      <c r="AK161" s="34"/>
      <c r="AL161" s="16"/>
      <c r="AM161" s="16"/>
      <c r="AN161" s="17"/>
      <c r="AO161" s="18">
        <f t="shared" ref="AO161:AO162" si="530">SUM(AK161:AN161)</f>
        <v>0</v>
      </c>
      <c r="AP161" s="34"/>
      <c r="AQ161" s="16"/>
      <c r="AR161" s="16"/>
      <c r="AS161" s="17"/>
      <c r="AT161" s="18">
        <f t="shared" ref="AT161:AT162" si="531">SUM(AP161:AS161)</f>
        <v>0</v>
      </c>
      <c r="AU161" s="34">
        <v>2</v>
      </c>
      <c r="AV161" s="16"/>
      <c r="AW161" s="16"/>
      <c r="AX161" s="17"/>
      <c r="AY161" s="18">
        <f t="shared" ref="AY161:AY162" si="532">SUM(AU161:AX161)</f>
        <v>2</v>
      </c>
      <c r="AZ161" s="34"/>
      <c r="BA161" s="16"/>
      <c r="BB161" s="16"/>
      <c r="BC161" s="17"/>
      <c r="BD161" s="18">
        <f t="shared" ref="BD161:BD162" si="533">SUM(AZ161:BC161)</f>
        <v>0</v>
      </c>
      <c r="BE161" s="34"/>
      <c r="BF161" s="16"/>
      <c r="BG161" s="16"/>
      <c r="BH161" s="17"/>
      <c r="BI161" s="18">
        <f t="shared" ref="BI161:BI162" si="534">SUM(BE161:BH161)</f>
        <v>0</v>
      </c>
      <c r="BJ161" s="34"/>
      <c r="BK161" s="16"/>
      <c r="BL161" s="16"/>
      <c r="BM161" s="17"/>
      <c r="BN161" s="18">
        <f t="shared" ref="BN161:BN162" si="535">SUM(BJ161:BM161)</f>
        <v>0</v>
      </c>
      <c r="BO161" s="70">
        <f t="shared" si="410"/>
        <v>3</v>
      </c>
      <c r="BP161" s="16">
        <f t="shared" si="411"/>
        <v>0</v>
      </c>
      <c r="BQ161" s="16">
        <f t="shared" si="412"/>
        <v>0</v>
      </c>
      <c r="BR161" s="17">
        <f t="shared" si="413"/>
        <v>0</v>
      </c>
      <c r="BS161" s="35">
        <f t="shared" ref="BS161" si="536">SUM(BO161:BR161)</f>
        <v>3</v>
      </c>
    </row>
    <row r="162" spans="2:71" x14ac:dyDescent="0.3">
      <c r="B162" s="269"/>
      <c r="C162" s="230"/>
      <c r="D162" s="233"/>
      <c r="E162" s="220"/>
      <c r="F162" s="123" t="s">
        <v>367</v>
      </c>
      <c r="G162" s="34"/>
      <c r="H162" s="16"/>
      <c r="I162" s="16"/>
      <c r="J162" s="17"/>
      <c r="K162" s="18">
        <f t="shared" ref="K162:K172" si="537">SUM(G162:J162)</f>
        <v>0</v>
      </c>
      <c r="L162" s="34"/>
      <c r="M162" s="16"/>
      <c r="N162" s="16"/>
      <c r="O162" s="17"/>
      <c r="P162" s="18">
        <f t="shared" si="525"/>
        <v>0</v>
      </c>
      <c r="Q162" s="34">
        <v>1</v>
      </c>
      <c r="R162" s="16"/>
      <c r="S162" s="16">
        <v>1</v>
      </c>
      <c r="T162" s="17"/>
      <c r="U162" s="18">
        <f t="shared" si="526"/>
        <v>2</v>
      </c>
      <c r="V162" s="34"/>
      <c r="W162" s="16">
        <v>1</v>
      </c>
      <c r="X162" s="16"/>
      <c r="Y162" s="17"/>
      <c r="Z162" s="18">
        <f t="shared" si="527"/>
        <v>1</v>
      </c>
      <c r="AA162" s="34"/>
      <c r="AB162" s="16">
        <v>1</v>
      </c>
      <c r="AC162" s="16"/>
      <c r="AD162" s="17"/>
      <c r="AE162" s="18">
        <f t="shared" si="528"/>
        <v>1</v>
      </c>
      <c r="AF162" s="34"/>
      <c r="AG162" s="16"/>
      <c r="AH162" s="16">
        <v>2</v>
      </c>
      <c r="AI162" s="17"/>
      <c r="AJ162" s="18">
        <f t="shared" si="529"/>
        <v>2</v>
      </c>
      <c r="AK162" s="34">
        <v>1</v>
      </c>
      <c r="AL162" s="16"/>
      <c r="AM162" s="16">
        <v>1</v>
      </c>
      <c r="AN162" s="17"/>
      <c r="AO162" s="18">
        <f t="shared" si="530"/>
        <v>2</v>
      </c>
      <c r="AP162" s="34"/>
      <c r="AQ162" s="16"/>
      <c r="AR162" s="16">
        <v>2</v>
      </c>
      <c r="AS162" s="17"/>
      <c r="AT162" s="18">
        <f t="shared" si="531"/>
        <v>2</v>
      </c>
      <c r="AU162" s="34"/>
      <c r="AV162" s="16"/>
      <c r="AW162" s="16"/>
      <c r="AX162" s="17"/>
      <c r="AY162" s="18">
        <f t="shared" si="532"/>
        <v>0</v>
      </c>
      <c r="AZ162" s="34"/>
      <c r="BA162" s="16"/>
      <c r="BB162" s="16"/>
      <c r="BC162" s="17"/>
      <c r="BD162" s="18">
        <f t="shared" si="533"/>
        <v>0</v>
      </c>
      <c r="BE162" s="34"/>
      <c r="BF162" s="16"/>
      <c r="BG162" s="16"/>
      <c r="BH162" s="17"/>
      <c r="BI162" s="18">
        <f t="shared" si="534"/>
        <v>0</v>
      </c>
      <c r="BJ162" s="34"/>
      <c r="BK162" s="16"/>
      <c r="BL162" s="16"/>
      <c r="BM162" s="17"/>
      <c r="BN162" s="18">
        <f t="shared" si="535"/>
        <v>0</v>
      </c>
      <c r="BO162" s="70">
        <f t="shared" si="410"/>
        <v>2</v>
      </c>
      <c r="BP162" s="16">
        <f t="shared" si="411"/>
        <v>2</v>
      </c>
      <c r="BQ162" s="16">
        <f t="shared" si="412"/>
        <v>6</v>
      </c>
      <c r="BR162" s="17">
        <f t="shared" si="413"/>
        <v>0</v>
      </c>
      <c r="BS162" s="35">
        <f t="shared" ref="BS162:BS172" si="538">SUM(BO162:BR162)</f>
        <v>10</v>
      </c>
    </row>
    <row r="163" spans="2:71" x14ac:dyDescent="0.3">
      <c r="B163" s="269"/>
      <c r="C163" s="230"/>
      <c r="D163" s="233"/>
      <c r="E163" s="220"/>
      <c r="F163" s="123" t="s">
        <v>368</v>
      </c>
      <c r="G163" s="34"/>
      <c r="H163" s="16"/>
      <c r="I163" s="16"/>
      <c r="J163" s="17"/>
      <c r="K163" s="18">
        <f t="shared" ref="K163:K171" si="539">SUM(G163:J163)</f>
        <v>0</v>
      </c>
      <c r="L163" s="34"/>
      <c r="M163" s="16"/>
      <c r="N163" s="16"/>
      <c r="O163" s="17"/>
      <c r="P163" s="18">
        <f t="shared" ref="P163:P171" si="540">SUM(L163:O163)</f>
        <v>0</v>
      </c>
      <c r="Q163" s="34"/>
      <c r="R163" s="16"/>
      <c r="S163" s="16"/>
      <c r="T163" s="17"/>
      <c r="U163" s="18">
        <f t="shared" ref="U163:U171" si="541">SUM(Q163:T163)</f>
        <v>0</v>
      </c>
      <c r="V163" s="34">
        <v>2</v>
      </c>
      <c r="W163" s="16">
        <v>2</v>
      </c>
      <c r="X163" s="16"/>
      <c r="Y163" s="17"/>
      <c r="Z163" s="18">
        <f t="shared" ref="Z163:Z171" si="542">SUM(V163:Y163)</f>
        <v>4</v>
      </c>
      <c r="AA163" s="34">
        <v>3</v>
      </c>
      <c r="AB163" s="16"/>
      <c r="AC163" s="16">
        <v>2</v>
      </c>
      <c r="AD163" s="17"/>
      <c r="AE163" s="18">
        <f t="shared" ref="AE163:AE171" si="543">SUM(AA163:AD163)</f>
        <v>5</v>
      </c>
      <c r="AF163" s="34"/>
      <c r="AG163" s="16"/>
      <c r="AH163" s="16">
        <v>1</v>
      </c>
      <c r="AI163" s="17"/>
      <c r="AJ163" s="18">
        <f t="shared" ref="AJ163:AJ171" si="544">SUM(AF163:AI163)</f>
        <v>1</v>
      </c>
      <c r="AK163" s="34"/>
      <c r="AL163" s="16"/>
      <c r="AM163" s="16"/>
      <c r="AN163" s="17"/>
      <c r="AO163" s="18">
        <f t="shared" ref="AO163:AO171" si="545">SUM(AK163:AN163)</f>
        <v>0</v>
      </c>
      <c r="AP163" s="34">
        <v>2</v>
      </c>
      <c r="AQ163" s="16"/>
      <c r="AR163" s="16">
        <v>3</v>
      </c>
      <c r="AS163" s="17"/>
      <c r="AT163" s="18">
        <f t="shared" ref="AT163:AT171" si="546">SUM(AP163:AS163)</f>
        <v>5</v>
      </c>
      <c r="AU163" s="34"/>
      <c r="AV163" s="16"/>
      <c r="AW163" s="16"/>
      <c r="AX163" s="17"/>
      <c r="AY163" s="18">
        <f t="shared" ref="AY163:AY171" si="547">SUM(AU163:AX163)</f>
        <v>0</v>
      </c>
      <c r="AZ163" s="34"/>
      <c r="BA163" s="16"/>
      <c r="BB163" s="16"/>
      <c r="BC163" s="17"/>
      <c r="BD163" s="18">
        <f t="shared" ref="BD163:BD171" si="548">SUM(AZ163:BC163)</f>
        <v>0</v>
      </c>
      <c r="BE163" s="34"/>
      <c r="BF163" s="16"/>
      <c r="BG163" s="16"/>
      <c r="BH163" s="17"/>
      <c r="BI163" s="18">
        <f t="shared" ref="BI163:BI171" si="549">SUM(BE163:BH163)</f>
        <v>0</v>
      </c>
      <c r="BJ163" s="34"/>
      <c r="BK163" s="16"/>
      <c r="BL163" s="16"/>
      <c r="BM163" s="17"/>
      <c r="BN163" s="18">
        <f t="shared" ref="BN163:BN171" si="550">SUM(BJ163:BM163)</f>
        <v>0</v>
      </c>
      <c r="BO163" s="70">
        <f t="shared" si="410"/>
        <v>7</v>
      </c>
      <c r="BP163" s="16">
        <f t="shared" si="411"/>
        <v>2</v>
      </c>
      <c r="BQ163" s="16">
        <f t="shared" si="412"/>
        <v>6</v>
      </c>
      <c r="BR163" s="17">
        <f t="shared" si="413"/>
        <v>0</v>
      </c>
      <c r="BS163" s="35">
        <f t="shared" ref="BS163:BS171" si="551">SUM(BO163:BR163)</f>
        <v>15</v>
      </c>
    </row>
    <row r="164" spans="2:71" x14ac:dyDescent="0.3">
      <c r="B164" s="269"/>
      <c r="C164" s="230"/>
      <c r="D164" s="233"/>
      <c r="E164" s="220"/>
      <c r="F164" s="123" t="s">
        <v>383</v>
      </c>
      <c r="G164" s="34"/>
      <c r="H164" s="16"/>
      <c r="I164" s="16"/>
      <c r="J164" s="17"/>
      <c r="K164" s="18">
        <f t="shared" ref="K164:K165" si="552">SUM(G164:J164)</f>
        <v>0</v>
      </c>
      <c r="L164" s="34"/>
      <c r="M164" s="16"/>
      <c r="N164" s="16"/>
      <c r="O164" s="17"/>
      <c r="P164" s="18">
        <f t="shared" ref="P164:P165" si="553">SUM(L164:O164)</f>
        <v>0</v>
      </c>
      <c r="Q164" s="34"/>
      <c r="R164" s="16"/>
      <c r="S164" s="16"/>
      <c r="T164" s="17"/>
      <c r="U164" s="18">
        <f t="shared" ref="U164:U165" si="554">SUM(Q164:T164)</f>
        <v>0</v>
      </c>
      <c r="V164" s="34"/>
      <c r="W164" s="16"/>
      <c r="X164" s="16"/>
      <c r="Y164" s="17"/>
      <c r="Z164" s="18">
        <f t="shared" ref="Z164:Z165" si="555">SUM(V164:Y164)</f>
        <v>0</v>
      </c>
      <c r="AA164" s="34"/>
      <c r="AB164" s="16"/>
      <c r="AC164" s="16"/>
      <c r="AD164" s="17"/>
      <c r="AE164" s="18">
        <f t="shared" ref="AE164:AE165" si="556">SUM(AA164:AD164)</f>
        <v>0</v>
      </c>
      <c r="AF164" s="34"/>
      <c r="AG164" s="16"/>
      <c r="AH164" s="16"/>
      <c r="AI164" s="17"/>
      <c r="AJ164" s="18">
        <f t="shared" ref="AJ164:AJ165" si="557">SUM(AF164:AI164)</f>
        <v>0</v>
      </c>
      <c r="AK164" s="34"/>
      <c r="AL164" s="16"/>
      <c r="AM164" s="16"/>
      <c r="AN164" s="17"/>
      <c r="AO164" s="18">
        <f t="shared" ref="AO164:AO165" si="558">SUM(AK164:AN164)</f>
        <v>0</v>
      </c>
      <c r="AP164" s="34"/>
      <c r="AQ164" s="16"/>
      <c r="AR164" s="16"/>
      <c r="AS164" s="17"/>
      <c r="AT164" s="18">
        <f t="shared" ref="AT164:AT165" si="559">SUM(AP164:AS164)</f>
        <v>0</v>
      </c>
      <c r="AU164" s="34"/>
      <c r="AV164" s="16"/>
      <c r="AW164" s="16">
        <v>1</v>
      </c>
      <c r="AX164" s="17"/>
      <c r="AY164" s="18">
        <f t="shared" ref="AY164:AY165" si="560">SUM(AU164:AX164)</f>
        <v>1</v>
      </c>
      <c r="AZ164" s="34"/>
      <c r="BA164" s="16"/>
      <c r="BB164" s="16"/>
      <c r="BC164" s="17"/>
      <c r="BD164" s="18">
        <f t="shared" ref="BD164:BD165" si="561">SUM(AZ164:BC164)</f>
        <v>0</v>
      </c>
      <c r="BE164" s="34"/>
      <c r="BF164" s="16"/>
      <c r="BG164" s="16"/>
      <c r="BH164" s="17"/>
      <c r="BI164" s="18">
        <f t="shared" ref="BI164:BI165" si="562">SUM(BE164:BH164)</f>
        <v>0</v>
      </c>
      <c r="BJ164" s="34"/>
      <c r="BK164" s="16"/>
      <c r="BL164" s="16"/>
      <c r="BM164" s="17"/>
      <c r="BN164" s="18">
        <f t="shared" ref="BN164:BN165" si="563">SUM(BJ164:BM164)</f>
        <v>0</v>
      </c>
      <c r="BO164" s="70">
        <f t="shared" si="410"/>
        <v>0</v>
      </c>
      <c r="BP164" s="16">
        <f t="shared" si="411"/>
        <v>0</v>
      </c>
      <c r="BQ164" s="16">
        <f t="shared" si="412"/>
        <v>1</v>
      </c>
      <c r="BR164" s="17">
        <f t="shared" si="413"/>
        <v>0</v>
      </c>
      <c r="BS164" s="35">
        <f t="shared" ref="BS164:BS165" si="564">SUM(BO164:BR164)</f>
        <v>1</v>
      </c>
    </row>
    <row r="165" spans="2:71" x14ac:dyDescent="0.3">
      <c r="B165" s="269"/>
      <c r="C165" s="230"/>
      <c r="D165" s="233"/>
      <c r="E165" s="220"/>
      <c r="F165" s="123" t="s">
        <v>384</v>
      </c>
      <c r="G165" s="34"/>
      <c r="H165" s="16"/>
      <c r="I165" s="16"/>
      <c r="J165" s="17"/>
      <c r="K165" s="18">
        <f t="shared" si="552"/>
        <v>0</v>
      </c>
      <c r="L165" s="34"/>
      <c r="M165" s="16"/>
      <c r="N165" s="16"/>
      <c r="O165" s="17"/>
      <c r="P165" s="18">
        <f t="shared" si="553"/>
        <v>0</v>
      </c>
      <c r="Q165" s="34"/>
      <c r="R165" s="16"/>
      <c r="S165" s="16"/>
      <c r="T165" s="17"/>
      <c r="U165" s="18">
        <f t="shared" si="554"/>
        <v>0</v>
      </c>
      <c r="V165" s="34"/>
      <c r="W165" s="16"/>
      <c r="X165" s="16"/>
      <c r="Y165" s="17"/>
      <c r="Z165" s="18">
        <f t="shared" si="555"/>
        <v>0</v>
      </c>
      <c r="AA165" s="34"/>
      <c r="AB165" s="16"/>
      <c r="AC165" s="16"/>
      <c r="AD165" s="17"/>
      <c r="AE165" s="18">
        <f t="shared" si="556"/>
        <v>0</v>
      </c>
      <c r="AF165" s="34"/>
      <c r="AG165" s="16"/>
      <c r="AH165" s="16"/>
      <c r="AI165" s="17"/>
      <c r="AJ165" s="18">
        <f t="shared" si="557"/>
        <v>0</v>
      </c>
      <c r="AK165" s="34"/>
      <c r="AL165" s="16"/>
      <c r="AM165" s="16"/>
      <c r="AN165" s="17"/>
      <c r="AO165" s="18">
        <f t="shared" si="558"/>
        <v>0</v>
      </c>
      <c r="AP165" s="34"/>
      <c r="AQ165" s="16"/>
      <c r="AR165" s="16"/>
      <c r="AS165" s="17"/>
      <c r="AT165" s="18">
        <f t="shared" si="559"/>
        <v>0</v>
      </c>
      <c r="AU165" s="34"/>
      <c r="AV165" s="16">
        <v>1</v>
      </c>
      <c r="AW165" s="16">
        <v>3</v>
      </c>
      <c r="AX165" s="17"/>
      <c r="AY165" s="18">
        <f t="shared" si="560"/>
        <v>4</v>
      </c>
      <c r="AZ165" s="34">
        <v>5</v>
      </c>
      <c r="BA165" s="16"/>
      <c r="BB165" s="16">
        <v>5</v>
      </c>
      <c r="BC165" s="17"/>
      <c r="BD165" s="18">
        <f t="shared" si="561"/>
        <v>10</v>
      </c>
      <c r="BE165" s="34">
        <v>1</v>
      </c>
      <c r="BF165" s="16">
        <v>1</v>
      </c>
      <c r="BG165" s="16"/>
      <c r="BH165" s="17"/>
      <c r="BI165" s="18">
        <f t="shared" si="562"/>
        <v>2</v>
      </c>
      <c r="BJ165" s="34"/>
      <c r="BK165" s="16"/>
      <c r="BL165" s="16"/>
      <c r="BM165" s="17"/>
      <c r="BN165" s="18">
        <f t="shared" si="563"/>
        <v>0</v>
      </c>
      <c r="BO165" s="70">
        <f t="shared" si="410"/>
        <v>6</v>
      </c>
      <c r="BP165" s="16">
        <f t="shared" si="411"/>
        <v>2</v>
      </c>
      <c r="BQ165" s="16">
        <f t="shared" si="412"/>
        <v>8</v>
      </c>
      <c r="BR165" s="17">
        <f t="shared" si="413"/>
        <v>0</v>
      </c>
      <c r="BS165" s="35">
        <f t="shared" si="564"/>
        <v>16</v>
      </c>
    </row>
    <row r="166" spans="2:71" x14ac:dyDescent="0.3">
      <c r="B166" s="269"/>
      <c r="C166" s="230"/>
      <c r="D166" s="233"/>
      <c r="E166" s="220"/>
      <c r="F166" s="123" t="s">
        <v>385</v>
      </c>
      <c r="G166" s="34"/>
      <c r="H166" s="16"/>
      <c r="I166" s="16"/>
      <c r="J166" s="17"/>
      <c r="K166" s="18">
        <f t="shared" ref="K166:K169" si="565">SUM(G166:J166)</f>
        <v>0</v>
      </c>
      <c r="L166" s="34"/>
      <c r="M166" s="16"/>
      <c r="N166" s="16"/>
      <c r="O166" s="17"/>
      <c r="P166" s="18">
        <f t="shared" ref="P166:P169" si="566">SUM(L166:O166)</f>
        <v>0</v>
      </c>
      <c r="Q166" s="34"/>
      <c r="R166" s="16"/>
      <c r="S166" s="16"/>
      <c r="T166" s="17"/>
      <c r="U166" s="18">
        <f t="shared" ref="U166:U169" si="567">SUM(Q166:T166)</f>
        <v>0</v>
      </c>
      <c r="V166" s="34"/>
      <c r="W166" s="16"/>
      <c r="X166" s="16"/>
      <c r="Y166" s="17"/>
      <c r="Z166" s="18">
        <f t="shared" ref="Z166:Z169" si="568">SUM(V166:Y166)</f>
        <v>0</v>
      </c>
      <c r="AA166" s="34"/>
      <c r="AB166" s="16"/>
      <c r="AC166" s="16"/>
      <c r="AD166" s="17"/>
      <c r="AE166" s="18">
        <f t="shared" ref="AE166:AE169" si="569">SUM(AA166:AD166)</f>
        <v>0</v>
      </c>
      <c r="AF166" s="34"/>
      <c r="AG166" s="16"/>
      <c r="AH166" s="16"/>
      <c r="AI166" s="17"/>
      <c r="AJ166" s="18">
        <f t="shared" ref="AJ166:AJ169" si="570">SUM(AF166:AI166)</f>
        <v>0</v>
      </c>
      <c r="AK166" s="34"/>
      <c r="AL166" s="16"/>
      <c r="AM166" s="16"/>
      <c r="AN166" s="17"/>
      <c r="AO166" s="18">
        <f t="shared" ref="AO166:AO169" si="571">SUM(AK166:AN166)</f>
        <v>0</v>
      </c>
      <c r="AP166" s="34"/>
      <c r="AQ166" s="16"/>
      <c r="AR166" s="16"/>
      <c r="AS166" s="17"/>
      <c r="AT166" s="18">
        <f t="shared" ref="AT166:AT169" si="572">SUM(AP166:AS166)</f>
        <v>0</v>
      </c>
      <c r="AU166" s="34"/>
      <c r="AV166" s="16"/>
      <c r="AW166" s="16">
        <v>2</v>
      </c>
      <c r="AX166" s="17"/>
      <c r="AY166" s="18">
        <f t="shared" ref="AY166:AY169" si="573">SUM(AU166:AX166)</f>
        <v>2</v>
      </c>
      <c r="AZ166" s="34">
        <v>5</v>
      </c>
      <c r="BA166" s="16">
        <v>1</v>
      </c>
      <c r="BB166" s="16">
        <v>5</v>
      </c>
      <c r="BC166" s="17"/>
      <c r="BD166" s="18">
        <f t="shared" ref="BD166:BD169" si="574">SUM(AZ166:BC166)</f>
        <v>11</v>
      </c>
      <c r="BE166" s="34"/>
      <c r="BF166" s="16"/>
      <c r="BG166" s="16"/>
      <c r="BH166" s="17"/>
      <c r="BI166" s="18">
        <f t="shared" ref="BI166:BI169" si="575">SUM(BE166:BH166)</f>
        <v>0</v>
      </c>
      <c r="BJ166" s="34"/>
      <c r="BK166" s="16"/>
      <c r="BL166" s="16"/>
      <c r="BM166" s="17"/>
      <c r="BN166" s="18">
        <f t="shared" ref="BN166:BN169" si="576">SUM(BJ166:BM166)</f>
        <v>0</v>
      </c>
      <c r="BO166" s="70">
        <f t="shared" ref="BO166:BO197" si="577">SUM(G166,L166,Q166,V166,AA166,AF166,AK166,AP166,AU166,AZ166,BE166,BJ166)</f>
        <v>5</v>
      </c>
      <c r="BP166" s="16">
        <f t="shared" ref="BP166:BP197" si="578">SUM(H166,M166,R166,W166,AB166,AG166,AL166,AQ166,AV166,BA166,BF166,BK166)</f>
        <v>1</v>
      </c>
      <c r="BQ166" s="16">
        <f t="shared" ref="BQ166:BQ197" si="579">SUM(I166,N166,S166,X166,AC166,AH166,AM166,AR166,AW166,BB166,BG166,BL166)</f>
        <v>7</v>
      </c>
      <c r="BR166" s="17">
        <f t="shared" ref="BR166:BR197" si="580">SUM(J166,O166,T166,Y166,AD166,AI166,AN166,AS166,AX166,BC166,BH166,BM166)</f>
        <v>0</v>
      </c>
      <c r="BS166" s="35">
        <f t="shared" ref="BS166:BS169" si="581">SUM(BO166:BR166)</f>
        <v>13</v>
      </c>
    </row>
    <row r="167" spans="2:71" x14ac:dyDescent="0.3">
      <c r="B167" s="269"/>
      <c r="C167" s="230"/>
      <c r="D167" s="233"/>
      <c r="E167" s="220"/>
      <c r="F167" s="123" t="s">
        <v>386</v>
      </c>
      <c r="G167" s="34"/>
      <c r="H167" s="16"/>
      <c r="I167" s="16"/>
      <c r="J167" s="17"/>
      <c r="K167" s="18">
        <f t="shared" si="565"/>
        <v>0</v>
      </c>
      <c r="L167" s="34"/>
      <c r="M167" s="16"/>
      <c r="N167" s="16"/>
      <c r="O167" s="17"/>
      <c r="P167" s="18">
        <f t="shared" si="566"/>
        <v>0</v>
      </c>
      <c r="Q167" s="34"/>
      <c r="R167" s="16"/>
      <c r="S167" s="16"/>
      <c r="T167" s="17"/>
      <c r="U167" s="18">
        <f t="shared" si="567"/>
        <v>0</v>
      </c>
      <c r="V167" s="34"/>
      <c r="W167" s="16"/>
      <c r="X167" s="16"/>
      <c r="Y167" s="17"/>
      <c r="Z167" s="18">
        <f t="shared" si="568"/>
        <v>0</v>
      </c>
      <c r="AA167" s="34"/>
      <c r="AB167" s="16"/>
      <c r="AC167" s="16"/>
      <c r="AD167" s="17"/>
      <c r="AE167" s="18">
        <f t="shared" si="569"/>
        <v>0</v>
      </c>
      <c r="AF167" s="34"/>
      <c r="AG167" s="16"/>
      <c r="AH167" s="16"/>
      <c r="AI167" s="17"/>
      <c r="AJ167" s="18">
        <f t="shared" si="570"/>
        <v>0</v>
      </c>
      <c r="AK167" s="34"/>
      <c r="AL167" s="16"/>
      <c r="AM167" s="16"/>
      <c r="AN167" s="17"/>
      <c r="AO167" s="18">
        <f t="shared" si="571"/>
        <v>0</v>
      </c>
      <c r="AP167" s="34"/>
      <c r="AQ167" s="16"/>
      <c r="AR167" s="16"/>
      <c r="AS167" s="17"/>
      <c r="AT167" s="18">
        <f t="shared" si="572"/>
        <v>0</v>
      </c>
      <c r="AU167" s="34"/>
      <c r="AV167" s="16"/>
      <c r="AW167" s="16"/>
      <c r="AX167" s="17"/>
      <c r="AY167" s="18">
        <f t="shared" si="573"/>
        <v>0</v>
      </c>
      <c r="AZ167" s="34"/>
      <c r="BA167" s="16"/>
      <c r="BB167" s="16">
        <v>1</v>
      </c>
      <c r="BC167" s="17"/>
      <c r="BD167" s="18">
        <f t="shared" si="574"/>
        <v>1</v>
      </c>
      <c r="BE167" s="34"/>
      <c r="BF167" s="16"/>
      <c r="BG167" s="16"/>
      <c r="BH167" s="17"/>
      <c r="BI167" s="18">
        <f t="shared" si="575"/>
        <v>0</v>
      </c>
      <c r="BJ167" s="34"/>
      <c r="BK167" s="16"/>
      <c r="BL167" s="16"/>
      <c r="BM167" s="17"/>
      <c r="BN167" s="18">
        <f t="shared" si="576"/>
        <v>0</v>
      </c>
      <c r="BO167" s="70">
        <f t="shared" si="577"/>
        <v>0</v>
      </c>
      <c r="BP167" s="16">
        <f t="shared" si="578"/>
        <v>0</v>
      </c>
      <c r="BQ167" s="16">
        <f t="shared" si="579"/>
        <v>1</v>
      </c>
      <c r="BR167" s="17">
        <f t="shared" si="580"/>
        <v>0</v>
      </c>
      <c r="BS167" s="35">
        <f t="shared" si="581"/>
        <v>1</v>
      </c>
    </row>
    <row r="168" spans="2:71" x14ac:dyDescent="0.3">
      <c r="B168" s="269"/>
      <c r="C168" s="230"/>
      <c r="D168" s="233"/>
      <c r="E168" s="220"/>
      <c r="F168" s="123" t="s">
        <v>387</v>
      </c>
      <c r="G168" s="34"/>
      <c r="H168" s="16"/>
      <c r="I168" s="16"/>
      <c r="J168" s="17"/>
      <c r="K168" s="18">
        <f t="shared" si="565"/>
        <v>0</v>
      </c>
      <c r="L168" s="34"/>
      <c r="M168" s="16"/>
      <c r="N168" s="16"/>
      <c r="O168" s="17"/>
      <c r="P168" s="18">
        <f t="shared" si="566"/>
        <v>0</v>
      </c>
      <c r="Q168" s="34"/>
      <c r="R168" s="16"/>
      <c r="S168" s="16"/>
      <c r="T168" s="17"/>
      <c r="U168" s="18">
        <f t="shared" si="567"/>
        <v>0</v>
      </c>
      <c r="V168" s="34"/>
      <c r="W168" s="16"/>
      <c r="X168" s="16"/>
      <c r="Y168" s="17"/>
      <c r="Z168" s="18">
        <f t="shared" si="568"/>
        <v>0</v>
      </c>
      <c r="AA168" s="34"/>
      <c r="AB168" s="16"/>
      <c r="AC168" s="16"/>
      <c r="AD168" s="17"/>
      <c r="AE168" s="18">
        <f t="shared" si="569"/>
        <v>0</v>
      </c>
      <c r="AF168" s="34"/>
      <c r="AG168" s="16"/>
      <c r="AH168" s="16"/>
      <c r="AI168" s="17"/>
      <c r="AJ168" s="18">
        <f t="shared" si="570"/>
        <v>0</v>
      </c>
      <c r="AK168" s="34"/>
      <c r="AL168" s="16"/>
      <c r="AM168" s="16"/>
      <c r="AN168" s="17"/>
      <c r="AO168" s="18">
        <f t="shared" si="571"/>
        <v>0</v>
      </c>
      <c r="AP168" s="34"/>
      <c r="AQ168" s="16"/>
      <c r="AR168" s="16"/>
      <c r="AS168" s="17"/>
      <c r="AT168" s="18">
        <f t="shared" si="572"/>
        <v>0</v>
      </c>
      <c r="AU168" s="34">
        <v>1</v>
      </c>
      <c r="AV168" s="16"/>
      <c r="AW168" s="16"/>
      <c r="AX168" s="17"/>
      <c r="AY168" s="18">
        <f t="shared" si="573"/>
        <v>1</v>
      </c>
      <c r="AZ168" s="34"/>
      <c r="BA168" s="16"/>
      <c r="BB168" s="16"/>
      <c r="BC168" s="17"/>
      <c r="BD168" s="18">
        <f t="shared" si="574"/>
        <v>0</v>
      </c>
      <c r="BE168" s="34"/>
      <c r="BF168" s="16"/>
      <c r="BG168" s="16"/>
      <c r="BH168" s="17"/>
      <c r="BI168" s="18">
        <f t="shared" si="575"/>
        <v>0</v>
      </c>
      <c r="BJ168" s="34"/>
      <c r="BK168" s="16"/>
      <c r="BL168" s="16"/>
      <c r="BM168" s="17"/>
      <c r="BN168" s="18">
        <f t="shared" si="576"/>
        <v>0</v>
      </c>
      <c r="BO168" s="70">
        <f t="shared" si="577"/>
        <v>1</v>
      </c>
      <c r="BP168" s="16">
        <f t="shared" si="578"/>
        <v>0</v>
      </c>
      <c r="BQ168" s="16">
        <f t="shared" si="579"/>
        <v>0</v>
      </c>
      <c r="BR168" s="17">
        <f t="shared" si="580"/>
        <v>0</v>
      </c>
      <c r="BS168" s="35">
        <f t="shared" si="581"/>
        <v>1</v>
      </c>
    </row>
    <row r="169" spans="2:71" x14ac:dyDescent="0.3">
      <c r="B169" s="269"/>
      <c r="C169" s="230"/>
      <c r="D169" s="233"/>
      <c r="E169" s="220"/>
      <c r="F169" s="123" t="s">
        <v>388</v>
      </c>
      <c r="G169" s="34"/>
      <c r="H169" s="16"/>
      <c r="I169" s="16"/>
      <c r="J169" s="17"/>
      <c r="K169" s="18">
        <f t="shared" si="565"/>
        <v>0</v>
      </c>
      <c r="L169" s="34"/>
      <c r="M169" s="16"/>
      <c r="N169" s="16"/>
      <c r="O169" s="17"/>
      <c r="P169" s="18">
        <f t="shared" si="566"/>
        <v>0</v>
      </c>
      <c r="Q169" s="34"/>
      <c r="R169" s="16"/>
      <c r="S169" s="16"/>
      <c r="T169" s="17"/>
      <c r="U169" s="18">
        <f t="shared" si="567"/>
        <v>0</v>
      </c>
      <c r="V169" s="34"/>
      <c r="W169" s="16"/>
      <c r="X169" s="16"/>
      <c r="Y169" s="17"/>
      <c r="Z169" s="18">
        <f t="shared" si="568"/>
        <v>0</v>
      </c>
      <c r="AA169" s="34"/>
      <c r="AB169" s="16"/>
      <c r="AC169" s="16"/>
      <c r="AD169" s="17"/>
      <c r="AE169" s="18">
        <f t="shared" si="569"/>
        <v>0</v>
      </c>
      <c r="AF169" s="34"/>
      <c r="AG169" s="16"/>
      <c r="AH169" s="16"/>
      <c r="AI169" s="17"/>
      <c r="AJ169" s="18">
        <f t="shared" si="570"/>
        <v>0</v>
      </c>
      <c r="AK169" s="34"/>
      <c r="AL169" s="16"/>
      <c r="AM169" s="16"/>
      <c r="AN169" s="17"/>
      <c r="AO169" s="18">
        <f t="shared" si="571"/>
        <v>0</v>
      </c>
      <c r="AP169" s="34"/>
      <c r="AQ169" s="16"/>
      <c r="AR169" s="16"/>
      <c r="AS169" s="17"/>
      <c r="AT169" s="18">
        <f t="shared" si="572"/>
        <v>0</v>
      </c>
      <c r="AU169" s="34">
        <v>3</v>
      </c>
      <c r="AV169" s="16"/>
      <c r="AW169" s="16">
        <v>1</v>
      </c>
      <c r="AX169" s="17"/>
      <c r="AY169" s="18">
        <f t="shared" si="573"/>
        <v>4</v>
      </c>
      <c r="AZ169" s="34">
        <v>4</v>
      </c>
      <c r="BA169" s="16"/>
      <c r="BB169" s="16">
        <v>15</v>
      </c>
      <c r="BC169" s="17"/>
      <c r="BD169" s="18">
        <f t="shared" si="574"/>
        <v>19</v>
      </c>
      <c r="BE169" s="34">
        <v>2</v>
      </c>
      <c r="BF169" s="16"/>
      <c r="BG169" s="16">
        <v>2</v>
      </c>
      <c r="BH169" s="17"/>
      <c r="BI169" s="18">
        <f t="shared" si="575"/>
        <v>4</v>
      </c>
      <c r="BJ169" s="34">
        <v>2</v>
      </c>
      <c r="BK169" s="16"/>
      <c r="BL169" s="16"/>
      <c r="BM169" s="17"/>
      <c r="BN169" s="18">
        <f t="shared" si="576"/>
        <v>2</v>
      </c>
      <c r="BO169" s="70">
        <f t="shared" si="577"/>
        <v>11</v>
      </c>
      <c r="BP169" s="16">
        <f t="shared" si="578"/>
        <v>0</v>
      </c>
      <c r="BQ169" s="16">
        <f t="shared" si="579"/>
        <v>18</v>
      </c>
      <c r="BR169" s="17">
        <f t="shared" si="580"/>
        <v>0</v>
      </c>
      <c r="BS169" s="35">
        <f t="shared" si="581"/>
        <v>29</v>
      </c>
    </row>
    <row r="170" spans="2:71" x14ac:dyDescent="0.3">
      <c r="B170" s="269"/>
      <c r="C170" s="230"/>
      <c r="D170" s="233"/>
      <c r="E170" s="220"/>
      <c r="F170" s="123" t="s">
        <v>389</v>
      </c>
      <c r="G170" s="34"/>
      <c r="H170" s="16"/>
      <c r="I170" s="16"/>
      <c r="J170" s="17"/>
      <c r="K170" s="18">
        <f t="shared" ref="K170" si="582">SUM(G170:J170)</f>
        <v>0</v>
      </c>
      <c r="L170" s="34"/>
      <c r="M170" s="16"/>
      <c r="N170" s="16"/>
      <c r="O170" s="17"/>
      <c r="P170" s="18">
        <f t="shared" ref="P170" si="583">SUM(L170:O170)</f>
        <v>0</v>
      </c>
      <c r="Q170" s="34"/>
      <c r="R170" s="16"/>
      <c r="S170" s="16"/>
      <c r="T170" s="17"/>
      <c r="U170" s="18">
        <f t="shared" ref="U170" si="584">SUM(Q170:T170)</f>
        <v>0</v>
      </c>
      <c r="V170" s="34"/>
      <c r="W170" s="16"/>
      <c r="X170" s="16"/>
      <c r="Y170" s="17"/>
      <c r="Z170" s="18">
        <f t="shared" ref="Z170" si="585">SUM(V170:Y170)</f>
        <v>0</v>
      </c>
      <c r="AA170" s="34"/>
      <c r="AB170" s="16"/>
      <c r="AC170" s="16"/>
      <c r="AD170" s="17"/>
      <c r="AE170" s="18">
        <f t="shared" ref="AE170" si="586">SUM(AA170:AD170)</f>
        <v>0</v>
      </c>
      <c r="AF170" s="34"/>
      <c r="AG170" s="16"/>
      <c r="AH170" s="16"/>
      <c r="AI170" s="17"/>
      <c r="AJ170" s="18">
        <f t="shared" ref="AJ170" si="587">SUM(AF170:AI170)</f>
        <v>0</v>
      </c>
      <c r="AK170" s="34"/>
      <c r="AL170" s="16"/>
      <c r="AM170" s="16"/>
      <c r="AN170" s="17"/>
      <c r="AO170" s="18">
        <f t="shared" ref="AO170" si="588">SUM(AK170:AN170)</f>
        <v>0</v>
      </c>
      <c r="AP170" s="34"/>
      <c r="AQ170" s="16"/>
      <c r="AR170" s="16"/>
      <c r="AS170" s="17"/>
      <c r="AT170" s="18">
        <f t="shared" ref="AT170" si="589">SUM(AP170:AS170)</f>
        <v>0</v>
      </c>
      <c r="AU170" s="34"/>
      <c r="AV170" s="16"/>
      <c r="AW170" s="16"/>
      <c r="AX170" s="17"/>
      <c r="AY170" s="18">
        <f t="shared" ref="AY170" si="590">SUM(AU170:AX170)</f>
        <v>0</v>
      </c>
      <c r="AZ170" s="34"/>
      <c r="BA170" s="16"/>
      <c r="BB170" s="16"/>
      <c r="BC170" s="17"/>
      <c r="BD170" s="18">
        <f t="shared" ref="BD170" si="591">SUM(AZ170:BC170)</f>
        <v>0</v>
      </c>
      <c r="BE170" s="34">
        <v>1</v>
      </c>
      <c r="BF170" s="16"/>
      <c r="BG170" s="16">
        <v>3</v>
      </c>
      <c r="BH170" s="17"/>
      <c r="BI170" s="18">
        <f t="shared" ref="BI170" si="592">SUM(BE170:BH170)</f>
        <v>4</v>
      </c>
      <c r="BJ170" s="34"/>
      <c r="BK170" s="16"/>
      <c r="BL170" s="16"/>
      <c r="BM170" s="17"/>
      <c r="BN170" s="18">
        <f t="shared" ref="BN170" si="593">SUM(BJ170:BM170)</f>
        <v>0</v>
      </c>
      <c r="BO170" s="70">
        <f t="shared" si="577"/>
        <v>1</v>
      </c>
      <c r="BP170" s="16">
        <f t="shared" si="578"/>
        <v>0</v>
      </c>
      <c r="BQ170" s="16">
        <f t="shared" si="579"/>
        <v>3</v>
      </c>
      <c r="BR170" s="17">
        <f t="shared" si="580"/>
        <v>0</v>
      </c>
      <c r="BS170" s="35">
        <f t="shared" ref="BS170" si="594">SUM(BO170:BR170)</f>
        <v>4</v>
      </c>
    </row>
    <row r="171" spans="2:71" x14ac:dyDescent="0.3">
      <c r="B171" s="269"/>
      <c r="C171" s="230"/>
      <c r="D171" s="233"/>
      <c r="E171" s="220"/>
      <c r="F171" s="123" t="s">
        <v>327</v>
      </c>
      <c r="G171" s="34"/>
      <c r="H171" s="16"/>
      <c r="I171" s="16"/>
      <c r="J171" s="17"/>
      <c r="K171" s="18">
        <f t="shared" si="539"/>
        <v>0</v>
      </c>
      <c r="L171" s="34"/>
      <c r="M171" s="16"/>
      <c r="N171" s="16"/>
      <c r="O171" s="17"/>
      <c r="P171" s="18">
        <f t="shared" si="540"/>
        <v>0</v>
      </c>
      <c r="Q171" s="34"/>
      <c r="R171" s="16"/>
      <c r="S171" s="16"/>
      <c r="T171" s="17"/>
      <c r="U171" s="18">
        <f t="shared" si="541"/>
        <v>0</v>
      </c>
      <c r="V171" s="34"/>
      <c r="W171" s="16"/>
      <c r="X171" s="16"/>
      <c r="Y171" s="17"/>
      <c r="Z171" s="18">
        <f t="shared" si="542"/>
        <v>0</v>
      </c>
      <c r="AA171" s="34">
        <v>1</v>
      </c>
      <c r="AB171" s="16"/>
      <c r="AC171" s="16"/>
      <c r="AD171" s="17"/>
      <c r="AE171" s="18">
        <f t="shared" si="543"/>
        <v>1</v>
      </c>
      <c r="AF171" s="34"/>
      <c r="AG171" s="16"/>
      <c r="AH171" s="16"/>
      <c r="AI171" s="17"/>
      <c r="AJ171" s="18">
        <f t="shared" si="544"/>
        <v>0</v>
      </c>
      <c r="AK171" s="34"/>
      <c r="AL171" s="16"/>
      <c r="AM171" s="16"/>
      <c r="AN171" s="17"/>
      <c r="AO171" s="18">
        <f t="shared" si="545"/>
        <v>0</v>
      </c>
      <c r="AP171" s="34"/>
      <c r="AQ171" s="16"/>
      <c r="AR171" s="16"/>
      <c r="AS171" s="17"/>
      <c r="AT171" s="18">
        <f t="shared" si="546"/>
        <v>0</v>
      </c>
      <c r="AU171" s="34"/>
      <c r="AV171" s="16"/>
      <c r="AW171" s="16"/>
      <c r="AX171" s="17"/>
      <c r="AY171" s="18">
        <f t="shared" si="547"/>
        <v>0</v>
      </c>
      <c r="AZ171" s="34"/>
      <c r="BA171" s="16"/>
      <c r="BB171" s="16"/>
      <c r="BC171" s="17"/>
      <c r="BD171" s="18">
        <f t="shared" si="548"/>
        <v>0</v>
      </c>
      <c r="BE171" s="34"/>
      <c r="BF171" s="16"/>
      <c r="BG171" s="16"/>
      <c r="BH171" s="17"/>
      <c r="BI171" s="18">
        <f t="shared" si="549"/>
        <v>0</v>
      </c>
      <c r="BJ171" s="34"/>
      <c r="BK171" s="16"/>
      <c r="BL171" s="16"/>
      <c r="BM171" s="17"/>
      <c r="BN171" s="18">
        <f t="shared" si="550"/>
        <v>0</v>
      </c>
      <c r="BO171" s="70">
        <f t="shared" si="577"/>
        <v>1</v>
      </c>
      <c r="BP171" s="16">
        <f t="shared" si="578"/>
        <v>0</v>
      </c>
      <c r="BQ171" s="16">
        <f t="shared" si="579"/>
        <v>0</v>
      </c>
      <c r="BR171" s="17">
        <f t="shared" si="580"/>
        <v>0</v>
      </c>
      <c r="BS171" s="35">
        <f t="shared" si="551"/>
        <v>1</v>
      </c>
    </row>
    <row r="172" spans="2:71" x14ac:dyDescent="0.3">
      <c r="B172" s="269"/>
      <c r="C172" s="230"/>
      <c r="D172" s="233"/>
      <c r="E172" s="220"/>
      <c r="F172" s="123" t="s">
        <v>328</v>
      </c>
      <c r="G172" s="34"/>
      <c r="H172" s="16"/>
      <c r="I172" s="16"/>
      <c r="J172" s="17"/>
      <c r="K172" s="18">
        <f t="shared" si="537"/>
        <v>0</v>
      </c>
      <c r="L172" s="34"/>
      <c r="M172" s="16"/>
      <c r="N172" s="16"/>
      <c r="O172" s="17"/>
      <c r="P172" s="18">
        <f t="shared" ref="P172:P195" si="595">SUM(L172:O172)</f>
        <v>0</v>
      </c>
      <c r="Q172" s="34"/>
      <c r="R172" s="16"/>
      <c r="S172" s="16"/>
      <c r="T172" s="17"/>
      <c r="U172" s="18">
        <f t="shared" ref="U172:U195" si="596">SUM(Q172:T172)</f>
        <v>0</v>
      </c>
      <c r="V172" s="34"/>
      <c r="W172" s="16"/>
      <c r="X172" s="16"/>
      <c r="Y172" s="17"/>
      <c r="Z172" s="18">
        <f t="shared" ref="Z172:Z195" si="597">SUM(V172:Y172)</f>
        <v>0</v>
      </c>
      <c r="AA172" s="34"/>
      <c r="AB172" s="16"/>
      <c r="AC172" s="16"/>
      <c r="AD172" s="17"/>
      <c r="AE172" s="18">
        <f t="shared" ref="AE172:AE195" si="598">SUM(AA172:AD172)</f>
        <v>0</v>
      </c>
      <c r="AF172" s="34"/>
      <c r="AG172" s="16"/>
      <c r="AH172" s="16"/>
      <c r="AI172" s="17"/>
      <c r="AJ172" s="18">
        <f t="shared" ref="AJ172:AJ195" si="599">SUM(AF172:AI172)</f>
        <v>0</v>
      </c>
      <c r="AK172" s="34"/>
      <c r="AL172" s="16"/>
      <c r="AM172" s="16">
        <v>1</v>
      </c>
      <c r="AN172" s="17"/>
      <c r="AO172" s="18">
        <f t="shared" ref="AO172:AO195" si="600">SUM(AK172:AN172)</f>
        <v>1</v>
      </c>
      <c r="AP172" s="34"/>
      <c r="AQ172" s="16"/>
      <c r="AR172" s="16">
        <v>1</v>
      </c>
      <c r="AS172" s="17"/>
      <c r="AT172" s="18">
        <f t="shared" ref="AT172:AT195" si="601">SUM(AP172:AS172)</f>
        <v>1</v>
      </c>
      <c r="AU172" s="34"/>
      <c r="AV172" s="16"/>
      <c r="AW172" s="16"/>
      <c r="AX172" s="17"/>
      <c r="AY172" s="18">
        <f t="shared" ref="AY172:AY195" si="602">SUM(AU172:AX172)</f>
        <v>0</v>
      </c>
      <c r="AZ172" s="34"/>
      <c r="BA172" s="16"/>
      <c r="BB172" s="16"/>
      <c r="BC172" s="17"/>
      <c r="BD172" s="18">
        <f t="shared" ref="BD172:BD195" si="603">SUM(AZ172:BC172)</f>
        <v>0</v>
      </c>
      <c r="BE172" s="34"/>
      <c r="BF172" s="16"/>
      <c r="BG172" s="16"/>
      <c r="BH172" s="17"/>
      <c r="BI172" s="18">
        <f t="shared" ref="BI172:BI195" si="604">SUM(BE172:BH172)</f>
        <v>0</v>
      </c>
      <c r="BJ172" s="34"/>
      <c r="BK172" s="16"/>
      <c r="BL172" s="16"/>
      <c r="BM172" s="17"/>
      <c r="BN172" s="18">
        <f t="shared" ref="BN172:BN195" si="605">SUM(BJ172:BM172)</f>
        <v>0</v>
      </c>
      <c r="BO172" s="70">
        <f t="shared" si="577"/>
        <v>0</v>
      </c>
      <c r="BP172" s="16">
        <f t="shared" si="578"/>
        <v>0</v>
      </c>
      <c r="BQ172" s="16">
        <f t="shared" si="579"/>
        <v>2</v>
      </c>
      <c r="BR172" s="17">
        <f t="shared" si="580"/>
        <v>0</v>
      </c>
      <c r="BS172" s="35">
        <f t="shared" si="538"/>
        <v>2</v>
      </c>
    </row>
    <row r="173" spans="2:71" x14ac:dyDescent="0.3">
      <c r="B173" s="269"/>
      <c r="C173" s="230"/>
      <c r="D173" s="233"/>
      <c r="E173" s="219" t="s">
        <v>69</v>
      </c>
      <c r="F173" s="120" t="s">
        <v>70</v>
      </c>
      <c r="G173" s="30"/>
      <c r="H173" s="7"/>
      <c r="I173" s="7">
        <v>2194</v>
      </c>
      <c r="J173" s="8"/>
      <c r="K173" s="9">
        <f t="shared" si="409"/>
        <v>2194</v>
      </c>
      <c r="L173" s="30"/>
      <c r="M173" s="7"/>
      <c r="N173" s="7">
        <v>2457</v>
      </c>
      <c r="O173" s="8"/>
      <c r="P173" s="9">
        <f t="shared" si="595"/>
        <v>2457</v>
      </c>
      <c r="Q173" s="30"/>
      <c r="R173" s="7"/>
      <c r="S173" s="7">
        <v>2500</v>
      </c>
      <c r="T173" s="8"/>
      <c r="U173" s="9">
        <f t="shared" si="596"/>
        <v>2500</v>
      </c>
      <c r="V173" s="30"/>
      <c r="W173" s="7"/>
      <c r="X173" s="7">
        <v>1787</v>
      </c>
      <c r="Y173" s="8"/>
      <c r="Z173" s="9">
        <f t="shared" si="597"/>
        <v>1787</v>
      </c>
      <c r="AA173" s="30"/>
      <c r="AB173" s="7"/>
      <c r="AC173" s="7">
        <v>1945</v>
      </c>
      <c r="AD173" s="8"/>
      <c r="AE173" s="9">
        <f t="shared" si="598"/>
        <v>1945</v>
      </c>
      <c r="AF173" s="30"/>
      <c r="AG173" s="7"/>
      <c r="AH173" s="7">
        <v>2354</v>
      </c>
      <c r="AI173" s="8"/>
      <c r="AJ173" s="9">
        <f t="shared" si="599"/>
        <v>2354</v>
      </c>
      <c r="AK173" s="30"/>
      <c r="AL173" s="7"/>
      <c r="AM173" s="7">
        <v>935</v>
      </c>
      <c r="AN173" s="8"/>
      <c r="AO173" s="9">
        <f t="shared" si="600"/>
        <v>935</v>
      </c>
      <c r="AP173" s="30"/>
      <c r="AQ173" s="7"/>
      <c r="AR173" s="7">
        <v>1503</v>
      </c>
      <c r="AS173" s="8"/>
      <c r="AT173" s="9">
        <f t="shared" si="601"/>
        <v>1503</v>
      </c>
      <c r="AU173" s="30"/>
      <c r="AV173" s="7"/>
      <c r="AW173" s="7">
        <v>2629</v>
      </c>
      <c r="AX173" s="8"/>
      <c r="AY173" s="9">
        <f t="shared" si="602"/>
        <v>2629</v>
      </c>
      <c r="AZ173" s="30"/>
      <c r="BA173" s="7"/>
      <c r="BB173" s="7">
        <v>4090</v>
      </c>
      <c r="BC173" s="8"/>
      <c r="BD173" s="9">
        <f t="shared" si="603"/>
        <v>4090</v>
      </c>
      <c r="BE173" s="30"/>
      <c r="BF173" s="7"/>
      <c r="BG173" s="7">
        <v>959</v>
      </c>
      <c r="BH173" s="8"/>
      <c r="BI173" s="9">
        <f t="shared" si="604"/>
        <v>959</v>
      </c>
      <c r="BJ173" s="30"/>
      <c r="BK173" s="7"/>
      <c r="BL173" s="7">
        <v>1606</v>
      </c>
      <c r="BM173" s="8"/>
      <c r="BN173" s="9">
        <f t="shared" si="605"/>
        <v>1606</v>
      </c>
      <c r="BO173" s="65">
        <f t="shared" si="577"/>
        <v>0</v>
      </c>
      <c r="BP173" s="7">
        <f t="shared" si="578"/>
        <v>0</v>
      </c>
      <c r="BQ173" s="7">
        <f t="shared" si="579"/>
        <v>24959</v>
      </c>
      <c r="BR173" s="8">
        <f t="shared" si="580"/>
        <v>0</v>
      </c>
      <c r="BS173" s="31">
        <f t="shared" si="414"/>
        <v>24959</v>
      </c>
    </row>
    <row r="174" spans="2:71" x14ac:dyDescent="0.3">
      <c r="B174" s="269"/>
      <c r="C174" s="230"/>
      <c r="D174" s="233"/>
      <c r="E174" s="235"/>
      <c r="F174" s="121" t="s">
        <v>71</v>
      </c>
      <c r="G174" s="32"/>
      <c r="H174" s="13"/>
      <c r="I174" s="13">
        <v>120</v>
      </c>
      <c r="J174" s="14"/>
      <c r="K174" s="15">
        <f t="shared" si="409"/>
        <v>120</v>
      </c>
      <c r="L174" s="32"/>
      <c r="M174" s="13"/>
      <c r="N174" s="13">
        <v>209</v>
      </c>
      <c r="O174" s="14"/>
      <c r="P174" s="15">
        <f t="shared" si="595"/>
        <v>209</v>
      </c>
      <c r="Q174" s="32"/>
      <c r="R174" s="13"/>
      <c r="S174" s="13">
        <v>400</v>
      </c>
      <c r="T174" s="14"/>
      <c r="U174" s="15">
        <f t="shared" si="596"/>
        <v>400</v>
      </c>
      <c r="V174" s="32"/>
      <c r="W174" s="13"/>
      <c r="X174" s="13">
        <v>386</v>
      </c>
      <c r="Y174" s="14"/>
      <c r="Z174" s="15">
        <f t="shared" si="597"/>
        <v>386</v>
      </c>
      <c r="AA174" s="32"/>
      <c r="AB174" s="13"/>
      <c r="AC174" s="13">
        <v>452</v>
      </c>
      <c r="AD174" s="14"/>
      <c r="AE174" s="15">
        <f t="shared" si="598"/>
        <v>452</v>
      </c>
      <c r="AF174" s="32"/>
      <c r="AG174" s="13"/>
      <c r="AH174" s="13">
        <v>642</v>
      </c>
      <c r="AI174" s="14"/>
      <c r="AJ174" s="15">
        <f t="shared" si="599"/>
        <v>642</v>
      </c>
      <c r="AK174" s="32"/>
      <c r="AL174" s="13"/>
      <c r="AM174" s="13">
        <v>313</v>
      </c>
      <c r="AN174" s="14"/>
      <c r="AO174" s="15">
        <f t="shared" si="600"/>
        <v>313</v>
      </c>
      <c r="AP174" s="32"/>
      <c r="AQ174" s="13"/>
      <c r="AR174" s="13">
        <v>641</v>
      </c>
      <c r="AS174" s="14"/>
      <c r="AT174" s="15">
        <f t="shared" si="601"/>
        <v>641</v>
      </c>
      <c r="AU174" s="32"/>
      <c r="AV174" s="13"/>
      <c r="AW174" s="13">
        <v>851</v>
      </c>
      <c r="AX174" s="14"/>
      <c r="AY174" s="15">
        <f t="shared" si="602"/>
        <v>851</v>
      </c>
      <c r="AZ174" s="32"/>
      <c r="BA174" s="13"/>
      <c r="BB174" s="13">
        <v>1125</v>
      </c>
      <c r="BC174" s="14"/>
      <c r="BD174" s="15">
        <f t="shared" si="603"/>
        <v>1125</v>
      </c>
      <c r="BE174" s="32"/>
      <c r="BF174" s="13"/>
      <c r="BG174" s="13">
        <v>204</v>
      </c>
      <c r="BH174" s="14"/>
      <c r="BI174" s="15">
        <f t="shared" si="604"/>
        <v>204</v>
      </c>
      <c r="BJ174" s="32"/>
      <c r="BK174" s="13"/>
      <c r="BL174" s="13">
        <v>233</v>
      </c>
      <c r="BM174" s="14"/>
      <c r="BN174" s="15">
        <f t="shared" si="605"/>
        <v>233</v>
      </c>
      <c r="BO174" s="66">
        <f t="shared" si="577"/>
        <v>0</v>
      </c>
      <c r="BP174" s="13">
        <f t="shared" si="578"/>
        <v>0</v>
      </c>
      <c r="BQ174" s="13">
        <f t="shared" si="579"/>
        <v>5576</v>
      </c>
      <c r="BR174" s="14">
        <f t="shared" si="580"/>
        <v>0</v>
      </c>
      <c r="BS174" s="33">
        <f t="shared" si="414"/>
        <v>5576</v>
      </c>
    </row>
    <row r="175" spans="2:71" x14ac:dyDescent="0.3">
      <c r="B175" s="269"/>
      <c r="C175" s="230"/>
      <c r="D175" s="233"/>
      <c r="E175" s="235"/>
      <c r="F175" s="178" t="s">
        <v>288</v>
      </c>
      <c r="G175" s="179"/>
      <c r="H175" s="180"/>
      <c r="I175" s="180"/>
      <c r="J175" s="181"/>
      <c r="K175" s="182">
        <f t="shared" ref="K175:K176" si="606">SUM(G175:J175)</f>
        <v>0</v>
      </c>
      <c r="L175" s="179"/>
      <c r="M175" s="180"/>
      <c r="N175" s="180"/>
      <c r="O175" s="181"/>
      <c r="P175" s="182">
        <f t="shared" ref="P175:P176" si="607">SUM(L175:O175)</f>
        <v>0</v>
      </c>
      <c r="Q175" s="179"/>
      <c r="R175" s="180"/>
      <c r="S175" s="180"/>
      <c r="T175" s="181"/>
      <c r="U175" s="182">
        <f t="shared" ref="U175:U176" si="608">SUM(Q175:T175)</f>
        <v>0</v>
      </c>
      <c r="V175" s="179"/>
      <c r="W175" s="180"/>
      <c r="X175" s="180">
        <v>103</v>
      </c>
      <c r="Y175" s="181"/>
      <c r="Z175" s="182">
        <f t="shared" ref="Z175:Z176" si="609">SUM(V175:Y175)</f>
        <v>103</v>
      </c>
      <c r="AA175" s="179"/>
      <c r="AB175" s="180"/>
      <c r="AC175" s="180">
        <v>196</v>
      </c>
      <c r="AD175" s="181"/>
      <c r="AE175" s="182">
        <f t="shared" ref="AE175:AE176" si="610">SUM(AA175:AD175)</f>
        <v>196</v>
      </c>
      <c r="AF175" s="179"/>
      <c r="AG175" s="180"/>
      <c r="AH175" s="180">
        <v>335</v>
      </c>
      <c r="AI175" s="181"/>
      <c r="AJ175" s="182">
        <f t="shared" ref="AJ175:AJ176" si="611">SUM(AF175:AI175)</f>
        <v>335</v>
      </c>
      <c r="AK175" s="179"/>
      <c r="AL175" s="180"/>
      <c r="AM175" s="180">
        <v>107</v>
      </c>
      <c r="AN175" s="181"/>
      <c r="AO175" s="182">
        <f t="shared" ref="AO175:AO176" si="612">SUM(AK175:AN175)</f>
        <v>107</v>
      </c>
      <c r="AP175" s="179"/>
      <c r="AQ175" s="180"/>
      <c r="AR175" s="180">
        <v>202</v>
      </c>
      <c r="AS175" s="181"/>
      <c r="AT175" s="182">
        <f t="shared" ref="AT175:AT176" si="613">SUM(AP175:AS175)</f>
        <v>202</v>
      </c>
      <c r="AU175" s="179"/>
      <c r="AV175" s="180"/>
      <c r="AW175" s="180">
        <v>289</v>
      </c>
      <c r="AX175" s="181"/>
      <c r="AY175" s="182">
        <f t="shared" ref="AY175:AY176" si="614">SUM(AU175:AX175)</f>
        <v>289</v>
      </c>
      <c r="AZ175" s="179"/>
      <c r="BA175" s="180"/>
      <c r="BB175" s="180">
        <v>577</v>
      </c>
      <c r="BC175" s="181"/>
      <c r="BD175" s="182">
        <f t="shared" ref="BD175:BD176" si="615">SUM(AZ175:BC175)</f>
        <v>577</v>
      </c>
      <c r="BE175" s="179"/>
      <c r="BF175" s="180"/>
      <c r="BG175" s="180">
        <v>124</v>
      </c>
      <c r="BH175" s="181"/>
      <c r="BI175" s="182">
        <f t="shared" ref="BI175:BI176" si="616">SUM(BE175:BH175)</f>
        <v>124</v>
      </c>
      <c r="BJ175" s="179"/>
      <c r="BK175" s="180"/>
      <c r="BL175" s="180"/>
      <c r="BM175" s="181"/>
      <c r="BN175" s="182">
        <f t="shared" ref="BN175:BN176" si="617">SUM(BJ175:BM175)</f>
        <v>0</v>
      </c>
      <c r="BO175" s="184">
        <f t="shared" si="577"/>
        <v>0</v>
      </c>
      <c r="BP175" s="180">
        <f t="shared" si="578"/>
        <v>0</v>
      </c>
      <c r="BQ175" s="180">
        <f t="shared" si="579"/>
        <v>1933</v>
      </c>
      <c r="BR175" s="181">
        <f t="shared" si="580"/>
        <v>0</v>
      </c>
      <c r="BS175" s="183">
        <f t="shared" ref="BS175:BS176" si="618">SUM(BO175:BR175)</f>
        <v>1933</v>
      </c>
    </row>
    <row r="176" spans="2:71" x14ac:dyDescent="0.3">
      <c r="B176" s="269"/>
      <c r="C176" s="230"/>
      <c r="D176" s="233"/>
      <c r="E176" s="235"/>
      <c r="F176" s="178" t="s">
        <v>289</v>
      </c>
      <c r="G176" s="179"/>
      <c r="H176" s="180"/>
      <c r="I176" s="180"/>
      <c r="J176" s="181"/>
      <c r="K176" s="182">
        <f t="shared" si="606"/>
        <v>0</v>
      </c>
      <c r="L176" s="179"/>
      <c r="M176" s="180"/>
      <c r="N176" s="180"/>
      <c r="O176" s="181"/>
      <c r="P176" s="182">
        <f t="shared" si="607"/>
        <v>0</v>
      </c>
      <c r="Q176" s="179"/>
      <c r="R176" s="180"/>
      <c r="S176" s="180"/>
      <c r="T176" s="181"/>
      <c r="U176" s="182">
        <f t="shared" si="608"/>
        <v>0</v>
      </c>
      <c r="V176" s="179"/>
      <c r="W176" s="180"/>
      <c r="X176" s="180">
        <v>11</v>
      </c>
      <c r="Y176" s="181"/>
      <c r="Z176" s="182">
        <f t="shared" si="609"/>
        <v>11</v>
      </c>
      <c r="AA176" s="179"/>
      <c r="AB176" s="180"/>
      <c r="AC176" s="180">
        <v>30</v>
      </c>
      <c r="AD176" s="181"/>
      <c r="AE176" s="182">
        <f t="shared" si="610"/>
        <v>30</v>
      </c>
      <c r="AF176" s="179"/>
      <c r="AG176" s="180"/>
      <c r="AH176" s="180">
        <v>43</v>
      </c>
      <c r="AI176" s="181"/>
      <c r="AJ176" s="182">
        <f t="shared" si="611"/>
        <v>43</v>
      </c>
      <c r="AK176" s="179"/>
      <c r="AL176" s="180"/>
      <c r="AM176" s="180">
        <v>23</v>
      </c>
      <c r="AN176" s="181"/>
      <c r="AO176" s="182">
        <f t="shared" si="612"/>
        <v>23</v>
      </c>
      <c r="AP176" s="179"/>
      <c r="AQ176" s="180"/>
      <c r="AR176" s="180">
        <v>43</v>
      </c>
      <c r="AS176" s="181"/>
      <c r="AT176" s="182">
        <f t="shared" si="613"/>
        <v>43</v>
      </c>
      <c r="AU176" s="179"/>
      <c r="AV176" s="180"/>
      <c r="AW176" s="180">
        <v>54</v>
      </c>
      <c r="AX176" s="181"/>
      <c r="AY176" s="182">
        <f t="shared" si="614"/>
        <v>54</v>
      </c>
      <c r="AZ176" s="179"/>
      <c r="BA176" s="180"/>
      <c r="BB176" s="180">
        <v>57</v>
      </c>
      <c r="BC176" s="181"/>
      <c r="BD176" s="182">
        <f t="shared" si="615"/>
        <v>57</v>
      </c>
      <c r="BE176" s="179"/>
      <c r="BF176" s="180"/>
      <c r="BG176" s="180">
        <v>14</v>
      </c>
      <c r="BH176" s="181"/>
      <c r="BI176" s="182">
        <f t="shared" si="616"/>
        <v>14</v>
      </c>
      <c r="BJ176" s="179"/>
      <c r="BK176" s="180"/>
      <c r="BL176" s="180"/>
      <c r="BM176" s="181"/>
      <c r="BN176" s="182">
        <f t="shared" si="617"/>
        <v>0</v>
      </c>
      <c r="BO176" s="184">
        <f t="shared" si="577"/>
        <v>0</v>
      </c>
      <c r="BP176" s="180">
        <f t="shared" si="578"/>
        <v>0</v>
      </c>
      <c r="BQ176" s="180">
        <f t="shared" si="579"/>
        <v>275</v>
      </c>
      <c r="BR176" s="181">
        <f t="shared" si="580"/>
        <v>0</v>
      </c>
      <c r="BS176" s="183">
        <f t="shared" si="618"/>
        <v>275</v>
      </c>
    </row>
    <row r="177" spans="2:71" x14ac:dyDescent="0.3">
      <c r="B177" s="269"/>
      <c r="C177" s="230"/>
      <c r="D177" s="233"/>
      <c r="E177" s="235"/>
      <c r="F177" s="121" t="s">
        <v>178</v>
      </c>
      <c r="G177" s="32">
        <v>274</v>
      </c>
      <c r="H177" s="13">
        <v>698</v>
      </c>
      <c r="I177" s="13"/>
      <c r="J177" s="14"/>
      <c r="K177" s="15">
        <f t="shared" si="409"/>
        <v>972</v>
      </c>
      <c r="L177" s="32">
        <v>452</v>
      </c>
      <c r="M177" s="13">
        <v>1608</v>
      </c>
      <c r="N177" s="13"/>
      <c r="O177" s="14"/>
      <c r="P177" s="15">
        <f t="shared" si="595"/>
        <v>2060</v>
      </c>
      <c r="Q177" s="32">
        <v>106</v>
      </c>
      <c r="R177" s="13">
        <v>603</v>
      </c>
      <c r="S177" s="13"/>
      <c r="T177" s="14"/>
      <c r="U177" s="15">
        <f t="shared" si="596"/>
        <v>709</v>
      </c>
      <c r="V177" s="32">
        <v>77</v>
      </c>
      <c r="W177" s="13">
        <v>453</v>
      </c>
      <c r="X177" s="13"/>
      <c r="Y177" s="14"/>
      <c r="Z177" s="15">
        <f t="shared" si="597"/>
        <v>530</v>
      </c>
      <c r="AA177" s="32">
        <v>49</v>
      </c>
      <c r="AB177" s="13">
        <v>398</v>
      </c>
      <c r="AC177" s="13"/>
      <c r="AD177" s="14"/>
      <c r="AE177" s="15">
        <f t="shared" si="598"/>
        <v>447</v>
      </c>
      <c r="AF177" s="32">
        <v>38</v>
      </c>
      <c r="AG177" s="13">
        <v>415</v>
      </c>
      <c r="AH177" s="13"/>
      <c r="AI177" s="14"/>
      <c r="AJ177" s="15">
        <f t="shared" si="599"/>
        <v>453</v>
      </c>
      <c r="AK177" s="32">
        <v>37</v>
      </c>
      <c r="AL177" s="13">
        <v>353</v>
      </c>
      <c r="AM177" s="13"/>
      <c r="AN177" s="14"/>
      <c r="AO177" s="15">
        <f t="shared" si="600"/>
        <v>390</v>
      </c>
      <c r="AP177" s="32">
        <v>111</v>
      </c>
      <c r="AQ177" s="13">
        <v>718</v>
      </c>
      <c r="AR177" s="13"/>
      <c r="AS177" s="14"/>
      <c r="AT177" s="15">
        <f t="shared" si="601"/>
        <v>829</v>
      </c>
      <c r="AU177" s="32">
        <v>57</v>
      </c>
      <c r="AV177" s="13">
        <v>341</v>
      </c>
      <c r="AW177" s="13"/>
      <c r="AX177" s="14"/>
      <c r="AY177" s="15">
        <f t="shared" si="602"/>
        <v>398</v>
      </c>
      <c r="AZ177" s="32">
        <v>56</v>
      </c>
      <c r="BA177" s="13">
        <v>786</v>
      </c>
      <c r="BB177" s="13"/>
      <c r="BC177" s="14"/>
      <c r="BD177" s="15">
        <f t="shared" si="603"/>
        <v>842</v>
      </c>
      <c r="BE177" s="32">
        <v>92</v>
      </c>
      <c r="BF177" s="13">
        <v>411</v>
      </c>
      <c r="BG177" s="13"/>
      <c r="BH177" s="14"/>
      <c r="BI177" s="15">
        <f t="shared" si="604"/>
        <v>503</v>
      </c>
      <c r="BJ177" s="32">
        <v>108</v>
      </c>
      <c r="BK177" s="13">
        <v>441</v>
      </c>
      <c r="BL177" s="13"/>
      <c r="BM177" s="14"/>
      <c r="BN177" s="15">
        <f t="shared" si="605"/>
        <v>549</v>
      </c>
      <c r="BO177" s="66">
        <f t="shared" si="577"/>
        <v>1457</v>
      </c>
      <c r="BP177" s="13">
        <f t="shared" si="578"/>
        <v>7225</v>
      </c>
      <c r="BQ177" s="13">
        <f t="shared" si="579"/>
        <v>0</v>
      </c>
      <c r="BR177" s="14">
        <f t="shared" si="580"/>
        <v>0</v>
      </c>
      <c r="BS177" s="33">
        <f t="shared" si="414"/>
        <v>8682</v>
      </c>
    </row>
    <row r="178" spans="2:71" x14ac:dyDescent="0.3">
      <c r="B178" s="269"/>
      <c r="C178" s="230"/>
      <c r="D178" s="233"/>
      <c r="E178" s="235"/>
      <c r="F178" s="121" t="s">
        <v>179</v>
      </c>
      <c r="G178" s="32">
        <v>33</v>
      </c>
      <c r="H178" s="13">
        <v>38</v>
      </c>
      <c r="I178" s="13"/>
      <c r="J178" s="14"/>
      <c r="K178" s="15">
        <f t="shared" si="409"/>
        <v>71</v>
      </c>
      <c r="L178" s="32">
        <v>59</v>
      </c>
      <c r="M178" s="13">
        <v>67</v>
      </c>
      <c r="N178" s="13"/>
      <c r="O178" s="14"/>
      <c r="P178" s="15">
        <f t="shared" si="595"/>
        <v>126</v>
      </c>
      <c r="Q178" s="32">
        <v>62</v>
      </c>
      <c r="R178" s="13">
        <v>84</v>
      </c>
      <c r="S178" s="13"/>
      <c r="T178" s="14"/>
      <c r="U178" s="15">
        <f t="shared" si="596"/>
        <v>146</v>
      </c>
      <c r="V178" s="32">
        <v>37</v>
      </c>
      <c r="W178" s="13">
        <v>41</v>
      </c>
      <c r="X178" s="13"/>
      <c r="Y178" s="14"/>
      <c r="Z178" s="15">
        <f t="shared" si="597"/>
        <v>78</v>
      </c>
      <c r="AA178" s="32">
        <v>11</v>
      </c>
      <c r="AB178" s="13">
        <v>42</v>
      </c>
      <c r="AC178" s="13"/>
      <c r="AD178" s="14"/>
      <c r="AE178" s="15">
        <f t="shared" si="598"/>
        <v>53</v>
      </c>
      <c r="AF178" s="32">
        <v>16</v>
      </c>
      <c r="AG178" s="13">
        <v>48</v>
      </c>
      <c r="AH178" s="13"/>
      <c r="AI178" s="14"/>
      <c r="AJ178" s="15">
        <f t="shared" si="599"/>
        <v>64</v>
      </c>
      <c r="AK178" s="32">
        <v>18</v>
      </c>
      <c r="AL178" s="13">
        <v>44</v>
      </c>
      <c r="AM178" s="13"/>
      <c r="AN178" s="14"/>
      <c r="AO178" s="15">
        <f t="shared" si="600"/>
        <v>62</v>
      </c>
      <c r="AP178" s="32">
        <v>51</v>
      </c>
      <c r="AQ178" s="13">
        <v>123</v>
      </c>
      <c r="AR178" s="13"/>
      <c r="AS178" s="14"/>
      <c r="AT178" s="15">
        <f t="shared" si="601"/>
        <v>174</v>
      </c>
      <c r="AU178" s="32">
        <v>17</v>
      </c>
      <c r="AV178" s="13">
        <v>54</v>
      </c>
      <c r="AW178" s="13"/>
      <c r="AX178" s="14"/>
      <c r="AY178" s="15">
        <f t="shared" si="602"/>
        <v>71</v>
      </c>
      <c r="AZ178" s="32">
        <v>29</v>
      </c>
      <c r="BA178" s="13">
        <v>83</v>
      </c>
      <c r="BB178" s="13"/>
      <c r="BC178" s="14"/>
      <c r="BD178" s="15">
        <f t="shared" si="603"/>
        <v>112</v>
      </c>
      <c r="BE178" s="32">
        <v>42</v>
      </c>
      <c r="BF178" s="13">
        <v>49</v>
      </c>
      <c r="BG178" s="13"/>
      <c r="BH178" s="14"/>
      <c r="BI178" s="15">
        <f t="shared" si="604"/>
        <v>91</v>
      </c>
      <c r="BJ178" s="32">
        <v>24</v>
      </c>
      <c r="BK178" s="13">
        <v>44</v>
      </c>
      <c r="BL178" s="13"/>
      <c r="BM178" s="14"/>
      <c r="BN178" s="15">
        <f t="shared" si="605"/>
        <v>68</v>
      </c>
      <c r="BO178" s="66">
        <f t="shared" si="577"/>
        <v>399</v>
      </c>
      <c r="BP178" s="13">
        <f t="shared" si="578"/>
        <v>717</v>
      </c>
      <c r="BQ178" s="13">
        <f t="shared" si="579"/>
        <v>0</v>
      </c>
      <c r="BR178" s="14">
        <f t="shared" si="580"/>
        <v>0</v>
      </c>
      <c r="BS178" s="33">
        <f t="shared" si="414"/>
        <v>1116</v>
      </c>
    </row>
    <row r="179" spans="2:71" x14ac:dyDescent="0.3">
      <c r="B179" s="269"/>
      <c r="C179" s="230"/>
      <c r="D179" s="233"/>
      <c r="E179" s="235"/>
      <c r="F179" s="178" t="s">
        <v>290</v>
      </c>
      <c r="G179" s="179"/>
      <c r="H179" s="180"/>
      <c r="I179" s="180"/>
      <c r="J179" s="181"/>
      <c r="K179" s="182">
        <f t="shared" si="409"/>
        <v>0</v>
      </c>
      <c r="L179" s="179"/>
      <c r="M179" s="180"/>
      <c r="N179" s="180"/>
      <c r="O179" s="181"/>
      <c r="P179" s="182">
        <f t="shared" si="595"/>
        <v>0</v>
      </c>
      <c r="Q179" s="179"/>
      <c r="R179" s="180"/>
      <c r="S179" s="180"/>
      <c r="T179" s="181"/>
      <c r="U179" s="182">
        <f t="shared" si="596"/>
        <v>0</v>
      </c>
      <c r="V179" s="179">
        <v>71</v>
      </c>
      <c r="W179" s="180"/>
      <c r="X179" s="180"/>
      <c r="Y179" s="181"/>
      <c r="Z179" s="182">
        <f t="shared" si="597"/>
        <v>71</v>
      </c>
      <c r="AA179" s="179">
        <v>105</v>
      </c>
      <c r="AB179" s="180"/>
      <c r="AC179" s="180"/>
      <c r="AD179" s="181"/>
      <c r="AE179" s="182">
        <f t="shared" si="598"/>
        <v>105</v>
      </c>
      <c r="AF179" s="179">
        <v>89</v>
      </c>
      <c r="AG179" s="180"/>
      <c r="AH179" s="180"/>
      <c r="AI179" s="181"/>
      <c r="AJ179" s="182">
        <f t="shared" si="599"/>
        <v>89</v>
      </c>
      <c r="AK179" s="179">
        <v>130</v>
      </c>
      <c r="AL179" s="180"/>
      <c r="AM179" s="180"/>
      <c r="AN179" s="181"/>
      <c r="AO179" s="182">
        <f t="shared" si="600"/>
        <v>130</v>
      </c>
      <c r="AP179" s="179">
        <v>244</v>
      </c>
      <c r="AQ179" s="180"/>
      <c r="AR179" s="180"/>
      <c r="AS179" s="181"/>
      <c r="AT179" s="182">
        <f t="shared" si="601"/>
        <v>244</v>
      </c>
      <c r="AU179" s="179">
        <v>111</v>
      </c>
      <c r="AV179" s="180"/>
      <c r="AW179" s="180"/>
      <c r="AX179" s="181"/>
      <c r="AY179" s="182">
        <f t="shared" si="602"/>
        <v>111</v>
      </c>
      <c r="AZ179" s="179">
        <v>273</v>
      </c>
      <c r="BA179" s="180"/>
      <c r="BB179" s="180"/>
      <c r="BC179" s="181"/>
      <c r="BD179" s="182">
        <f t="shared" si="603"/>
        <v>273</v>
      </c>
      <c r="BE179" s="179">
        <v>187</v>
      </c>
      <c r="BF179" s="180"/>
      <c r="BG179" s="180"/>
      <c r="BH179" s="181"/>
      <c r="BI179" s="182">
        <f t="shared" si="604"/>
        <v>187</v>
      </c>
      <c r="BJ179" s="179">
        <v>255</v>
      </c>
      <c r="BK179" s="180"/>
      <c r="BL179" s="180"/>
      <c r="BM179" s="181"/>
      <c r="BN179" s="182">
        <f t="shared" si="605"/>
        <v>255</v>
      </c>
      <c r="BO179" s="184">
        <f t="shared" si="577"/>
        <v>1465</v>
      </c>
      <c r="BP179" s="180">
        <f t="shared" si="578"/>
        <v>0</v>
      </c>
      <c r="BQ179" s="180">
        <f t="shared" si="579"/>
        <v>0</v>
      </c>
      <c r="BR179" s="181">
        <f t="shared" si="580"/>
        <v>0</v>
      </c>
      <c r="BS179" s="183">
        <f t="shared" si="414"/>
        <v>1465</v>
      </c>
    </row>
    <row r="180" spans="2:71" x14ac:dyDescent="0.3">
      <c r="B180" s="269"/>
      <c r="C180" s="230"/>
      <c r="D180" s="233"/>
      <c r="E180" s="235"/>
      <c r="F180" s="178" t="s">
        <v>291</v>
      </c>
      <c r="G180" s="179"/>
      <c r="H180" s="180"/>
      <c r="I180" s="180"/>
      <c r="J180" s="181"/>
      <c r="K180" s="182">
        <f t="shared" si="409"/>
        <v>0</v>
      </c>
      <c r="L180" s="179"/>
      <c r="M180" s="180"/>
      <c r="N180" s="180"/>
      <c r="O180" s="181"/>
      <c r="P180" s="182">
        <f t="shared" si="595"/>
        <v>0</v>
      </c>
      <c r="Q180" s="179"/>
      <c r="R180" s="180"/>
      <c r="S180" s="180"/>
      <c r="T180" s="181"/>
      <c r="U180" s="182">
        <f t="shared" si="596"/>
        <v>0</v>
      </c>
      <c r="V180" s="179">
        <v>4</v>
      </c>
      <c r="W180" s="180"/>
      <c r="X180" s="180"/>
      <c r="Y180" s="181"/>
      <c r="Z180" s="182">
        <f t="shared" si="597"/>
        <v>4</v>
      </c>
      <c r="AA180" s="179">
        <v>4</v>
      </c>
      <c r="AB180" s="180"/>
      <c r="AC180" s="180"/>
      <c r="AD180" s="181"/>
      <c r="AE180" s="182">
        <f t="shared" si="598"/>
        <v>4</v>
      </c>
      <c r="AF180" s="179">
        <v>15</v>
      </c>
      <c r="AG180" s="180"/>
      <c r="AH180" s="180"/>
      <c r="AI180" s="181"/>
      <c r="AJ180" s="182">
        <f t="shared" si="599"/>
        <v>15</v>
      </c>
      <c r="AK180" s="179">
        <v>5</v>
      </c>
      <c r="AL180" s="180"/>
      <c r="AM180" s="180"/>
      <c r="AN180" s="181"/>
      <c r="AO180" s="182">
        <f t="shared" si="600"/>
        <v>5</v>
      </c>
      <c r="AP180" s="179">
        <v>49</v>
      </c>
      <c r="AQ180" s="180"/>
      <c r="AR180" s="180"/>
      <c r="AS180" s="181"/>
      <c r="AT180" s="182">
        <f t="shared" si="601"/>
        <v>49</v>
      </c>
      <c r="AU180" s="179">
        <v>16</v>
      </c>
      <c r="AV180" s="180"/>
      <c r="AW180" s="180"/>
      <c r="AX180" s="181"/>
      <c r="AY180" s="182">
        <f t="shared" si="602"/>
        <v>16</v>
      </c>
      <c r="AZ180" s="179">
        <v>21</v>
      </c>
      <c r="BA180" s="180"/>
      <c r="BB180" s="180"/>
      <c r="BC180" s="181"/>
      <c r="BD180" s="182">
        <f t="shared" si="603"/>
        <v>21</v>
      </c>
      <c r="BE180" s="179">
        <v>21</v>
      </c>
      <c r="BF180" s="180"/>
      <c r="BG180" s="180"/>
      <c r="BH180" s="181"/>
      <c r="BI180" s="182">
        <f t="shared" si="604"/>
        <v>21</v>
      </c>
      <c r="BJ180" s="179">
        <v>26</v>
      </c>
      <c r="BK180" s="180"/>
      <c r="BL180" s="180"/>
      <c r="BM180" s="181"/>
      <c r="BN180" s="182">
        <f t="shared" si="605"/>
        <v>26</v>
      </c>
      <c r="BO180" s="184">
        <f t="shared" si="577"/>
        <v>161</v>
      </c>
      <c r="BP180" s="180">
        <f t="shared" si="578"/>
        <v>0</v>
      </c>
      <c r="BQ180" s="180">
        <f t="shared" si="579"/>
        <v>0</v>
      </c>
      <c r="BR180" s="181">
        <f t="shared" si="580"/>
        <v>0</v>
      </c>
      <c r="BS180" s="183">
        <f t="shared" si="414"/>
        <v>161</v>
      </c>
    </row>
    <row r="181" spans="2:71" x14ac:dyDescent="0.3">
      <c r="B181" s="269"/>
      <c r="C181" s="230"/>
      <c r="D181" s="233"/>
      <c r="E181" s="235"/>
      <c r="F181" s="121" t="s">
        <v>160</v>
      </c>
      <c r="G181" s="32">
        <v>1325</v>
      </c>
      <c r="H181" s="13">
        <v>28</v>
      </c>
      <c r="I181" s="13">
        <v>267</v>
      </c>
      <c r="J181" s="14"/>
      <c r="K181" s="15">
        <f t="shared" ref="K181:K183" si="619">SUM(G181:J181)</f>
        <v>1620</v>
      </c>
      <c r="L181" s="32">
        <v>2198</v>
      </c>
      <c r="M181" s="13">
        <v>44</v>
      </c>
      <c r="N181" s="13">
        <v>445</v>
      </c>
      <c r="O181" s="14"/>
      <c r="P181" s="15">
        <f t="shared" si="595"/>
        <v>2687</v>
      </c>
      <c r="Q181" s="32"/>
      <c r="R181" s="13"/>
      <c r="S181" s="13"/>
      <c r="T181" s="14"/>
      <c r="U181" s="15">
        <f t="shared" si="596"/>
        <v>0</v>
      </c>
      <c r="V181" s="32"/>
      <c r="W181" s="13"/>
      <c r="X181" s="13"/>
      <c r="Y181" s="14"/>
      <c r="Z181" s="15">
        <f t="shared" si="597"/>
        <v>0</v>
      </c>
      <c r="AA181" s="32"/>
      <c r="AB181" s="13"/>
      <c r="AC181" s="13"/>
      <c r="AD181" s="14"/>
      <c r="AE181" s="15">
        <f t="shared" si="598"/>
        <v>0</v>
      </c>
      <c r="AF181" s="32"/>
      <c r="AG181" s="13"/>
      <c r="AH181" s="13"/>
      <c r="AI181" s="14"/>
      <c r="AJ181" s="15">
        <f t="shared" si="599"/>
        <v>0</v>
      </c>
      <c r="AK181" s="32"/>
      <c r="AL181" s="13"/>
      <c r="AM181" s="13"/>
      <c r="AN181" s="14"/>
      <c r="AO181" s="15">
        <f t="shared" si="600"/>
        <v>0</v>
      </c>
      <c r="AP181" s="32"/>
      <c r="AQ181" s="13"/>
      <c r="AR181" s="13"/>
      <c r="AS181" s="14"/>
      <c r="AT181" s="15">
        <f t="shared" si="601"/>
        <v>0</v>
      </c>
      <c r="AU181" s="32"/>
      <c r="AV181" s="13"/>
      <c r="AW181" s="13"/>
      <c r="AX181" s="14"/>
      <c r="AY181" s="15">
        <f t="shared" si="602"/>
        <v>0</v>
      </c>
      <c r="AZ181" s="32"/>
      <c r="BA181" s="13"/>
      <c r="BB181" s="13"/>
      <c r="BC181" s="14"/>
      <c r="BD181" s="15">
        <f t="shared" si="603"/>
        <v>0</v>
      </c>
      <c r="BE181" s="32"/>
      <c r="BF181" s="13"/>
      <c r="BG181" s="13"/>
      <c r="BH181" s="14"/>
      <c r="BI181" s="15">
        <f t="shared" si="604"/>
        <v>0</v>
      </c>
      <c r="BJ181" s="32"/>
      <c r="BK181" s="13"/>
      <c r="BL181" s="13"/>
      <c r="BM181" s="14"/>
      <c r="BN181" s="15">
        <f t="shared" si="605"/>
        <v>0</v>
      </c>
      <c r="BO181" s="66">
        <f t="shared" si="577"/>
        <v>3523</v>
      </c>
      <c r="BP181" s="13">
        <f t="shared" si="578"/>
        <v>72</v>
      </c>
      <c r="BQ181" s="13">
        <f t="shared" si="579"/>
        <v>712</v>
      </c>
      <c r="BR181" s="14">
        <f t="shared" si="580"/>
        <v>0</v>
      </c>
      <c r="BS181" s="33">
        <f t="shared" ref="BS181:BS183" si="620">SUM(BO181:BR181)</f>
        <v>4307</v>
      </c>
    </row>
    <row r="182" spans="2:71" x14ac:dyDescent="0.3">
      <c r="B182" s="269"/>
      <c r="C182" s="230"/>
      <c r="D182" s="233"/>
      <c r="E182" s="235"/>
      <c r="F182" s="121" t="s">
        <v>161</v>
      </c>
      <c r="G182" s="32">
        <v>85</v>
      </c>
      <c r="H182" s="13"/>
      <c r="I182" s="13">
        <v>13</v>
      </c>
      <c r="J182" s="14"/>
      <c r="K182" s="15">
        <f t="shared" si="619"/>
        <v>98</v>
      </c>
      <c r="L182" s="32">
        <v>145</v>
      </c>
      <c r="M182" s="13"/>
      <c r="N182" s="13">
        <v>15</v>
      </c>
      <c r="O182" s="14"/>
      <c r="P182" s="15">
        <f t="shared" si="595"/>
        <v>160</v>
      </c>
      <c r="Q182" s="32"/>
      <c r="R182" s="13"/>
      <c r="S182" s="13"/>
      <c r="T182" s="14"/>
      <c r="U182" s="15">
        <f t="shared" si="596"/>
        <v>0</v>
      </c>
      <c r="V182" s="32"/>
      <c r="W182" s="13"/>
      <c r="X182" s="13"/>
      <c r="Y182" s="14"/>
      <c r="Z182" s="15">
        <f t="shared" si="597"/>
        <v>0</v>
      </c>
      <c r="AA182" s="32"/>
      <c r="AB182" s="13"/>
      <c r="AC182" s="13"/>
      <c r="AD182" s="14"/>
      <c r="AE182" s="15">
        <f t="shared" si="598"/>
        <v>0</v>
      </c>
      <c r="AF182" s="32"/>
      <c r="AG182" s="13"/>
      <c r="AH182" s="13"/>
      <c r="AI182" s="14"/>
      <c r="AJ182" s="15">
        <f t="shared" si="599"/>
        <v>0</v>
      </c>
      <c r="AK182" s="32"/>
      <c r="AL182" s="13"/>
      <c r="AM182" s="13"/>
      <c r="AN182" s="14"/>
      <c r="AO182" s="15">
        <f t="shared" si="600"/>
        <v>0</v>
      </c>
      <c r="AP182" s="32"/>
      <c r="AQ182" s="13"/>
      <c r="AR182" s="13"/>
      <c r="AS182" s="14"/>
      <c r="AT182" s="15">
        <f t="shared" si="601"/>
        <v>0</v>
      </c>
      <c r="AU182" s="32"/>
      <c r="AV182" s="13"/>
      <c r="AW182" s="13"/>
      <c r="AX182" s="14"/>
      <c r="AY182" s="15">
        <f t="shared" si="602"/>
        <v>0</v>
      </c>
      <c r="AZ182" s="32"/>
      <c r="BA182" s="13"/>
      <c r="BB182" s="13"/>
      <c r="BC182" s="14"/>
      <c r="BD182" s="15">
        <f t="shared" si="603"/>
        <v>0</v>
      </c>
      <c r="BE182" s="32"/>
      <c r="BF182" s="13"/>
      <c r="BG182" s="13"/>
      <c r="BH182" s="14"/>
      <c r="BI182" s="15">
        <f t="shared" si="604"/>
        <v>0</v>
      </c>
      <c r="BJ182" s="32"/>
      <c r="BK182" s="13"/>
      <c r="BL182" s="13"/>
      <c r="BM182" s="14"/>
      <c r="BN182" s="15">
        <f t="shared" si="605"/>
        <v>0</v>
      </c>
      <c r="BO182" s="66">
        <f t="shared" si="577"/>
        <v>230</v>
      </c>
      <c r="BP182" s="13">
        <f t="shared" si="578"/>
        <v>0</v>
      </c>
      <c r="BQ182" s="13">
        <f t="shared" si="579"/>
        <v>28</v>
      </c>
      <c r="BR182" s="14">
        <f t="shared" si="580"/>
        <v>0</v>
      </c>
      <c r="BS182" s="33">
        <f t="shared" si="620"/>
        <v>258</v>
      </c>
    </row>
    <row r="183" spans="2:71" x14ac:dyDescent="0.3">
      <c r="B183" s="269"/>
      <c r="C183" s="230"/>
      <c r="D183" s="233"/>
      <c r="E183" s="235"/>
      <c r="F183" s="121" t="s">
        <v>162</v>
      </c>
      <c r="G183" s="32">
        <v>1034</v>
      </c>
      <c r="H183" s="13">
        <v>21</v>
      </c>
      <c r="I183" s="13">
        <v>163</v>
      </c>
      <c r="J183" s="14"/>
      <c r="K183" s="15">
        <f t="shared" si="619"/>
        <v>1218</v>
      </c>
      <c r="L183" s="32">
        <v>1474</v>
      </c>
      <c r="M183" s="13">
        <v>25</v>
      </c>
      <c r="N183" s="13">
        <v>277</v>
      </c>
      <c r="O183" s="14"/>
      <c r="P183" s="15">
        <f t="shared" si="595"/>
        <v>1776</v>
      </c>
      <c r="Q183" s="32"/>
      <c r="R183" s="13"/>
      <c r="S183" s="13"/>
      <c r="T183" s="14"/>
      <c r="U183" s="15">
        <f t="shared" si="596"/>
        <v>0</v>
      </c>
      <c r="V183" s="32"/>
      <c r="W183" s="13"/>
      <c r="X183" s="13"/>
      <c r="Y183" s="14"/>
      <c r="Z183" s="15">
        <f t="shared" si="597"/>
        <v>0</v>
      </c>
      <c r="AA183" s="32"/>
      <c r="AB183" s="13"/>
      <c r="AC183" s="13"/>
      <c r="AD183" s="14"/>
      <c r="AE183" s="15">
        <f t="shared" si="598"/>
        <v>0</v>
      </c>
      <c r="AF183" s="32"/>
      <c r="AG183" s="13"/>
      <c r="AH183" s="13"/>
      <c r="AI183" s="14"/>
      <c r="AJ183" s="15">
        <f t="shared" si="599"/>
        <v>0</v>
      </c>
      <c r="AK183" s="32"/>
      <c r="AL183" s="13"/>
      <c r="AM183" s="13"/>
      <c r="AN183" s="14"/>
      <c r="AO183" s="15">
        <f t="shared" si="600"/>
        <v>0</v>
      </c>
      <c r="AP183" s="32"/>
      <c r="AQ183" s="13"/>
      <c r="AR183" s="13"/>
      <c r="AS183" s="14"/>
      <c r="AT183" s="15">
        <f t="shared" si="601"/>
        <v>0</v>
      </c>
      <c r="AU183" s="32"/>
      <c r="AV183" s="13"/>
      <c r="AW183" s="13"/>
      <c r="AX183" s="14"/>
      <c r="AY183" s="15">
        <f t="shared" si="602"/>
        <v>0</v>
      </c>
      <c r="AZ183" s="32"/>
      <c r="BA183" s="13"/>
      <c r="BB183" s="13"/>
      <c r="BC183" s="14"/>
      <c r="BD183" s="15">
        <f t="shared" si="603"/>
        <v>0</v>
      </c>
      <c r="BE183" s="32"/>
      <c r="BF183" s="13"/>
      <c r="BG183" s="13"/>
      <c r="BH183" s="14"/>
      <c r="BI183" s="15">
        <f t="shared" si="604"/>
        <v>0</v>
      </c>
      <c r="BJ183" s="32"/>
      <c r="BK183" s="13"/>
      <c r="BL183" s="13"/>
      <c r="BM183" s="14"/>
      <c r="BN183" s="15">
        <f t="shared" si="605"/>
        <v>0</v>
      </c>
      <c r="BO183" s="66">
        <f t="shared" si="577"/>
        <v>2508</v>
      </c>
      <c r="BP183" s="13">
        <f t="shared" si="578"/>
        <v>46</v>
      </c>
      <c r="BQ183" s="13">
        <f t="shared" si="579"/>
        <v>440</v>
      </c>
      <c r="BR183" s="14">
        <f t="shared" si="580"/>
        <v>0</v>
      </c>
      <c r="BS183" s="33">
        <f t="shared" si="620"/>
        <v>2994</v>
      </c>
    </row>
    <row r="184" spans="2:71" x14ac:dyDescent="0.3">
      <c r="B184" s="269"/>
      <c r="C184" s="230"/>
      <c r="D184" s="233"/>
      <c r="E184" s="235"/>
      <c r="F184" s="121" t="s">
        <v>163</v>
      </c>
      <c r="G184" s="32">
        <v>77</v>
      </c>
      <c r="H184" s="13"/>
      <c r="I184" s="13">
        <v>6</v>
      </c>
      <c r="J184" s="14"/>
      <c r="K184" s="15">
        <f t="shared" si="409"/>
        <v>83</v>
      </c>
      <c r="L184" s="32">
        <v>96</v>
      </c>
      <c r="M184" s="13"/>
      <c r="N184" s="13">
        <v>11</v>
      </c>
      <c r="O184" s="14"/>
      <c r="P184" s="15">
        <f t="shared" si="595"/>
        <v>107</v>
      </c>
      <c r="Q184" s="32"/>
      <c r="R184" s="13"/>
      <c r="S184" s="13"/>
      <c r="T184" s="14"/>
      <c r="U184" s="15">
        <f t="shared" si="596"/>
        <v>0</v>
      </c>
      <c r="V184" s="32"/>
      <c r="W184" s="13"/>
      <c r="X184" s="13"/>
      <c r="Y184" s="14"/>
      <c r="Z184" s="15">
        <f t="shared" si="597"/>
        <v>0</v>
      </c>
      <c r="AA184" s="32"/>
      <c r="AB184" s="13"/>
      <c r="AC184" s="13"/>
      <c r="AD184" s="14"/>
      <c r="AE184" s="15">
        <f t="shared" si="598"/>
        <v>0</v>
      </c>
      <c r="AF184" s="32"/>
      <c r="AG184" s="13"/>
      <c r="AH184" s="13"/>
      <c r="AI184" s="14"/>
      <c r="AJ184" s="15">
        <f t="shared" si="599"/>
        <v>0</v>
      </c>
      <c r="AK184" s="32"/>
      <c r="AL184" s="13"/>
      <c r="AM184" s="13"/>
      <c r="AN184" s="14"/>
      <c r="AO184" s="15">
        <f t="shared" si="600"/>
        <v>0</v>
      </c>
      <c r="AP184" s="32"/>
      <c r="AQ184" s="13"/>
      <c r="AR184" s="13"/>
      <c r="AS184" s="14"/>
      <c r="AT184" s="15">
        <f t="shared" si="601"/>
        <v>0</v>
      </c>
      <c r="AU184" s="32"/>
      <c r="AV184" s="13"/>
      <c r="AW184" s="13"/>
      <c r="AX184" s="14"/>
      <c r="AY184" s="15">
        <f t="shared" si="602"/>
        <v>0</v>
      </c>
      <c r="AZ184" s="32"/>
      <c r="BA184" s="13"/>
      <c r="BB184" s="13"/>
      <c r="BC184" s="14"/>
      <c r="BD184" s="15">
        <f t="shared" si="603"/>
        <v>0</v>
      </c>
      <c r="BE184" s="32"/>
      <c r="BF184" s="13"/>
      <c r="BG184" s="13"/>
      <c r="BH184" s="14"/>
      <c r="BI184" s="15">
        <f t="shared" si="604"/>
        <v>0</v>
      </c>
      <c r="BJ184" s="32"/>
      <c r="BK184" s="13"/>
      <c r="BL184" s="13"/>
      <c r="BM184" s="14"/>
      <c r="BN184" s="15">
        <f t="shared" si="605"/>
        <v>0</v>
      </c>
      <c r="BO184" s="66">
        <f t="shared" si="577"/>
        <v>173</v>
      </c>
      <c r="BP184" s="13">
        <f t="shared" si="578"/>
        <v>0</v>
      </c>
      <c r="BQ184" s="13">
        <f t="shared" si="579"/>
        <v>17</v>
      </c>
      <c r="BR184" s="14">
        <f t="shared" si="580"/>
        <v>0</v>
      </c>
      <c r="BS184" s="33">
        <f t="shared" si="414"/>
        <v>190</v>
      </c>
    </row>
    <row r="185" spans="2:71" x14ac:dyDescent="0.3">
      <c r="B185" s="269"/>
      <c r="C185" s="230"/>
      <c r="D185" s="233"/>
      <c r="E185" s="235"/>
      <c r="F185" s="121" t="s">
        <v>166</v>
      </c>
      <c r="G185" s="32">
        <v>284</v>
      </c>
      <c r="H185" s="13">
        <v>269</v>
      </c>
      <c r="I185" s="13">
        <v>317</v>
      </c>
      <c r="J185" s="14"/>
      <c r="K185" s="15">
        <f t="shared" si="409"/>
        <v>870</v>
      </c>
      <c r="L185" s="32">
        <v>696</v>
      </c>
      <c r="M185" s="13">
        <v>744</v>
      </c>
      <c r="N185" s="13">
        <v>539</v>
      </c>
      <c r="O185" s="14"/>
      <c r="P185" s="15">
        <f t="shared" si="595"/>
        <v>1979</v>
      </c>
      <c r="Q185" s="32"/>
      <c r="R185" s="13"/>
      <c r="S185" s="13"/>
      <c r="T185" s="14"/>
      <c r="U185" s="15">
        <f t="shared" si="596"/>
        <v>0</v>
      </c>
      <c r="V185" s="32"/>
      <c r="W185" s="13"/>
      <c r="X185" s="13"/>
      <c r="Y185" s="14"/>
      <c r="Z185" s="15">
        <f t="shared" si="597"/>
        <v>0</v>
      </c>
      <c r="AA185" s="32"/>
      <c r="AB185" s="13"/>
      <c r="AC185" s="13"/>
      <c r="AD185" s="14"/>
      <c r="AE185" s="15">
        <f t="shared" si="598"/>
        <v>0</v>
      </c>
      <c r="AF185" s="32"/>
      <c r="AG185" s="13"/>
      <c r="AH185" s="13"/>
      <c r="AI185" s="14"/>
      <c r="AJ185" s="15">
        <f t="shared" si="599"/>
        <v>0</v>
      </c>
      <c r="AK185" s="32"/>
      <c r="AL185" s="13"/>
      <c r="AM185" s="13"/>
      <c r="AN185" s="14"/>
      <c r="AO185" s="15">
        <f t="shared" si="600"/>
        <v>0</v>
      </c>
      <c r="AP185" s="32"/>
      <c r="AQ185" s="13"/>
      <c r="AR185" s="13"/>
      <c r="AS185" s="14"/>
      <c r="AT185" s="15">
        <f t="shared" si="601"/>
        <v>0</v>
      </c>
      <c r="AU185" s="32"/>
      <c r="AV185" s="13"/>
      <c r="AW185" s="13"/>
      <c r="AX185" s="14"/>
      <c r="AY185" s="15">
        <f t="shared" si="602"/>
        <v>0</v>
      </c>
      <c r="AZ185" s="32"/>
      <c r="BA185" s="13"/>
      <c r="BB185" s="13"/>
      <c r="BC185" s="14"/>
      <c r="BD185" s="15">
        <f t="shared" si="603"/>
        <v>0</v>
      </c>
      <c r="BE185" s="32"/>
      <c r="BF185" s="13"/>
      <c r="BG185" s="13"/>
      <c r="BH185" s="14"/>
      <c r="BI185" s="15">
        <f t="shared" si="604"/>
        <v>0</v>
      </c>
      <c r="BJ185" s="32"/>
      <c r="BK185" s="13"/>
      <c r="BL185" s="13"/>
      <c r="BM185" s="14"/>
      <c r="BN185" s="15">
        <f t="shared" si="605"/>
        <v>0</v>
      </c>
      <c r="BO185" s="66">
        <f t="shared" si="577"/>
        <v>980</v>
      </c>
      <c r="BP185" s="13">
        <f t="shared" si="578"/>
        <v>1013</v>
      </c>
      <c r="BQ185" s="13">
        <f t="shared" si="579"/>
        <v>856</v>
      </c>
      <c r="BR185" s="14">
        <f t="shared" si="580"/>
        <v>0</v>
      </c>
      <c r="BS185" s="33">
        <f t="shared" si="414"/>
        <v>2849</v>
      </c>
    </row>
    <row r="186" spans="2:71" x14ac:dyDescent="0.3">
      <c r="B186" s="269"/>
      <c r="C186" s="230"/>
      <c r="D186" s="233"/>
      <c r="E186" s="235"/>
      <c r="F186" s="121" t="s">
        <v>167</v>
      </c>
      <c r="G186" s="32">
        <v>12</v>
      </c>
      <c r="H186" s="13">
        <v>21</v>
      </c>
      <c r="I186" s="13">
        <v>13</v>
      </c>
      <c r="J186" s="14"/>
      <c r="K186" s="15">
        <f t="shared" si="409"/>
        <v>46</v>
      </c>
      <c r="L186" s="32">
        <v>16</v>
      </c>
      <c r="M186" s="13">
        <v>24</v>
      </c>
      <c r="N186" s="13">
        <v>20</v>
      </c>
      <c r="O186" s="14"/>
      <c r="P186" s="15">
        <f t="shared" si="595"/>
        <v>60</v>
      </c>
      <c r="Q186" s="32"/>
      <c r="R186" s="13"/>
      <c r="S186" s="13"/>
      <c r="T186" s="14"/>
      <c r="U186" s="15">
        <f t="shared" si="596"/>
        <v>0</v>
      </c>
      <c r="V186" s="32"/>
      <c r="W186" s="13"/>
      <c r="X186" s="13"/>
      <c r="Y186" s="14"/>
      <c r="Z186" s="15">
        <f t="shared" si="597"/>
        <v>0</v>
      </c>
      <c r="AA186" s="32"/>
      <c r="AB186" s="13"/>
      <c r="AC186" s="13"/>
      <c r="AD186" s="14"/>
      <c r="AE186" s="15">
        <f t="shared" si="598"/>
        <v>0</v>
      </c>
      <c r="AF186" s="32"/>
      <c r="AG186" s="13"/>
      <c r="AH186" s="13"/>
      <c r="AI186" s="14"/>
      <c r="AJ186" s="15">
        <f t="shared" si="599"/>
        <v>0</v>
      </c>
      <c r="AK186" s="32"/>
      <c r="AL186" s="13"/>
      <c r="AM186" s="13"/>
      <c r="AN186" s="14"/>
      <c r="AO186" s="15">
        <f t="shared" si="600"/>
        <v>0</v>
      </c>
      <c r="AP186" s="32"/>
      <c r="AQ186" s="13"/>
      <c r="AR186" s="13"/>
      <c r="AS186" s="14"/>
      <c r="AT186" s="15">
        <f t="shared" si="601"/>
        <v>0</v>
      </c>
      <c r="AU186" s="32"/>
      <c r="AV186" s="13"/>
      <c r="AW186" s="13"/>
      <c r="AX186" s="14"/>
      <c r="AY186" s="15">
        <f t="shared" si="602"/>
        <v>0</v>
      </c>
      <c r="AZ186" s="32"/>
      <c r="BA186" s="13"/>
      <c r="BB186" s="13"/>
      <c r="BC186" s="14"/>
      <c r="BD186" s="15">
        <f t="shared" si="603"/>
        <v>0</v>
      </c>
      <c r="BE186" s="32"/>
      <c r="BF186" s="13"/>
      <c r="BG186" s="13"/>
      <c r="BH186" s="14"/>
      <c r="BI186" s="15">
        <f t="shared" si="604"/>
        <v>0</v>
      </c>
      <c r="BJ186" s="32"/>
      <c r="BK186" s="13"/>
      <c r="BL186" s="13"/>
      <c r="BM186" s="14"/>
      <c r="BN186" s="15">
        <f t="shared" si="605"/>
        <v>0</v>
      </c>
      <c r="BO186" s="66">
        <f t="shared" si="577"/>
        <v>28</v>
      </c>
      <c r="BP186" s="13">
        <f t="shared" si="578"/>
        <v>45</v>
      </c>
      <c r="BQ186" s="13">
        <f t="shared" si="579"/>
        <v>33</v>
      </c>
      <c r="BR186" s="14">
        <f t="shared" si="580"/>
        <v>0</v>
      </c>
      <c r="BS186" s="33">
        <f t="shared" si="414"/>
        <v>106</v>
      </c>
    </row>
    <row r="187" spans="2:71" x14ac:dyDescent="0.3">
      <c r="B187" s="269"/>
      <c r="C187" s="230"/>
      <c r="D187" s="233"/>
      <c r="E187" s="235"/>
      <c r="F187" s="121" t="s">
        <v>168</v>
      </c>
      <c r="G187" s="32">
        <v>269</v>
      </c>
      <c r="H187" s="13">
        <v>66</v>
      </c>
      <c r="I187" s="13">
        <v>147</v>
      </c>
      <c r="J187" s="14"/>
      <c r="K187" s="15">
        <f t="shared" si="409"/>
        <v>482</v>
      </c>
      <c r="L187" s="32">
        <v>490</v>
      </c>
      <c r="M187" s="13">
        <v>141</v>
      </c>
      <c r="N187" s="13">
        <v>233</v>
      </c>
      <c r="O187" s="14"/>
      <c r="P187" s="15">
        <f t="shared" si="595"/>
        <v>864</v>
      </c>
      <c r="Q187" s="32"/>
      <c r="R187" s="13"/>
      <c r="S187" s="13"/>
      <c r="T187" s="14"/>
      <c r="U187" s="15">
        <f t="shared" si="596"/>
        <v>0</v>
      </c>
      <c r="V187" s="32"/>
      <c r="W187" s="13"/>
      <c r="X187" s="13"/>
      <c r="Y187" s="14"/>
      <c r="Z187" s="15">
        <f t="shared" si="597"/>
        <v>0</v>
      </c>
      <c r="AA187" s="32"/>
      <c r="AB187" s="13"/>
      <c r="AC187" s="13"/>
      <c r="AD187" s="14"/>
      <c r="AE187" s="15">
        <f t="shared" si="598"/>
        <v>0</v>
      </c>
      <c r="AF187" s="32"/>
      <c r="AG187" s="13"/>
      <c r="AH187" s="13"/>
      <c r="AI187" s="14"/>
      <c r="AJ187" s="15">
        <f t="shared" si="599"/>
        <v>0</v>
      </c>
      <c r="AK187" s="32"/>
      <c r="AL187" s="13"/>
      <c r="AM187" s="13"/>
      <c r="AN187" s="14"/>
      <c r="AO187" s="15">
        <f t="shared" si="600"/>
        <v>0</v>
      </c>
      <c r="AP187" s="32"/>
      <c r="AQ187" s="13"/>
      <c r="AR187" s="13"/>
      <c r="AS187" s="14"/>
      <c r="AT187" s="15">
        <f t="shared" si="601"/>
        <v>0</v>
      </c>
      <c r="AU187" s="32"/>
      <c r="AV187" s="13"/>
      <c r="AW187" s="13"/>
      <c r="AX187" s="14"/>
      <c r="AY187" s="15">
        <f t="shared" si="602"/>
        <v>0</v>
      </c>
      <c r="AZ187" s="32"/>
      <c r="BA187" s="13"/>
      <c r="BB187" s="13"/>
      <c r="BC187" s="14"/>
      <c r="BD187" s="15">
        <f t="shared" si="603"/>
        <v>0</v>
      </c>
      <c r="BE187" s="32"/>
      <c r="BF187" s="13"/>
      <c r="BG187" s="13"/>
      <c r="BH187" s="14"/>
      <c r="BI187" s="15">
        <f t="shared" si="604"/>
        <v>0</v>
      </c>
      <c r="BJ187" s="32"/>
      <c r="BK187" s="13"/>
      <c r="BL187" s="13"/>
      <c r="BM187" s="14"/>
      <c r="BN187" s="15">
        <f t="shared" si="605"/>
        <v>0</v>
      </c>
      <c r="BO187" s="66">
        <f t="shared" si="577"/>
        <v>759</v>
      </c>
      <c r="BP187" s="13">
        <f t="shared" si="578"/>
        <v>207</v>
      </c>
      <c r="BQ187" s="13">
        <f t="shared" si="579"/>
        <v>380</v>
      </c>
      <c r="BR187" s="14">
        <f t="shared" si="580"/>
        <v>0</v>
      </c>
      <c r="BS187" s="33">
        <f t="shared" si="414"/>
        <v>1346</v>
      </c>
    </row>
    <row r="188" spans="2:71" x14ac:dyDescent="0.3">
      <c r="B188" s="269"/>
      <c r="C188" s="230"/>
      <c r="D188" s="233"/>
      <c r="E188" s="235"/>
      <c r="F188" s="121" t="s">
        <v>169</v>
      </c>
      <c r="G188" s="32">
        <v>14</v>
      </c>
      <c r="H188" s="13">
        <v>6</v>
      </c>
      <c r="I188" s="13">
        <v>5</v>
      </c>
      <c r="J188" s="14"/>
      <c r="K188" s="15">
        <f t="shared" si="409"/>
        <v>25</v>
      </c>
      <c r="L188" s="32">
        <v>19</v>
      </c>
      <c r="M188" s="13">
        <v>3</v>
      </c>
      <c r="N188" s="13">
        <v>9</v>
      </c>
      <c r="O188" s="14"/>
      <c r="P188" s="15">
        <f t="shared" si="595"/>
        <v>31</v>
      </c>
      <c r="Q188" s="32"/>
      <c r="R188" s="13"/>
      <c r="S188" s="13"/>
      <c r="T188" s="14"/>
      <c r="U188" s="15">
        <f t="shared" si="596"/>
        <v>0</v>
      </c>
      <c r="V188" s="32"/>
      <c r="W188" s="13"/>
      <c r="X188" s="13"/>
      <c r="Y188" s="14"/>
      <c r="Z188" s="15">
        <f t="shared" si="597"/>
        <v>0</v>
      </c>
      <c r="AA188" s="32"/>
      <c r="AB188" s="13"/>
      <c r="AC188" s="13"/>
      <c r="AD188" s="14"/>
      <c r="AE188" s="15">
        <f t="shared" si="598"/>
        <v>0</v>
      </c>
      <c r="AF188" s="32"/>
      <c r="AG188" s="13"/>
      <c r="AH188" s="13"/>
      <c r="AI188" s="14"/>
      <c r="AJ188" s="15">
        <f t="shared" si="599"/>
        <v>0</v>
      </c>
      <c r="AK188" s="32"/>
      <c r="AL188" s="13"/>
      <c r="AM188" s="13"/>
      <c r="AN188" s="14"/>
      <c r="AO188" s="15">
        <f t="shared" si="600"/>
        <v>0</v>
      </c>
      <c r="AP188" s="32"/>
      <c r="AQ188" s="13"/>
      <c r="AR188" s="13"/>
      <c r="AS188" s="14"/>
      <c r="AT188" s="15">
        <f t="shared" si="601"/>
        <v>0</v>
      </c>
      <c r="AU188" s="32"/>
      <c r="AV188" s="13"/>
      <c r="AW188" s="13"/>
      <c r="AX188" s="14"/>
      <c r="AY188" s="15">
        <f t="shared" si="602"/>
        <v>0</v>
      </c>
      <c r="AZ188" s="32"/>
      <c r="BA188" s="13"/>
      <c r="BB188" s="13"/>
      <c r="BC188" s="14"/>
      <c r="BD188" s="15">
        <f t="shared" si="603"/>
        <v>0</v>
      </c>
      <c r="BE188" s="32"/>
      <c r="BF188" s="13"/>
      <c r="BG188" s="13"/>
      <c r="BH188" s="14"/>
      <c r="BI188" s="15">
        <f t="shared" si="604"/>
        <v>0</v>
      </c>
      <c r="BJ188" s="32"/>
      <c r="BK188" s="13"/>
      <c r="BL188" s="13"/>
      <c r="BM188" s="14"/>
      <c r="BN188" s="15">
        <f t="shared" si="605"/>
        <v>0</v>
      </c>
      <c r="BO188" s="66">
        <f t="shared" si="577"/>
        <v>33</v>
      </c>
      <c r="BP188" s="13">
        <f t="shared" si="578"/>
        <v>9</v>
      </c>
      <c r="BQ188" s="13">
        <f t="shared" si="579"/>
        <v>14</v>
      </c>
      <c r="BR188" s="14">
        <f t="shared" si="580"/>
        <v>0</v>
      </c>
      <c r="BS188" s="33">
        <f t="shared" si="414"/>
        <v>56</v>
      </c>
    </row>
    <row r="189" spans="2:71" x14ac:dyDescent="0.3">
      <c r="B189" s="269"/>
      <c r="C189" s="230"/>
      <c r="D189" s="233"/>
      <c r="E189" s="235"/>
      <c r="F189" s="121" t="s">
        <v>72</v>
      </c>
      <c r="G189" s="32">
        <f>60+8</f>
        <v>68</v>
      </c>
      <c r="H189" s="13"/>
      <c r="I189" s="13">
        <v>3</v>
      </c>
      <c r="J189" s="14"/>
      <c r="K189" s="15">
        <f t="shared" si="409"/>
        <v>71</v>
      </c>
      <c r="L189" s="32">
        <f>88+2</f>
        <v>90</v>
      </c>
      <c r="M189" s="13">
        <f>12+2</f>
        <v>14</v>
      </c>
      <c r="N189" s="13">
        <f>4</f>
        <v>4</v>
      </c>
      <c r="O189" s="14"/>
      <c r="P189" s="15">
        <f t="shared" si="595"/>
        <v>108</v>
      </c>
      <c r="Q189" s="32">
        <f>19+12</f>
        <v>31</v>
      </c>
      <c r="R189" s="13">
        <v>2</v>
      </c>
      <c r="S189" s="13">
        <v>3</v>
      </c>
      <c r="T189" s="14"/>
      <c r="U189" s="15">
        <f t="shared" si="596"/>
        <v>36</v>
      </c>
      <c r="V189" s="32">
        <v>61</v>
      </c>
      <c r="W189" s="13">
        <v>2</v>
      </c>
      <c r="X189" s="13">
        <v>2</v>
      </c>
      <c r="Y189" s="14"/>
      <c r="Z189" s="15">
        <f t="shared" si="597"/>
        <v>65</v>
      </c>
      <c r="AA189" s="32"/>
      <c r="AB189" s="13"/>
      <c r="AC189" s="13"/>
      <c r="AD189" s="14"/>
      <c r="AE189" s="15">
        <f t="shared" si="598"/>
        <v>0</v>
      </c>
      <c r="AF189" s="32"/>
      <c r="AG189" s="13"/>
      <c r="AH189" s="192">
        <v>2</v>
      </c>
      <c r="AI189" s="14"/>
      <c r="AJ189" s="15">
        <f t="shared" si="599"/>
        <v>2</v>
      </c>
      <c r="AK189" s="32"/>
      <c r="AL189" s="13"/>
      <c r="AM189" s="13"/>
      <c r="AN189" s="14"/>
      <c r="AO189" s="15">
        <f t="shared" si="600"/>
        <v>0</v>
      </c>
      <c r="AP189" s="32"/>
      <c r="AQ189" s="13"/>
      <c r="AR189" s="13"/>
      <c r="AS189" s="14"/>
      <c r="AT189" s="15">
        <f t="shared" si="601"/>
        <v>0</v>
      </c>
      <c r="AU189" s="32"/>
      <c r="AV189" s="13"/>
      <c r="AW189" s="13"/>
      <c r="AX189" s="14"/>
      <c r="AY189" s="15">
        <f t="shared" si="602"/>
        <v>0</v>
      </c>
      <c r="AZ189" s="32"/>
      <c r="BA189" s="13"/>
      <c r="BB189" s="13"/>
      <c r="BC189" s="14"/>
      <c r="BD189" s="15">
        <f t="shared" si="603"/>
        <v>0</v>
      </c>
      <c r="BE189" s="32">
        <f>2</f>
        <v>2</v>
      </c>
      <c r="BF189" s="13"/>
      <c r="BG189" s="13"/>
      <c r="BH189" s="14"/>
      <c r="BI189" s="15">
        <f t="shared" si="604"/>
        <v>2</v>
      </c>
      <c r="BJ189" s="32">
        <f>10+11</f>
        <v>21</v>
      </c>
      <c r="BK189" s="13"/>
      <c r="BL189" s="13"/>
      <c r="BM189" s="14"/>
      <c r="BN189" s="15">
        <f t="shared" si="605"/>
        <v>21</v>
      </c>
      <c r="BO189" s="66">
        <f t="shared" si="577"/>
        <v>273</v>
      </c>
      <c r="BP189" s="13">
        <f t="shared" si="578"/>
        <v>18</v>
      </c>
      <c r="BQ189" s="13">
        <f t="shared" si="579"/>
        <v>14</v>
      </c>
      <c r="BR189" s="14">
        <f t="shared" si="580"/>
        <v>0</v>
      </c>
      <c r="BS189" s="33">
        <f t="shared" si="414"/>
        <v>305</v>
      </c>
    </row>
    <row r="190" spans="2:71" x14ac:dyDescent="0.3">
      <c r="B190" s="269"/>
      <c r="C190" s="230"/>
      <c r="D190" s="233"/>
      <c r="E190" s="235"/>
      <c r="F190" s="121" t="s">
        <v>73</v>
      </c>
      <c r="G190" s="32">
        <v>4</v>
      </c>
      <c r="H190" s="13"/>
      <c r="I190" s="13"/>
      <c r="J190" s="14"/>
      <c r="K190" s="15">
        <f t="shared" si="409"/>
        <v>4</v>
      </c>
      <c r="L190" s="32">
        <f>2</f>
        <v>2</v>
      </c>
      <c r="M190" s="13"/>
      <c r="N190" s="13"/>
      <c r="O190" s="14"/>
      <c r="P190" s="15">
        <f t="shared" si="595"/>
        <v>2</v>
      </c>
      <c r="Q190" s="32">
        <f>4+2</f>
        <v>6</v>
      </c>
      <c r="R190" s="13"/>
      <c r="S190" s="13"/>
      <c r="T190" s="14"/>
      <c r="U190" s="15">
        <f t="shared" si="596"/>
        <v>6</v>
      </c>
      <c r="V190" s="32">
        <v>1</v>
      </c>
      <c r="W190" s="13"/>
      <c r="X190" s="13">
        <v>1</v>
      </c>
      <c r="Y190" s="14"/>
      <c r="Z190" s="15">
        <f t="shared" si="597"/>
        <v>2</v>
      </c>
      <c r="AA190" s="32"/>
      <c r="AB190" s="13"/>
      <c r="AC190" s="13"/>
      <c r="AD190" s="14"/>
      <c r="AE190" s="15">
        <f t="shared" si="598"/>
        <v>0</v>
      </c>
      <c r="AF190" s="32"/>
      <c r="AG190" s="13"/>
      <c r="AH190" s="13"/>
      <c r="AI190" s="14"/>
      <c r="AJ190" s="15">
        <f t="shared" si="599"/>
        <v>0</v>
      </c>
      <c r="AK190" s="32"/>
      <c r="AL190" s="13"/>
      <c r="AM190" s="13"/>
      <c r="AN190" s="14"/>
      <c r="AO190" s="15">
        <f t="shared" si="600"/>
        <v>0</v>
      </c>
      <c r="AP190" s="32"/>
      <c r="AQ190" s="13"/>
      <c r="AR190" s="13"/>
      <c r="AS190" s="14"/>
      <c r="AT190" s="15">
        <f t="shared" si="601"/>
        <v>0</v>
      </c>
      <c r="AU190" s="32"/>
      <c r="AV190" s="13"/>
      <c r="AW190" s="13"/>
      <c r="AX190" s="14"/>
      <c r="AY190" s="15">
        <f t="shared" si="602"/>
        <v>0</v>
      </c>
      <c r="AZ190" s="32"/>
      <c r="BA190" s="13"/>
      <c r="BB190" s="13"/>
      <c r="BC190" s="14"/>
      <c r="BD190" s="15">
        <f t="shared" si="603"/>
        <v>0</v>
      </c>
      <c r="BE190" s="32"/>
      <c r="BF190" s="13"/>
      <c r="BG190" s="13"/>
      <c r="BH190" s="14"/>
      <c r="BI190" s="15">
        <f t="shared" si="604"/>
        <v>0</v>
      </c>
      <c r="BJ190" s="32">
        <f>1</f>
        <v>1</v>
      </c>
      <c r="BK190" s="13"/>
      <c r="BL190" s="13"/>
      <c r="BM190" s="14"/>
      <c r="BN190" s="15">
        <f t="shared" si="605"/>
        <v>1</v>
      </c>
      <c r="BO190" s="66">
        <f t="shared" si="577"/>
        <v>14</v>
      </c>
      <c r="BP190" s="13">
        <f t="shared" si="578"/>
        <v>0</v>
      </c>
      <c r="BQ190" s="13">
        <f t="shared" si="579"/>
        <v>1</v>
      </c>
      <c r="BR190" s="14">
        <f t="shared" si="580"/>
        <v>0</v>
      </c>
      <c r="BS190" s="33">
        <f t="shared" si="414"/>
        <v>15</v>
      </c>
    </row>
    <row r="191" spans="2:71" x14ac:dyDescent="0.3">
      <c r="B191" s="269"/>
      <c r="C191" s="230"/>
      <c r="D191" s="233"/>
      <c r="E191" s="235"/>
      <c r="F191" s="121" t="s">
        <v>182</v>
      </c>
      <c r="G191" s="32"/>
      <c r="H191" s="13"/>
      <c r="I191" s="13"/>
      <c r="J191" s="14"/>
      <c r="K191" s="15">
        <f t="shared" si="409"/>
        <v>0</v>
      </c>
      <c r="L191" s="32"/>
      <c r="M191" s="13"/>
      <c r="N191" s="13"/>
      <c r="O191" s="14"/>
      <c r="P191" s="15">
        <f t="shared" ref="P191:P193" si="621">SUM(L191:O191)</f>
        <v>0</v>
      </c>
      <c r="Q191" s="32"/>
      <c r="R191" s="13"/>
      <c r="S191" s="13"/>
      <c r="T191" s="14"/>
      <c r="U191" s="15">
        <f t="shared" ref="U191:U193" si="622">SUM(Q191:T191)</f>
        <v>0</v>
      </c>
      <c r="V191" s="32">
        <f>8</f>
        <v>8</v>
      </c>
      <c r="W191" s="13"/>
      <c r="X191" s="13">
        <f>4</f>
        <v>4</v>
      </c>
      <c r="Y191" s="14"/>
      <c r="Z191" s="15">
        <f t="shared" ref="Z191:Z193" si="623">SUM(V191:Y191)</f>
        <v>12</v>
      </c>
      <c r="AA191" s="32">
        <f>18+10</f>
        <v>28</v>
      </c>
      <c r="AB191" s="13"/>
      <c r="AC191" s="13">
        <v>1</v>
      </c>
      <c r="AD191" s="14"/>
      <c r="AE191" s="15">
        <f t="shared" ref="AE191:AE193" si="624">SUM(AA191:AD191)</f>
        <v>29</v>
      </c>
      <c r="AF191" s="32">
        <f>3+18+25</f>
        <v>46</v>
      </c>
      <c r="AG191" s="13"/>
      <c r="AH191" s="13">
        <f>2+2</f>
        <v>4</v>
      </c>
      <c r="AI191" s="14"/>
      <c r="AJ191" s="15">
        <f t="shared" ref="AJ191:AJ193" si="625">SUM(AF191:AI191)</f>
        <v>50</v>
      </c>
      <c r="AK191" s="32">
        <f>4+9</f>
        <v>13</v>
      </c>
      <c r="AL191" s="13">
        <v>5</v>
      </c>
      <c r="AM191" s="13">
        <f>2+2</f>
        <v>4</v>
      </c>
      <c r="AN191" s="14"/>
      <c r="AO191" s="15">
        <f t="shared" ref="AO191:AO193" si="626">SUM(AK191:AN191)</f>
        <v>22</v>
      </c>
      <c r="AP191" s="32">
        <f>8+14</f>
        <v>22</v>
      </c>
      <c r="AQ191" s="13"/>
      <c r="AR191" s="13">
        <v>3</v>
      </c>
      <c r="AS191" s="14"/>
      <c r="AT191" s="15">
        <f t="shared" ref="AT191:AT193" si="627">SUM(AP191:AS191)</f>
        <v>25</v>
      </c>
      <c r="AU191" s="32">
        <f>9+33</f>
        <v>42</v>
      </c>
      <c r="AV191" s="13">
        <f>1</f>
        <v>1</v>
      </c>
      <c r="AW191" s="13">
        <f>1+1</f>
        <v>2</v>
      </c>
      <c r="AX191" s="14"/>
      <c r="AY191" s="15">
        <f t="shared" ref="AY191:AY193" si="628">SUM(AU191:AX191)</f>
        <v>45</v>
      </c>
      <c r="AZ191" s="32">
        <f>26+6</f>
        <v>32</v>
      </c>
      <c r="BA191" s="13">
        <v>2</v>
      </c>
      <c r="BB191" s="13">
        <f>1+7</f>
        <v>8</v>
      </c>
      <c r="BC191" s="14"/>
      <c r="BD191" s="15">
        <f t="shared" ref="BD191:BD193" si="629">SUM(AZ191:BC191)</f>
        <v>42</v>
      </c>
      <c r="BE191" s="32">
        <f>3</f>
        <v>3</v>
      </c>
      <c r="BF191" s="13">
        <f>1</f>
        <v>1</v>
      </c>
      <c r="BG191" s="13">
        <f>1</f>
        <v>1</v>
      </c>
      <c r="BH191" s="14"/>
      <c r="BI191" s="15">
        <f t="shared" ref="BI191:BI193" si="630">SUM(BE191:BH191)</f>
        <v>5</v>
      </c>
      <c r="BJ191" s="32"/>
      <c r="BK191" s="13"/>
      <c r="BL191" s="13"/>
      <c r="BM191" s="14"/>
      <c r="BN191" s="15">
        <f t="shared" ref="BN191:BN193" si="631">SUM(BJ191:BM191)</f>
        <v>0</v>
      </c>
      <c r="BO191" s="66">
        <f t="shared" si="577"/>
        <v>194</v>
      </c>
      <c r="BP191" s="13">
        <f t="shared" si="578"/>
        <v>9</v>
      </c>
      <c r="BQ191" s="13">
        <f t="shared" si="579"/>
        <v>27</v>
      </c>
      <c r="BR191" s="14">
        <f t="shared" si="580"/>
        <v>0</v>
      </c>
      <c r="BS191" s="33">
        <f t="shared" si="414"/>
        <v>230</v>
      </c>
    </row>
    <row r="192" spans="2:71" x14ac:dyDescent="0.3">
      <c r="B192" s="269"/>
      <c r="C192" s="230"/>
      <c r="D192" s="233"/>
      <c r="E192" s="235"/>
      <c r="F192" s="121" t="s">
        <v>183</v>
      </c>
      <c r="G192" s="32"/>
      <c r="H192" s="13"/>
      <c r="I192" s="13"/>
      <c r="J192" s="14"/>
      <c r="K192" s="15">
        <f t="shared" si="409"/>
        <v>0</v>
      </c>
      <c r="L192" s="32"/>
      <c r="M192" s="13"/>
      <c r="N192" s="13"/>
      <c r="O192" s="14"/>
      <c r="P192" s="15">
        <f t="shared" si="621"/>
        <v>0</v>
      </c>
      <c r="Q192" s="32"/>
      <c r="R192" s="13"/>
      <c r="S192" s="13"/>
      <c r="T192" s="14"/>
      <c r="U192" s="15">
        <f t="shared" si="622"/>
        <v>0</v>
      </c>
      <c r="V192" s="32">
        <f>4</f>
        <v>4</v>
      </c>
      <c r="W192" s="13"/>
      <c r="X192" s="13">
        <f>1</f>
        <v>1</v>
      </c>
      <c r="Y192" s="14"/>
      <c r="Z192" s="15">
        <f t="shared" si="623"/>
        <v>5</v>
      </c>
      <c r="AA192" s="32"/>
      <c r="AB192" s="13"/>
      <c r="AC192" s="13"/>
      <c r="AD192" s="14"/>
      <c r="AE192" s="15">
        <f t="shared" si="624"/>
        <v>0</v>
      </c>
      <c r="AF192" s="32">
        <f>1</f>
        <v>1</v>
      </c>
      <c r="AG192" s="13"/>
      <c r="AH192" s="13">
        <f>1</f>
        <v>1</v>
      </c>
      <c r="AI192" s="14"/>
      <c r="AJ192" s="15">
        <f t="shared" si="625"/>
        <v>2</v>
      </c>
      <c r="AK192" s="32">
        <v>1</v>
      </c>
      <c r="AL192" s="13"/>
      <c r="AM192" s="13"/>
      <c r="AN192" s="14"/>
      <c r="AO192" s="15">
        <f t="shared" si="626"/>
        <v>1</v>
      </c>
      <c r="AP192" s="32">
        <f>7+1</f>
        <v>8</v>
      </c>
      <c r="AQ192" s="13"/>
      <c r="AR192" s="13"/>
      <c r="AS192" s="14"/>
      <c r="AT192" s="15">
        <f t="shared" si="627"/>
        <v>8</v>
      </c>
      <c r="AU192" s="32">
        <v>6</v>
      </c>
      <c r="AV192" s="13"/>
      <c r="AW192" s="13">
        <v>1</v>
      </c>
      <c r="AX192" s="14"/>
      <c r="AY192" s="15">
        <f t="shared" si="628"/>
        <v>7</v>
      </c>
      <c r="AZ192" s="32">
        <v>2</v>
      </c>
      <c r="BA192" s="13"/>
      <c r="BB192" s="13"/>
      <c r="BC192" s="14"/>
      <c r="BD192" s="15">
        <f t="shared" si="629"/>
        <v>2</v>
      </c>
      <c r="BE192" s="32">
        <f>3</f>
        <v>3</v>
      </c>
      <c r="BF192" s="13"/>
      <c r="BG192" s="13">
        <f>2</f>
        <v>2</v>
      </c>
      <c r="BH192" s="14"/>
      <c r="BI192" s="15">
        <f t="shared" si="630"/>
        <v>5</v>
      </c>
      <c r="BJ192" s="32"/>
      <c r="BK192" s="13"/>
      <c r="BL192" s="13"/>
      <c r="BM192" s="14"/>
      <c r="BN192" s="15">
        <f t="shared" si="631"/>
        <v>0</v>
      </c>
      <c r="BO192" s="66">
        <f t="shared" si="577"/>
        <v>25</v>
      </c>
      <c r="BP192" s="13">
        <f t="shared" si="578"/>
        <v>0</v>
      </c>
      <c r="BQ192" s="13">
        <f t="shared" si="579"/>
        <v>5</v>
      </c>
      <c r="BR192" s="14">
        <f t="shared" si="580"/>
        <v>0</v>
      </c>
      <c r="BS192" s="33">
        <f t="shared" si="414"/>
        <v>30</v>
      </c>
    </row>
    <row r="193" spans="2:71" x14ac:dyDescent="0.3">
      <c r="B193" s="269"/>
      <c r="C193" s="230"/>
      <c r="D193" s="233"/>
      <c r="E193" s="235"/>
      <c r="F193" s="121" t="s">
        <v>164</v>
      </c>
      <c r="G193" s="32">
        <v>1370</v>
      </c>
      <c r="H193" s="13"/>
      <c r="I193" s="13"/>
      <c r="J193" s="14"/>
      <c r="K193" s="15">
        <f t="shared" ref="K193" si="632">SUM(G193:J193)</f>
        <v>1370</v>
      </c>
      <c r="L193" s="32">
        <v>1814</v>
      </c>
      <c r="M193" s="13"/>
      <c r="N193" s="13"/>
      <c r="O193" s="14"/>
      <c r="P193" s="15">
        <f t="shared" si="621"/>
        <v>1814</v>
      </c>
      <c r="Q193" s="32">
        <v>1292</v>
      </c>
      <c r="R193" s="13"/>
      <c r="S193" s="13"/>
      <c r="T193" s="14"/>
      <c r="U193" s="15">
        <f t="shared" si="622"/>
        <v>1292</v>
      </c>
      <c r="V193" s="32">
        <v>942</v>
      </c>
      <c r="W193" s="13"/>
      <c r="X193" s="13"/>
      <c r="Y193" s="14"/>
      <c r="Z193" s="15">
        <f t="shared" si="623"/>
        <v>942</v>
      </c>
      <c r="AA193" s="32">
        <v>677</v>
      </c>
      <c r="AB193" s="13"/>
      <c r="AC193" s="13"/>
      <c r="AD193" s="14"/>
      <c r="AE193" s="15">
        <f t="shared" si="624"/>
        <v>677</v>
      </c>
      <c r="AF193" s="32">
        <v>1152</v>
      </c>
      <c r="AG193" s="13"/>
      <c r="AH193" s="13"/>
      <c r="AI193" s="14"/>
      <c r="AJ193" s="15">
        <f t="shared" si="625"/>
        <v>1152</v>
      </c>
      <c r="AK193" s="32">
        <v>1185</v>
      </c>
      <c r="AL193" s="13"/>
      <c r="AM193" s="13"/>
      <c r="AN193" s="14"/>
      <c r="AO193" s="15">
        <f t="shared" si="626"/>
        <v>1185</v>
      </c>
      <c r="AP193" s="32">
        <v>767</v>
      </c>
      <c r="AQ193" s="13"/>
      <c r="AR193" s="13"/>
      <c r="AS193" s="14"/>
      <c r="AT193" s="15">
        <f t="shared" si="627"/>
        <v>767</v>
      </c>
      <c r="AU193" s="32">
        <v>1132</v>
      </c>
      <c r="AV193" s="13"/>
      <c r="AW193" s="13"/>
      <c r="AX193" s="14"/>
      <c r="AY193" s="15">
        <f t="shared" si="628"/>
        <v>1132</v>
      </c>
      <c r="AZ193" s="32">
        <v>1697</v>
      </c>
      <c r="BA193" s="13"/>
      <c r="BB193" s="13"/>
      <c r="BC193" s="14"/>
      <c r="BD193" s="15">
        <f t="shared" si="629"/>
        <v>1697</v>
      </c>
      <c r="BE193" s="32">
        <v>1604</v>
      </c>
      <c r="BF193" s="13"/>
      <c r="BG193" s="13"/>
      <c r="BH193" s="14"/>
      <c r="BI193" s="15">
        <f t="shared" si="630"/>
        <v>1604</v>
      </c>
      <c r="BJ193" s="32">
        <v>1206</v>
      </c>
      <c r="BK193" s="13"/>
      <c r="BL193" s="13"/>
      <c r="BM193" s="14"/>
      <c r="BN193" s="15">
        <f t="shared" si="631"/>
        <v>1206</v>
      </c>
      <c r="BO193" s="66">
        <f t="shared" si="577"/>
        <v>14838</v>
      </c>
      <c r="BP193" s="13">
        <f t="shared" si="578"/>
        <v>0</v>
      </c>
      <c r="BQ193" s="13">
        <f t="shared" si="579"/>
        <v>0</v>
      </c>
      <c r="BR193" s="14">
        <f t="shared" si="580"/>
        <v>0</v>
      </c>
      <c r="BS193" s="33">
        <f t="shared" ref="BS193:BS194" si="633">SUM(BO193:BR193)</f>
        <v>14838</v>
      </c>
    </row>
    <row r="194" spans="2:71" x14ac:dyDescent="0.3">
      <c r="B194" s="269"/>
      <c r="C194" s="230"/>
      <c r="D194" s="233"/>
      <c r="E194" s="235"/>
      <c r="F194" s="121" t="s">
        <v>165</v>
      </c>
      <c r="G194" s="32">
        <v>529</v>
      </c>
      <c r="H194" s="13"/>
      <c r="I194" s="13"/>
      <c r="J194" s="14"/>
      <c r="K194" s="15">
        <f t="shared" ref="K194" si="634">SUM(G194:J194)</f>
        <v>529</v>
      </c>
      <c r="L194" s="32">
        <v>762</v>
      </c>
      <c r="M194" s="13"/>
      <c r="N194" s="13"/>
      <c r="O194" s="14"/>
      <c r="P194" s="15">
        <f t="shared" ref="P194" si="635">SUM(L194:O194)</f>
        <v>762</v>
      </c>
      <c r="Q194" s="32">
        <v>743</v>
      </c>
      <c r="R194" s="13"/>
      <c r="S194" s="13"/>
      <c r="T194" s="14"/>
      <c r="U194" s="15">
        <f t="shared" ref="U194" si="636">SUM(Q194:T194)</f>
        <v>743</v>
      </c>
      <c r="V194" s="32">
        <v>679</v>
      </c>
      <c r="W194" s="13"/>
      <c r="X194" s="13"/>
      <c r="Y194" s="14"/>
      <c r="Z194" s="15">
        <f t="shared" ref="Z194" si="637">SUM(V194:Y194)</f>
        <v>679</v>
      </c>
      <c r="AA194" s="32">
        <v>197</v>
      </c>
      <c r="AB194" s="13"/>
      <c r="AC194" s="13"/>
      <c r="AD194" s="14"/>
      <c r="AE194" s="15">
        <f t="shared" ref="AE194" si="638">SUM(AA194:AD194)</f>
        <v>197</v>
      </c>
      <c r="AF194" s="32">
        <v>648</v>
      </c>
      <c r="AG194" s="13"/>
      <c r="AH194" s="13"/>
      <c r="AI194" s="14"/>
      <c r="AJ194" s="15">
        <f t="shared" ref="AJ194" si="639">SUM(AF194:AI194)</f>
        <v>648</v>
      </c>
      <c r="AK194" s="32">
        <v>465</v>
      </c>
      <c r="AL194" s="13"/>
      <c r="AM194" s="13"/>
      <c r="AN194" s="14"/>
      <c r="AO194" s="15">
        <f t="shared" ref="AO194" si="640">SUM(AK194:AN194)</f>
        <v>465</v>
      </c>
      <c r="AP194" s="32">
        <v>326</v>
      </c>
      <c r="AQ194" s="13"/>
      <c r="AR194" s="13"/>
      <c r="AS194" s="14"/>
      <c r="AT194" s="15">
        <f t="shared" ref="AT194" si="641">SUM(AP194:AS194)</f>
        <v>326</v>
      </c>
      <c r="AU194" s="32">
        <v>729</v>
      </c>
      <c r="AV194" s="13"/>
      <c r="AW194" s="13"/>
      <c r="AX194" s="14"/>
      <c r="AY194" s="15">
        <f t="shared" ref="AY194" si="642">SUM(AU194:AX194)</f>
        <v>729</v>
      </c>
      <c r="AZ194" s="32">
        <v>1443</v>
      </c>
      <c r="BA194" s="13"/>
      <c r="BB194" s="13"/>
      <c r="BC194" s="14"/>
      <c r="BD194" s="15">
        <f t="shared" ref="BD194" si="643">SUM(AZ194:BC194)</f>
        <v>1443</v>
      </c>
      <c r="BE194" s="32">
        <v>1093</v>
      </c>
      <c r="BF194" s="13"/>
      <c r="BG194" s="13"/>
      <c r="BH194" s="14"/>
      <c r="BI194" s="15">
        <f t="shared" ref="BI194" si="644">SUM(BE194:BH194)</f>
        <v>1093</v>
      </c>
      <c r="BJ194" s="32">
        <v>733</v>
      </c>
      <c r="BK194" s="13"/>
      <c r="BL194" s="13"/>
      <c r="BM194" s="14"/>
      <c r="BN194" s="15">
        <f t="shared" ref="BN194" si="645">SUM(BJ194:BM194)</f>
        <v>733</v>
      </c>
      <c r="BO194" s="66">
        <f t="shared" si="577"/>
        <v>8347</v>
      </c>
      <c r="BP194" s="13">
        <f t="shared" si="578"/>
        <v>0</v>
      </c>
      <c r="BQ194" s="13">
        <f t="shared" si="579"/>
        <v>0</v>
      </c>
      <c r="BR194" s="14">
        <f t="shared" si="580"/>
        <v>0</v>
      </c>
      <c r="BS194" s="33">
        <f t="shared" si="633"/>
        <v>8347</v>
      </c>
    </row>
    <row r="195" spans="2:71" x14ac:dyDescent="0.3">
      <c r="B195" s="269"/>
      <c r="C195" s="230"/>
      <c r="D195" s="233"/>
      <c r="E195" s="235"/>
      <c r="F195" s="121" t="s">
        <v>262</v>
      </c>
      <c r="G195" s="32"/>
      <c r="H195" s="13"/>
      <c r="I195" s="13"/>
      <c r="J195" s="14"/>
      <c r="K195" s="15">
        <f t="shared" si="409"/>
        <v>0</v>
      </c>
      <c r="L195" s="32"/>
      <c r="M195" s="13"/>
      <c r="N195" s="13"/>
      <c r="O195" s="14"/>
      <c r="P195" s="15">
        <f t="shared" si="595"/>
        <v>0</v>
      </c>
      <c r="Q195" s="32">
        <v>41</v>
      </c>
      <c r="R195" s="13"/>
      <c r="S195" s="13"/>
      <c r="T195" s="14"/>
      <c r="U195" s="15">
        <f t="shared" si="596"/>
        <v>41</v>
      </c>
      <c r="V195" s="32">
        <v>79</v>
      </c>
      <c r="W195" s="13"/>
      <c r="X195" s="13"/>
      <c r="Y195" s="14"/>
      <c r="Z195" s="15">
        <f t="shared" si="597"/>
        <v>79</v>
      </c>
      <c r="AA195" s="32"/>
      <c r="AB195" s="13"/>
      <c r="AC195" s="13"/>
      <c r="AD195" s="14"/>
      <c r="AE195" s="15">
        <f t="shared" si="598"/>
        <v>0</v>
      </c>
      <c r="AF195" s="32">
        <v>63</v>
      </c>
      <c r="AG195" s="13"/>
      <c r="AH195" s="13"/>
      <c r="AI195" s="14"/>
      <c r="AJ195" s="15">
        <f t="shared" si="599"/>
        <v>63</v>
      </c>
      <c r="AK195" s="32"/>
      <c r="AL195" s="13"/>
      <c r="AM195" s="13"/>
      <c r="AN195" s="14"/>
      <c r="AO195" s="15">
        <f t="shared" si="600"/>
        <v>0</v>
      </c>
      <c r="AP195" s="32"/>
      <c r="AQ195" s="13"/>
      <c r="AR195" s="13"/>
      <c r="AS195" s="14"/>
      <c r="AT195" s="15">
        <f t="shared" si="601"/>
        <v>0</v>
      </c>
      <c r="AU195" s="32"/>
      <c r="AV195" s="13"/>
      <c r="AW195" s="13"/>
      <c r="AX195" s="14"/>
      <c r="AY195" s="15">
        <f t="shared" si="602"/>
        <v>0</v>
      </c>
      <c r="AZ195" s="32"/>
      <c r="BA195" s="13"/>
      <c r="BB195" s="13"/>
      <c r="BC195" s="14"/>
      <c r="BD195" s="15">
        <f t="shared" si="603"/>
        <v>0</v>
      </c>
      <c r="BE195" s="32"/>
      <c r="BF195" s="13"/>
      <c r="BG195" s="13"/>
      <c r="BH195" s="14"/>
      <c r="BI195" s="15">
        <f t="shared" si="604"/>
        <v>0</v>
      </c>
      <c r="BJ195" s="32"/>
      <c r="BK195" s="13"/>
      <c r="BL195" s="13"/>
      <c r="BM195" s="14"/>
      <c r="BN195" s="15">
        <f t="shared" si="605"/>
        <v>0</v>
      </c>
      <c r="BO195" s="66">
        <f t="shared" si="577"/>
        <v>183</v>
      </c>
      <c r="BP195" s="13">
        <f t="shared" si="578"/>
        <v>0</v>
      </c>
      <c r="BQ195" s="13">
        <f t="shared" si="579"/>
        <v>0</v>
      </c>
      <c r="BR195" s="14">
        <f t="shared" si="580"/>
        <v>0</v>
      </c>
      <c r="BS195" s="33">
        <f t="shared" si="414"/>
        <v>183</v>
      </c>
    </row>
    <row r="196" spans="2:71" x14ac:dyDescent="0.3">
      <c r="B196" s="269"/>
      <c r="C196" s="230"/>
      <c r="D196" s="233"/>
      <c r="E196" s="235"/>
      <c r="F196" s="121" t="s">
        <v>263</v>
      </c>
      <c r="G196" s="32"/>
      <c r="H196" s="13"/>
      <c r="I196" s="13"/>
      <c r="J196" s="14"/>
      <c r="K196" s="15">
        <f t="shared" ref="K196" si="646">SUM(G196:J196)</f>
        <v>0</v>
      </c>
      <c r="L196" s="32"/>
      <c r="M196" s="13"/>
      <c r="N196" s="13"/>
      <c r="O196" s="14"/>
      <c r="P196" s="15">
        <f t="shared" ref="P196" si="647">SUM(L196:O196)</f>
        <v>0</v>
      </c>
      <c r="Q196" s="32">
        <v>3</v>
      </c>
      <c r="R196" s="13"/>
      <c r="S196" s="13"/>
      <c r="T196" s="14"/>
      <c r="U196" s="15">
        <f t="shared" ref="U196" si="648">SUM(Q196:T196)</f>
        <v>3</v>
      </c>
      <c r="V196" s="32"/>
      <c r="W196" s="13"/>
      <c r="X196" s="13"/>
      <c r="Y196" s="14"/>
      <c r="Z196" s="15">
        <f t="shared" ref="Z196" si="649">SUM(V196:Y196)</f>
        <v>0</v>
      </c>
      <c r="AA196" s="32"/>
      <c r="AB196" s="13"/>
      <c r="AC196" s="13"/>
      <c r="AD196" s="14"/>
      <c r="AE196" s="15">
        <f t="shared" ref="AE196" si="650">SUM(AA196:AD196)</f>
        <v>0</v>
      </c>
      <c r="AF196" s="32"/>
      <c r="AG196" s="13"/>
      <c r="AH196" s="13"/>
      <c r="AI196" s="14"/>
      <c r="AJ196" s="15">
        <f t="shared" ref="AJ196" si="651">SUM(AF196:AI196)</f>
        <v>0</v>
      </c>
      <c r="AK196" s="32"/>
      <c r="AL196" s="13"/>
      <c r="AM196" s="13"/>
      <c r="AN196" s="14"/>
      <c r="AO196" s="15">
        <f t="shared" ref="AO196" si="652">SUM(AK196:AN196)</f>
        <v>0</v>
      </c>
      <c r="AP196" s="32"/>
      <c r="AQ196" s="13"/>
      <c r="AR196" s="13"/>
      <c r="AS196" s="14"/>
      <c r="AT196" s="15">
        <f t="shared" ref="AT196" si="653">SUM(AP196:AS196)</f>
        <v>0</v>
      </c>
      <c r="AU196" s="32"/>
      <c r="AV196" s="13"/>
      <c r="AW196" s="13"/>
      <c r="AX196" s="14"/>
      <c r="AY196" s="15">
        <f t="shared" ref="AY196" si="654">SUM(AU196:AX196)</f>
        <v>0</v>
      </c>
      <c r="AZ196" s="32"/>
      <c r="BA196" s="13"/>
      <c r="BB196" s="13"/>
      <c r="BC196" s="14"/>
      <c r="BD196" s="15">
        <f t="shared" ref="BD196" si="655">SUM(AZ196:BC196)</f>
        <v>0</v>
      </c>
      <c r="BE196" s="32"/>
      <c r="BF196" s="13"/>
      <c r="BG196" s="13"/>
      <c r="BH196" s="14"/>
      <c r="BI196" s="15">
        <f t="shared" ref="BI196" si="656">SUM(BE196:BH196)</f>
        <v>0</v>
      </c>
      <c r="BJ196" s="32"/>
      <c r="BK196" s="13"/>
      <c r="BL196" s="13"/>
      <c r="BM196" s="14"/>
      <c r="BN196" s="15">
        <f t="shared" ref="BN196" si="657">SUM(BJ196:BM196)</f>
        <v>0</v>
      </c>
      <c r="BO196" s="66">
        <f t="shared" si="577"/>
        <v>3</v>
      </c>
      <c r="BP196" s="13">
        <f t="shared" si="578"/>
        <v>0</v>
      </c>
      <c r="BQ196" s="13">
        <f t="shared" si="579"/>
        <v>0</v>
      </c>
      <c r="BR196" s="14">
        <f t="shared" si="580"/>
        <v>0</v>
      </c>
      <c r="BS196" s="33">
        <f t="shared" ref="BS196" si="658">SUM(BO196:BR196)</f>
        <v>3</v>
      </c>
    </row>
    <row r="197" spans="2:71" x14ac:dyDescent="0.3">
      <c r="B197" s="269"/>
      <c r="C197" s="230"/>
      <c r="D197" s="233"/>
      <c r="E197" s="235"/>
      <c r="F197" s="121" t="s">
        <v>264</v>
      </c>
      <c r="G197" s="32"/>
      <c r="H197" s="13"/>
      <c r="I197" s="13"/>
      <c r="J197" s="14"/>
      <c r="K197" s="15">
        <f t="shared" si="409"/>
        <v>0</v>
      </c>
      <c r="L197" s="32"/>
      <c r="M197" s="13"/>
      <c r="N197" s="13"/>
      <c r="O197" s="14"/>
      <c r="P197" s="15">
        <f t="shared" ref="P197:P204" si="659">SUM(L197:O197)</f>
        <v>0</v>
      </c>
      <c r="Q197" s="32">
        <v>35</v>
      </c>
      <c r="R197" s="13"/>
      <c r="S197" s="13"/>
      <c r="T197" s="14"/>
      <c r="U197" s="15">
        <f t="shared" ref="U197:U204" si="660">SUM(Q197:T197)</f>
        <v>35</v>
      </c>
      <c r="V197" s="32">
        <v>57</v>
      </c>
      <c r="W197" s="13"/>
      <c r="X197" s="13"/>
      <c r="Y197" s="14"/>
      <c r="Z197" s="15">
        <f t="shared" ref="Z197:Z204" si="661">SUM(V197:Y197)</f>
        <v>57</v>
      </c>
      <c r="AA197" s="32"/>
      <c r="AB197" s="13"/>
      <c r="AC197" s="13"/>
      <c r="AD197" s="14"/>
      <c r="AE197" s="15">
        <f t="shared" ref="AE197:AE204" si="662">SUM(AA197:AD197)</f>
        <v>0</v>
      </c>
      <c r="AF197" s="32">
        <v>44</v>
      </c>
      <c r="AG197" s="13"/>
      <c r="AH197" s="13"/>
      <c r="AI197" s="14"/>
      <c r="AJ197" s="15">
        <f t="shared" ref="AJ197:AJ204" si="663">SUM(AF197:AI197)</f>
        <v>44</v>
      </c>
      <c r="AK197" s="32"/>
      <c r="AL197" s="13"/>
      <c r="AM197" s="13"/>
      <c r="AN197" s="14"/>
      <c r="AO197" s="15">
        <f t="shared" ref="AO197:AO204" si="664">SUM(AK197:AN197)</f>
        <v>0</v>
      </c>
      <c r="AP197" s="32"/>
      <c r="AQ197" s="13"/>
      <c r="AR197" s="13"/>
      <c r="AS197" s="14"/>
      <c r="AT197" s="15">
        <f t="shared" ref="AT197:AT204" si="665">SUM(AP197:AS197)</f>
        <v>0</v>
      </c>
      <c r="AU197" s="32"/>
      <c r="AV197" s="13"/>
      <c r="AW197" s="13"/>
      <c r="AX197" s="14"/>
      <c r="AY197" s="15">
        <f t="shared" ref="AY197:AY204" si="666">SUM(AU197:AX197)</f>
        <v>0</v>
      </c>
      <c r="AZ197" s="32"/>
      <c r="BA197" s="13"/>
      <c r="BB197" s="13"/>
      <c r="BC197" s="14"/>
      <c r="BD197" s="15">
        <f t="shared" ref="BD197:BD204" si="667">SUM(AZ197:BC197)</f>
        <v>0</v>
      </c>
      <c r="BE197" s="32"/>
      <c r="BF197" s="13"/>
      <c r="BG197" s="13"/>
      <c r="BH197" s="14"/>
      <c r="BI197" s="15">
        <f t="shared" ref="BI197:BI204" si="668">SUM(BE197:BH197)</f>
        <v>0</v>
      </c>
      <c r="BJ197" s="32"/>
      <c r="BK197" s="13"/>
      <c r="BL197" s="13"/>
      <c r="BM197" s="14"/>
      <c r="BN197" s="15">
        <f t="shared" ref="BN197:BN204" si="669">SUM(BJ197:BM197)</f>
        <v>0</v>
      </c>
      <c r="BO197" s="66">
        <f t="shared" si="577"/>
        <v>136</v>
      </c>
      <c r="BP197" s="13">
        <f t="shared" si="578"/>
        <v>0</v>
      </c>
      <c r="BQ197" s="13">
        <f t="shared" si="579"/>
        <v>0</v>
      </c>
      <c r="BR197" s="14">
        <f t="shared" si="580"/>
        <v>0</v>
      </c>
      <c r="BS197" s="33">
        <f t="shared" si="414"/>
        <v>136</v>
      </c>
    </row>
    <row r="198" spans="2:71" x14ac:dyDescent="0.3">
      <c r="B198" s="269"/>
      <c r="C198" s="230"/>
      <c r="D198" s="233"/>
      <c r="E198" s="235"/>
      <c r="F198" s="121" t="s">
        <v>265</v>
      </c>
      <c r="G198" s="32"/>
      <c r="H198" s="13"/>
      <c r="I198" s="13"/>
      <c r="J198" s="14"/>
      <c r="K198" s="15">
        <f t="shared" si="409"/>
        <v>0</v>
      </c>
      <c r="L198" s="32"/>
      <c r="M198" s="13"/>
      <c r="N198" s="13"/>
      <c r="O198" s="14"/>
      <c r="P198" s="15">
        <f t="shared" si="659"/>
        <v>0</v>
      </c>
      <c r="Q198" s="32">
        <v>3</v>
      </c>
      <c r="R198" s="13"/>
      <c r="S198" s="13"/>
      <c r="T198" s="14"/>
      <c r="U198" s="15">
        <f t="shared" si="660"/>
        <v>3</v>
      </c>
      <c r="V198" s="32"/>
      <c r="W198" s="13"/>
      <c r="X198" s="13"/>
      <c r="Y198" s="14"/>
      <c r="Z198" s="15">
        <f t="shared" si="661"/>
        <v>0</v>
      </c>
      <c r="AA198" s="32"/>
      <c r="AB198" s="13"/>
      <c r="AC198" s="13"/>
      <c r="AD198" s="14"/>
      <c r="AE198" s="15">
        <f t="shared" si="662"/>
        <v>0</v>
      </c>
      <c r="AF198" s="32"/>
      <c r="AG198" s="13"/>
      <c r="AH198" s="13"/>
      <c r="AI198" s="14"/>
      <c r="AJ198" s="15">
        <f t="shared" si="663"/>
        <v>0</v>
      </c>
      <c r="AK198" s="32"/>
      <c r="AL198" s="13"/>
      <c r="AM198" s="13"/>
      <c r="AN198" s="14"/>
      <c r="AO198" s="15">
        <f t="shared" si="664"/>
        <v>0</v>
      </c>
      <c r="AP198" s="32"/>
      <c r="AQ198" s="13"/>
      <c r="AR198" s="13"/>
      <c r="AS198" s="14"/>
      <c r="AT198" s="15">
        <f t="shared" si="665"/>
        <v>0</v>
      </c>
      <c r="AU198" s="32"/>
      <c r="AV198" s="13"/>
      <c r="AW198" s="13"/>
      <c r="AX198" s="14"/>
      <c r="AY198" s="15">
        <f t="shared" si="666"/>
        <v>0</v>
      </c>
      <c r="AZ198" s="32"/>
      <c r="BA198" s="13"/>
      <c r="BB198" s="13"/>
      <c r="BC198" s="14"/>
      <c r="BD198" s="15">
        <f t="shared" si="667"/>
        <v>0</v>
      </c>
      <c r="BE198" s="32"/>
      <c r="BF198" s="13"/>
      <c r="BG198" s="13"/>
      <c r="BH198" s="14"/>
      <c r="BI198" s="15">
        <f t="shared" si="668"/>
        <v>0</v>
      </c>
      <c r="BJ198" s="32"/>
      <c r="BK198" s="13"/>
      <c r="BL198" s="13"/>
      <c r="BM198" s="14"/>
      <c r="BN198" s="15">
        <f t="shared" si="669"/>
        <v>0</v>
      </c>
      <c r="BO198" s="66">
        <f t="shared" ref="BO198:BO225" si="670">SUM(G198,L198,Q198,V198,AA198,AF198,AK198,AP198,AU198,AZ198,BE198,BJ198)</f>
        <v>3</v>
      </c>
      <c r="BP198" s="13">
        <f t="shared" ref="BP198:BP225" si="671">SUM(H198,M198,R198,W198,AB198,AG198,AL198,AQ198,AV198,BA198,BF198,BK198)</f>
        <v>0</v>
      </c>
      <c r="BQ198" s="13">
        <f t="shared" ref="BQ198:BQ225" si="672">SUM(I198,N198,S198,X198,AC198,AH198,AM198,AR198,AW198,BB198,BG198,BL198)</f>
        <v>0</v>
      </c>
      <c r="BR198" s="14">
        <f t="shared" ref="BR198:BR225" si="673">SUM(J198,O198,T198,Y198,AD198,AI198,AN198,AS198,AX198,BC198,BH198,BM198)</f>
        <v>0</v>
      </c>
      <c r="BS198" s="33">
        <f t="shared" si="414"/>
        <v>3</v>
      </c>
    </row>
    <row r="199" spans="2:71" x14ac:dyDescent="0.3">
      <c r="B199" s="269"/>
      <c r="C199" s="230"/>
      <c r="D199" s="233"/>
      <c r="E199" s="235"/>
      <c r="F199" s="121" t="s">
        <v>353</v>
      </c>
      <c r="G199" s="32"/>
      <c r="H199" s="13"/>
      <c r="I199" s="13"/>
      <c r="J199" s="14"/>
      <c r="K199" s="15">
        <f t="shared" ref="K199" si="674">SUM(G199:J199)</f>
        <v>0</v>
      </c>
      <c r="L199" s="32"/>
      <c r="M199" s="13"/>
      <c r="N199" s="13"/>
      <c r="O199" s="14"/>
      <c r="P199" s="15">
        <f t="shared" ref="P199" si="675">SUM(L199:O199)</f>
        <v>0</v>
      </c>
      <c r="Q199" s="32"/>
      <c r="R199" s="13"/>
      <c r="S199" s="13"/>
      <c r="T199" s="14"/>
      <c r="U199" s="15">
        <f t="shared" ref="U199" si="676">SUM(Q199:T199)</f>
        <v>0</v>
      </c>
      <c r="V199" s="32"/>
      <c r="W199" s="13"/>
      <c r="X199" s="13"/>
      <c r="Y199" s="14"/>
      <c r="Z199" s="15">
        <f t="shared" ref="Z199" si="677">SUM(V199:Y199)</f>
        <v>0</v>
      </c>
      <c r="AA199" s="32"/>
      <c r="AB199" s="13"/>
      <c r="AC199" s="13"/>
      <c r="AD199" s="14"/>
      <c r="AE199" s="15">
        <f t="shared" ref="AE199" si="678">SUM(AA199:AD199)</f>
        <v>0</v>
      </c>
      <c r="AF199" s="32">
        <v>2</v>
      </c>
      <c r="AG199" s="13"/>
      <c r="AH199" s="13"/>
      <c r="AI199" s="14"/>
      <c r="AJ199" s="15">
        <f t="shared" ref="AJ199" si="679">SUM(AF199:AI199)</f>
        <v>2</v>
      </c>
      <c r="AK199" s="32">
        <f>19</f>
        <v>19</v>
      </c>
      <c r="AL199" s="13"/>
      <c r="AM199" s="13"/>
      <c r="AN199" s="14"/>
      <c r="AO199" s="15">
        <f t="shared" ref="AO199" si="680">SUM(AK199:AN199)</f>
        <v>19</v>
      </c>
      <c r="AP199" s="32">
        <v>78</v>
      </c>
      <c r="AQ199" s="13"/>
      <c r="AR199" s="13"/>
      <c r="AS199" s="14"/>
      <c r="AT199" s="15">
        <f t="shared" ref="AT199" si="681">SUM(AP199:AS199)</f>
        <v>78</v>
      </c>
      <c r="AU199" s="32">
        <v>134</v>
      </c>
      <c r="AV199" s="13"/>
      <c r="AW199" s="13"/>
      <c r="AX199" s="14"/>
      <c r="AY199" s="15">
        <f t="shared" ref="AY199" si="682">SUM(AU199:AX199)</f>
        <v>134</v>
      </c>
      <c r="AZ199" s="32">
        <v>372</v>
      </c>
      <c r="BA199" s="13"/>
      <c r="BB199" s="13"/>
      <c r="BC199" s="14"/>
      <c r="BD199" s="15">
        <f t="shared" ref="BD199" si="683">SUM(AZ199:BC199)</f>
        <v>372</v>
      </c>
      <c r="BE199" s="195">
        <v>695</v>
      </c>
      <c r="BF199" s="13"/>
      <c r="BG199" s="13"/>
      <c r="BH199" s="14"/>
      <c r="BI199" s="15">
        <f t="shared" ref="BI199" si="684">SUM(BE199:BH199)</f>
        <v>695</v>
      </c>
      <c r="BJ199" s="32"/>
      <c r="BK199" s="13"/>
      <c r="BL199" s="13"/>
      <c r="BM199" s="14"/>
      <c r="BN199" s="15">
        <f t="shared" ref="BN199" si="685">SUM(BJ199:BM199)</f>
        <v>0</v>
      </c>
      <c r="BO199" s="66">
        <f t="shared" si="670"/>
        <v>1300</v>
      </c>
      <c r="BP199" s="13">
        <f t="shared" si="671"/>
        <v>0</v>
      </c>
      <c r="BQ199" s="13">
        <f t="shared" si="672"/>
        <v>0</v>
      </c>
      <c r="BR199" s="14">
        <f t="shared" si="673"/>
        <v>0</v>
      </c>
      <c r="BS199" s="33">
        <f t="shared" ref="BS199" si="686">SUM(BO199:BR199)</f>
        <v>1300</v>
      </c>
    </row>
    <row r="200" spans="2:71" x14ac:dyDescent="0.3">
      <c r="B200" s="269"/>
      <c r="C200" s="230"/>
      <c r="D200" s="233"/>
      <c r="E200" s="235"/>
      <c r="F200" s="121" t="s">
        <v>109</v>
      </c>
      <c r="G200" s="32"/>
      <c r="H200" s="13"/>
      <c r="I200" s="13"/>
      <c r="J200" s="14"/>
      <c r="K200" s="15">
        <f t="shared" ref="K200" si="687">SUM(G200:J200)</f>
        <v>0</v>
      </c>
      <c r="L200" s="32"/>
      <c r="M200" s="13"/>
      <c r="N200" s="13"/>
      <c r="O200" s="14"/>
      <c r="P200" s="15">
        <f t="shared" si="659"/>
        <v>0</v>
      </c>
      <c r="Q200" s="32"/>
      <c r="R200" s="13"/>
      <c r="S200" s="13"/>
      <c r="T200" s="14"/>
      <c r="U200" s="15">
        <f t="shared" si="660"/>
        <v>0</v>
      </c>
      <c r="V200" s="32"/>
      <c r="W200" s="13"/>
      <c r="X200" s="13"/>
      <c r="Y200" s="14"/>
      <c r="Z200" s="15">
        <f t="shared" si="661"/>
        <v>0</v>
      </c>
      <c r="AA200" s="32"/>
      <c r="AB200" s="13"/>
      <c r="AC200" s="13"/>
      <c r="AD200" s="14"/>
      <c r="AE200" s="15">
        <f t="shared" si="662"/>
        <v>0</v>
      </c>
      <c r="AF200" s="32"/>
      <c r="AG200" s="13"/>
      <c r="AH200" s="13"/>
      <c r="AI200" s="14"/>
      <c r="AJ200" s="15">
        <f t="shared" si="663"/>
        <v>0</v>
      </c>
      <c r="AK200" s="32"/>
      <c r="AL200" s="13"/>
      <c r="AM200" s="13"/>
      <c r="AN200" s="14"/>
      <c r="AO200" s="15">
        <f t="shared" si="664"/>
        <v>0</v>
      </c>
      <c r="AP200" s="32"/>
      <c r="AQ200" s="13"/>
      <c r="AR200" s="13"/>
      <c r="AS200" s="14"/>
      <c r="AT200" s="15">
        <f t="shared" si="665"/>
        <v>0</v>
      </c>
      <c r="AU200" s="32"/>
      <c r="AV200" s="13"/>
      <c r="AW200" s="13"/>
      <c r="AX200" s="14"/>
      <c r="AY200" s="15">
        <f t="shared" si="666"/>
        <v>0</v>
      </c>
      <c r="AZ200" s="32">
        <v>1</v>
      </c>
      <c r="BA200" s="13"/>
      <c r="BB200" s="13"/>
      <c r="BC200" s="14"/>
      <c r="BD200" s="15">
        <f t="shared" si="667"/>
        <v>1</v>
      </c>
      <c r="BE200" s="32">
        <v>1</v>
      </c>
      <c r="BF200" s="13"/>
      <c r="BG200" s="13"/>
      <c r="BH200" s="14"/>
      <c r="BI200" s="15">
        <f t="shared" si="668"/>
        <v>1</v>
      </c>
      <c r="BJ200" s="32"/>
      <c r="BK200" s="13"/>
      <c r="BL200" s="13"/>
      <c r="BM200" s="14"/>
      <c r="BN200" s="15">
        <f t="shared" si="669"/>
        <v>0</v>
      </c>
      <c r="BO200" s="66">
        <f t="shared" si="670"/>
        <v>2</v>
      </c>
      <c r="BP200" s="13">
        <f t="shared" si="671"/>
        <v>0</v>
      </c>
      <c r="BQ200" s="13">
        <f t="shared" si="672"/>
        <v>0</v>
      </c>
      <c r="BR200" s="14">
        <f t="shared" si="673"/>
        <v>0</v>
      </c>
      <c r="BS200" s="33">
        <f t="shared" ref="BS200" si="688">SUM(BO200:BR200)</f>
        <v>2</v>
      </c>
    </row>
    <row r="201" spans="2:71" x14ac:dyDescent="0.3">
      <c r="B201" s="269"/>
      <c r="C201" s="230"/>
      <c r="D201" s="233"/>
      <c r="E201" s="235"/>
      <c r="F201" s="121" t="s">
        <v>110</v>
      </c>
      <c r="G201" s="32"/>
      <c r="H201" s="13"/>
      <c r="I201" s="13"/>
      <c r="J201" s="14"/>
      <c r="K201" s="15">
        <f t="shared" si="409"/>
        <v>0</v>
      </c>
      <c r="L201" s="32"/>
      <c r="M201" s="13"/>
      <c r="N201" s="13"/>
      <c r="O201" s="14"/>
      <c r="P201" s="15">
        <f t="shared" si="659"/>
        <v>0</v>
      </c>
      <c r="Q201" s="32"/>
      <c r="R201" s="13"/>
      <c r="S201" s="13"/>
      <c r="T201" s="14"/>
      <c r="U201" s="15">
        <f t="shared" si="660"/>
        <v>0</v>
      </c>
      <c r="V201" s="32"/>
      <c r="W201" s="13"/>
      <c r="X201" s="13"/>
      <c r="Y201" s="14"/>
      <c r="Z201" s="15">
        <f t="shared" si="661"/>
        <v>0</v>
      </c>
      <c r="AA201" s="32"/>
      <c r="AB201" s="13"/>
      <c r="AC201" s="13"/>
      <c r="AD201" s="14"/>
      <c r="AE201" s="15">
        <f t="shared" si="662"/>
        <v>0</v>
      </c>
      <c r="AF201" s="32"/>
      <c r="AG201" s="13"/>
      <c r="AH201" s="13"/>
      <c r="AI201" s="14"/>
      <c r="AJ201" s="15">
        <f t="shared" si="663"/>
        <v>0</v>
      </c>
      <c r="AK201" s="32"/>
      <c r="AL201" s="13"/>
      <c r="AM201" s="13"/>
      <c r="AN201" s="14"/>
      <c r="AO201" s="15">
        <f t="shared" si="664"/>
        <v>0</v>
      </c>
      <c r="AP201" s="32"/>
      <c r="AQ201" s="13"/>
      <c r="AR201" s="13"/>
      <c r="AS201" s="14"/>
      <c r="AT201" s="15">
        <f t="shared" si="665"/>
        <v>0</v>
      </c>
      <c r="AU201" s="32"/>
      <c r="AV201" s="13"/>
      <c r="AW201" s="13"/>
      <c r="AX201" s="14"/>
      <c r="AY201" s="15">
        <f t="shared" si="666"/>
        <v>0</v>
      </c>
      <c r="AZ201" s="32"/>
      <c r="BA201" s="13"/>
      <c r="BB201" s="13"/>
      <c r="BC201" s="14"/>
      <c r="BD201" s="15">
        <f t="shared" si="667"/>
        <v>0</v>
      </c>
      <c r="BE201" s="32"/>
      <c r="BF201" s="13"/>
      <c r="BG201" s="13"/>
      <c r="BH201" s="14"/>
      <c r="BI201" s="15">
        <f t="shared" si="668"/>
        <v>0</v>
      </c>
      <c r="BJ201" s="32"/>
      <c r="BK201" s="13"/>
      <c r="BL201" s="13"/>
      <c r="BM201" s="14"/>
      <c r="BN201" s="15">
        <f t="shared" si="669"/>
        <v>0</v>
      </c>
      <c r="BO201" s="66">
        <f t="shared" si="670"/>
        <v>0</v>
      </c>
      <c r="BP201" s="13">
        <f t="shared" si="671"/>
        <v>0</v>
      </c>
      <c r="BQ201" s="13">
        <f t="shared" si="672"/>
        <v>0</v>
      </c>
      <c r="BR201" s="14">
        <f t="shared" si="673"/>
        <v>0</v>
      </c>
      <c r="BS201" s="33">
        <f t="shared" si="414"/>
        <v>0</v>
      </c>
    </row>
    <row r="202" spans="2:71" x14ac:dyDescent="0.3">
      <c r="B202" s="269"/>
      <c r="C202" s="230"/>
      <c r="D202" s="233"/>
      <c r="E202" s="235"/>
      <c r="F202" s="121" t="s">
        <v>121</v>
      </c>
      <c r="G202" s="32"/>
      <c r="H202" s="13"/>
      <c r="I202" s="13"/>
      <c r="J202" s="14"/>
      <c r="K202" s="15">
        <f t="shared" ref="K202:K203" si="689">SUM(G202:J202)</f>
        <v>0</v>
      </c>
      <c r="L202" s="32"/>
      <c r="M202" s="13"/>
      <c r="N202" s="13"/>
      <c r="O202" s="14"/>
      <c r="P202" s="15">
        <f t="shared" si="659"/>
        <v>0</v>
      </c>
      <c r="Q202" s="32"/>
      <c r="R202" s="13"/>
      <c r="S202" s="13"/>
      <c r="T202" s="14"/>
      <c r="U202" s="15">
        <f t="shared" si="660"/>
        <v>0</v>
      </c>
      <c r="V202" s="32"/>
      <c r="W202" s="13"/>
      <c r="X202" s="13"/>
      <c r="Y202" s="14"/>
      <c r="Z202" s="15">
        <f t="shared" si="661"/>
        <v>0</v>
      </c>
      <c r="AA202" s="32"/>
      <c r="AB202" s="13"/>
      <c r="AC202" s="13"/>
      <c r="AD202" s="14"/>
      <c r="AE202" s="15">
        <f t="shared" si="662"/>
        <v>0</v>
      </c>
      <c r="AF202" s="32"/>
      <c r="AG202" s="13"/>
      <c r="AH202" s="13"/>
      <c r="AI202" s="14"/>
      <c r="AJ202" s="15">
        <f t="shared" si="663"/>
        <v>0</v>
      </c>
      <c r="AK202" s="32"/>
      <c r="AL202" s="13"/>
      <c r="AM202" s="13"/>
      <c r="AN202" s="14"/>
      <c r="AO202" s="15">
        <f t="shared" si="664"/>
        <v>0</v>
      </c>
      <c r="AP202" s="32"/>
      <c r="AQ202" s="13"/>
      <c r="AR202" s="13"/>
      <c r="AS202" s="14"/>
      <c r="AT202" s="15">
        <f t="shared" si="665"/>
        <v>0</v>
      </c>
      <c r="AU202" s="32"/>
      <c r="AV202" s="13"/>
      <c r="AW202" s="13"/>
      <c r="AX202" s="14"/>
      <c r="AY202" s="15">
        <f t="shared" si="666"/>
        <v>0</v>
      </c>
      <c r="AZ202" s="32"/>
      <c r="BA202" s="13"/>
      <c r="BB202" s="13"/>
      <c r="BC202" s="14"/>
      <c r="BD202" s="15">
        <f t="shared" si="667"/>
        <v>0</v>
      </c>
      <c r="BE202" s="32"/>
      <c r="BF202" s="13"/>
      <c r="BG202" s="13"/>
      <c r="BH202" s="14"/>
      <c r="BI202" s="15">
        <f t="shared" si="668"/>
        <v>0</v>
      </c>
      <c r="BJ202" s="32"/>
      <c r="BK202" s="13"/>
      <c r="BL202" s="13"/>
      <c r="BM202" s="14"/>
      <c r="BN202" s="15">
        <f t="shared" si="669"/>
        <v>0</v>
      </c>
      <c r="BO202" s="66">
        <f t="shared" si="670"/>
        <v>0</v>
      </c>
      <c r="BP202" s="13">
        <f t="shared" si="671"/>
        <v>0</v>
      </c>
      <c r="BQ202" s="13">
        <f t="shared" si="672"/>
        <v>0</v>
      </c>
      <c r="BR202" s="14">
        <f t="shared" si="673"/>
        <v>0</v>
      </c>
      <c r="BS202" s="33">
        <f t="shared" ref="BS202:BS203" si="690">SUM(BO202:BR202)</f>
        <v>0</v>
      </c>
    </row>
    <row r="203" spans="2:71" x14ac:dyDescent="0.3">
      <c r="B203" s="269"/>
      <c r="C203" s="230"/>
      <c r="D203" s="233"/>
      <c r="E203" s="235"/>
      <c r="F203" s="121" t="s">
        <v>122</v>
      </c>
      <c r="G203" s="32"/>
      <c r="H203" s="13"/>
      <c r="I203" s="13"/>
      <c r="J203" s="14"/>
      <c r="K203" s="15">
        <f t="shared" si="689"/>
        <v>0</v>
      </c>
      <c r="L203" s="32"/>
      <c r="M203" s="13"/>
      <c r="N203" s="13"/>
      <c r="O203" s="14"/>
      <c r="P203" s="15">
        <f t="shared" si="659"/>
        <v>0</v>
      </c>
      <c r="Q203" s="32"/>
      <c r="R203" s="13"/>
      <c r="S203" s="13"/>
      <c r="T203" s="14"/>
      <c r="U203" s="15">
        <f t="shared" si="660"/>
        <v>0</v>
      </c>
      <c r="V203" s="32"/>
      <c r="W203" s="13"/>
      <c r="X203" s="13"/>
      <c r="Y203" s="14"/>
      <c r="Z203" s="15">
        <f t="shared" si="661"/>
        <v>0</v>
      </c>
      <c r="AA203" s="32"/>
      <c r="AB203" s="13"/>
      <c r="AC203" s="13"/>
      <c r="AD203" s="14"/>
      <c r="AE203" s="15">
        <f t="shared" si="662"/>
        <v>0</v>
      </c>
      <c r="AF203" s="32"/>
      <c r="AG203" s="13"/>
      <c r="AH203" s="13"/>
      <c r="AI203" s="14"/>
      <c r="AJ203" s="15">
        <f t="shared" si="663"/>
        <v>0</v>
      </c>
      <c r="AK203" s="32"/>
      <c r="AL203" s="13"/>
      <c r="AM203" s="13"/>
      <c r="AN203" s="14"/>
      <c r="AO203" s="15">
        <f t="shared" si="664"/>
        <v>0</v>
      </c>
      <c r="AP203" s="32"/>
      <c r="AQ203" s="13"/>
      <c r="AR203" s="13"/>
      <c r="AS203" s="14"/>
      <c r="AT203" s="15">
        <f t="shared" si="665"/>
        <v>0</v>
      </c>
      <c r="AU203" s="32"/>
      <c r="AV203" s="13"/>
      <c r="AW203" s="13"/>
      <c r="AX203" s="14"/>
      <c r="AY203" s="15">
        <f t="shared" si="666"/>
        <v>0</v>
      </c>
      <c r="AZ203" s="32"/>
      <c r="BA203" s="13"/>
      <c r="BB203" s="13"/>
      <c r="BC203" s="14"/>
      <c r="BD203" s="15">
        <f t="shared" si="667"/>
        <v>0</v>
      </c>
      <c r="BE203" s="32"/>
      <c r="BF203" s="13"/>
      <c r="BG203" s="13"/>
      <c r="BH203" s="14"/>
      <c r="BI203" s="15">
        <f t="shared" si="668"/>
        <v>0</v>
      </c>
      <c r="BJ203" s="32"/>
      <c r="BK203" s="13"/>
      <c r="BL203" s="13"/>
      <c r="BM203" s="14"/>
      <c r="BN203" s="15">
        <f t="shared" si="669"/>
        <v>0</v>
      </c>
      <c r="BO203" s="66">
        <f t="shared" si="670"/>
        <v>0</v>
      </c>
      <c r="BP203" s="13">
        <f t="shared" si="671"/>
        <v>0</v>
      </c>
      <c r="BQ203" s="13">
        <f t="shared" si="672"/>
        <v>0</v>
      </c>
      <c r="BR203" s="14">
        <f t="shared" si="673"/>
        <v>0</v>
      </c>
      <c r="BS203" s="33">
        <f t="shared" si="690"/>
        <v>0</v>
      </c>
    </row>
    <row r="204" spans="2:71" x14ac:dyDescent="0.3">
      <c r="B204" s="269"/>
      <c r="C204" s="230"/>
      <c r="D204" s="233"/>
      <c r="E204" s="235"/>
      <c r="F204" s="121" t="s">
        <v>128</v>
      </c>
      <c r="G204" s="32"/>
      <c r="H204" s="13"/>
      <c r="I204" s="13"/>
      <c r="J204" s="14"/>
      <c r="K204" s="15">
        <f t="shared" ref="K204" si="691">SUM(G204:J204)</f>
        <v>0</v>
      </c>
      <c r="L204" s="32"/>
      <c r="M204" s="13"/>
      <c r="N204" s="13"/>
      <c r="O204" s="14"/>
      <c r="P204" s="15">
        <f t="shared" si="659"/>
        <v>0</v>
      </c>
      <c r="Q204" s="32"/>
      <c r="R204" s="13"/>
      <c r="S204" s="13"/>
      <c r="T204" s="14"/>
      <c r="U204" s="15">
        <f t="shared" si="660"/>
        <v>0</v>
      </c>
      <c r="V204" s="32"/>
      <c r="W204" s="13"/>
      <c r="X204" s="13"/>
      <c r="Y204" s="14"/>
      <c r="Z204" s="15">
        <f t="shared" si="661"/>
        <v>0</v>
      </c>
      <c r="AA204" s="32">
        <v>1</v>
      </c>
      <c r="AB204" s="13"/>
      <c r="AC204" s="13"/>
      <c r="AD204" s="14"/>
      <c r="AE204" s="15">
        <f t="shared" si="662"/>
        <v>1</v>
      </c>
      <c r="AF204" s="32">
        <v>1</v>
      </c>
      <c r="AG204" s="13"/>
      <c r="AH204" s="13"/>
      <c r="AI204" s="14"/>
      <c r="AJ204" s="15">
        <f t="shared" si="663"/>
        <v>1</v>
      </c>
      <c r="AK204" s="32"/>
      <c r="AL204" s="13"/>
      <c r="AM204" s="13"/>
      <c r="AN204" s="14"/>
      <c r="AO204" s="15">
        <f t="shared" si="664"/>
        <v>0</v>
      </c>
      <c r="AP204" s="32">
        <v>2</v>
      </c>
      <c r="AQ204" s="13"/>
      <c r="AR204" s="13"/>
      <c r="AS204" s="14"/>
      <c r="AT204" s="15">
        <f t="shared" si="665"/>
        <v>2</v>
      </c>
      <c r="AU204" s="32"/>
      <c r="AV204" s="13"/>
      <c r="AW204" s="13"/>
      <c r="AX204" s="14"/>
      <c r="AY204" s="15">
        <f t="shared" si="666"/>
        <v>0</v>
      </c>
      <c r="AZ204" s="32"/>
      <c r="BA204" s="13"/>
      <c r="BB204" s="13"/>
      <c r="BC204" s="14"/>
      <c r="BD204" s="15">
        <f t="shared" si="667"/>
        <v>0</v>
      </c>
      <c r="BE204" s="32">
        <v>3</v>
      </c>
      <c r="BF204" s="13"/>
      <c r="BG204" s="13"/>
      <c r="BH204" s="14"/>
      <c r="BI204" s="15">
        <f t="shared" si="668"/>
        <v>3</v>
      </c>
      <c r="BJ204" s="32"/>
      <c r="BK204" s="13"/>
      <c r="BL204" s="13"/>
      <c r="BM204" s="14"/>
      <c r="BN204" s="15">
        <f t="shared" si="669"/>
        <v>0</v>
      </c>
      <c r="BO204" s="66">
        <f t="shared" si="670"/>
        <v>7</v>
      </c>
      <c r="BP204" s="13">
        <f t="shared" si="671"/>
        <v>0</v>
      </c>
      <c r="BQ204" s="13">
        <f t="shared" si="672"/>
        <v>0</v>
      </c>
      <c r="BR204" s="14">
        <f t="shared" si="673"/>
        <v>0</v>
      </c>
      <c r="BS204" s="33">
        <f t="shared" ref="BS204" si="692">SUM(BO204:BR204)</f>
        <v>7</v>
      </c>
    </row>
    <row r="205" spans="2:71" x14ac:dyDescent="0.3">
      <c r="B205" s="269"/>
      <c r="C205" s="230"/>
      <c r="D205" s="233"/>
      <c r="E205" s="235"/>
      <c r="F205" s="121" t="s">
        <v>400</v>
      </c>
      <c r="G205" s="32"/>
      <c r="H205" s="13"/>
      <c r="I205" s="13"/>
      <c r="J205" s="14"/>
      <c r="K205" s="15">
        <f t="shared" ref="K205:K208" si="693">SUM(G205:J205)</f>
        <v>0</v>
      </c>
      <c r="L205" s="32"/>
      <c r="M205" s="13"/>
      <c r="N205" s="13"/>
      <c r="O205" s="14"/>
      <c r="P205" s="15">
        <f t="shared" ref="P205:P208" si="694">SUM(L205:O205)</f>
        <v>0</v>
      </c>
      <c r="Q205" s="32"/>
      <c r="R205" s="13"/>
      <c r="S205" s="13"/>
      <c r="T205" s="14"/>
      <c r="U205" s="15">
        <f t="shared" ref="U205:U208" si="695">SUM(Q205:T205)</f>
        <v>0</v>
      </c>
      <c r="V205" s="32"/>
      <c r="W205" s="13"/>
      <c r="X205" s="13"/>
      <c r="Y205" s="14"/>
      <c r="Z205" s="15">
        <f t="shared" ref="Z205:Z208" si="696">SUM(V205:Y205)</f>
        <v>0</v>
      </c>
      <c r="AA205" s="32"/>
      <c r="AB205" s="13"/>
      <c r="AC205" s="13"/>
      <c r="AD205" s="14"/>
      <c r="AE205" s="15">
        <f t="shared" ref="AE205:AE208" si="697">SUM(AA205:AD205)</f>
        <v>0</v>
      </c>
      <c r="AF205" s="32"/>
      <c r="AG205" s="13"/>
      <c r="AH205" s="13"/>
      <c r="AI205" s="14"/>
      <c r="AJ205" s="15">
        <f t="shared" ref="AJ205:AJ208" si="698">SUM(AF205:AI205)</f>
        <v>0</v>
      </c>
      <c r="AK205" s="32"/>
      <c r="AL205" s="13"/>
      <c r="AM205" s="13"/>
      <c r="AN205" s="14"/>
      <c r="AO205" s="15">
        <f t="shared" ref="AO205:AO208" si="699">SUM(AK205:AN205)</f>
        <v>0</v>
      </c>
      <c r="AP205" s="32"/>
      <c r="AQ205" s="13"/>
      <c r="AR205" s="13"/>
      <c r="AS205" s="14"/>
      <c r="AT205" s="15">
        <f t="shared" ref="AT205:AT208" si="700">SUM(AP205:AS205)</f>
        <v>0</v>
      </c>
      <c r="AU205" s="32"/>
      <c r="AV205" s="13"/>
      <c r="AW205" s="13"/>
      <c r="AX205" s="14"/>
      <c r="AY205" s="15">
        <f t="shared" ref="AY205:AY208" si="701">SUM(AU205:AX205)</f>
        <v>0</v>
      </c>
      <c r="AZ205" s="32"/>
      <c r="BA205" s="13"/>
      <c r="BB205" s="13"/>
      <c r="BC205" s="14"/>
      <c r="BD205" s="15">
        <f t="shared" ref="BD205:BD208" si="702">SUM(AZ205:BC205)</f>
        <v>0</v>
      </c>
      <c r="BE205" s="32">
        <v>173</v>
      </c>
      <c r="BF205" s="13">
        <v>322</v>
      </c>
      <c r="BG205" s="13"/>
      <c r="BH205" s="14"/>
      <c r="BI205" s="15">
        <f t="shared" ref="BI205:BI208" si="703">SUM(BE205:BH205)</f>
        <v>495</v>
      </c>
      <c r="BJ205" s="32">
        <v>303</v>
      </c>
      <c r="BK205" s="13">
        <v>622</v>
      </c>
      <c r="BL205" s="13"/>
      <c r="BM205" s="14"/>
      <c r="BN205" s="15">
        <f t="shared" ref="BN205:BN208" si="704">SUM(BJ205:BM205)</f>
        <v>925</v>
      </c>
      <c r="BO205" s="66">
        <f t="shared" si="670"/>
        <v>476</v>
      </c>
      <c r="BP205" s="13">
        <f t="shared" si="671"/>
        <v>944</v>
      </c>
      <c r="BQ205" s="13">
        <f t="shared" si="672"/>
        <v>0</v>
      </c>
      <c r="BR205" s="14">
        <f t="shared" si="673"/>
        <v>0</v>
      </c>
      <c r="BS205" s="33">
        <f t="shared" ref="BS205:BS208" si="705">SUM(BO205:BR205)</f>
        <v>1420</v>
      </c>
    </row>
    <row r="206" spans="2:71" x14ac:dyDescent="0.3">
      <c r="B206" s="269"/>
      <c r="C206" s="230"/>
      <c r="D206" s="233"/>
      <c r="E206" s="235"/>
      <c r="F206" s="121" t="s">
        <v>401</v>
      </c>
      <c r="G206" s="32"/>
      <c r="H206" s="13"/>
      <c r="I206" s="13"/>
      <c r="J206" s="14"/>
      <c r="K206" s="15">
        <f t="shared" si="693"/>
        <v>0</v>
      </c>
      <c r="L206" s="32"/>
      <c r="M206" s="13"/>
      <c r="N206" s="13"/>
      <c r="O206" s="14"/>
      <c r="P206" s="15">
        <f t="shared" si="694"/>
        <v>0</v>
      </c>
      <c r="Q206" s="32"/>
      <c r="R206" s="13"/>
      <c r="S206" s="13"/>
      <c r="T206" s="14"/>
      <c r="U206" s="15">
        <f t="shared" si="695"/>
        <v>0</v>
      </c>
      <c r="V206" s="32"/>
      <c r="W206" s="13"/>
      <c r="X206" s="13"/>
      <c r="Y206" s="14"/>
      <c r="Z206" s="15">
        <f t="shared" si="696"/>
        <v>0</v>
      </c>
      <c r="AA206" s="32"/>
      <c r="AB206" s="13"/>
      <c r="AC206" s="13"/>
      <c r="AD206" s="14"/>
      <c r="AE206" s="15">
        <f t="shared" si="697"/>
        <v>0</v>
      </c>
      <c r="AF206" s="32"/>
      <c r="AG206" s="13"/>
      <c r="AH206" s="13"/>
      <c r="AI206" s="14"/>
      <c r="AJ206" s="15">
        <f t="shared" si="698"/>
        <v>0</v>
      </c>
      <c r="AK206" s="32"/>
      <c r="AL206" s="13"/>
      <c r="AM206" s="13"/>
      <c r="AN206" s="14"/>
      <c r="AO206" s="15">
        <f t="shared" si="699"/>
        <v>0</v>
      </c>
      <c r="AP206" s="32"/>
      <c r="AQ206" s="13"/>
      <c r="AR206" s="13"/>
      <c r="AS206" s="14"/>
      <c r="AT206" s="15">
        <f t="shared" si="700"/>
        <v>0</v>
      </c>
      <c r="AU206" s="32"/>
      <c r="AV206" s="13"/>
      <c r="AW206" s="13"/>
      <c r="AX206" s="14"/>
      <c r="AY206" s="15">
        <f t="shared" si="701"/>
        <v>0</v>
      </c>
      <c r="AZ206" s="32"/>
      <c r="BA206" s="13"/>
      <c r="BB206" s="13"/>
      <c r="BC206" s="14"/>
      <c r="BD206" s="15">
        <f t="shared" si="702"/>
        <v>0</v>
      </c>
      <c r="BE206" s="32">
        <v>6</v>
      </c>
      <c r="BF206" s="13">
        <v>9</v>
      </c>
      <c r="BG206" s="13"/>
      <c r="BH206" s="14"/>
      <c r="BI206" s="15">
        <f t="shared" si="703"/>
        <v>15</v>
      </c>
      <c r="BJ206" s="32">
        <v>7</v>
      </c>
      <c r="BK206" s="13">
        <v>15</v>
      </c>
      <c r="BL206" s="13"/>
      <c r="BM206" s="14"/>
      <c r="BN206" s="15">
        <f t="shared" si="704"/>
        <v>22</v>
      </c>
      <c r="BO206" s="66">
        <f t="shared" si="670"/>
        <v>13</v>
      </c>
      <c r="BP206" s="13">
        <f t="shared" si="671"/>
        <v>24</v>
      </c>
      <c r="BQ206" s="13">
        <f t="shared" si="672"/>
        <v>0</v>
      </c>
      <c r="BR206" s="14">
        <f t="shared" si="673"/>
        <v>0</v>
      </c>
      <c r="BS206" s="33">
        <f t="shared" si="705"/>
        <v>37</v>
      </c>
    </row>
    <row r="207" spans="2:71" x14ac:dyDescent="0.3">
      <c r="B207" s="269"/>
      <c r="C207" s="230"/>
      <c r="D207" s="233"/>
      <c r="E207" s="235"/>
      <c r="F207" s="121" t="s">
        <v>349</v>
      </c>
      <c r="G207" s="32"/>
      <c r="H207" s="13"/>
      <c r="I207" s="13"/>
      <c r="J207" s="14"/>
      <c r="K207" s="15">
        <f t="shared" si="693"/>
        <v>0</v>
      </c>
      <c r="L207" s="32"/>
      <c r="M207" s="13"/>
      <c r="N207" s="13"/>
      <c r="O207" s="14"/>
      <c r="P207" s="15">
        <f t="shared" si="694"/>
        <v>0</v>
      </c>
      <c r="Q207" s="32"/>
      <c r="R207" s="13"/>
      <c r="S207" s="13"/>
      <c r="T207" s="14"/>
      <c r="U207" s="15">
        <f t="shared" si="695"/>
        <v>0</v>
      </c>
      <c r="V207" s="32"/>
      <c r="W207" s="13"/>
      <c r="X207" s="13"/>
      <c r="Y207" s="14"/>
      <c r="Z207" s="15">
        <f t="shared" si="696"/>
        <v>0</v>
      </c>
      <c r="AA207" s="32"/>
      <c r="AB207" s="13"/>
      <c r="AC207" s="13"/>
      <c r="AD207" s="14"/>
      <c r="AE207" s="15">
        <f t="shared" si="697"/>
        <v>0</v>
      </c>
      <c r="AF207" s="32">
        <v>30</v>
      </c>
      <c r="AG207" s="13"/>
      <c r="AH207" s="13"/>
      <c r="AI207" s="14"/>
      <c r="AJ207" s="15">
        <f t="shared" si="698"/>
        <v>30</v>
      </c>
      <c r="AK207" s="32">
        <v>214</v>
      </c>
      <c r="AL207" s="13"/>
      <c r="AM207" s="13"/>
      <c r="AN207" s="14"/>
      <c r="AO207" s="15">
        <f t="shared" si="699"/>
        <v>214</v>
      </c>
      <c r="AP207" s="32">
        <v>378</v>
      </c>
      <c r="AQ207" s="13"/>
      <c r="AR207" s="13"/>
      <c r="AS207" s="14"/>
      <c r="AT207" s="15">
        <f t="shared" si="700"/>
        <v>378</v>
      </c>
      <c r="AU207" s="32"/>
      <c r="AV207" s="13"/>
      <c r="AW207" s="13"/>
      <c r="AX207" s="14"/>
      <c r="AY207" s="15">
        <f t="shared" si="701"/>
        <v>0</v>
      </c>
      <c r="AZ207" s="32"/>
      <c r="BA207" s="13"/>
      <c r="BB207" s="13"/>
      <c r="BC207" s="14"/>
      <c r="BD207" s="15">
        <f t="shared" si="702"/>
        <v>0</v>
      </c>
      <c r="BE207" s="32"/>
      <c r="BF207" s="13"/>
      <c r="BG207" s="13"/>
      <c r="BH207" s="14"/>
      <c r="BI207" s="15">
        <f t="shared" si="703"/>
        <v>0</v>
      </c>
      <c r="BJ207" s="32"/>
      <c r="BK207" s="13"/>
      <c r="BL207" s="13"/>
      <c r="BM207" s="14"/>
      <c r="BN207" s="15">
        <f t="shared" si="704"/>
        <v>0</v>
      </c>
      <c r="BO207" s="66">
        <f t="shared" si="670"/>
        <v>622</v>
      </c>
      <c r="BP207" s="13">
        <f t="shared" si="671"/>
        <v>0</v>
      </c>
      <c r="BQ207" s="13">
        <f t="shared" si="672"/>
        <v>0</v>
      </c>
      <c r="BR207" s="14">
        <f t="shared" si="673"/>
        <v>0</v>
      </c>
      <c r="BS207" s="33">
        <f t="shared" si="705"/>
        <v>622</v>
      </c>
    </row>
    <row r="208" spans="2:71" x14ac:dyDescent="0.3">
      <c r="B208" s="269"/>
      <c r="C208" s="230"/>
      <c r="D208" s="233"/>
      <c r="E208" s="235"/>
      <c r="F208" s="121" t="s">
        <v>350</v>
      </c>
      <c r="G208" s="32"/>
      <c r="H208" s="13"/>
      <c r="I208" s="13"/>
      <c r="J208" s="14"/>
      <c r="K208" s="15">
        <f t="shared" si="693"/>
        <v>0</v>
      </c>
      <c r="L208" s="32"/>
      <c r="M208" s="13"/>
      <c r="N208" s="13"/>
      <c r="O208" s="14"/>
      <c r="P208" s="15">
        <f t="shared" si="694"/>
        <v>0</v>
      </c>
      <c r="Q208" s="32"/>
      <c r="R208" s="13"/>
      <c r="S208" s="13"/>
      <c r="T208" s="14"/>
      <c r="U208" s="15">
        <f t="shared" si="695"/>
        <v>0</v>
      </c>
      <c r="V208" s="32"/>
      <c r="W208" s="13"/>
      <c r="X208" s="13"/>
      <c r="Y208" s="14"/>
      <c r="Z208" s="15">
        <f t="shared" si="696"/>
        <v>0</v>
      </c>
      <c r="AA208" s="32"/>
      <c r="AB208" s="13"/>
      <c r="AC208" s="13"/>
      <c r="AD208" s="14"/>
      <c r="AE208" s="15">
        <f t="shared" si="697"/>
        <v>0</v>
      </c>
      <c r="AF208" s="32">
        <v>4</v>
      </c>
      <c r="AG208" s="13"/>
      <c r="AH208" s="13"/>
      <c r="AI208" s="14"/>
      <c r="AJ208" s="15">
        <f t="shared" si="698"/>
        <v>4</v>
      </c>
      <c r="AK208" s="32">
        <v>4</v>
      </c>
      <c r="AL208" s="13"/>
      <c r="AM208" s="13"/>
      <c r="AN208" s="14"/>
      <c r="AO208" s="15">
        <f t="shared" si="699"/>
        <v>4</v>
      </c>
      <c r="AP208" s="32">
        <v>9</v>
      </c>
      <c r="AQ208" s="13"/>
      <c r="AR208" s="13"/>
      <c r="AS208" s="14"/>
      <c r="AT208" s="15">
        <f t="shared" si="700"/>
        <v>9</v>
      </c>
      <c r="AU208" s="32"/>
      <c r="AV208" s="13"/>
      <c r="AW208" s="13"/>
      <c r="AX208" s="14"/>
      <c r="AY208" s="15">
        <f t="shared" si="701"/>
        <v>0</v>
      </c>
      <c r="AZ208" s="32"/>
      <c r="BA208" s="13"/>
      <c r="BB208" s="13"/>
      <c r="BC208" s="14"/>
      <c r="BD208" s="15">
        <f t="shared" si="702"/>
        <v>0</v>
      </c>
      <c r="BE208" s="32"/>
      <c r="BF208" s="13"/>
      <c r="BG208" s="13"/>
      <c r="BH208" s="14"/>
      <c r="BI208" s="15">
        <f t="shared" si="703"/>
        <v>0</v>
      </c>
      <c r="BJ208" s="32"/>
      <c r="BK208" s="13"/>
      <c r="BL208" s="13"/>
      <c r="BM208" s="14"/>
      <c r="BN208" s="15">
        <f t="shared" si="704"/>
        <v>0</v>
      </c>
      <c r="BO208" s="66">
        <f t="shared" si="670"/>
        <v>17</v>
      </c>
      <c r="BP208" s="13">
        <f t="shared" si="671"/>
        <v>0</v>
      </c>
      <c r="BQ208" s="13">
        <f t="shared" si="672"/>
        <v>0</v>
      </c>
      <c r="BR208" s="14">
        <f t="shared" si="673"/>
        <v>0</v>
      </c>
      <c r="BS208" s="33">
        <f t="shared" si="705"/>
        <v>17</v>
      </c>
    </row>
    <row r="209" spans="2:71" x14ac:dyDescent="0.3">
      <c r="B209" s="269"/>
      <c r="C209" s="230"/>
      <c r="D209" s="233"/>
      <c r="E209" s="235"/>
      <c r="F209" s="121" t="s">
        <v>351</v>
      </c>
      <c r="G209" s="32"/>
      <c r="H209" s="13"/>
      <c r="I209" s="13"/>
      <c r="J209" s="14"/>
      <c r="K209" s="15">
        <f t="shared" ref="K209" si="706">SUM(G209:J209)</f>
        <v>0</v>
      </c>
      <c r="L209" s="32"/>
      <c r="M209" s="13"/>
      <c r="N209" s="13"/>
      <c r="O209" s="14"/>
      <c r="P209" s="15">
        <f t="shared" ref="P209" si="707">SUM(L209:O209)</f>
        <v>0</v>
      </c>
      <c r="Q209" s="32"/>
      <c r="R209" s="13"/>
      <c r="S209" s="13"/>
      <c r="T209" s="14"/>
      <c r="U209" s="15">
        <f t="shared" ref="U209" si="708">SUM(Q209:T209)</f>
        <v>0</v>
      </c>
      <c r="V209" s="32"/>
      <c r="W209" s="13"/>
      <c r="X209" s="13"/>
      <c r="Y209" s="14"/>
      <c r="Z209" s="15">
        <f t="shared" ref="Z209" si="709">SUM(V209:Y209)</f>
        <v>0</v>
      </c>
      <c r="AA209" s="32"/>
      <c r="AB209" s="13"/>
      <c r="AC209" s="13"/>
      <c r="AD209" s="14"/>
      <c r="AE209" s="15">
        <f t="shared" ref="AE209" si="710">SUM(AA209:AD209)</f>
        <v>0</v>
      </c>
      <c r="AF209" s="32">
        <v>23</v>
      </c>
      <c r="AG209" s="13"/>
      <c r="AH209" s="13"/>
      <c r="AI209" s="14"/>
      <c r="AJ209" s="15">
        <f t="shared" ref="AJ209" si="711">SUM(AF209:AI209)</f>
        <v>23</v>
      </c>
      <c r="AK209" s="32">
        <v>128</v>
      </c>
      <c r="AL209" s="13"/>
      <c r="AM209" s="13"/>
      <c r="AN209" s="14"/>
      <c r="AO209" s="15">
        <f t="shared" ref="AO209" si="712">SUM(AK209:AN209)</f>
        <v>128</v>
      </c>
      <c r="AP209" s="32">
        <v>230</v>
      </c>
      <c r="AQ209" s="13"/>
      <c r="AR209" s="13"/>
      <c r="AS209" s="14"/>
      <c r="AT209" s="15">
        <f t="shared" ref="AT209" si="713">SUM(AP209:AS209)</f>
        <v>230</v>
      </c>
      <c r="AU209" s="32"/>
      <c r="AV209" s="13"/>
      <c r="AW209" s="13"/>
      <c r="AX209" s="14"/>
      <c r="AY209" s="15">
        <f t="shared" ref="AY209" si="714">SUM(AU209:AX209)</f>
        <v>0</v>
      </c>
      <c r="AZ209" s="32"/>
      <c r="BA209" s="13"/>
      <c r="BB209" s="13"/>
      <c r="BC209" s="14"/>
      <c r="BD209" s="15">
        <f t="shared" ref="BD209" si="715">SUM(AZ209:BC209)</f>
        <v>0</v>
      </c>
      <c r="BE209" s="32"/>
      <c r="BF209" s="13"/>
      <c r="BG209" s="13"/>
      <c r="BH209" s="14"/>
      <c r="BI209" s="15">
        <f t="shared" ref="BI209" si="716">SUM(BE209:BH209)</f>
        <v>0</v>
      </c>
      <c r="BJ209" s="32"/>
      <c r="BK209" s="13"/>
      <c r="BL209" s="13"/>
      <c r="BM209" s="14"/>
      <c r="BN209" s="15">
        <f t="shared" ref="BN209" si="717">SUM(BJ209:BM209)</f>
        <v>0</v>
      </c>
      <c r="BO209" s="66">
        <f t="shared" si="670"/>
        <v>381</v>
      </c>
      <c r="BP209" s="13">
        <f t="shared" si="671"/>
        <v>0</v>
      </c>
      <c r="BQ209" s="13">
        <f t="shared" si="672"/>
        <v>0</v>
      </c>
      <c r="BR209" s="14">
        <f t="shared" si="673"/>
        <v>0</v>
      </c>
      <c r="BS209" s="33">
        <f t="shared" ref="BS209" si="718">SUM(BO209:BR209)</f>
        <v>381</v>
      </c>
    </row>
    <row r="210" spans="2:71" x14ac:dyDescent="0.3">
      <c r="B210" s="269"/>
      <c r="C210" s="230"/>
      <c r="D210" s="233"/>
      <c r="E210" s="235"/>
      <c r="F210" s="121" t="s">
        <v>352</v>
      </c>
      <c r="G210" s="32"/>
      <c r="H210" s="13"/>
      <c r="I210" s="13"/>
      <c r="J210" s="14"/>
      <c r="K210" s="15">
        <f t="shared" ref="K210:K212" si="719">SUM(G210:J210)</f>
        <v>0</v>
      </c>
      <c r="L210" s="32"/>
      <c r="M210" s="13"/>
      <c r="N210" s="13"/>
      <c r="O210" s="14"/>
      <c r="P210" s="15">
        <f t="shared" ref="P210:P212" si="720">SUM(L210:O210)</f>
        <v>0</v>
      </c>
      <c r="Q210" s="32"/>
      <c r="R210" s="13"/>
      <c r="S210" s="13"/>
      <c r="T210" s="14"/>
      <c r="U210" s="15">
        <f t="shared" ref="U210:U212" si="721">SUM(Q210:T210)</f>
        <v>0</v>
      </c>
      <c r="V210" s="32"/>
      <c r="W210" s="13"/>
      <c r="X210" s="13"/>
      <c r="Y210" s="14"/>
      <c r="Z210" s="15">
        <f t="shared" ref="Z210:Z212" si="722">SUM(V210:Y210)</f>
        <v>0</v>
      </c>
      <c r="AA210" s="32"/>
      <c r="AB210" s="13"/>
      <c r="AC210" s="13"/>
      <c r="AD210" s="14"/>
      <c r="AE210" s="15">
        <f t="shared" ref="AE210:AE212" si="723">SUM(AA210:AD210)</f>
        <v>0</v>
      </c>
      <c r="AF210" s="32">
        <v>1</v>
      </c>
      <c r="AG210" s="13"/>
      <c r="AH210" s="13"/>
      <c r="AI210" s="14"/>
      <c r="AJ210" s="15">
        <f t="shared" ref="AJ210:AJ212" si="724">SUM(AF210:AI210)</f>
        <v>1</v>
      </c>
      <c r="AK210" s="32">
        <v>1</v>
      </c>
      <c r="AL210" s="13"/>
      <c r="AM210" s="13"/>
      <c r="AN210" s="14"/>
      <c r="AO210" s="15">
        <f t="shared" ref="AO210:AO212" si="725">SUM(AK210:AN210)</f>
        <v>1</v>
      </c>
      <c r="AP210" s="32">
        <v>4</v>
      </c>
      <c r="AQ210" s="13"/>
      <c r="AR210" s="13"/>
      <c r="AS210" s="14"/>
      <c r="AT210" s="15">
        <f t="shared" ref="AT210:AT212" si="726">SUM(AP210:AS210)</f>
        <v>4</v>
      </c>
      <c r="AU210" s="32"/>
      <c r="AV210" s="13"/>
      <c r="AW210" s="13"/>
      <c r="AX210" s="14"/>
      <c r="AY210" s="15">
        <f t="shared" ref="AY210:AY212" si="727">SUM(AU210:AX210)</f>
        <v>0</v>
      </c>
      <c r="AZ210" s="32"/>
      <c r="BA210" s="13"/>
      <c r="BB210" s="13"/>
      <c r="BC210" s="14"/>
      <c r="BD210" s="15">
        <f t="shared" ref="BD210:BD212" si="728">SUM(AZ210:BC210)</f>
        <v>0</v>
      </c>
      <c r="BE210" s="32"/>
      <c r="BF210" s="13"/>
      <c r="BG210" s="13"/>
      <c r="BH210" s="14"/>
      <c r="BI210" s="15">
        <f t="shared" ref="BI210:BI212" si="729">SUM(BE210:BH210)</f>
        <v>0</v>
      </c>
      <c r="BJ210" s="32"/>
      <c r="BK210" s="13"/>
      <c r="BL210" s="13"/>
      <c r="BM210" s="14"/>
      <c r="BN210" s="15">
        <f t="shared" ref="BN210:BN212" si="730">SUM(BJ210:BM210)</f>
        <v>0</v>
      </c>
      <c r="BO210" s="66">
        <f t="shared" si="670"/>
        <v>6</v>
      </c>
      <c r="BP210" s="13">
        <f t="shared" si="671"/>
        <v>0</v>
      </c>
      <c r="BQ210" s="13">
        <f t="shared" si="672"/>
        <v>0</v>
      </c>
      <c r="BR210" s="14">
        <f t="shared" si="673"/>
        <v>0</v>
      </c>
      <c r="BS210" s="33">
        <f t="shared" ref="BS210:BS212" si="731">SUM(BO210:BR210)</f>
        <v>6</v>
      </c>
    </row>
    <row r="211" spans="2:71" x14ac:dyDescent="0.3">
      <c r="B211" s="269"/>
      <c r="C211" s="230"/>
      <c r="D211" s="233"/>
      <c r="E211" s="235"/>
      <c r="F211" s="178" t="s">
        <v>365</v>
      </c>
      <c r="G211" s="179"/>
      <c r="H211" s="180"/>
      <c r="I211" s="180"/>
      <c r="J211" s="181"/>
      <c r="K211" s="182">
        <f t="shared" si="719"/>
        <v>0</v>
      </c>
      <c r="L211" s="179"/>
      <c r="M211" s="180"/>
      <c r="N211" s="180"/>
      <c r="O211" s="181"/>
      <c r="P211" s="182">
        <f t="shared" si="720"/>
        <v>0</v>
      </c>
      <c r="Q211" s="179"/>
      <c r="R211" s="180"/>
      <c r="S211" s="180"/>
      <c r="T211" s="181"/>
      <c r="U211" s="182">
        <f t="shared" si="721"/>
        <v>0</v>
      </c>
      <c r="V211" s="179"/>
      <c r="W211" s="180"/>
      <c r="X211" s="180"/>
      <c r="Y211" s="181"/>
      <c r="Z211" s="182">
        <f t="shared" si="722"/>
        <v>0</v>
      </c>
      <c r="AA211" s="179"/>
      <c r="AB211" s="180"/>
      <c r="AC211" s="180"/>
      <c r="AD211" s="181"/>
      <c r="AE211" s="182">
        <f t="shared" si="723"/>
        <v>0</v>
      </c>
      <c r="AF211" s="179"/>
      <c r="AG211" s="180"/>
      <c r="AH211" s="180"/>
      <c r="AI211" s="181"/>
      <c r="AJ211" s="182">
        <f t="shared" si="724"/>
        <v>0</v>
      </c>
      <c r="AK211" s="179">
        <v>76</v>
      </c>
      <c r="AL211" s="180"/>
      <c r="AM211" s="180"/>
      <c r="AN211" s="181"/>
      <c r="AO211" s="182">
        <f t="shared" si="725"/>
        <v>76</v>
      </c>
      <c r="AP211" s="179">
        <v>148</v>
      </c>
      <c r="AQ211" s="180"/>
      <c r="AR211" s="180"/>
      <c r="AS211" s="181"/>
      <c r="AT211" s="182">
        <f t="shared" si="726"/>
        <v>148</v>
      </c>
      <c r="AU211" s="179"/>
      <c r="AV211" s="180"/>
      <c r="AW211" s="180"/>
      <c r="AX211" s="181"/>
      <c r="AY211" s="182">
        <f t="shared" si="727"/>
        <v>0</v>
      </c>
      <c r="AZ211" s="179"/>
      <c r="BA211" s="180"/>
      <c r="BB211" s="180"/>
      <c r="BC211" s="181"/>
      <c r="BD211" s="182">
        <f t="shared" si="728"/>
        <v>0</v>
      </c>
      <c r="BE211" s="179"/>
      <c r="BF211" s="180"/>
      <c r="BG211" s="180"/>
      <c r="BH211" s="181"/>
      <c r="BI211" s="182">
        <f t="shared" si="729"/>
        <v>0</v>
      </c>
      <c r="BJ211" s="179"/>
      <c r="BK211" s="180"/>
      <c r="BL211" s="180"/>
      <c r="BM211" s="181"/>
      <c r="BN211" s="182">
        <f t="shared" si="730"/>
        <v>0</v>
      </c>
      <c r="BO211" s="184">
        <f t="shared" si="670"/>
        <v>224</v>
      </c>
      <c r="BP211" s="180">
        <f t="shared" si="671"/>
        <v>0</v>
      </c>
      <c r="BQ211" s="180">
        <f t="shared" si="672"/>
        <v>0</v>
      </c>
      <c r="BR211" s="181">
        <f t="shared" si="673"/>
        <v>0</v>
      </c>
      <c r="BS211" s="183">
        <f t="shared" si="731"/>
        <v>224</v>
      </c>
    </row>
    <row r="212" spans="2:71" x14ac:dyDescent="0.3">
      <c r="B212" s="269"/>
      <c r="C212" s="230"/>
      <c r="D212" s="233"/>
      <c r="E212" s="235"/>
      <c r="F212" s="178" t="s">
        <v>366</v>
      </c>
      <c r="G212" s="179"/>
      <c r="H212" s="180"/>
      <c r="I212" s="180"/>
      <c r="J212" s="181"/>
      <c r="K212" s="182">
        <f t="shared" si="719"/>
        <v>0</v>
      </c>
      <c r="L212" s="179"/>
      <c r="M212" s="180"/>
      <c r="N212" s="180"/>
      <c r="O212" s="181"/>
      <c r="P212" s="182">
        <f t="shared" si="720"/>
        <v>0</v>
      </c>
      <c r="Q212" s="179"/>
      <c r="R212" s="180"/>
      <c r="S212" s="180"/>
      <c r="T212" s="181"/>
      <c r="U212" s="182">
        <f t="shared" si="721"/>
        <v>0</v>
      </c>
      <c r="V212" s="179"/>
      <c r="W212" s="180"/>
      <c r="X212" s="180"/>
      <c r="Y212" s="181"/>
      <c r="Z212" s="182">
        <f t="shared" si="722"/>
        <v>0</v>
      </c>
      <c r="AA212" s="179"/>
      <c r="AB212" s="180"/>
      <c r="AC212" s="180"/>
      <c r="AD212" s="181"/>
      <c r="AE212" s="182">
        <f t="shared" si="723"/>
        <v>0</v>
      </c>
      <c r="AF212" s="179"/>
      <c r="AG212" s="180"/>
      <c r="AH212" s="180"/>
      <c r="AI212" s="181"/>
      <c r="AJ212" s="182">
        <f t="shared" si="724"/>
        <v>0</v>
      </c>
      <c r="AK212" s="179">
        <v>53</v>
      </c>
      <c r="AL212" s="180"/>
      <c r="AM212" s="180"/>
      <c r="AN212" s="181"/>
      <c r="AO212" s="182">
        <f t="shared" si="725"/>
        <v>53</v>
      </c>
      <c r="AP212" s="179">
        <v>92</v>
      </c>
      <c r="AQ212" s="180"/>
      <c r="AR212" s="180"/>
      <c r="AS212" s="181"/>
      <c r="AT212" s="182">
        <f t="shared" si="726"/>
        <v>92</v>
      </c>
      <c r="AU212" s="179"/>
      <c r="AV212" s="180"/>
      <c r="AW212" s="180"/>
      <c r="AX212" s="181"/>
      <c r="AY212" s="182">
        <f t="shared" si="727"/>
        <v>0</v>
      </c>
      <c r="AZ212" s="179"/>
      <c r="BA212" s="180"/>
      <c r="BB212" s="180"/>
      <c r="BC212" s="181"/>
      <c r="BD212" s="182">
        <f t="shared" si="728"/>
        <v>0</v>
      </c>
      <c r="BE212" s="179"/>
      <c r="BF212" s="180"/>
      <c r="BG212" s="180"/>
      <c r="BH212" s="181"/>
      <c r="BI212" s="182">
        <f t="shared" si="729"/>
        <v>0</v>
      </c>
      <c r="BJ212" s="179"/>
      <c r="BK212" s="180"/>
      <c r="BL212" s="180"/>
      <c r="BM212" s="181"/>
      <c r="BN212" s="182">
        <f t="shared" si="730"/>
        <v>0</v>
      </c>
      <c r="BO212" s="184">
        <f t="shared" si="670"/>
        <v>145</v>
      </c>
      <c r="BP212" s="180">
        <f t="shared" si="671"/>
        <v>0</v>
      </c>
      <c r="BQ212" s="180">
        <f t="shared" si="672"/>
        <v>0</v>
      </c>
      <c r="BR212" s="181">
        <f t="shared" si="673"/>
        <v>0</v>
      </c>
      <c r="BS212" s="183">
        <f t="shared" si="731"/>
        <v>145</v>
      </c>
    </row>
    <row r="213" spans="2:71" x14ac:dyDescent="0.3">
      <c r="B213" s="269"/>
      <c r="C213" s="230"/>
      <c r="D213" s="233"/>
      <c r="E213" s="235"/>
      <c r="F213" s="121" t="s">
        <v>180</v>
      </c>
      <c r="G213" s="32"/>
      <c r="H213" s="13"/>
      <c r="I213" s="13"/>
      <c r="J213" s="14"/>
      <c r="K213" s="15">
        <f t="shared" ref="K213:K218" si="732">SUM(G213:J213)</f>
        <v>0</v>
      </c>
      <c r="L213" s="32"/>
      <c r="M213" s="13"/>
      <c r="N213" s="13"/>
      <c r="O213" s="14"/>
      <c r="P213" s="15">
        <f t="shared" ref="P213:P218" si="733">SUM(L213:O213)</f>
        <v>0</v>
      </c>
      <c r="Q213" s="32"/>
      <c r="R213" s="13"/>
      <c r="S213" s="13"/>
      <c r="T213" s="14"/>
      <c r="U213" s="15">
        <f t="shared" ref="U213:U218" si="734">SUM(Q213:T213)</f>
        <v>0</v>
      </c>
      <c r="V213" s="32">
        <v>208</v>
      </c>
      <c r="W213" s="13">
        <v>75</v>
      </c>
      <c r="X213" s="13">
        <v>25</v>
      </c>
      <c r="Y213" s="14"/>
      <c r="Z213" s="15">
        <f t="shared" ref="Z213:Z218" si="735">SUM(V213:Y213)</f>
        <v>308</v>
      </c>
      <c r="AA213" s="32">
        <v>180</v>
      </c>
      <c r="AB213" s="13">
        <v>81</v>
      </c>
      <c r="AC213" s="13">
        <v>41</v>
      </c>
      <c r="AD213" s="14"/>
      <c r="AE213" s="15">
        <f t="shared" ref="AE213:AE218" si="736">SUM(AA213:AD213)</f>
        <v>302</v>
      </c>
      <c r="AF213" s="32">
        <v>258</v>
      </c>
      <c r="AG213" s="13">
        <v>22</v>
      </c>
      <c r="AH213" s="13">
        <v>58</v>
      </c>
      <c r="AI213" s="14"/>
      <c r="AJ213" s="15">
        <f t="shared" ref="AJ213:AJ218" si="737">SUM(AF213:AI213)</f>
        <v>338</v>
      </c>
      <c r="AK213" s="32"/>
      <c r="AL213" s="13"/>
      <c r="AM213" s="13"/>
      <c r="AN213" s="14"/>
      <c r="AO213" s="15">
        <f t="shared" ref="AO213:AO218" si="738">SUM(AK213:AN213)</f>
        <v>0</v>
      </c>
      <c r="AP213" s="32"/>
      <c r="AQ213" s="13"/>
      <c r="AR213" s="13"/>
      <c r="AS213" s="14"/>
      <c r="AT213" s="15">
        <f t="shared" ref="AT213:AT218" si="739">SUM(AP213:AS213)</f>
        <v>0</v>
      </c>
      <c r="AU213" s="32">
        <v>74</v>
      </c>
      <c r="AV213" s="13">
        <v>3</v>
      </c>
      <c r="AW213" s="13">
        <v>28</v>
      </c>
      <c r="AX213" s="14"/>
      <c r="AY213" s="15">
        <f t="shared" ref="AY213:AY218" si="740">SUM(AU213:AX213)</f>
        <v>105</v>
      </c>
      <c r="AZ213" s="32">
        <v>252</v>
      </c>
      <c r="BA213" s="13">
        <v>41</v>
      </c>
      <c r="BB213" s="13">
        <v>65</v>
      </c>
      <c r="BC213" s="14"/>
      <c r="BD213" s="15">
        <f t="shared" ref="BD213:BD218" si="741">SUM(AZ213:BC213)</f>
        <v>358</v>
      </c>
      <c r="BE213" s="32"/>
      <c r="BF213" s="13"/>
      <c r="BG213" s="13"/>
      <c r="BH213" s="14"/>
      <c r="BI213" s="15">
        <f t="shared" ref="BI213:BI218" si="742">SUM(BE213:BH213)</f>
        <v>0</v>
      </c>
      <c r="BJ213" s="32"/>
      <c r="BK213" s="13"/>
      <c r="BL213" s="13"/>
      <c r="BM213" s="14"/>
      <c r="BN213" s="15">
        <f t="shared" ref="BN213:BN218" si="743">SUM(BJ213:BM213)</f>
        <v>0</v>
      </c>
      <c r="BO213" s="66">
        <f t="shared" si="670"/>
        <v>972</v>
      </c>
      <c r="BP213" s="13">
        <f t="shared" si="671"/>
        <v>222</v>
      </c>
      <c r="BQ213" s="13">
        <f t="shared" si="672"/>
        <v>217</v>
      </c>
      <c r="BR213" s="14">
        <f t="shared" si="673"/>
        <v>0</v>
      </c>
      <c r="BS213" s="33">
        <f t="shared" ref="BS213:BS218" si="744">SUM(BO213:BR213)</f>
        <v>1411</v>
      </c>
    </row>
    <row r="214" spans="2:71" x14ac:dyDescent="0.3">
      <c r="B214" s="269"/>
      <c r="C214" s="230"/>
      <c r="D214" s="233"/>
      <c r="E214" s="235"/>
      <c r="F214" s="121" t="s">
        <v>181</v>
      </c>
      <c r="G214" s="32"/>
      <c r="H214" s="13"/>
      <c r="I214" s="13"/>
      <c r="J214" s="14"/>
      <c r="K214" s="15">
        <f t="shared" si="732"/>
        <v>0</v>
      </c>
      <c r="L214" s="32"/>
      <c r="M214" s="13"/>
      <c r="N214" s="13"/>
      <c r="O214" s="14"/>
      <c r="P214" s="15">
        <f t="shared" si="733"/>
        <v>0</v>
      </c>
      <c r="Q214" s="32"/>
      <c r="R214" s="13"/>
      <c r="S214" s="13"/>
      <c r="T214" s="14"/>
      <c r="U214" s="15">
        <f t="shared" si="734"/>
        <v>0</v>
      </c>
      <c r="V214" s="32">
        <v>12</v>
      </c>
      <c r="W214" s="13">
        <v>21</v>
      </c>
      <c r="X214" s="13">
        <v>1</v>
      </c>
      <c r="Y214" s="14"/>
      <c r="Z214" s="15">
        <f t="shared" si="735"/>
        <v>34</v>
      </c>
      <c r="AA214" s="32">
        <v>5</v>
      </c>
      <c r="AB214" s="13">
        <v>5</v>
      </c>
      <c r="AC214" s="13">
        <v>1</v>
      </c>
      <c r="AD214" s="14"/>
      <c r="AE214" s="15">
        <f t="shared" si="736"/>
        <v>11</v>
      </c>
      <c r="AF214" s="32">
        <v>9</v>
      </c>
      <c r="AG214" s="13">
        <v>1</v>
      </c>
      <c r="AH214" s="13">
        <v>1</v>
      </c>
      <c r="AI214" s="14"/>
      <c r="AJ214" s="15">
        <f t="shared" si="737"/>
        <v>11</v>
      </c>
      <c r="AK214" s="32"/>
      <c r="AL214" s="13"/>
      <c r="AM214" s="13"/>
      <c r="AN214" s="14"/>
      <c r="AO214" s="15">
        <f t="shared" si="738"/>
        <v>0</v>
      </c>
      <c r="AP214" s="32"/>
      <c r="AQ214" s="13"/>
      <c r="AR214" s="13"/>
      <c r="AS214" s="14"/>
      <c r="AT214" s="15">
        <f t="shared" si="739"/>
        <v>0</v>
      </c>
      <c r="AU214" s="32">
        <v>5</v>
      </c>
      <c r="AV214" s="13">
        <v>4</v>
      </c>
      <c r="AW214" s="13">
        <v>2</v>
      </c>
      <c r="AX214" s="14"/>
      <c r="AY214" s="15">
        <f t="shared" si="740"/>
        <v>11</v>
      </c>
      <c r="AZ214" s="32">
        <v>17</v>
      </c>
      <c r="BA214" s="13"/>
      <c r="BB214" s="13">
        <v>5</v>
      </c>
      <c r="BC214" s="14"/>
      <c r="BD214" s="15">
        <f t="shared" si="741"/>
        <v>22</v>
      </c>
      <c r="BE214" s="32"/>
      <c r="BF214" s="13"/>
      <c r="BG214" s="13"/>
      <c r="BH214" s="14"/>
      <c r="BI214" s="15">
        <f t="shared" si="742"/>
        <v>0</v>
      </c>
      <c r="BJ214" s="32"/>
      <c r="BK214" s="13"/>
      <c r="BL214" s="13"/>
      <c r="BM214" s="14"/>
      <c r="BN214" s="15">
        <f t="shared" si="743"/>
        <v>0</v>
      </c>
      <c r="BO214" s="66">
        <f t="shared" si="670"/>
        <v>48</v>
      </c>
      <c r="BP214" s="13">
        <f t="shared" si="671"/>
        <v>31</v>
      </c>
      <c r="BQ214" s="13">
        <f t="shared" si="672"/>
        <v>10</v>
      </c>
      <c r="BR214" s="14">
        <f t="shared" si="673"/>
        <v>0</v>
      </c>
      <c r="BS214" s="33">
        <f t="shared" si="744"/>
        <v>89</v>
      </c>
    </row>
    <row r="215" spans="2:71" x14ac:dyDescent="0.3">
      <c r="B215" s="269"/>
      <c r="C215" s="230"/>
      <c r="D215" s="233"/>
      <c r="E215" s="235"/>
      <c r="F215" s="178" t="s">
        <v>294</v>
      </c>
      <c r="G215" s="179"/>
      <c r="H215" s="180"/>
      <c r="I215" s="180"/>
      <c r="J215" s="181"/>
      <c r="K215" s="182">
        <f t="shared" ref="K215:K216" si="745">SUM(G215:J215)</f>
        <v>0</v>
      </c>
      <c r="L215" s="179"/>
      <c r="M215" s="180"/>
      <c r="N215" s="180"/>
      <c r="O215" s="181"/>
      <c r="P215" s="182">
        <f t="shared" ref="P215:P216" si="746">SUM(L215:O215)</f>
        <v>0</v>
      </c>
      <c r="Q215" s="179"/>
      <c r="R215" s="180"/>
      <c r="S215" s="180"/>
      <c r="T215" s="181"/>
      <c r="U215" s="182">
        <f t="shared" ref="U215:U216" si="747">SUM(Q215:T215)</f>
        <v>0</v>
      </c>
      <c r="V215" s="179">
        <v>31</v>
      </c>
      <c r="W215" s="180"/>
      <c r="X215" s="180"/>
      <c r="Y215" s="181"/>
      <c r="Z215" s="182">
        <f t="shared" ref="Z215:Z216" si="748">SUM(V215:Y215)</f>
        <v>31</v>
      </c>
      <c r="AA215" s="179">
        <v>53</v>
      </c>
      <c r="AB215" s="180"/>
      <c r="AC215" s="180"/>
      <c r="AD215" s="181"/>
      <c r="AE215" s="182">
        <f t="shared" ref="AE215:AE216" si="749">SUM(AA215:AD215)</f>
        <v>53</v>
      </c>
      <c r="AF215" s="179">
        <v>34</v>
      </c>
      <c r="AG215" s="180"/>
      <c r="AH215" s="180"/>
      <c r="AI215" s="181"/>
      <c r="AJ215" s="182">
        <f t="shared" ref="AJ215:AJ216" si="750">SUM(AF215:AI215)</f>
        <v>34</v>
      </c>
      <c r="AK215" s="179"/>
      <c r="AL215" s="180"/>
      <c r="AM215" s="180"/>
      <c r="AN215" s="181"/>
      <c r="AO215" s="182">
        <f t="shared" ref="AO215:AO216" si="751">SUM(AK215:AN215)</f>
        <v>0</v>
      </c>
      <c r="AP215" s="179"/>
      <c r="AQ215" s="180"/>
      <c r="AR215" s="180"/>
      <c r="AS215" s="181"/>
      <c r="AT215" s="182">
        <f t="shared" ref="AT215:AT216" si="752">SUM(AP215:AS215)</f>
        <v>0</v>
      </c>
      <c r="AU215" s="179">
        <v>26</v>
      </c>
      <c r="AV215" s="180"/>
      <c r="AW215" s="180"/>
      <c r="AX215" s="181"/>
      <c r="AY215" s="182">
        <f t="shared" ref="AY215:AY216" si="753">SUM(AU215:AX215)</f>
        <v>26</v>
      </c>
      <c r="AZ215" s="179">
        <v>88</v>
      </c>
      <c r="BA215" s="180"/>
      <c r="BB215" s="180"/>
      <c r="BC215" s="181"/>
      <c r="BD215" s="182">
        <f t="shared" ref="BD215:BD216" si="754">SUM(AZ215:BC215)</f>
        <v>88</v>
      </c>
      <c r="BE215" s="179"/>
      <c r="BF215" s="180"/>
      <c r="BG215" s="180"/>
      <c r="BH215" s="181"/>
      <c r="BI215" s="182">
        <f t="shared" ref="BI215:BI216" si="755">SUM(BE215:BH215)</f>
        <v>0</v>
      </c>
      <c r="BJ215" s="179"/>
      <c r="BK215" s="180"/>
      <c r="BL215" s="180"/>
      <c r="BM215" s="181"/>
      <c r="BN215" s="182">
        <f t="shared" ref="BN215:BN216" si="756">SUM(BJ215:BM215)</f>
        <v>0</v>
      </c>
      <c r="BO215" s="184">
        <f t="shared" si="670"/>
        <v>232</v>
      </c>
      <c r="BP215" s="180">
        <f t="shared" si="671"/>
        <v>0</v>
      </c>
      <c r="BQ215" s="180">
        <f t="shared" si="672"/>
        <v>0</v>
      </c>
      <c r="BR215" s="181">
        <f t="shared" si="673"/>
        <v>0</v>
      </c>
      <c r="BS215" s="183">
        <f t="shared" ref="BS215:BS216" si="757">SUM(BO215:BR215)</f>
        <v>232</v>
      </c>
    </row>
    <row r="216" spans="2:71" x14ac:dyDescent="0.3">
      <c r="B216" s="269"/>
      <c r="C216" s="230"/>
      <c r="D216" s="233"/>
      <c r="E216" s="235"/>
      <c r="F216" s="121" t="s">
        <v>396</v>
      </c>
      <c r="G216" s="32"/>
      <c r="H216" s="13"/>
      <c r="I216" s="13"/>
      <c r="J216" s="14"/>
      <c r="K216" s="15">
        <f t="shared" si="745"/>
        <v>0</v>
      </c>
      <c r="L216" s="32"/>
      <c r="M216" s="13"/>
      <c r="N216" s="13"/>
      <c r="O216" s="14"/>
      <c r="P216" s="15">
        <f t="shared" si="746"/>
        <v>0</v>
      </c>
      <c r="Q216" s="32"/>
      <c r="R216" s="13"/>
      <c r="S216" s="13"/>
      <c r="T216" s="14"/>
      <c r="U216" s="15">
        <f t="shared" si="747"/>
        <v>0</v>
      </c>
      <c r="V216" s="32"/>
      <c r="W216" s="13"/>
      <c r="X216" s="13"/>
      <c r="Y216" s="14"/>
      <c r="Z216" s="15">
        <f t="shared" si="748"/>
        <v>0</v>
      </c>
      <c r="AA216" s="32"/>
      <c r="AB216" s="13"/>
      <c r="AC216" s="13"/>
      <c r="AD216" s="14"/>
      <c r="AE216" s="15">
        <f t="shared" si="749"/>
        <v>0</v>
      </c>
      <c r="AF216" s="32"/>
      <c r="AG216" s="13"/>
      <c r="AH216" s="13"/>
      <c r="AI216" s="14"/>
      <c r="AJ216" s="15">
        <f t="shared" si="750"/>
        <v>0</v>
      </c>
      <c r="AK216" s="32"/>
      <c r="AL216" s="13"/>
      <c r="AM216" s="13"/>
      <c r="AN216" s="14"/>
      <c r="AO216" s="15">
        <f t="shared" si="751"/>
        <v>0</v>
      </c>
      <c r="AP216" s="32"/>
      <c r="AQ216" s="13"/>
      <c r="AR216" s="13"/>
      <c r="AS216" s="14"/>
      <c r="AT216" s="15">
        <f t="shared" si="752"/>
        <v>0</v>
      </c>
      <c r="AU216" s="32"/>
      <c r="AV216" s="13"/>
      <c r="AW216" s="13"/>
      <c r="AX216" s="14"/>
      <c r="AY216" s="15">
        <f t="shared" si="753"/>
        <v>0</v>
      </c>
      <c r="AZ216" s="32">
        <v>46</v>
      </c>
      <c r="BA216" s="13">
        <v>2</v>
      </c>
      <c r="BB216" s="13">
        <v>29</v>
      </c>
      <c r="BC216" s="14"/>
      <c r="BD216" s="15">
        <f t="shared" si="754"/>
        <v>77</v>
      </c>
      <c r="BE216" s="32"/>
      <c r="BF216" s="13"/>
      <c r="BG216" s="13"/>
      <c r="BH216" s="14"/>
      <c r="BI216" s="15">
        <f t="shared" si="755"/>
        <v>0</v>
      </c>
      <c r="BJ216" s="32"/>
      <c r="BK216" s="13"/>
      <c r="BL216" s="13"/>
      <c r="BM216" s="14"/>
      <c r="BN216" s="15">
        <f t="shared" si="756"/>
        <v>0</v>
      </c>
      <c r="BO216" s="66">
        <f t="shared" si="670"/>
        <v>46</v>
      </c>
      <c r="BP216" s="13">
        <f t="shared" si="671"/>
        <v>2</v>
      </c>
      <c r="BQ216" s="13">
        <f t="shared" si="672"/>
        <v>29</v>
      </c>
      <c r="BR216" s="14">
        <f t="shared" si="673"/>
        <v>0</v>
      </c>
      <c r="BS216" s="33">
        <f t="shared" si="757"/>
        <v>77</v>
      </c>
    </row>
    <row r="217" spans="2:71" x14ac:dyDescent="0.3">
      <c r="B217" s="269"/>
      <c r="C217" s="230"/>
      <c r="D217" s="233"/>
      <c r="E217" s="235"/>
      <c r="F217" s="121" t="s">
        <v>397</v>
      </c>
      <c r="G217" s="32"/>
      <c r="H217" s="13"/>
      <c r="I217" s="13"/>
      <c r="J217" s="14"/>
      <c r="K217" s="15">
        <f t="shared" ref="K217" si="758">SUM(G217:J217)</f>
        <v>0</v>
      </c>
      <c r="L217" s="32"/>
      <c r="M217" s="13"/>
      <c r="N217" s="13"/>
      <c r="O217" s="14"/>
      <c r="P217" s="15">
        <f t="shared" ref="P217" si="759">SUM(L217:O217)</f>
        <v>0</v>
      </c>
      <c r="Q217" s="32"/>
      <c r="R217" s="13"/>
      <c r="S217" s="13"/>
      <c r="T217" s="14"/>
      <c r="U217" s="15">
        <f t="shared" ref="U217" si="760">SUM(Q217:T217)</f>
        <v>0</v>
      </c>
      <c r="V217" s="32"/>
      <c r="W217" s="13"/>
      <c r="X217" s="13"/>
      <c r="Y217" s="14"/>
      <c r="Z217" s="15">
        <f t="shared" ref="Z217" si="761">SUM(V217:Y217)</f>
        <v>0</v>
      </c>
      <c r="AA217" s="32"/>
      <c r="AB217" s="13"/>
      <c r="AC217" s="13"/>
      <c r="AD217" s="14"/>
      <c r="AE217" s="15">
        <f t="shared" ref="AE217" si="762">SUM(AA217:AD217)</f>
        <v>0</v>
      </c>
      <c r="AF217" s="32"/>
      <c r="AG217" s="13"/>
      <c r="AH217" s="13"/>
      <c r="AI217" s="14"/>
      <c r="AJ217" s="15">
        <f t="shared" ref="AJ217" si="763">SUM(AF217:AI217)</f>
        <v>0</v>
      </c>
      <c r="AK217" s="32"/>
      <c r="AL217" s="13"/>
      <c r="AM217" s="13"/>
      <c r="AN217" s="14"/>
      <c r="AO217" s="15">
        <f t="shared" ref="AO217" si="764">SUM(AK217:AN217)</f>
        <v>0</v>
      </c>
      <c r="AP217" s="32"/>
      <c r="AQ217" s="13"/>
      <c r="AR217" s="13"/>
      <c r="AS217" s="14"/>
      <c r="AT217" s="15">
        <f t="shared" ref="AT217" si="765">SUM(AP217:AS217)</f>
        <v>0</v>
      </c>
      <c r="AU217" s="32"/>
      <c r="AV217" s="13"/>
      <c r="AW217" s="13"/>
      <c r="AX217" s="14"/>
      <c r="AY217" s="15">
        <f t="shared" ref="AY217" si="766">SUM(AU217:AX217)</f>
        <v>0</v>
      </c>
      <c r="AZ217" s="32">
        <v>21</v>
      </c>
      <c r="BA217" s="13">
        <v>2</v>
      </c>
      <c r="BB217" s="13">
        <v>18</v>
      </c>
      <c r="BC217" s="14"/>
      <c r="BD217" s="15">
        <f t="shared" ref="BD217" si="767">SUM(AZ217:BC217)</f>
        <v>41</v>
      </c>
      <c r="BE217" s="32"/>
      <c r="BF217" s="13"/>
      <c r="BG217" s="13"/>
      <c r="BH217" s="14"/>
      <c r="BI217" s="15">
        <f t="shared" ref="BI217" si="768">SUM(BE217:BH217)</f>
        <v>0</v>
      </c>
      <c r="BJ217" s="32"/>
      <c r="BK217" s="13"/>
      <c r="BL217" s="13"/>
      <c r="BM217" s="14"/>
      <c r="BN217" s="15">
        <f t="shared" ref="BN217" si="769">SUM(BJ217:BM217)</f>
        <v>0</v>
      </c>
      <c r="BO217" s="66">
        <f t="shared" si="670"/>
        <v>21</v>
      </c>
      <c r="BP217" s="13">
        <f t="shared" si="671"/>
        <v>2</v>
      </c>
      <c r="BQ217" s="13">
        <f t="shared" si="672"/>
        <v>18</v>
      </c>
      <c r="BR217" s="14">
        <f t="shared" si="673"/>
        <v>0</v>
      </c>
      <c r="BS217" s="33">
        <f t="shared" ref="BS217" si="770">SUM(BO217:BR217)</f>
        <v>41</v>
      </c>
    </row>
    <row r="218" spans="2:71" x14ac:dyDescent="0.3">
      <c r="B218" s="269"/>
      <c r="C218" s="230"/>
      <c r="D218" s="233"/>
      <c r="E218" s="235"/>
      <c r="F218" s="178" t="s">
        <v>295</v>
      </c>
      <c r="G218" s="179"/>
      <c r="H218" s="180"/>
      <c r="I218" s="180"/>
      <c r="J218" s="181"/>
      <c r="K218" s="182">
        <f t="shared" si="732"/>
        <v>0</v>
      </c>
      <c r="L218" s="179"/>
      <c r="M218" s="180"/>
      <c r="N218" s="180"/>
      <c r="O218" s="181"/>
      <c r="P218" s="182">
        <f t="shared" si="733"/>
        <v>0</v>
      </c>
      <c r="Q218" s="179"/>
      <c r="R218" s="180"/>
      <c r="S218" s="180"/>
      <c r="T218" s="181"/>
      <c r="U218" s="182">
        <f t="shared" si="734"/>
        <v>0</v>
      </c>
      <c r="V218" s="179">
        <v>86</v>
      </c>
      <c r="W218" s="180"/>
      <c r="X218" s="180"/>
      <c r="Y218" s="181"/>
      <c r="Z218" s="182">
        <f t="shared" si="735"/>
        <v>86</v>
      </c>
      <c r="AA218" s="179">
        <v>186</v>
      </c>
      <c r="AB218" s="180"/>
      <c r="AC218" s="180"/>
      <c r="AD218" s="181"/>
      <c r="AE218" s="182">
        <f t="shared" si="736"/>
        <v>186</v>
      </c>
      <c r="AF218" s="179"/>
      <c r="AG218" s="180"/>
      <c r="AH218" s="180"/>
      <c r="AI218" s="181"/>
      <c r="AJ218" s="182">
        <f t="shared" si="737"/>
        <v>0</v>
      </c>
      <c r="AK218" s="179"/>
      <c r="AL218" s="180"/>
      <c r="AM218" s="180"/>
      <c r="AN218" s="181"/>
      <c r="AO218" s="182">
        <f t="shared" si="738"/>
        <v>0</v>
      </c>
      <c r="AP218" s="179"/>
      <c r="AQ218" s="180"/>
      <c r="AR218" s="180"/>
      <c r="AS218" s="181"/>
      <c r="AT218" s="182">
        <f t="shared" si="739"/>
        <v>0</v>
      </c>
      <c r="AU218" s="179"/>
      <c r="AV218" s="180"/>
      <c r="AW218" s="180"/>
      <c r="AX218" s="181"/>
      <c r="AY218" s="182">
        <f t="shared" si="740"/>
        <v>0</v>
      </c>
      <c r="AZ218" s="179"/>
      <c r="BA218" s="180"/>
      <c r="BB218" s="180"/>
      <c r="BC218" s="181"/>
      <c r="BD218" s="182">
        <f t="shared" si="741"/>
        <v>0</v>
      </c>
      <c r="BE218" s="179"/>
      <c r="BF218" s="180"/>
      <c r="BG218" s="180"/>
      <c r="BH218" s="181"/>
      <c r="BI218" s="182">
        <f t="shared" si="742"/>
        <v>0</v>
      </c>
      <c r="BJ218" s="179"/>
      <c r="BK218" s="180"/>
      <c r="BL218" s="180"/>
      <c r="BM218" s="181"/>
      <c r="BN218" s="182">
        <f t="shared" si="743"/>
        <v>0</v>
      </c>
      <c r="BO218" s="184">
        <f t="shared" si="670"/>
        <v>272</v>
      </c>
      <c r="BP218" s="180">
        <f t="shared" si="671"/>
        <v>0</v>
      </c>
      <c r="BQ218" s="180">
        <f t="shared" si="672"/>
        <v>0</v>
      </c>
      <c r="BR218" s="181">
        <f t="shared" si="673"/>
        <v>0</v>
      </c>
      <c r="BS218" s="183">
        <f t="shared" si="744"/>
        <v>272</v>
      </c>
    </row>
    <row r="219" spans="2:71" x14ac:dyDescent="0.3">
      <c r="B219" s="269"/>
      <c r="C219" s="230"/>
      <c r="D219" s="233"/>
      <c r="E219" s="235"/>
      <c r="F219" s="121" t="s">
        <v>323</v>
      </c>
      <c r="G219" s="32"/>
      <c r="H219" s="13"/>
      <c r="I219" s="13"/>
      <c r="J219" s="14"/>
      <c r="K219" s="15">
        <f t="shared" ref="K219:K221" si="771">SUM(G219:J219)</f>
        <v>0</v>
      </c>
      <c r="L219" s="32"/>
      <c r="M219" s="13"/>
      <c r="N219" s="13"/>
      <c r="O219" s="14"/>
      <c r="P219" s="15">
        <f t="shared" ref="P219:P226" si="772">SUM(L219:O219)</f>
        <v>0</v>
      </c>
      <c r="Q219" s="32"/>
      <c r="R219" s="13"/>
      <c r="S219" s="13"/>
      <c r="T219" s="14"/>
      <c r="U219" s="15">
        <f t="shared" ref="U219:U226" si="773">SUM(Q219:T219)</f>
        <v>0</v>
      </c>
      <c r="V219" s="32"/>
      <c r="W219" s="13"/>
      <c r="X219" s="13"/>
      <c r="Y219" s="14"/>
      <c r="Z219" s="15">
        <f t="shared" ref="Z219:Z226" si="774">SUM(V219:Y219)</f>
        <v>0</v>
      </c>
      <c r="AA219" s="32">
        <v>85</v>
      </c>
      <c r="AB219" s="13">
        <v>10</v>
      </c>
      <c r="AC219" s="13">
        <v>37</v>
      </c>
      <c r="AD219" s="14"/>
      <c r="AE219" s="15">
        <f t="shared" ref="AE219:AE226" si="775">SUM(AA219:AD219)</f>
        <v>132</v>
      </c>
      <c r="AF219" s="32"/>
      <c r="AG219" s="13"/>
      <c r="AH219" s="13"/>
      <c r="AI219" s="14"/>
      <c r="AJ219" s="15">
        <f t="shared" ref="AJ219:AJ226" si="776">SUM(AF219:AI219)</f>
        <v>0</v>
      </c>
      <c r="AK219" s="32"/>
      <c r="AL219" s="13"/>
      <c r="AM219" s="13"/>
      <c r="AN219" s="14"/>
      <c r="AO219" s="15">
        <f t="shared" ref="AO219:AO226" si="777">SUM(AK219:AN219)</f>
        <v>0</v>
      </c>
      <c r="AP219" s="32"/>
      <c r="AQ219" s="13"/>
      <c r="AR219" s="13"/>
      <c r="AS219" s="14"/>
      <c r="AT219" s="15">
        <f t="shared" ref="AT219:AT226" si="778">SUM(AP219:AS219)</f>
        <v>0</v>
      </c>
      <c r="AU219" s="32"/>
      <c r="AV219" s="13"/>
      <c r="AW219" s="13"/>
      <c r="AX219" s="14"/>
      <c r="AY219" s="15">
        <f t="shared" ref="AY219:AY226" si="779">SUM(AU219:AX219)</f>
        <v>0</v>
      </c>
      <c r="AZ219" s="32"/>
      <c r="BA219" s="13"/>
      <c r="BB219" s="13"/>
      <c r="BC219" s="14"/>
      <c r="BD219" s="15">
        <f t="shared" ref="BD219:BD226" si="780">SUM(AZ219:BC219)</f>
        <v>0</v>
      </c>
      <c r="BE219" s="32"/>
      <c r="BF219" s="13"/>
      <c r="BG219" s="13"/>
      <c r="BH219" s="14"/>
      <c r="BI219" s="15">
        <f t="shared" ref="BI219:BI226" si="781">SUM(BE219:BH219)</f>
        <v>0</v>
      </c>
      <c r="BJ219" s="32"/>
      <c r="BK219" s="13"/>
      <c r="BL219" s="13"/>
      <c r="BM219" s="14"/>
      <c r="BN219" s="15">
        <f t="shared" ref="BN219:BN226" si="782">SUM(BJ219:BM219)</f>
        <v>0</v>
      </c>
      <c r="BO219" s="66">
        <f t="shared" si="670"/>
        <v>85</v>
      </c>
      <c r="BP219" s="13">
        <f t="shared" si="671"/>
        <v>10</v>
      </c>
      <c r="BQ219" s="13">
        <f t="shared" si="672"/>
        <v>37</v>
      </c>
      <c r="BR219" s="14">
        <f t="shared" si="673"/>
        <v>0</v>
      </c>
      <c r="BS219" s="33">
        <f t="shared" ref="BS219:BS221" si="783">SUM(BO219:BR219)</f>
        <v>132</v>
      </c>
    </row>
    <row r="220" spans="2:71" x14ac:dyDescent="0.3">
      <c r="B220" s="269"/>
      <c r="C220" s="230"/>
      <c r="D220" s="233"/>
      <c r="E220" s="235"/>
      <c r="F220" s="121" t="s">
        <v>324</v>
      </c>
      <c r="G220" s="32"/>
      <c r="H220" s="13"/>
      <c r="I220" s="13"/>
      <c r="J220" s="14"/>
      <c r="K220" s="15">
        <f t="shared" si="771"/>
        <v>0</v>
      </c>
      <c r="L220" s="32"/>
      <c r="M220" s="13"/>
      <c r="N220" s="13"/>
      <c r="O220" s="14"/>
      <c r="P220" s="15">
        <f t="shared" si="772"/>
        <v>0</v>
      </c>
      <c r="Q220" s="32"/>
      <c r="R220" s="13"/>
      <c r="S220" s="13"/>
      <c r="T220" s="14"/>
      <c r="U220" s="15">
        <f t="shared" si="773"/>
        <v>0</v>
      </c>
      <c r="V220" s="32"/>
      <c r="W220" s="13"/>
      <c r="X220" s="13"/>
      <c r="Y220" s="14"/>
      <c r="Z220" s="15">
        <f t="shared" si="774"/>
        <v>0</v>
      </c>
      <c r="AA220" s="32">
        <v>30</v>
      </c>
      <c r="AB220" s="13">
        <v>2</v>
      </c>
      <c r="AC220" s="13">
        <v>22</v>
      </c>
      <c r="AD220" s="14"/>
      <c r="AE220" s="15">
        <f t="shared" si="775"/>
        <v>54</v>
      </c>
      <c r="AF220" s="32"/>
      <c r="AG220" s="13"/>
      <c r="AH220" s="13"/>
      <c r="AI220" s="14"/>
      <c r="AJ220" s="15">
        <f t="shared" si="776"/>
        <v>0</v>
      </c>
      <c r="AK220" s="32"/>
      <c r="AL220" s="13"/>
      <c r="AM220" s="13"/>
      <c r="AN220" s="14"/>
      <c r="AO220" s="15">
        <f t="shared" si="777"/>
        <v>0</v>
      </c>
      <c r="AP220" s="32"/>
      <c r="AQ220" s="13"/>
      <c r="AR220" s="13"/>
      <c r="AS220" s="14"/>
      <c r="AT220" s="15">
        <f t="shared" si="778"/>
        <v>0</v>
      </c>
      <c r="AU220" s="32"/>
      <c r="AV220" s="13"/>
      <c r="AW220" s="13"/>
      <c r="AX220" s="14"/>
      <c r="AY220" s="15">
        <f t="shared" si="779"/>
        <v>0</v>
      </c>
      <c r="AZ220" s="32"/>
      <c r="BA220" s="13"/>
      <c r="BB220" s="13"/>
      <c r="BC220" s="14"/>
      <c r="BD220" s="15">
        <f t="shared" si="780"/>
        <v>0</v>
      </c>
      <c r="BE220" s="32"/>
      <c r="BF220" s="13"/>
      <c r="BG220" s="13"/>
      <c r="BH220" s="14"/>
      <c r="BI220" s="15">
        <f t="shared" si="781"/>
        <v>0</v>
      </c>
      <c r="BJ220" s="32"/>
      <c r="BK220" s="13"/>
      <c r="BL220" s="13"/>
      <c r="BM220" s="14"/>
      <c r="BN220" s="15">
        <f t="shared" si="782"/>
        <v>0</v>
      </c>
      <c r="BO220" s="66">
        <f t="shared" si="670"/>
        <v>30</v>
      </c>
      <c r="BP220" s="13">
        <f t="shared" si="671"/>
        <v>2</v>
      </c>
      <c r="BQ220" s="13">
        <f t="shared" si="672"/>
        <v>22</v>
      </c>
      <c r="BR220" s="14">
        <f t="shared" si="673"/>
        <v>0</v>
      </c>
      <c r="BS220" s="33">
        <f t="shared" si="783"/>
        <v>54</v>
      </c>
    </row>
    <row r="221" spans="2:71" x14ac:dyDescent="0.3">
      <c r="B221" s="269"/>
      <c r="C221" s="230"/>
      <c r="D221" s="233"/>
      <c r="E221" s="235"/>
      <c r="F221" s="121" t="s">
        <v>325</v>
      </c>
      <c r="G221" s="32"/>
      <c r="H221" s="13"/>
      <c r="I221" s="13"/>
      <c r="J221" s="14"/>
      <c r="K221" s="15">
        <f t="shared" si="771"/>
        <v>0</v>
      </c>
      <c r="L221" s="32"/>
      <c r="M221" s="13"/>
      <c r="N221" s="13"/>
      <c r="O221" s="14"/>
      <c r="P221" s="15">
        <f t="shared" si="772"/>
        <v>0</v>
      </c>
      <c r="Q221" s="32"/>
      <c r="R221" s="13"/>
      <c r="S221" s="13"/>
      <c r="T221" s="14"/>
      <c r="U221" s="15">
        <f t="shared" si="773"/>
        <v>0</v>
      </c>
      <c r="V221" s="32"/>
      <c r="W221" s="13"/>
      <c r="X221" s="13"/>
      <c r="Y221" s="14"/>
      <c r="Z221" s="15">
        <f t="shared" si="774"/>
        <v>0</v>
      </c>
      <c r="AA221" s="32">
        <v>309</v>
      </c>
      <c r="AB221" s="13"/>
      <c r="AC221" s="13"/>
      <c r="AD221" s="14"/>
      <c r="AE221" s="15">
        <f t="shared" si="775"/>
        <v>309</v>
      </c>
      <c r="AF221" s="32"/>
      <c r="AG221" s="13"/>
      <c r="AH221" s="13"/>
      <c r="AI221" s="14"/>
      <c r="AJ221" s="15">
        <f t="shared" si="776"/>
        <v>0</v>
      </c>
      <c r="AK221" s="32"/>
      <c r="AL221" s="13"/>
      <c r="AM221" s="13"/>
      <c r="AN221" s="14"/>
      <c r="AO221" s="15">
        <f t="shared" si="777"/>
        <v>0</v>
      </c>
      <c r="AP221" s="32"/>
      <c r="AQ221" s="13"/>
      <c r="AR221" s="13"/>
      <c r="AS221" s="14"/>
      <c r="AT221" s="15">
        <f t="shared" si="778"/>
        <v>0</v>
      </c>
      <c r="AU221" s="32"/>
      <c r="AV221" s="13"/>
      <c r="AW221" s="13"/>
      <c r="AX221" s="14"/>
      <c r="AY221" s="15">
        <f t="shared" si="779"/>
        <v>0</v>
      </c>
      <c r="AZ221" s="32"/>
      <c r="BA221" s="13"/>
      <c r="BB221" s="13"/>
      <c r="BC221" s="14"/>
      <c r="BD221" s="15">
        <f t="shared" si="780"/>
        <v>0</v>
      </c>
      <c r="BE221" s="32"/>
      <c r="BF221" s="13"/>
      <c r="BG221" s="13"/>
      <c r="BH221" s="14"/>
      <c r="BI221" s="15">
        <f t="shared" si="781"/>
        <v>0</v>
      </c>
      <c r="BJ221" s="32"/>
      <c r="BK221" s="13"/>
      <c r="BL221" s="13"/>
      <c r="BM221" s="14"/>
      <c r="BN221" s="15">
        <f t="shared" si="782"/>
        <v>0</v>
      </c>
      <c r="BO221" s="66">
        <f t="shared" si="670"/>
        <v>309</v>
      </c>
      <c r="BP221" s="13">
        <f t="shared" si="671"/>
        <v>0</v>
      </c>
      <c r="BQ221" s="13">
        <f t="shared" si="672"/>
        <v>0</v>
      </c>
      <c r="BR221" s="14">
        <f t="shared" si="673"/>
        <v>0</v>
      </c>
      <c r="BS221" s="33">
        <f t="shared" si="783"/>
        <v>309</v>
      </c>
    </row>
    <row r="222" spans="2:71" x14ac:dyDescent="0.3">
      <c r="B222" s="269"/>
      <c r="C222" s="230"/>
      <c r="D222" s="233"/>
      <c r="E222" s="235"/>
      <c r="F222" s="121" t="s">
        <v>326</v>
      </c>
      <c r="G222" s="32"/>
      <c r="H222" s="13"/>
      <c r="I222" s="13"/>
      <c r="J222" s="14"/>
      <c r="K222" s="15">
        <f t="shared" ref="K222:K225" si="784">SUM(G222:J222)</f>
        <v>0</v>
      </c>
      <c r="L222" s="32"/>
      <c r="M222" s="13"/>
      <c r="N222" s="13"/>
      <c r="O222" s="14"/>
      <c r="P222" s="15">
        <f t="shared" si="772"/>
        <v>0</v>
      </c>
      <c r="Q222" s="32"/>
      <c r="R222" s="13"/>
      <c r="S222" s="13"/>
      <c r="T222" s="14"/>
      <c r="U222" s="15">
        <f t="shared" si="773"/>
        <v>0</v>
      </c>
      <c r="V222" s="32"/>
      <c r="W222" s="13"/>
      <c r="X222" s="13"/>
      <c r="Y222" s="14"/>
      <c r="Z222" s="15">
        <f t="shared" si="774"/>
        <v>0</v>
      </c>
      <c r="AA222" s="32">
        <v>233</v>
      </c>
      <c r="AB222" s="13"/>
      <c r="AC222" s="13"/>
      <c r="AD222" s="14"/>
      <c r="AE222" s="15">
        <f t="shared" si="775"/>
        <v>233</v>
      </c>
      <c r="AF222" s="32"/>
      <c r="AG222" s="13"/>
      <c r="AH222" s="13"/>
      <c r="AI222" s="14"/>
      <c r="AJ222" s="15">
        <f t="shared" si="776"/>
        <v>0</v>
      </c>
      <c r="AK222" s="32"/>
      <c r="AL222" s="13"/>
      <c r="AM222" s="13"/>
      <c r="AN222" s="14"/>
      <c r="AO222" s="15">
        <f t="shared" si="777"/>
        <v>0</v>
      </c>
      <c r="AP222" s="32"/>
      <c r="AQ222" s="13"/>
      <c r="AR222" s="13"/>
      <c r="AS222" s="14"/>
      <c r="AT222" s="15">
        <f t="shared" si="778"/>
        <v>0</v>
      </c>
      <c r="AU222" s="32"/>
      <c r="AV222" s="13"/>
      <c r="AW222" s="13"/>
      <c r="AX222" s="14"/>
      <c r="AY222" s="15">
        <f t="shared" si="779"/>
        <v>0</v>
      </c>
      <c r="AZ222" s="32"/>
      <c r="BA222" s="13"/>
      <c r="BB222" s="13"/>
      <c r="BC222" s="14"/>
      <c r="BD222" s="15">
        <f t="shared" si="780"/>
        <v>0</v>
      </c>
      <c r="BE222" s="32"/>
      <c r="BF222" s="13"/>
      <c r="BG222" s="13"/>
      <c r="BH222" s="14"/>
      <c r="BI222" s="15">
        <f t="shared" si="781"/>
        <v>0</v>
      </c>
      <c r="BJ222" s="32"/>
      <c r="BK222" s="13"/>
      <c r="BL222" s="13"/>
      <c r="BM222" s="14"/>
      <c r="BN222" s="15">
        <f t="shared" si="782"/>
        <v>0</v>
      </c>
      <c r="BO222" s="66">
        <f t="shared" si="670"/>
        <v>233</v>
      </c>
      <c r="BP222" s="13">
        <f t="shared" si="671"/>
        <v>0</v>
      </c>
      <c r="BQ222" s="13">
        <f t="shared" si="672"/>
        <v>0</v>
      </c>
      <c r="BR222" s="14">
        <f t="shared" si="673"/>
        <v>0</v>
      </c>
      <c r="BS222" s="33">
        <f t="shared" ref="BS222:BS225" si="785">SUM(BO222:BR222)</f>
        <v>233</v>
      </c>
    </row>
    <row r="223" spans="2:71" x14ac:dyDescent="0.3">
      <c r="B223" s="269"/>
      <c r="C223" s="230"/>
      <c r="D223" s="233"/>
      <c r="E223" s="235"/>
      <c r="F223" s="121" t="s">
        <v>193</v>
      </c>
      <c r="G223" s="32"/>
      <c r="H223" s="13"/>
      <c r="I223" s="13"/>
      <c r="J223" s="14"/>
      <c r="K223" s="15">
        <f t="shared" si="784"/>
        <v>0</v>
      </c>
      <c r="L223" s="32"/>
      <c r="M223" s="13"/>
      <c r="N223" s="13"/>
      <c r="O223" s="14"/>
      <c r="P223" s="15">
        <f t="shared" si="772"/>
        <v>0</v>
      </c>
      <c r="Q223" s="32"/>
      <c r="R223" s="13"/>
      <c r="S223" s="13"/>
      <c r="T223" s="14"/>
      <c r="U223" s="15">
        <f t="shared" si="773"/>
        <v>0</v>
      </c>
      <c r="V223" s="32"/>
      <c r="W223" s="13"/>
      <c r="X223" s="13"/>
      <c r="Y223" s="14"/>
      <c r="Z223" s="15">
        <f t="shared" si="774"/>
        <v>0</v>
      </c>
      <c r="AA223" s="32">
        <v>33</v>
      </c>
      <c r="AB223" s="13"/>
      <c r="AC223" s="13"/>
      <c r="AD223" s="14"/>
      <c r="AE223" s="15">
        <f t="shared" si="775"/>
        <v>33</v>
      </c>
      <c r="AF223" s="32"/>
      <c r="AG223" s="13"/>
      <c r="AH223" s="13"/>
      <c r="AI223" s="14"/>
      <c r="AJ223" s="15">
        <f t="shared" si="776"/>
        <v>0</v>
      </c>
      <c r="AK223" s="32"/>
      <c r="AL223" s="13"/>
      <c r="AM223" s="13"/>
      <c r="AN223" s="14"/>
      <c r="AO223" s="15">
        <f t="shared" si="777"/>
        <v>0</v>
      </c>
      <c r="AP223" s="32"/>
      <c r="AQ223" s="13"/>
      <c r="AR223" s="13"/>
      <c r="AS223" s="14"/>
      <c r="AT223" s="15">
        <f t="shared" si="778"/>
        <v>0</v>
      </c>
      <c r="AU223" s="32"/>
      <c r="AV223" s="13"/>
      <c r="AW223" s="13"/>
      <c r="AX223" s="14"/>
      <c r="AY223" s="15">
        <f t="shared" si="779"/>
        <v>0</v>
      </c>
      <c r="AZ223" s="32"/>
      <c r="BA223" s="13"/>
      <c r="BB223" s="13"/>
      <c r="BC223" s="14"/>
      <c r="BD223" s="15">
        <f t="shared" si="780"/>
        <v>0</v>
      </c>
      <c r="BE223" s="32"/>
      <c r="BF223" s="13"/>
      <c r="BG223" s="13"/>
      <c r="BH223" s="14"/>
      <c r="BI223" s="15">
        <f t="shared" si="781"/>
        <v>0</v>
      </c>
      <c r="BJ223" s="32"/>
      <c r="BK223" s="13"/>
      <c r="BL223" s="13"/>
      <c r="BM223" s="14"/>
      <c r="BN223" s="15">
        <f t="shared" si="782"/>
        <v>0</v>
      </c>
      <c r="BO223" s="66">
        <f t="shared" si="670"/>
        <v>33</v>
      </c>
      <c r="BP223" s="13">
        <f t="shared" si="671"/>
        <v>0</v>
      </c>
      <c r="BQ223" s="13">
        <f t="shared" si="672"/>
        <v>0</v>
      </c>
      <c r="BR223" s="14">
        <f t="shared" si="673"/>
        <v>0</v>
      </c>
      <c r="BS223" s="33">
        <f t="shared" si="785"/>
        <v>33</v>
      </c>
    </row>
    <row r="224" spans="2:71" x14ac:dyDescent="0.3">
      <c r="B224" s="269"/>
      <c r="C224" s="230"/>
      <c r="D224" s="233"/>
      <c r="E224" s="235"/>
      <c r="F224" s="121" t="s">
        <v>194</v>
      </c>
      <c r="G224" s="32"/>
      <c r="H224" s="13"/>
      <c r="I224" s="13"/>
      <c r="J224" s="14"/>
      <c r="K224" s="15">
        <f t="shared" si="784"/>
        <v>0</v>
      </c>
      <c r="L224" s="32"/>
      <c r="M224" s="13"/>
      <c r="N224" s="13"/>
      <c r="O224" s="14"/>
      <c r="P224" s="15">
        <f t="shared" si="772"/>
        <v>0</v>
      </c>
      <c r="Q224" s="32"/>
      <c r="R224" s="13"/>
      <c r="S224" s="13"/>
      <c r="T224" s="14"/>
      <c r="U224" s="15">
        <f t="shared" si="773"/>
        <v>0</v>
      </c>
      <c r="V224" s="32"/>
      <c r="W224" s="13"/>
      <c r="X224" s="13"/>
      <c r="Y224" s="14"/>
      <c r="Z224" s="15">
        <f t="shared" si="774"/>
        <v>0</v>
      </c>
      <c r="AA224" s="32">
        <v>19</v>
      </c>
      <c r="AB224" s="13"/>
      <c r="AC224" s="13"/>
      <c r="AD224" s="14"/>
      <c r="AE224" s="15">
        <f t="shared" si="775"/>
        <v>19</v>
      </c>
      <c r="AF224" s="32"/>
      <c r="AG224" s="13"/>
      <c r="AH224" s="13"/>
      <c r="AI224" s="14"/>
      <c r="AJ224" s="15">
        <f t="shared" si="776"/>
        <v>0</v>
      </c>
      <c r="AK224" s="32"/>
      <c r="AL224" s="13"/>
      <c r="AM224" s="13"/>
      <c r="AN224" s="14"/>
      <c r="AO224" s="15">
        <f t="shared" si="777"/>
        <v>0</v>
      </c>
      <c r="AP224" s="32"/>
      <c r="AQ224" s="13"/>
      <c r="AR224" s="13"/>
      <c r="AS224" s="14"/>
      <c r="AT224" s="15">
        <f t="shared" si="778"/>
        <v>0</v>
      </c>
      <c r="AU224" s="32"/>
      <c r="AV224" s="13"/>
      <c r="AW224" s="13"/>
      <c r="AX224" s="14"/>
      <c r="AY224" s="15">
        <f t="shared" si="779"/>
        <v>0</v>
      </c>
      <c r="AZ224" s="32"/>
      <c r="BA224" s="13"/>
      <c r="BB224" s="13"/>
      <c r="BC224" s="14"/>
      <c r="BD224" s="15">
        <f t="shared" si="780"/>
        <v>0</v>
      </c>
      <c r="BE224" s="32"/>
      <c r="BF224" s="13"/>
      <c r="BG224" s="13"/>
      <c r="BH224" s="14"/>
      <c r="BI224" s="15">
        <f t="shared" si="781"/>
        <v>0</v>
      </c>
      <c r="BJ224" s="32"/>
      <c r="BK224" s="13"/>
      <c r="BL224" s="13"/>
      <c r="BM224" s="14"/>
      <c r="BN224" s="15">
        <f t="shared" si="782"/>
        <v>0</v>
      </c>
      <c r="BO224" s="66">
        <f t="shared" si="670"/>
        <v>19</v>
      </c>
      <c r="BP224" s="13">
        <f t="shared" si="671"/>
        <v>0</v>
      </c>
      <c r="BQ224" s="13">
        <f t="shared" si="672"/>
        <v>0</v>
      </c>
      <c r="BR224" s="14">
        <f t="shared" si="673"/>
        <v>0</v>
      </c>
      <c r="BS224" s="33">
        <f t="shared" si="785"/>
        <v>19</v>
      </c>
    </row>
    <row r="225" spans="2:71" x14ac:dyDescent="0.3">
      <c r="B225" s="269"/>
      <c r="C225" s="230"/>
      <c r="D225" s="233"/>
      <c r="E225" s="235"/>
      <c r="F225" s="121" t="s">
        <v>195</v>
      </c>
      <c r="G225" s="32"/>
      <c r="H225" s="13"/>
      <c r="I225" s="13"/>
      <c r="J225" s="14"/>
      <c r="K225" s="15">
        <f t="shared" si="784"/>
        <v>0</v>
      </c>
      <c r="L225" s="32"/>
      <c r="M225" s="13"/>
      <c r="N225" s="13"/>
      <c r="O225" s="14"/>
      <c r="P225" s="15">
        <f t="shared" si="772"/>
        <v>0</v>
      </c>
      <c r="Q225" s="32"/>
      <c r="R225" s="13"/>
      <c r="S225" s="13"/>
      <c r="T225" s="14"/>
      <c r="U225" s="15">
        <f t="shared" si="773"/>
        <v>0</v>
      </c>
      <c r="V225" s="32"/>
      <c r="W225" s="13"/>
      <c r="X225" s="13"/>
      <c r="Y225" s="14"/>
      <c r="Z225" s="15">
        <f t="shared" si="774"/>
        <v>0</v>
      </c>
      <c r="AA225" s="32"/>
      <c r="AB225" s="13"/>
      <c r="AC225" s="13"/>
      <c r="AD225" s="14"/>
      <c r="AE225" s="15">
        <f t="shared" si="775"/>
        <v>0</v>
      </c>
      <c r="AF225" s="32">
        <v>2</v>
      </c>
      <c r="AG225" s="13"/>
      <c r="AH225" s="13"/>
      <c r="AI225" s="14"/>
      <c r="AJ225" s="15">
        <f t="shared" si="776"/>
        <v>2</v>
      </c>
      <c r="AK225" s="32">
        <v>8</v>
      </c>
      <c r="AL225" s="13"/>
      <c r="AM225" s="13"/>
      <c r="AN225" s="14"/>
      <c r="AO225" s="15">
        <f t="shared" si="777"/>
        <v>8</v>
      </c>
      <c r="AP225" s="32">
        <v>9</v>
      </c>
      <c r="AQ225" s="13"/>
      <c r="AR225" s="13"/>
      <c r="AS225" s="14"/>
      <c r="AT225" s="15">
        <f t="shared" si="778"/>
        <v>9</v>
      </c>
      <c r="AU225" s="32"/>
      <c r="AV225" s="13"/>
      <c r="AW225" s="13"/>
      <c r="AX225" s="14"/>
      <c r="AY225" s="15">
        <f t="shared" si="779"/>
        <v>0</v>
      </c>
      <c r="AZ225" s="32"/>
      <c r="BA225" s="13"/>
      <c r="BB225" s="13"/>
      <c r="BC225" s="14"/>
      <c r="BD225" s="15">
        <f t="shared" si="780"/>
        <v>0</v>
      </c>
      <c r="BE225" s="32"/>
      <c r="BF225" s="13"/>
      <c r="BG225" s="13"/>
      <c r="BH225" s="14"/>
      <c r="BI225" s="15">
        <f t="shared" si="781"/>
        <v>0</v>
      </c>
      <c r="BJ225" s="32"/>
      <c r="BK225" s="13"/>
      <c r="BL225" s="13"/>
      <c r="BM225" s="14"/>
      <c r="BN225" s="15">
        <f t="shared" si="782"/>
        <v>0</v>
      </c>
      <c r="BO225" s="66">
        <f t="shared" si="670"/>
        <v>19</v>
      </c>
      <c r="BP225" s="13">
        <f t="shared" si="671"/>
        <v>0</v>
      </c>
      <c r="BQ225" s="13">
        <f t="shared" si="672"/>
        <v>0</v>
      </c>
      <c r="BR225" s="14">
        <f t="shared" si="673"/>
        <v>0</v>
      </c>
      <c r="BS225" s="33">
        <f t="shared" si="785"/>
        <v>19</v>
      </c>
    </row>
    <row r="226" spans="2:71" x14ac:dyDescent="0.3">
      <c r="B226" s="269"/>
      <c r="C226" s="230"/>
      <c r="D226" s="234"/>
      <c r="E226" s="236" t="s">
        <v>57</v>
      </c>
      <c r="F226" s="237"/>
      <c r="G226" s="38">
        <f>SUM(G134:G225)</f>
        <v>5687</v>
      </c>
      <c r="H226" s="19">
        <f>SUM(H134:H225)</f>
        <v>1151</v>
      </c>
      <c r="I226" s="19">
        <f>SUM(I134:I225)</f>
        <v>3345</v>
      </c>
      <c r="J226" s="20">
        <f>SUM(J134:J225)</f>
        <v>0</v>
      </c>
      <c r="K226" s="21">
        <f t="shared" si="409"/>
        <v>10183</v>
      </c>
      <c r="L226" s="38">
        <f>SUM(L134:L225)</f>
        <v>9980</v>
      </c>
      <c r="M226" s="19">
        <f>SUM(M134:M225)</f>
        <v>2754</v>
      </c>
      <c r="N226" s="19">
        <f>SUM(N134:N225)</f>
        <v>4399</v>
      </c>
      <c r="O226" s="20">
        <f>SUM(O134:O225)</f>
        <v>0</v>
      </c>
      <c r="P226" s="21">
        <f t="shared" si="772"/>
        <v>17133</v>
      </c>
      <c r="Q226" s="38">
        <f>SUM(Q134:Q225)</f>
        <v>3427</v>
      </c>
      <c r="R226" s="19">
        <f>SUM(R134:R225)</f>
        <v>726</v>
      </c>
      <c r="S226" s="19">
        <f>SUM(S134:S225)</f>
        <v>3039</v>
      </c>
      <c r="T226" s="20">
        <f>SUM(T134:T225)</f>
        <v>0</v>
      </c>
      <c r="U226" s="21">
        <f t="shared" si="773"/>
        <v>7192</v>
      </c>
      <c r="V226" s="38">
        <f>SUM(V134:V225)</f>
        <v>3990</v>
      </c>
      <c r="W226" s="19">
        <f>SUM(W134:W225)</f>
        <v>662</v>
      </c>
      <c r="X226" s="19">
        <f>SUM(X134:X225)</f>
        <v>2540</v>
      </c>
      <c r="Y226" s="20">
        <f>SUM(Y134:Y225)</f>
        <v>0</v>
      </c>
      <c r="Z226" s="21">
        <f t="shared" si="774"/>
        <v>7192</v>
      </c>
      <c r="AA226" s="38">
        <f>SUM(AA134:AA225)</f>
        <v>3689</v>
      </c>
      <c r="AB226" s="19">
        <f>SUM(AB134:AB225)</f>
        <v>603</v>
      </c>
      <c r="AC226" s="19">
        <f>SUM(AC134:AC225)</f>
        <v>3016</v>
      </c>
      <c r="AD226" s="20">
        <f>SUM(AD134:AD225)</f>
        <v>0</v>
      </c>
      <c r="AE226" s="21">
        <f t="shared" si="775"/>
        <v>7308</v>
      </c>
      <c r="AF226" s="38">
        <f>SUM(AF134:AF225)</f>
        <v>3901</v>
      </c>
      <c r="AG226" s="19">
        <f>SUM(AG134:AG225)</f>
        <v>521</v>
      </c>
      <c r="AH226" s="19">
        <f>SUM(AH134:AH225)</f>
        <v>3683</v>
      </c>
      <c r="AI226" s="20">
        <f>SUM(AI134:AI225)</f>
        <v>0</v>
      </c>
      <c r="AJ226" s="21">
        <f t="shared" si="776"/>
        <v>8105</v>
      </c>
      <c r="AK226" s="38">
        <f>SUM(AK134:AK225)</f>
        <v>2946</v>
      </c>
      <c r="AL226" s="19">
        <f>SUM(AL134:AL225)</f>
        <v>455</v>
      </c>
      <c r="AM226" s="19">
        <f>SUM(AM134:AM225)</f>
        <v>1504</v>
      </c>
      <c r="AN226" s="20">
        <f>SUM(AN134:AN225)</f>
        <v>0</v>
      </c>
      <c r="AO226" s="21">
        <f t="shared" si="777"/>
        <v>4905</v>
      </c>
      <c r="AP226" s="38">
        <f>SUM(AP134:AP225)</f>
        <v>3388</v>
      </c>
      <c r="AQ226" s="19">
        <f>SUM(AQ134:AQ225)</f>
        <v>865</v>
      </c>
      <c r="AR226" s="19">
        <f>SUM(AR134:AR225)</f>
        <v>2578</v>
      </c>
      <c r="AS226" s="20">
        <f>SUM(AS134:AS225)</f>
        <v>0</v>
      </c>
      <c r="AT226" s="21">
        <f t="shared" si="778"/>
        <v>6831</v>
      </c>
      <c r="AU226" s="38">
        <f>SUM(AU134:AU225)</f>
        <v>3706</v>
      </c>
      <c r="AV226" s="19">
        <f>SUM(AV134:AV225)</f>
        <v>475</v>
      </c>
      <c r="AW226" s="19">
        <f>SUM(AW134:AW225)</f>
        <v>4130</v>
      </c>
      <c r="AX226" s="20">
        <f>SUM(AX134:AX225)</f>
        <v>0</v>
      </c>
      <c r="AY226" s="21">
        <f t="shared" si="779"/>
        <v>8311</v>
      </c>
      <c r="AZ226" s="38">
        <f>SUM(AZ134:AZ225)</f>
        <v>6629</v>
      </c>
      <c r="BA226" s="19">
        <f>SUM(BA134:BA225)</f>
        <v>1033</v>
      </c>
      <c r="BB226" s="19">
        <f>SUM(BB134:BB225)</f>
        <v>6433</v>
      </c>
      <c r="BC226" s="20">
        <f>SUM(BC134:BC225)</f>
        <v>0</v>
      </c>
      <c r="BD226" s="21">
        <f t="shared" si="780"/>
        <v>14095</v>
      </c>
      <c r="BE226" s="38">
        <f>SUM(BE134:BE225)</f>
        <v>4663</v>
      </c>
      <c r="BF226" s="19">
        <f>SUM(BF134:BF225)</f>
        <v>855</v>
      </c>
      <c r="BG226" s="19">
        <f>SUM(BG134:BG225)</f>
        <v>1471</v>
      </c>
      <c r="BH226" s="20">
        <f>SUM(BH134:BH225)</f>
        <v>0</v>
      </c>
      <c r="BI226" s="21">
        <f t="shared" si="781"/>
        <v>6989</v>
      </c>
      <c r="BJ226" s="38">
        <f>SUM(BJ134:BJ225)</f>
        <v>3442</v>
      </c>
      <c r="BK226" s="19">
        <f>SUM(BK134:BK225)</f>
        <v>1157</v>
      </c>
      <c r="BL226" s="19">
        <f>SUM(BL134:BL225)</f>
        <v>1959</v>
      </c>
      <c r="BM226" s="20">
        <f>SUM(BM134:BM225)</f>
        <v>0</v>
      </c>
      <c r="BN226" s="21">
        <f t="shared" si="782"/>
        <v>6558</v>
      </c>
      <c r="BO226" s="69">
        <f>SUM(BO134:BO225)</f>
        <v>55448</v>
      </c>
      <c r="BP226" s="19">
        <f>SUM(BP134:BP225)</f>
        <v>11257</v>
      </c>
      <c r="BQ226" s="19">
        <f>SUM(BQ134:BQ225)</f>
        <v>38097</v>
      </c>
      <c r="BR226" s="20">
        <f>SUM(BR134:BR225)</f>
        <v>0</v>
      </c>
      <c r="BS226" s="39">
        <f t="shared" si="414"/>
        <v>104802</v>
      </c>
    </row>
    <row r="227" spans="2:71" x14ac:dyDescent="0.3">
      <c r="B227" s="269"/>
      <c r="C227" s="231"/>
      <c r="D227" s="238" t="s">
        <v>4</v>
      </c>
      <c r="E227" s="238"/>
      <c r="F227" s="238"/>
      <c r="G227" s="40">
        <f>G226</f>
        <v>5687</v>
      </c>
      <c r="H227" s="22">
        <f>H226</f>
        <v>1151</v>
      </c>
      <c r="I227" s="22">
        <f>I226</f>
        <v>3345</v>
      </c>
      <c r="J227" s="23">
        <f>J226</f>
        <v>0</v>
      </c>
      <c r="K227" s="24">
        <f t="shared" ref="K227" si="786">SUM(G227:J227)</f>
        <v>10183</v>
      </c>
      <c r="L227" s="40">
        <f>L226</f>
        <v>9980</v>
      </c>
      <c r="M227" s="22">
        <f>M226</f>
        <v>2754</v>
      </c>
      <c r="N227" s="22">
        <f>N226</f>
        <v>4399</v>
      </c>
      <c r="O227" s="23">
        <f>O226</f>
        <v>0</v>
      </c>
      <c r="P227" s="24">
        <f t="shared" ref="P227" si="787">SUM(L227:O227)</f>
        <v>17133</v>
      </c>
      <c r="Q227" s="40">
        <f>Q226</f>
        <v>3427</v>
      </c>
      <c r="R227" s="22">
        <f>R226</f>
        <v>726</v>
      </c>
      <c r="S227" s="22">
        <f>S226</f>
        <v>3039</v>
      </c>
      <c r="T227" s="23">
        <f>T226</f>
        <v>0</v>
      </c>
      <c r="U227" s="24">
        <f t="shared" ref="U227" si="788">SUM(Q227:T227)</f>
        <v>7192</v>
      </c>
      <c r="V227" s="40">
        <f>V226</f>
        <v>3990</v>
      </c>
      <c r="W227" s="22">
        <f>W226</f>
        <v>662</v>
      </c>
      <c r="X227" s="22">
        <f>X226</f>
        <v>2540</v>
      </c>
      <c r="Y227" s="23">
        <f>Y226</f>
        <v>0</v>
      </c>
      <c r="Z227" s="24">
        <f t="shared" ref="Z227" si="789">SUM(V227:Y227)</f>
        <v>7192</v>
      </c>
      <c r="AA227" s="40">
        <f>AA226</f>
        <v>3689</v>
      </c>
      <c r="AB227" s="22">
        <f>AB226</f>
        <v>603</v>
      </c>
      <c r="AC227" s="22">
        <f>AC226</f>
        <v>3016</v>
      </c>
      <c r="AD227" s="23">
        <f>AD226</f>
        <v>0</v>
      </c>
      <c r="AE227" s="24">
        <f t="shared" ref="AE227" si="790">SUM(AA227:AD227)</f>
        <v>7308</v>
      </c>
      <c r="AF227" s="40">
        <f>AF226</f>
        <v>3901</v>
      </c>
      <c r="AG227" s="22">
        <f>AG226</f>
        <v>521</v>
      </c>
      <c r="AH227" s="22">
        <f>AH226</f>
        <v>3683</v>
      </c>
      <c r="AI227" s="23">
        <f>AI226</f>
        <v>0</v>
      </c>
      <c r="AJ227" s="24">
        <f t="shared" ref="AJ227" si="791">SUM(AF227:AI227)</f>
        <v>8105</v>
      </c>
      <c r="AK227" s="40">
        <f>AK226</f>
        <v>2946</v>
      </c>
      <c r="AL227" s="22">
        <f>AL226</f>
        <v>455</v>
      </c>
      <c r="AM227" s="22">
        <f>AM226</f>
        <v>1504</v>
      </c>
      <c r="AN227" s="23">
        <f>AN226</f>
        <v>0</v>
      </c>
      <c r="AO227" s="24">
        <f t="shared" ref="AO227" si="792">SUM(AK227:AN227)</f>
        <v>4905</v>
      </c>
      <c r="AP227" s="40">
        <f>AP226</f>
        <v>3388</v>
      </c>
      <c r="AQ227" s="22">
        <f>AQ226</f>
        <v>865</v>
      </c>
      <c r="AR227" s="22">
        <f>AR226</f>
        <v>2578</v>
      </c>
      <c r="AS227" s="23">
        <f>AS226</f>
        <v>0</v>
      </c>
      <c r="AT227" s="24">
        <f t="shared" ref="AT227" si="793">SUM(AP227:AS227)</f>
        <v>6831</v>
      </c>
      <c r="AU227" s="40">
        <f>AU226</f>
        <v>3706</v>
      </c>
      <c r="AV227" s="22">
        <f>AV226</f>
        <v>475</v>
      </c>
      <c r="AW227" s="22">
        <f>AW226</f>
        <v>4130</v>
      </c>
      <c r="AX227" s="23">
        <f>AX226</f>
        <v>0</v>
      </c>
      <c r="AY227" s="24">
        <f t="shared" ref="AY227" si="794">SUM(AU227:AX227)</f>
        <v>8311</v>
      </c>
      <c r="AZ227" s="40">
        <f>AZ226</f>
        <v>6629</v>
      </c>
      <c r="BA227" s="22">
        <f>BA226</f>
        <v>1033</v>
      </c>
      <c r="BB227" s="22">
        <f>BB226</f>
        <v>6433</v>
      </c>
      <c r="BC227" s="23">
        <f>BC226</f>
        <v>0</v>
      </c>
      <c r="BD227" s="24">
        <f t="shared" ref="BD227" si="795">SUM(AZ227:BC227)</f>
        <v>14095</v>
      </c>
      <c r="BE227" s="40">
        <f>BE226</f>
        <v>4663</v>
      </c>
      <c r="BF227" s="22">
        <f>BF226</f>
        <v>855</v>
      </c>
      <c r="BG227" s="22">
        <f>BG226</f>
        <v>1471</v>
      </c>
      <c r="BH227" s="23">
        <f>BH226</f>
        <v>0</v>
      </c>
      <c r="BI227" s="24">
        <f t="shared" ref="BI227" si="796">SUM(BE227:BH227)</f>
        <v>6989</v>
      </c>
      <c r="BJ227" s="40">
        <f>BJ226</f>
        <v>3442</v>
      </c>
      <c r="BK227" s="22">
        <f>BK226</f>
        <v>1157</v>
      </c>
      <c r="BL227" s="22">
        <f>BL226</f>
        <v>1959</v>
      </c>
      <c r="BM227" s="23">
        <f>BM226</f>
        <v>0</v>
      </c>
      <c r="BN227" s="24">
        <f t="shared" ref="BN227" si="797">SUM(BJ227:BM227)</f>
        <v>6558</v>
      </c>
      <c r="BO227" s="68">
        <f>BO226</f>
        <v>55448</v>
      </c>
      <c r="BP227" s="22">
        <f>BP226</f>
        <v>11257</v>
      </c>
      <c r="BQ227" s="22">
        <f>BQ226</f>
        <v>38097</v>
      </c>
      <c r="BR227" s="23">
        <f>BR226</f>
        <v>0</v>
      </c>
      <c r="BS227" s="41">
        <f t="shared" ref="BS227" si="798">SUM(BO227:BR227)</f>
        <v>104802</v>
      </c>
    </row>
    <row r="228" spans="2:71" x14ac:dyDescent="0.3">
      <c r="B228" s="269"/>
      <c r="C228" s="229" t="s">
        <v>1</v>
      </c>
      <c r="D228" s="249"/>
      <c r="E228" s="249"/>
      <c r="F228" s="120" t="s">
        <v>218</v>
      </c>
      <c r="G228" s="30">
        <v>4038</v>
      </c>
      <c r="H228" s="7"/>
      <c r="I228" s="7"/>
      <c r="J228" s="8"/>
      <c r="K228" s="9">
        <f t="shared" ref="K228:K243" si="799">SUM(G228:J228)</f>
        <v>4038</v>
      </c>
      <c r="L228" s="30">
        <v>4759</v>
      </c>
      <c r="M228" s="7"/>
      <c r="N228" s="7"/>
      <c r="O228" s="8"/>
      <c r="P228" s="9">
        <f t="shared" ref="P228" si="800">SUM(L228:O228)</f>
        <v>4759</v>
      </c>
      <c r="Q228" s="30">
        <v>3767</v>
      </c>
      <c r="R228" s="7"/>
      <c r="S228" s="7"/>
      <c r="T228" s="8"/>
      <c r="U228" s="9">
        <f t="shared" ref="U228" si="801">SUM(Q228:T228)</f>
        <v>3767</v>
      </c>
      <c r="V228" s="30">
        <v>5796</v>
      </c>
      <c r="W228" s="7"/>
      <c r="X228" s="7"/>
      <c r="Y228" s="8"/>
      <c r="Z228" s="9">
        <f t="shared" ref="Z228" si="802">SUM(V228:Y228)</f>
        <v>5796</v>
      </c>
      <c r="AA228" s="30">
        <v>5460</v>
      </c>
      <c r="AB228" s="7"/>
      <c r="AC228" s="7"/>
      <c r="AD228" s="8"/>
      <c r="AE228" s="9">
        <f t="shared" ref="AE228" si="803">SUM(AA228:AD228)</f>
        <v>5460</v>
      </c>
      <c r="AF228" s="30">
        <v>4613</v>
      </c>
      <c r="AG228" s="7"/>
      <c r="AH228" s="7"/>
      <c r="AI228" s="8"/>
      <c r="AJ228" s="9">
        <f t="shared" ref="AJ228" si="804">SUM(AF228:AI228)</f>
        <v>4613</v>
      </c>
      <c r="AK228" s="30">
        <v>2272</v>
      </c>
      <c r="AL228" s="7"/>
      <c r="AM228" s="7"/>
      <c r="AN228" s="8"/>
      <c r="AO228" s="9">
        <f t="shared" ref="AO228" si="805">SUM(AK228:AN228)</f>
        <v>2272</v>
      </c>
      <c r="AP228" s="30">
        <v>2990</v>
      </c>
      <c r="AQ228" s="7"/>
      <c r="AR228" s="7"/>
      <c r="AS228" s="8"/>
      <c r="AT228" s="9">
        <f t="shared" ref="AT228" si="806">SUM(AP228:AS228)</f>
        <v>2990</v>
      </c>
      <c r="AU228" s="30">
        <v>5692</v>
      </c>
      <c r="AV228" s="7"/>
      <c r="AW228" s="7"/>
      <c r="AX228" s="8"/>
      <c r="AY228" s="9">
        <f t="shared" ref="AY228" si="807">SUM(AU228:AX228)</f>
        <v>5692</v>
      </c>
      <c r="AZ228" s="30">
        <v>9170</v>
      </c>
      <c r="BA228" s="7"/>
      <c r="BB228" s="7"/>
      <c r="BC228" s="8"/>
      <c r="BD228" s="9">
        <f t="shared" ref="BD228" si="808">SUM(AZ228:BC228)</f>
        <v>9170</v>
      </c>
      <c r="BE228" s="30">
        <v>2720</v>
      </c>
      <c r="BF228" s="7"/>
      <c r="BG228" s="7"/>
      <c r="BH228" s="8"/>
      <c r="BI228" s="9">
        <f t="shared" ref="BI228" si="809">SUM(BE228:BH228)</f>
        <v>2720</v>
      </c>
      <c r="BJ228" s="30">
        <v>3576</v>
      </c>
      <c r="BK228" s="7"/>
      <c r="BL228" s="7"/>
      <c r="BM228" s="8"/>
      <c r="BN228" s="9">
        <f t="shared" ref="BN228" si="810">SUM(BJ228:BM228)</f>
        <v>3576</v>
      </c>
      <c r="BO228" s="65">
        <f t="shared" ref="BO228:BO250" si="811">SUM(G228,L228,Q228,V228,AA228,AF228,AK228,AP228,AU228,AZ228,BE228,BJ228)</f>
        <v>54853</v>
      </c>
      <c r="BP228" s="7">
        <f t="shared" ref="BP228:BP250" si="812">SUM(H228,M228,R228,W228,AB228,AG228,AL228,AQ228,AV228,BA228,BF228,BK228)</f>
        <v>0</v>
      </c>
      <c r="BQ228" s="7">
        <f t="shared" ref="BQ228:BQ250" si="813">SUM(I228,N228,S228,X228,AC228,AH228,AM228,AR228,AW228,BB228,BG228,BL228)</f>
        <v>0</v>
      </c>
      <c r="BR228" s="8">
        <f t="shared" ref="BR228:BR250" si="814">SUM(J228,O228,T228,Y228,AD228,AI228,AN228,AS228,AX228,BC228,BH228,BM228)</f>
        <v>0</v>
      </c>
      <c r="BS228" s="31">
        <f t="shared" ref="BS228:BS243" si="815">SUM(BO228:BR228)</f>
        <v>54853</v>
      </c>
    </row>
    <row r="229" spans="2:71" x14ac:dyDescent="0.3">
      <c r="B229" s="269"/>
      <c r="C229" s="230"/>
      <c r="D229" s="250"/>
      <c r="E229" s="250"/>
      <c r="F229" s="123" t="s">
        <v>216</v>
      </c>
      <c r="G229" s="34">
        <v>418</v>
      </c>
      <c r="H229" s="16"/>
      <c r="I229" s="16"/>
      <c r="J229" s="17"/>
      <c r="K229" s="18">
        <f t="shared" ref="K229" si="816">SUM(G229:J229)</f>
        <v>418</v>
      </c>
      <c r="L229" s="34">
        <v>615</v>
      </c>
      <c r="M229" s="16"/>
      <c r="N229" s="16"/>
      <c r="O229" s="17"/>
      <c r="P229" s="18">
        <f t="shared" ref="P229:P230" si="817">SUM(L229:O229)</f>
        <v>615</v>
      </c>
      <c r="Q229" s="34">
        <v>934</v>
      </c>
      <c r="R229" s="16"/>
      <c r="S229" s="16"/>
      <c r="T229" s="17"/>
      <c r="U229" s="18">
        <f t="shared" ref="U229:U230" si="818">SUM(Q229:T229)</f>
        <v>934</v>
      </c>
      <c r="V229" s="34">
        <v>1865</v>
      </c>
      <c r="W229" s="16"/>
      <c r="X229" s="16"/>
      <c r="Y229" s="17"/>
      <c r="Z229" s="18">
        <f t="shared" ref="Z229:Z230" si="819">SUM(V229:Y229)</f>
        <v>1865</v>
      </c>
      <c r="AA229" s="34">
        <v>1728</v>
      </c>
      <c r="AB229" s="16"/>
      <c r="AC229" s="16"/>
      <c r="AD229" s="17"/>
      <c r="AE229" s="18">
        <f t="shared" ref="AE229:AE230" si="820">SUM(AA229:AD229)</f>
        <v>1728</v>
      </c>
      <c r="AF229" s="34">
        <v>1644</v>
      </c>
      <c r="AG229" s="16"/>
      <c r="AH229" s="16"/>
      <c r="AI229" s="17"/>
      <c r="AJ229" s="18">
        <f t="shared" ref="AJ229:AJ230" si="821">SUM(AF229:AI229)</f>
        <v>1644</v>
      </c>
      <c r="AK229" s="34">
        <v>1002</v>
      </c>
      <c r="AL229" s="16"/>
      <c r="AM229" s="16"/>
      <c r="AN229" s="17"/>
      <c r="AO229" s="18">
        <f t="shared" ref="AO229:AO230" si="822">SUM(AK229:AN229)</f>
        <v>1002</v>
      </c>
      <c r="AP229" s="34">
        <f>1685</f>
        <v>1685</v>
      </c>
      <c r="AQ229" s="16"/>
      <c r="AR229" s="16"/>
      <c r="AS229" s="17"/>
      <c r="AT229" s="18">
        <f t="shared" ref="AT229:AT230" si="823">SUM(AP229:AS229)</f>
        <v>1685</v>
      </c>
      <c r="AU229" s="34">
        <v>2380</v>
      </c>
      <c r="AV229" s="16"/>
      <c r="AW229" s="16"/>
      <c r="AX229" s="17"/>
      <c r="AY229" s="18">
        <f t="shared" ref="AY229:AY230" si="824">SUM(AU229:AX229)</f>
        <v>2380</v>
      </c>
      <c r="AZ229" s="34">
        <v>3219</v>
      </c>
      <c r="BA229" s="16"/>
      <c r="BB229" s="16"/>
      <c r="BC229" s="17"/>
      <c r="BD229" s="18">
        <f t="shared" ref="BD229:BD230" si="825">SUM(AZ229:BC229)</f>
        <v>3219</v>
      </c>
      <c r="BE229" s="34">
        <v>956</v>
      </c>
      <c r="BF229" s="16"/>
      <c r="BG229" s="16"/>
      <c r="BH229" s="17"/>
      <c r="BI229" s="18">
        <f t="shared" ref="BI229:BI230" si="826">SUM(BE229:BH229)</f>
        <v>956</v>
      </c>
      <c r="BJ229" s="34">
        <v>869</v>
      </c>
      <c r="BK229" s="16"/>
      <c r="BL229" s="16"/>
      <c r="BM229" s="17"/>
      <c r="BN229" s="18">
        <f t="shared" ref="BN229:BN230" si="827">SUM(BJ229:BM229)</f>
        <v>869</v>
      </c>
      <c r="BO229" s="70">
        <f t="shared" si="811"/>
        <v>17315</v>
      </c>
      <c r="BP229" s="16">
        <f t="shared" si="812"/>
        <v>0</v>
      </c>
      <c r="BQ229" s="16">
        <f t="shared" si="813"/>
        <v>0</v>
      </c>
      <c r="BR229" s="17">
        <f t="shared" si="814"/>
        <v>0</v>
      </c>
      <c r="BS229" s="35">
        <f t="shared" ref="BS229" si="828">SUM(BO229:BR229)</f>
        <v>17315</v>
      </c>
    </row>
    <row r="230" spans="2:71" x14ac:dyDescent="0.3">
      <c r="B230" s="269"/>
      <c r="C230" s="230"/>
      <c r="D230" s="250"/>
      <c r="E230" s="250"/>
      <c r="F230" s="123" t="s">
        <v>217</v>
      </c>
      <c r="G230" s="34"/>
      <c r="H230" s="16"/>
      <c r="I230" s="16"/>
      <c r="J230" s="17"/>
      <c r="K230" s="18">
        <f t="shared" ref="K230" si="829">SUM(G230:J230)</f>
        <v>0</v>
      </c>
      <c r="L230" s="34"/>
      <c r="M230" s="16"/>
      <c r="N230" s="16"/>
      <c r="O230" s="17"/>
      <c r="P230" s="18">
        <f t="shared" si="817"/>
        <v>0</v>
      </c>
      <c r="Q230" s="34"/>
      <c r="R230" s="16"/>
      <c r="S230" s="16"/>
      <c r="T230" s="17"/>
      <c r="U230" s="18">
        <f t="shared" si="818"/>
        <v>0</v>
      </c>
      <c r="V230" s="34"/>
      <c r="W230" s="16"/>
      <c r="X230" s="16"/>
      <c r="Y230" s="17"/>
      <c r="Z230" s="18">
        <f t="shared" si="819"/>
        <v>0</v>
      </c>
      <c r="AA230" s="34">
        <v>290</v>
      </c>
      <c r="AB230" s="16"/>
      <c r="AC230" s="16"/>
      <c r="AD230" s="17"/>
      <c r="AE230" s="18">
        <f t="shared" si="820"/>
        <v>290</v>
      </c>
      <c r="AF230" s="34">
        <v>114</v>
      </c>
      <c r="AG230" s="16"/>
      <c r="AH230" s="16"/>
      <c r="AI230" s="17"/>
      <c r="AJ230" s="18">
        <f t="shared" si="821"/>
        <v>114</v>
      </c>
      <c r="AK230" s="34"/>
      <c r="AL230" s="16"/>
      <c r="AM230" s="16"/>
      <c r="AN230" s="17"/>
      <c r="AO230" s="18">
        <f t="shared" si="822"/>
        <v>0</v>
      </c>
      <c r="AP230" s="34">
        <v>91</v>
      </c>
      <c r="AQ230" s="16"/>
      <c r="AR230" s="16"/>
      <c r="AS230" s="17"/>
      <c r="AT230" s="18">
        <f t="shared" si="823"/>
        <v>91</v>
      </c>
      <c r="AU230" s="34">
        <v>23</v>
      </c>
      <c r="AV230" s="16"/>
      <c r="AW230" s="16"/>
      <c r="AX230" s="17"/>
      <c r="AY230" s="18">
        <f t="shared" si="824"/>
        <v>23</v>
      </c>
      <c r="AZ230" s="34">
        <f>5</f>
        <v>5</v>
      </c>
      <c r="BA230" s="16"/>
      <c r="BB230" s="16"/>
      <c r="BC230" s="17"/>
      <c r="BD230" s="18">
        <f t="shared" si="825"/>
        <v>5</v>
      </c>
      <c r="BE230" s="34">
        <v>99</v>
      </c>
      <c r="BF230" s="16"/>
      <c r="BG230" s="16"/>
      <c r="BH230" s="17"/>
      <c r="BI230" s="18">
        <f t="shared" si="826"/>
        <v>99</v>
      </c>
      <c r="BJ230" s="34">
        <v>60</v>
      </c>
      <c r="BK230" s="16"/>
      <c r="BL230" s="16"/>
      <c r="BM230" s="17"/>
      <c r="BN230" s="18">
        <f t="shared" si="827"/>
        <v>60</v>
      </c>
      <c r="BO230" s="70">
        <f t="shared" si="811"/>
        <v>682</v>
      </c>
      <c r="BP230" s="16">
        <f t="shared" si="812"/>
        <v>0</v>
      </c>
      <c r="BQ230" s="16">
        <f t="shared" si="813"/>
        <v>0</v>
      </c>
      <c r="BR230" s="17">
        <f t="shared" si="814"/>
        <v>0</v>
      </c>
      <c r="BS230" s="35">
        <f t="shared" ref="BS230" si="830">SUM(BO230:BR230)</f>
        <v>682</v>
      </c>
    </row>
    <row r="231" spans="2:71" x14ac:dyDescent="0.3">
      <c r="B231" s="269"/>
      <c r="C231" s="230"/>
      <c r="D231" s="250"/>
      <c r="E231" s="250"/>
      <c r="F231" s="123" t="s">
        <v>219</v>
      </c>
      <c r="G231" s="34">
        <v>105</v>
      </c>
      <c r="H231" s="16"/>
      <c r="I231" s="16"/>
      <c r="J231" s="17"/>
      <c r="K231" s="18">
        <f t="shared" si="799"/>
        <v>105</v>
      </c>
      <c r="L231" s="34">
        <v>139</v>
      </c>
      <c r="M231" s="16"/>
      <c r="N231" s="16"/>
      <c r="O231" s="17"/>
      <c r="P231" s="18">
        <f t="shared" ref="P231" si="831">SUM(L231:O231)</f>
        <v>139</v>
      </c>
      <c r="Q231" s="34"/>
      <c r="R231" s="16"/>
      <c r="S231" s="16"/>
      <c r="T231" s="17"/>
      <c r="U231" s="18">
        <f t="shared" ref="U231" si="832">SUM(Q231:T231)</f>
        <v>0</v>
      </c>
      <c r="V231" s="34">
        <v>389</v>
      </c>
      <c r="W231" s="16"/>
      <c r="X231" s="16"/>
      <c r="Y231" s="17"/>
      <c r="Z231" s="18">
        <f t="shared" ref="Z231" si="833">SUM(V231:Y231)</f>
        <v>389</v>
      </c>
      <c r="AA231" s="34">
        <v>715</v>
      </c>
      <c r="AB231" s="16"/>
      <c r="AC231" s="16"/>
      <c r="AD231" s="17"/>
      <c r="AE231" s="18">
        <f t="shared" ref="AE231" si="834">SUM(AA231:AD231)</f>
        <v>715</v>
      </c>
      <c r="AF231" s="34"/>
      <c r="AG231" s="16"/>
      <c r="AH231" s="16"/>
      <c r="AI231" s="17"/>
      <c r="AJ231" s="18">
        <f t="shared" ref="AJ231" si="835">SUM(AF231:AI231)</f>
        <v>0</v>
      </c>
      <c r="AK231" s="34"/>
      <c r="AL231" s="16"/>
      <c r="AM231" s="16"/>
      <c r="AN231" s="17"/>
      <c r="AO231" s="18">
        <f t="shared" ref="AO231" si="836">SUM(AK231:AN231)</f>
        <v>0</v>
      </c>
      <c r="AP231" s="34"/>
      <c r="AQ231" s="16"/>
      <c r="AR231" s="16"/>
      <c r="AS231" s="17"/>
      <c r="AT231" s="18">
        <f t="shared" ref="AT231" si="837">SUM(AP231:AS231)</f>
        <v>0</v>
      </c>
      <c r="AU231" s="34">
        <v>251</v>
      </c>
      <c r="AV231" s="16"/>
      <c r="AW231" s="16"/>
      <c r="AX231" s="17"/>
      <c r="AY231" s="18">
        <f t="shared" ref="AY231" si="838">SUM(AU231:AX231)</f>
        <v>251</v>
      </c>
      <c r="AZ231" s="34">
        <v>11</v>
      </c>
      <c r="BA231" s="16"/>
      <c r="BB231" s="16"/>
      <c r="BC231" s="17"/>
      <c r="BD231" s="18">
        <f t="shared" ref="BD231" si="839">SUM(AZ231:BC231)</f>
        <v>11</v>
      </c>
      <c r="BE231" s="34">
        <v>29</v>
      </c>
      <c r="BF231" s="16"/>
      <c r="BG231" s="16"/>
      <c r="BH231" s="17"/>
      <c r="BI231" s="18">
        <f t="shared" ref="BI231" si="840">SUM(BE231:BH231)</f>
        <v>29</v>
      </c>
      <c r="BJ231" s="34">
        <v>45</v>
      </c>
      <c r="BK231" s="16"/>
      <c r="BL231" s="16"/>
      <c r="BM231" s="17"/>
      <c r="BN231" s="18">
        <f t="shared" ref="BN231" si="841">SUM(BJ231:BM231)</f>
        <v>45</v>
      </c>
      <c r="BO231" s="70">
        <f t="shared" si="811"/>
        <v>1684</v>
      </c>
      <c r="BP231" s="16">
        <f t="shared" si="812"/>
        <v>0</v>
      </c>
      <c r="BQ231" s="16">
        <f t="shared" si="813"/>
        <v>0</v>
      </c>
      <c r="BR231" s="17">
        <f t="shared" si="814"/>
        <v>0</v>
      </c>
      <c r="BS231" s="35">
        <f t="shared" si="815"/>
        <v>1684</v>
      </c>
    </row>
    <row r="232" spans="2:71" x14ac:dyDescent="0.3">
      <c r="B232" s="269"/>
      <c r="C232" s="230"/>
      <c r="D232" s="250"/>
      <c r="E232" s="250"/>
      <c r="F232" s="123" t="s">
        <v>249</v>
      </c>
      <c r="G232" s="34"/>
      <c r="H232" s="16"/>
      <c r="I232" s="16"/>
      <c r="J232" s="17"/>
      <c r="K232" s="18">
        <f t="shared" ref="K232" si="842">SUM(G232:J232)</f>
        <v>0</v>
      </c>
      <c r="L232" s="34">
        <v>6729</v>
      </c>
      <c r="M232" s="16"/>
      <c r="N232" s="16"/>
      <c r="O232" s="17"/>
      <c r="P232" s="18">
        <f t="shared" ref="P232" si="843">SUM(L232:O232)</f>
        <v>6729</v>
      </c>
      <c r="Q232" s="34">
        <v>63</v>
      </c>
      <c r="R232" s="16"/>
      <c r="S232" s="16"/>
      <c r="T232" s="17"/>
      <c r="U232" s="18">
        <f t="shared" ref="U232" si="844">SUM(Q232:T232)</f>
        <v>63</v>
      </c>
      <c r="V232" s="34"/>
      <c r="W232" s="16"/>
      <c r="X232" s="16"/>
      <c r="Y232" s="17"/>
      <c r="Z232" s="18">
        <f t="shared" ref="Z232" si="845">SUM(V232:Y232)</f>
        <v>0</v>
      </c>
      <c r="AA232" s="34"/>
      <c r="AB232" s="16"/>
      <c r="AC232" s="16"/>
      <c r="AD232" s="17"/>
      <c r="AE232" s="18">
        <f t="shared" ref="AE232" si="846">SUM(AA232:AD232)</f>
        <v>0</v>
      </c>
      <c r="AF232" s="34"/>
      <c r="AG232" s="16"/>
      <c r="AH232" s="16"/>
      <c r="AI232" s="17"/>
      <c r="AJ232" s="18">
        <f t="shared" ref="AJ232" si="847">SUM(AF232:AI232)</f>
        <v>0</v>
      </c>
      <c r="AK232" s="34"/>
      <c r="AL232" s="16"/>
      <c r="AM232" s="16"/>
      <c r="AN232" s="17"/>
      <c r="AO232" s="18">
        <f t="shared" ref="AO232" si="848">SUM(AK232:AN232)</f>
        <v>0</v>
      </c>
      <c r="AP232" s="34"/>
      <c r="AQ232" s="16"/>
      <c r="AR232" s="16"/>
      <c r="AS232" s="17"/>
      <c r="AT232" s="18">
        <f t="shared" ref="AT232" si="849">SUM(AP232:AS232)</f>
        <v>0</v>
      </c>
      <c r="AU232" s="34"/>
      <c r="AV232" s="16"/>
      <c r="AW232" s="16"/>
      <c r="AX232" s="17"/>
      <c r="AY232" s="18">
        <f t="shared" ref="AY232" si="850">SUM(AU232:AX232)</f>
        <v>0</v>
      </c>
      <c r="AZ232" s="34"/>
      <c r="BA232" s="16"/>
      <c r="BB232" s="16"/>
      <c r="BC232" s="17"/>
      <c r="BD232" s="18">
        <f t="shared" ref="BD232" si="851">SUM(AZ232:BC232)</f>
        <v>0</v>
      </c>
      <c r="BE232" s="34"/>
      <c r="BF232" s="16"/>
      <c r="BG232" s="16"/>
      <c r="BH232" s="17"/>
      <c r="BI232" s="18">
        <f t="shared" ref="BI232" si="852">SUM(BE232:BH232)</f>
        <v>0</v>
      </c>
      <c r="BJ232" s="34"/>
      <c r="BK232" s="16"/>
      <c r="BL232" s="16"/>
      <c r="BM232" s="17"/>
      <c r="BN232" s="18">
        <f t="shared" ref="BN232" si="853">SUM(BJ232:BM232)</f>
        <v>0</v>
      </c>
      <c r="BO232" s="70">
        <f t="shared" si="811"/>
        <v>6792</v>
      </c>
      <c r="BP232" s="16">
        <f t="shared" si="812"/>
        <v>0</v>
      </c>
      <c r="BQ232" s="16">
        <f t="shared" si="813"/>
        <v>0</v>
      </c>
      <c r="BR232" s="17">
        <f t="shared" si="814"/>
        <v>0</v>
      </c>
      <c r="BS232" s="35">
        <f t="shared" ref="BS232" si="854">SUM(BO232:BR232)</f>
        <v>6792</v>
      </c>
    </row>
    <row r="233" spans="2:71" x14ac:dyDescent="0.3">
      <c r="B233" s="269"/>
      <c r="C233" s="230"/>
      <c r="D233" s="250"/>
      <c r="E233" s="250"/>
      <c r="F233" s="123" t="s">
        <v>266</v>
      </c>
      <c r="G233" s="34"/>
      <c r="H233" s="16"/>
      <c r="I233" s="16"/>
      <c r="J233" s="17"/>
      <c r="K233" s="18">
        <f t="shared" ref="K233" si="855">SUM(G233:J233)</f>
        <v>0</v>
      </c>
      <c r="L233" s="34"/>
      <c r="M233" s="16"/>
      <c r="N233" s="16"/>
      <c r="O233" s="17"/>
      <c r="P233" s="18">
        <f t="shared" ref="P233" si="856">SUM(L233:O233)</f>
        <v>0</v>
      </c>
      <c r="Q233" s="34">
        <v>4715</v>
      </c>
      <c r="R233" s="16"/>
      <c r="S233" s="16"/>
      <c r="T233" s="17"/>
      <c r="U233" s="18">
        <f t="shared" ref="U233" si="857">SUM(Q233:T233)</f>
        <v>4715</v>
      </c>
      <c r="V233" s="34"/>
      <c r="W233" s="16"/>
      <c r="X233" s="16"/>
      <c r="Y233" s="17"/>
      <c r="Z233" s="18">
        <f t="shared" ref="Z233" si="858">SUM(V233:Y233)</f>
        <v>0</v>
      </c>
      <c r="AA233" s="34"/>
      <c r="AB233" s="16"/>
      <c r="AC233" s="16"/>
      <c r="AD233" s="17"/>
      <c r="AE233" s="18">
        <f t="shared" ref="AE233" si="859">SUM(AA233:AD233)</f>
        <v>0</v>
      </c>
      <c r="AF233" s="34">
        <v>1269</v>
      </c>
      <c r="AG233" s="16"/>
      <c r="AH233" s="16"/>
      <c r="AI233" s="17"/>
      <c r="AJ233" s="18">
        <f t="shared" ref="AJ233" si="860">SUM(AF233:AI233)</f>
        <v>1269</v>
      </c>
      <c r="AK233" s="34">
        <v>1348</v>
      </c>
      <c r="AL233" s="16"/>
      <c r="AM233" s="16"/>
      <c r="AN233" s="17"/>
      <c r="AO233" s="18">
        <f t="shared" ref="AO233" si="861">SUM(AK233:AN233)</f>
        <v>1348</v>
      </c>
      <c r="AP233" s="34">
        <v>55</v>
      </c>
      <c r="AQ233" s="16"/>
      <c r="AR233" s="16"/>
      <c r="AS233" s="17"/>
      <c r="AT233" s="18">
        <f t="shared" ref="AT233" si="862">SUM(AP233:AS233)</f>
        <v>55</v>
      </c>
      <c r="AU233" s="34">
        <v>424</v>
      </c>
      <c r="AV233" s="16"/>
      <c r="AW233" s="16"/>
      <c r="AX233" s="17"/>
      <c r="AY233" s="18">
        <f t="shared" ref="AY233" si="863">SUM(AU233:AX233)</f>
        <v>424</v>
      </c>
      <c r="AZ233" s="34">
        <v>109</v>
      </c>
      <c r="BA233" s="16"/>
      <c r="BB233" s="16"/>
      <c r="BC233" s="17"/>
      <c r="BD233" s="18">
        <f t="shared" ref="BD233" si="864">SUM(AZ233:BC233)</f>
        <v>109</v>
      </c>
      <c r="BE233" s="34">
        <v>170</v>
      </c>
      <c r="BF233" s="16"/>
      <c r="BG233" s="16"/>
      <c r="BH233" s="17"/>
      <c r="BI233" s="18">
        <f t="shared" ref="BI233" si="865">SUM(BE233:BH233)</f>
        <v>170</v>
      </c>
      <c r="BJ233" s="34">
        <v>41</v>
      </c>
      <c r="BK233" s="16"/>
      <c r="BL233" s="16"/>
      <c r="BM233" s="17"/>
      <c r="BN233" s="18">
        <f t="shared" ref="BN233" si="866">SUM(BJ233:BM233)</f>
        <v>41</v>
      </c>
      <c r="BO233" s="70">
        <f t="shared" si="811"/>
        <v>8131</v>
      </c>
      <c r="BP233" s="16">
        <f t="shared" si="812"/>
        <v>0</v>
      </c>
      <c r="BQ233" s="16">
        <f t="shared" si="813"/>
        <v>0</v>
      </c>
      <c r="BR233" s="17">
        <f t="shared" si="814"/>
        <v>0</v>
      </c>
      <c r="BS233" s="35">
        <f t="shared" ref="BS233" si="867">SUM(BO233:BR233)</f>
        <v>8131</v>
      </c>
    </row>
    <row r="234" spans="2:71" x14ac:dyDescent="0.3">
      <c r="B234" s="269"/>
      <c r="C234" s="230"/>
      <c r="D234" s="250"/>
      <c r="E234" s="250"/>
      <c r="F234" s="123" t="s">
        <v>220</v>
      </c>
      <c r="G234" s="34"/>
      <c r="H234" s="16"/>
      <c r="I234" s="16"/>
      <c r="J234" s="17"/>
      <c r="K234" s="18">
        <f t="shared" ref="K234" si="868">SUM(G234:J234)</f>
        <v>0</v>
      </c>
      <c r="L234" s="34"/>
      <c r="M234" s="16"/>
      <c r="N234" s="16"/>
      <c r="O234" s="17"/>
      <c r="P234" s="18">
        <f t="shared" ref="P234:P240" si="869">SUM(L234:O234)</f>
        <v>0</v>
      </c>
      <c r="Q234" s="34"/>
      <c r="R234" s="16"/>
      <c r="S234" s="16"/>
      <c r="T234" s="17"/>
      <c r="U234" s="18">
        <f t="shared" ref="U234:U240" si="870">SUM(Q234:T234)</f>
        <v>0</v>
      </c>
      <c r="V234" s="34"/>
      <c r="W234" s="16"/>
      <c r="X234" s="16"/>
      <c r="Y234" s="17"/>
      <c r="Z234" s="18">
        <f t="shared" ref="Z234:Z240" si="871">SUM(V234:Y234)</f>
        <v>0</v>
      </c>
      <c r="AA234" s="34"/>
      <c r="AB234" s="16"/>
      <c r="AC234" s="16"/>
      <c r="AD234" s="17"/>
      <c r="AE234" s="18">
        <f t="shared" ref="AE234:AE240" si="872">SUM(AA234:AD234)</f>
        <v>0</v>
      </c>
      <c r="AF234" s="34"/>
      <c r="AG234" s="16"/>
      <c r="AH234" s="16"/>
      <c r="AI234" s="17"/>
      <c r="AJ234" s="18">
        <f t="shared" ref="AJ234:AJ240" si="873">SUM(AF234:AI234)</f>
        <v>0</v>
      </c>
      <c r="AK234" s="34"/>
      <c r="AL234" s="16"/>
      <c r="AM234" s="16"/>
      <c r="AN234" s="17"/>
      <c r="AO234" s="18">
        <f t="shared" ref="AO234:AO240" si="874">SUM(AK234:AN234)</f>
        <v>0</v>
      </c>
      <c r="AP234" s="34"/>
      <c r="AQ234" s="16"/>
      <c r="AR234" s="16"/>
      <c r="AS234" s="17"/>
      <c r="AT234" s="18">
        <f t="shared" ref="AT234:AT240" si="875">SUM(AP234:AS234)</f>
        <v>0</v>
      </c>
      <c r="AU234" s="34"/>
      <c r="AV234" s="16"/>
      <c r="AW234" s="16"/>
      <c r="AX234" s="17"/>
      <c r="AY234" s="18">
        <f t="shared" ref="AY234:AY240" si="876">SUM(AU234:AX234)</f>
        <v>0</v>
      </c>
      <c r="AZ234" s="34"/>
      <c r="BA234" s="16"/>
      <c r="BB234" s="16"/>
      <c r="BC234" s="17"/>
      <c r="BD234" s="18">
        <f t="shared" ref="BD234:BD240" si="877">SUM(AZ234:BC234)</f>
        <v>0</v>
      </c>
      <c r="BE234" s="34">
        <v>42</v>
      </c>
      <c r="BF234" s="16"/>
      <c r="BG234" s="16"/>
      <c r="BH234" s="17"/>
      <c r="BI234" s="18">
        <f t="shared" ref="BI234:BI240" si="878">SUM(BE234:BH234)</f>
        <v>42</v>
      </c>
      <c r="BJ234" s="34"/>
      <c r="BK234" s="16"/>
      <c r="BL234" s="16"/>
      <c r="BM234" s="17"/>
      <c r="BN234" s="18">
        <f t="shared" ref="BN234:BN240" si="879">SUM(BJ234:BM234)</f>
        <v>0</v>
      </c>
      <c r="BO234" s="70">
        <f t="shared" si="811"/>
        <v>42</v>
      </c>
      <c r="BP234" s="16">
        <f t="shared" si="812"/>
        <v>0</v>
      </c>
      <c r="BQ234" s="16">
        <f t="shared" si="813"/>
        <v>0</v>
      </c>
      <c r="BR234" s="17">
        <f t="shared" si="814"/>
        <v>0</v>
      </c>
      <c r="BS234" s="35">
        <f t="shared" ref="BS234" si="880">SUM(BO234:BR234)</f>
        <v>42</v>
      </c>
    </row>
    <row r="235" spans="2:71" x14ac:dyDescent="0.3">
      <c r="B235" s="269"/>
      <c r="C235" s="230"/>
      <c r="D235" s="250"/>
      <c r="E235" s="250"/>
      <c r="F235" s="123" t="s">
        <v>221</v>
      </c>
      <c r="G235" s="34"/>
      <c r="H235" s="16"/>
      <c r="I235" s="16"/>
      <c r="J235" s="17"/>
      <c r="K235" s="18">
        <f t="shared" ref="K235" si="881">SUM(G235:J235)</f>
        <v>0</v>
      </c>
      <c r="L235" s="34"/>
      <c r="M235" s="16"/>
      <c r="N235" s="16"/>
      <c r="O235" s="17"/>
      <c r="P235" s="18">
        <f t="shared" si="869"/>
        <v>0</v>
      </c>
      <c r="Q235" s="34">
        <v>564</v>
      </c>
      <c r="R235" s="16"/>
      <c r="S235" s="16"/>
      <c r="T235" s="17"/>
      <c r="U235" s="18">
        <f t="shared" si="870"/>
        <v>564</v>
      </c>
      <c r="V235" s="34">
        <v>4149</v>
      </c>
      <c r="W235" s="16"/>
      <c r="X235" s="16"/>
      <c r="Y235" s="17"/>
      <c r="Z235" s="18">
        <f t="shared" si="871"/>
        <v>4149</v>
      </c>
      <c r="AA235" s="34">
        <v>3697</v>
      </c>
      <c r="AB235" s="16"/>
      <c r="AC235" s="16"/>
      <c r="AD235" s="17"/>
      <c r="AE235" s="18">
        <f t="shared" si="872"/>
        <v>3697</v>
      </c>
      <c r="AF235" s="34">
        <v>5837</v>
      </c>
      <c r="AG235" s="16"/>
      <c r="AH235" s="16"/>
      <c r="AI235" s="17"/>
      <c r="AJ235" s="18">
        <f t="shared" si="873"/>
        <v>5837</v>
      </c>
      <c r="AK235" s="34">
        <v>4691</v>
      </c>
      <c r="AL235" s="16"/>
      <c r="AM235" s="16"/>
      <c r="AN235" s="17"/>
      <c r="AO235" s="18">
        <f t="shared" si="874"/>
        <v>4691</v>
      </c>
      <c r="AP235" s="34">
        <v>11122</v>
      </c>
      <c r="AQ235" s="16"/>
      <c r="AR235" s="16"/>
      <c r="AS235" s="17"/>
      <c r="AT235" s="18">
        <f t="shared" si="875"/>
        <v>11122</v>
      </c>
      <c r="AU235" s="34">
        <v>9596</v>
      </c>
      <c r="AV235" s="16"/>
      <c r="AW235" s="16"/>
      <c r="AX235" s="17"/>
      <c r="AY235" s="18">
        <f t="shared" si="876"/>
        <v>9596</v>
      </c>
      <c r="AZ235" s="34">
        <v>9269</v>
      </c>
      <c r="BA235" s="16"/>
      <c r="BB235" s="16"/>
      <c r="BC235" s="17"/>
      <c r="BD235" s="18">
        <f t="shared" si="877"/>
        <v>9269</v>
      </c>
      <c r="BE235" s="34">
        <v>872</v>
      </c>
      <c r="BF235" s="16"/>
      <c r="BG235" s="16"/>
      <c r="BH235" s="17"/>
      <c r="BI235" s="18">
        <f t="shared" si="878"/>
        <v>872</v>
      </c>
      <c r="BJ235" s="34"/>
      <c r="BK235" s="16"/>
      <c r="BL235" s="16"/>
      <c r="BM235" s="17"/>
      <c r="BN235" s="18">
        <f t="shared" si="879"/>
        <v>0</v>
      </c>
      <c r="BO235" s="70">
        <f t="shared" si="811"/>
        <v>49797</v>
      </c>
      <c r="BP235" s="16">
        <f t="shared" si="812"/>
        <v>0</v>
      </c>
      <c r="BQ235" s="16">
        <f t="shared" si="813"/>
        <v>0</v>
      </c>
      <c r="BR235" s="17">
        <f t="shared" si="814"/>
        <v>0</v>
      </c>
      <c r="BS235" s="35">
        <f t="shared" ref="BS235" si="882">SUM(BO235:BR235)</f>
        <v>49797</v>
      </c>
    </row>
    <row r="236" spans="2:71" x14ac:dyDescent="0.3">
      <c r="B236" s="269"/>
      <c r="C236" s="230"/>
      <c r="D236" s="250"/>
      <c r="E236" s="250"/>
      <c r="F236" s="123" t="s">
        <v>369</v>
      </c>
      <c r="G236" s="34"/>
      <c r="H236" s="16"/>
      <c r="I236" s="16"/>
      <c r="J236" s="17"/>
      <c r="K236" s="18">
        <f t="shared" ref="K236" si="883">SUM(G236:J236)</f>
        <v>0</v>
      </c>
      <c r="L236" s="34"/>
      <c r="M236" s="16"/>
      <c r="N236" s="16"/>
      <c r="O236" s="17"/>
      <c r="P236" s="18">
        <f t="shared" ref="P236" si="884">SUM(L236:O236)</f>
        <v>0</v>
      </c>
      <c r="Q236" s="34"/>
      <c r="R236" s="16"/>
      <c r="S236" s="16"/>
      <c r="T236" s="17"/>
      <c r="U236" s="18">
        <f t="shared" ref="U236" si="885">SUM(Q236:T236)</f>
        <v>0</v>
      </c>
      <c r="V236" s="34"/>
      <c r="W236" s="16"/>
      <c r="X236" s="16"/>
      <c r="Y236" s="17"/>
      <c r="Z236" s="18">
        <f t="shared" ref="Z236" si="886">SUM(V236:Y236)</f>
        <v>0</v>
      </c>
      <c r="AA236" s="34"/>
      <c r="AB236" s="16"/>
      <c r="AC236" s="16"/>
      <c r="AD236" s="17"/>
      <c r="AE236" s="18">
        <f t="shared" ref="AE236" si="887">SUM(AA236:AD236)</f>
        <v>0</v>
      </c>
      <c r="AF236" s="34"/>
      <c r="AG236" s="16"/>
      <c r="AH236" s="16"/>
      <c r="AI236" s="17"/>
      <c r="AJ236" s="18">
        <f t="shared" ref="AJ236" si="888">SUM(AF236:AI236)</f>
        <v>0</v>
      </c>
      <c r="AK236" s="34">
        <v>222</v>
      </c>
      <c r="AL236" s="16"/>
      <c r="AM236" s="16"/>
      <c r="AN236" s="17"/>
      <c r="AO236" s="18">
        <f t="shared" ref="AO236" si="889">SUM(AK236:AN236)</f>
        <v>222</v>
      </c>
      <c r="AP236" s="34">
        <v>51</v>
      </c>
      <c r="AQ236" s="16"/>
      <c r="AR236" s="16"/>
      <c r="AS236" s="17"/>
      <c r="AT236" s="18">
        <f t="shared" ref="AT236" si="890">SUM(AP236:AS236)</f>
        <v>51</v>
      </c>
      <c r="AU236" s="34"/>
      <c r="AV236" s="16"/>
      <c r="AW236" s="16"/>
      <c r="AX236" s="17"/>
      <c r="AY236" s="18">
        <f t="shared" ref="AY236" si="891">SUM(AU236:AX236)</f>
        <v>0</v>
      </c>
      <c r="AZ236" s="34"/>
      <c r="BA236" s="16"/>
      <c r="BB236" s="16"/>
      <c r="BC236" s="17"/>
      <c r="BD236" s="18">
        <f t="shared" ref="BD236" si="892">SUM(AZ236:BC236)</f>
        <v>0</v>
      </c>
      <c r="BE236" s="34"/>
      <c r="BF236" s="16"/>
      <c r="BG236" s="16"/>
      <c r="BH236" s="17"/>
      <c r="BI236" s="18">
        <f t="shared" ref="BI236" si="893">SUM(BE236:BH236)</f>
        <v>0</v>
      </c>
      <c r="BJ236" s="34"/>
      <c r="BK236" s="16"/>
      <c r="BL236" s="16"/>
      <c r="BM236" s="17"/>
      <c r="BN236" s="18">
        <f t="shared" ref="BN236" si="894">SUM(BJ236:BM236)</f>
        <v>0</v>
      </c>
      <c r="BO236" s="70">
        <f t="shared" si="811"/>
        <v>273</v>
      </c>
      <c r="BP236" s="16">
        <f t="shared" si="812"/>
        <v>0</v>
      </c>
      <c r="BQ236" s="16">
        <f t="shared" si="813"/>
        <v>0</v>
      </c>
      <c r="BR236" s="17">
        <f t="shared" si="814"/>
        <v>0</v>
      </c>
      <c r="BS236" s="35">
        <f t="shared" ref="BS236" si="895">SUM(BO236:BR236)</f>
        <v>273</v>
      </c>
    </row>
    <row r="237" spans="2:71" x14ac:dyDescent="0.3">
      <c r="B237" s="269"/>
      <c r="C237" s="230"/>
      <c r="D237" s="250"/>
      <c r="E237" s="250"/>
      <c r="F237" s="123" t="s">
        <v>222</v>
      </c>
      <c r="G237" s="34"/>
      <c r="H237" s="16"/>
      <c r="I237" s="16">
        <v>3337</v>
      </c>
      <c r="J237" s="17"/>
      <c r="K237" s="18">
        <f t="shared" ref="K237:K239" si="896">SUM(G237:J237)</f>
        <v>3337</v>
      </c>
      <c r="L237" s="34"/>
      <c r="M237" s="16"/>
      <c r="N237" s="16">
        <v>5752</v>
      </c>
      <c r="O237" s="17"/>
      <c r="P237" s="18">
        <f t="shared" si="869"/>
        <v>5752</v>
      </c>
      <c r="Q237" s="34"/>
      <c r="R237" s="16"/>
      <c r="S237" s="16">
        <v>5158</v>
      </c>
      <c r="T237" s="17"/>
      <c r="U237" s="18">
        <f t="shared" si="870"/>
        <v>5158</v>
      </c>
      <c r="V237" s="34"/>
      <c r="W237" s="16"/>
      <c r="X237" s="16"/>
      <c r="Y237" s="17"/>
      <c r="Z237" s="18">
        <f t="shared" si="871"/>
        <v>0</v>
      </c>
      <c r="AA237" s="34"/>
      <c r="AB237" s="16"/>
      <c r="AC237" s="16">
        <v>46</v>
      </c>
      <c r="AD237" s="17"/>
      <c r="AE237" s="18">
        <f t="shared" si="872"/>
        <v>46</v>
      </c>
      <c r="AF237" s="34"/>
      <c r="AG237" s="16"/>
      <c r="AH237" s="16">
        <v>7445</v>
      </c>
      <c r="AI237" s="17"/>
      <c r="AJ237" s="18">
        <f t="shared" si="873"/>
        <v>7445</v>
      </c>
      <c r="AK237" s="34"/>
      <c r="AL237" s="16"/>
      <c r="AM237" s="16">
        <v>3027</v>
      </c>
      <c r="AN237" s="17"/>
      <c r="AO237" s="18">
        <f t="shared" si="874"/>
        <v>3027</v>
      </c>
      <c r="AP237" s="34"/>
      <c r="AQ237" s="16"/>
      <c r="AR237" s="16">
        <v>4950</v>
      </c>
      <c r="AS237" s="17"/>
      <c r="AT237" s="18">
        <f t="shared" si="875"/>
        <v>4950</v>
      </c>
      <c r="AU237" s="34"/>
      <c r="AV237" s="16"/>
      <c r="AW237" s="16"/>
      <c r="AX237" s="17"/>
      <c r="AY237" s="18">
        <f t="shared" si="876"/>
        <v>0</v>
      </c>
      <c r="AZ237" s="34"/>
      <c r="BA237" s="16"/>
      <c r="BB237" s="16">
        <v>4</v>
      </c>
      <c r="BC237" s="17"/>
      <c r="BD237" s="18">
        <f t="shared" si="877"/>
        <v>4</v>
      </c>
      <c r="BE237" s="34"/>
      <c r="BF237" s="16"/>
      <c r="BG237" s="16">
        <v>3780</v>
      </c>
      <c r="BH237" s="17"/>
      <c r="BI237" s="18">
        <f t="shared" si="878"/>
        <v>3780</v>
      </c>
      <c r="BJ237" s="34"/>
      <c r="BK237" s="16"/>
      <c r="BL237" s="16">
        <v>3867</v>
      </c>
      <c r="BM237" s="17"/>
      <c r="BN237" s="18">
        <f t="shared" si="879"/>
        <v>3867</v>
      </c>
      <c r="BO237" s="70">
        <f t="shared" si="811"/>
        <v>0</v>
      </c>
      <c r="BP237" s="16">
        <f t="shared" si="812"/>
        <v>0</v>
      </c>
      <c r="BQ237" s="16">
        <f t="shared" si="813"/>
        <v>37366</v>
      </c>
      <c r="BR237" s="17">
        <f t="shared" si="814"/>
        <v>0</v>
      </c>
      <c r="BS237" s="35">
        <f t="shared" ref="BS237:BS240" si="897">SUM(BO237:BR237)</f>
        <v>37366</v>
      </c>
    </row>
    <row r="238" spans="2:71" x14ac:dyDescent="0.3">
      <c r="B238" s="269"/>
      <c r="C238" s="230"/>
      <c r="D238" s="250"/>
      <c r="E238" s="250"/>
      <c r="F238" s="123" t="s">
        <v>267</v>
      </c>
      <c r="G238" s="34"/>
      <c r="H238" s="16"/>
      <c r="I238" s="16"/>
      <c r="J238" s="17"/>
      <c r="K238" s="18">
        <f t="shared" ref="K238" si="898">SUM(G238:J238)</f>
        <v>0</v>
      </c>
      <c r="L238" s="34"/>
      <c r="M238" s="16"/>
      <c r="N238" s="16"/>
      <c r="O238" s="17"/>
      <c r="P238" s="18">
        <f t="shared" ref="P238" si="899">SUM(L238:O238)</f>
        <v>0</v>
      </c>
      <c r="Q238" s="34"/>
      <c r="R238" s="16"/>
      <c r="S238" s="16">
        <v>55</v>
      </c>
      <c r="T238" s="17"/>
      <c r="U238" s="18">
        <f t="shared" ref="U238" si="900">SUM(Q238:T238)</f>
        <v>55</v>
      </c>
      <c r="V238" s="34"/>
      <c r="W238" s="16"/>
      <c r="X238" s="16">
        <v>5367</v>
      </c>
      <c r="Y238" s="17"/>
      <c r="Z238" s="18">
        <f t="shared" ref="Z238" si="901">SUM(V238:Y238)</f>
        <v>5367</v>
      </c>
      <c r="AA238" s="34"/>
      <c r="AB238" s="16"/>
      <c r="AC238" s="16">
        <v>4843</v>
      </c>
      <c r="AD238" s="17"/>
      <c r="AE238" s="18">
        <f t="shared" ref="AE238" si="902">SUM(AA238:AD238)</f>
        <v>4843</v>
      </c>
      <c r="AF238" s="34"/>
      <c r="AG238" s="16"/>
      <c r="AH238" s="16"/>
      <c r="AI238" s="17"/>
      <c r="AJ238" s="18">
        <f t="shared" ref="AJ238" si="903">SUM(AF238:AI238)</f>
        <v>0</v>
      </c>
      <c r="AK238" s="34"/>
      <c r="AL238" s="16"/>
      <c r="AM238" s="16"/>
      <c r="AN238" s="17"/>
      <c r="AO238" s="18">
        <f t="shared" ref="AO238" si="904">SUM(AK238:AN238)</f>
        <v>0</v>
      </c>
      <c r="AP238" s="34"/>
      <c r="AQ238" s="16"/>
      <c r="AR238" s="16">
        <f>139</f>
        <v>139</v>
      </c>
      <c r="AS238" s="17"/>
      <c r="AT238" s="18">
        <f t="shared" ref="AT238" si="905">SUM(AP238:AS238)</f>
        <v>139</v>
      </c>
      <c r="AU238" s="34"/>
      <c r="AV238" s="16"/>
      <c r="AW238" s="16">
        <v>6311</v>
      </c>
      <c r="AX238" s="17"/>
      <c r="AY238" s="18">
        <f t="shared" ref="AY238" si="906">SUM(AU238:AX238)</f>
        <v>6311</v>
      </c>
      <c r="AZ238" s="34"/>
      <c r="BA238" s="16"/>
      <c r="BB238" s="16">
        <v>9862</v>
      </c>
      <c r="BC238" s="17"/>
      <c r="BD238" s="18">
        <f t="shared" ref="BD238" si="907">SUM(AZ238:BC238)</f>
        <v>9862</v>
      </c>
      <c r="BE238" s="34"/>
      <c r="BF238" s="16"/>
      <c r="BG238" s="16">
        <v>142</v>
      </c>
      <c r="BH238" s="17"/>
      <c r="BI238" s="18">
        <f t="shared" ref="BI238" si="908">SUM(BE238:BH238)</f>
        <v>142</v>
      </c>
      <c r="BJ238" s="34"/>
      <c r="BK238" s="16"/>
      <c r="BL238" s="16"/>
      <c r="BM238" s="17"/>
      <c r="BN238" s="18">
        <f t="shared" ref="BN238" si="909">SUM(BJ238:BM238)</f>
        <v>0</v>
      </c>
      <c r="BO238" s="70">
        <f t="shared" si="811"/>
        <v>0</v>
      </c>
      <c r="BP238" s="16">
        <f t="shared" si="812"/>
        <v>0</v>
      </c>
      <c r="BQ238" s="16">
        <f t="shared" si="813"/>
        <v>26719</v>
      </c>
      <c r="BR238" s="17">
        <f t="shared" si="814"/>
        <v>0</v>
      </c>
      <c r="BS238" s="35">
        <f t="shared" ref="BS238" si="910">SUM(BO238:BR238)</f>
        <v>26719</v>
      </c>
    </row>
    <row r="239" spans="2:71" x14ac:dyDescent="0.3">
      <c r="B239" s="269"/>
      <c r="C239" s="230"/>
      <c r="D239" s="250"/>
      <c r="E239" s="250"/>
      <c r="F239" s="123" t="s">
        <v>224</v>
      </c>
      <c r="G239" s="34">
        <v>966</v>
      </c>
      <c r="H239" s="16"/>
      <c r="I239" s="16"/>
      <c r="J239" s="17"/>
      <c r="K239" s="18">
        <f t="shared" si="896"/>
        <v>966</v>
      </c>
      <c r="L239" s="34"/>
      <c r="M239" s="16"/>
      <c r="N239" s="16"/>
      <c r="O239" s="17"/>
      <c r="P239" s="18">
        <f t="shared" ref="P239" si="911">SUM(L239:O239)</f>
        <v>0</v>
      </c>
      <c r="Q239" s="34">
        <v>39</v>
      </c>
      <c r="R239" s="16"/>
      <c r="S239" s="16"/>
      <c r="T239" s="17"/>
      <c r="U239" s="18">
        <f t="shared" ref="U239" si="912">SUM(Q239:T239)</f>
        <v>39</v>
      </c>
      <c r="V239" s="34">
        <v>3521</v>
      </c>
      <c r="W239" s="16"/>
      <c r="X239" s="16"/>
      <c r="Y239" s="17"/>
      <c r="Z239" s="18">
        <f t="shared" ref="Z239" si="913">SUM(V239:Y239)</f>
        <v>3521</v>
      </c>
      <c r="AA239" s="34">
        <v>1701</v>
      </c>
      <c r="AB239" s="16"/>
      <c r="AC239" s="16"/>
      <c r="AD239" s="17"/>
      <c r="AE239" s="18">
        <f t="shared" ref="AE239" si="914">SUM(AA239:AD239)</f>
        <v>1701</v>
      </c>
      <c r="AF239" s="34"/>
      <c r="AG239" s="16"/>
      <c r="AH239" s="16"/>
      <c r="AI239" s="17"/>
      <c r="AJ239" s="18">
        <f t="shared" ref="AJ239" si="915">SUM(AF239:AI239)</f>
        <v>0</v>
      </c>
      <c r="AK239" s="34"/>
      <c r="AL239" s="16"/>
      <c r="AM239" s="16"/>
      <c r="AN239" s="17"/>
      <c r="AO239" s="18">
        <f t="shared" ref="AO239" si="916">SUM(AK239:AN239)</f>
        <v>0</v>
      </c>
      <c r="AP239" s="34"/>
      <c r="AQ239" s="16"/>
      <c r="AR239" s="16"/>
      <c r="AS239" s="17"/>
      <c r="AT239" s="18">
        <f t="shared" ref="AT239" si="917">SUM(AP239:AS239)</f>
        <v>0</v>
      </c>
      <c r="AU239" s="34"/>
      <c r="AV239" s="16"/>
      <c r="AW239" s="16"/>
      <c r="AX239" s="17"/>
      <c r="AY239" s="18">
        <f t="shared" ref="AY239" si="918">SUM(AU239:AX239)</f>
        <v>0</v>
      </c>
      <c r="AZ239" s="34"/>
      <c r="BA239" s="16"/>
      <c r="BB239" s="16"/>
      <c r="BC239" s="17"/>
      <c r="BD239" s="18">
        <f t="shared" ref="BD239" si="919">SUM(AZ239:BC239)</f>
        <v>0</v>
      </c>
      <c r="BE239" s="34"/>
      <c r="BF239" s="16"/>
      <c r="BG239" s="16"/>
      <c r="BH239" s="17"/>
      <c r="BI239" s="18">
        <f t="shared" ref="BI239" si="920">SUM(BE239:BH239)</f>
        <v>0</v>
      </c>
      <c r="BJ239" s="34"/>
      <c r="BK239" s="16"/>
      <c r="BL239" s="16"/>
      <c r="BM239" s="17"/>
      <c r="BN239" s="18">
        <f t="shared" ref="BN239" si="921">SUM(BJ239:BM239)</f>
        <v>0</v>
      </c>
      <c r="BO239" s="70">
        <f t="shared" si="811"/>
        <v>6227</v>
      </c>
      <c r="BP239" s="16">
        <f t="shared" si="812"/>
        <v>0</v>
      </c>
      <c r="BQ239" s="16">
        <f t="shared" si="813"/>
        <v>0</v>
      </c>
      <c r="BR239" s="17">
        <f t="shared" si="814"/>
        <v>0</v>
      </c>
      <c r="BS239" s="35">
        <f t="shared" ref="BS239" si="922">SUM(BO239:BR239)</f>
        <v>6227</v>
      </c>
    </row>
    <row r="240" spans="2:71" x14ac:dyDescent="0.3">
      <c r="B240" s="269"/>
      <c r="C240" s="230"/>
      <c r="D240" s="250"/>
      <c r="E240" s="250"/>
      <c r="F240" s="123" t="s">
        <v>329</v>
      </c>
      <c r="G240" s="34">
        <v>378</v>
      </c>
      <c r="H240" s="16"/>
      <c r="I240" s="16"/>
      <c r="J240" s="17"/>
      <c r="K240" s="18">
        <f t="shared" ref="K240" si="923">SUM(G240:J240)</f>
        <v>378</v>
      </c>
      <c r="L240" s="34">
        <v>2569</v>
      </c>
      <c r="M240" s="16"/>
      <c r="N240" s="16"/>
      <c r="O240" s="17"/>
      <c r="P240" s="18">
        <f t="shared" si="869"/>
        <v>2569</v>
      </c>
      <c r="Q240" s="34">
        <v>3149</v>
      </c>
      <c r="R240" s="16"/>
      <c r="S240" s="16"/>
      <c r="T240" s="17"/>
      <c r="U240" s="18">
        <f t="shared" si="870"/>
        <v>3149</v>
      </c>
      <c r="V240" s="34">
        <v>6657</v>
      </c>
      <c r="W240" s="16"/>
      <c r="X240" s="16"/>
      <c r="Y240" s="17"/>
      <c r="Z240" s="18">
        <f t="shared" si="871"/>
        <v>6657</v>
      </c>
      <c r="AA240" s="34">
        <v>2931</v>
      </c>
      <c r="AB240" s="16"/>
      <c r="AC240" s="16"/>
      <c r="AD240" s="17"/>
      <c r="AE240" s="18">
        <f t="shared" si="872"/>
        <v>2931</v>
      </c>
      <c r="AF240" s="34"/>
      <c r="AG240" s="16"/>
      <c r="AH240" s="16"/>
      <c r="AI240" s="17"/>
      <c r="AJ240" s="18">
        <f t="shared" si="873"/>
        <v>0</v>
      </c>
      <c r="AK240" s="34"/>
      <c r="AL240" s="16"/>
      <c r="AM240" s="16"/>
      <c r="AN240" s="17"/>
      <c r="AO240" s="18">
        <f t="shared" si="874"/>
        <v>0</v>
      </c>
      <c r="AP240" s="34"/>
      <c r="AQ240" s="16"/>
      <c r="AR240" s="16"/>
      <c r="AS240" s="17"/>
      <c r="AT240" s="18">
        <f t="shared" si="875"/>
        <v>0</v>
      </c>
      <c r="AU240" s="34"/>
      <c r="AV240" s="16"/>
      <c r="AW240" s="16"/>
      <c r="AX240" s="17"/>
      <c r="AY240" s="18">
        <f t="shared" si="876"/>
        <v>0</v>
      </c>
      <c r="AZ240" s="34"/>
      <c r="BA240" s="16"/>
      <c r="BB240" s="16"/>
      <c r="BC240" s="17"/>
      <c r="BD240" s="18">
        <f t="shared" si="877"/>
        <v>0</v>
      </c>
      <c r="BE240" s="34"/>
      <c r="BF240" s="16"/>
      <c r="BG240" s="16"/>
      <c r="BH240" s="17"/>
      <c r="BI240" s="18">
        <f t="shared" si="878"/>
        <v>0</v>
      </c>
      <c r="BJ240" s="34"/>
      <c r="BK240" s="16"/>
      <c r="BL240" s="16"/>
      <c r="BM240" s="17"/>
      <c r="BN240" s="18">
        <f t="shared" si="879"/>
        <v>0</v>
      </c>
      <c r="BO240" s="70">
        <f t="shared" si="811"/>
        <v>15684</v>
      </c>
      <c r="BP240" s="16">
        <f t="shared" si="812"/>
        <v>0</v>
      </c>
      <c r="BQ240" s="16">
        <f t="shared" si="813"/>
        <v>0</v>
      </c>
      <c r="BR240" s="17">
        <f t="shared" si="814"/>
        <v>0</v>
      </c>
      <c r="BS240" s="35">
        <f t="shared" si="897"/>
        <v>15684</v>
      </c>
    </row>
    <row r="241" spans="2:71" x14ac:dyDescent="0.3">
      <c r="B241" s="269"/>
      <c r="C241" s="230"/>
      <c r="D241" s="250"/>
      <c r="E241" s="250"/>
      <c r="F241" s="123" t="s">
        <v>330</v>
      </c>
      <c r="G241" s="34"/>
      <c r="H241" s="16"/>
      <c r="I241" s="16"/>
      <c r="J241" s="17"/>
      <c r="K241" s="18">
        <f t="shared" ref="K241" si="924">SUM(G241:J241)</f>
        <v>0</v>
      </c>
      <c r="L241" s="34"/>
      <c r="M241" s="16"/>
      <c r="N241" s="16"/>
      <c r="O241" s="17"/>
      <c r="P241" s="18">
        <f t="shared" ref="P241" si="925">SUM(L241:O241)</f>
        <v>0</v>
      </c>
      <c r="Q241" s="34"/>
      <c r="R241" s="16"/>
      <c r="S241" s="16"/>
      <c r="T241" s="17"/>
      <c r="U241" s="18">
        <f t="shared" ref="U241" si="926">SUM(Q241:T241)</f>
        <v>0</v>
      </c>
      <c r="V241" s="34"/>
      <c r="W241" s="16"/>
      <c r="X241" s="16"/>
      <c r="Y241" s="17"/>
      <c r="Z241" s="18">
        <f t="shared" ref="Z241" si="927">SUM(V241:Y241)</f>
        <v>0</v>
      </c>
      <c r="AA241" s="34">
        <v>288</v>
      </c>
      <c r="AB241" s="16"/>
      <c r="AC241" s="16"/>
      <c r="AD241" s="17"/>
      <c r="AE241" s="18">
        <f t="shared" ref="AE241" si="928">SUM(AA241:AD241)</f>
        <v>288</v>
      </c>
      <c r="AF241" s="34">
        <v>1312</v>
      </c>
      <c r="AG241" s="16"/>
      <c r="AH241" s="16"/>
      <c r="AI241" s="17"/>
      <c r="AJ241" s="18">
        <f t="shared" ref="AJ241" si="929">SUM(AF241:AI241)</f>
        <v>1312</v>
      </c>
      <c r="AK241" s="34">
        <v>1013</v>
      </c>
      <c r="AL241" s="16"/>
      <c r="AM241" s="16"/>
      <c r="AN241" s="17"/>
      <c r="AO241" s="18">
        <f t="shared" ref="AO241" si="930">SUM(AK241:AN241)</f>
        <v>1013</v>
      </c>
      <c r="AP241" s="34">
        <v>1152</v>
      </c>
      <c r="AQ241" s="16"/>
      <c r="AR241" s="16"/>
      <c r="AS241" s="17"/>
      <c r="AT241" s="18">
        <f t="shared" ref="AT241" si="931">SUM(AP241:AS241)</f>
        <v>1152</v>
      </c>
      <c r="AU241" s="34">
        <v>92</v>
      </c>
      <c r="AV241" s="16"/>
      <c r="AW241" s="16"/>
      <c r="AX241" s="17"/>
      <c r="AY241" s="18">
        <f t="shared" ref="AY241" si="932">SUM(AU241:AX241)</f>
        <v>92</v>
      </c>
      <c r="AZ241" s="34">
        <v>5493</v>
      </c>
      <c r="BA241" s="16"/>
      <c r="BB241" s="16"/>
      <c r="BC241" s="17"/>
      <c r="BD241" s="18">
        <f t="shared" ref="BD241" si="933">SUM(AZ241:BC241)</f>
        <v>5493</v>
      </c>
      <c r="BE241" s="34">
        <v>2017</v>
      </c>
      <c r="BF241" s="16"/>
      <c r="BG241" s="16"/>
      <c r="BH241" s="17"/>
      <c r="BI241" s="18">
        <f t="shared" ref="BI241" si="934">SUM(BE241:BH241)</f>
        <v>2017</v>
      </c>
      <c r="BJ241" s="34">
        <v>1543</v>
      </c>
      <c r="BK241" s="16"/>
      <c r="BL241" s="16"/>
      <c r="BM241" s="17"/>
      <c r="BN241" s="18">
        <f t="shared" ref="BN241" si="935">SUM(BJ241:BM241)</f>
        <v>1543</v>
      </c>
      <c r="BO241" s="70">
        <f t="shared" si="811"/>
        <v>12910</v>
      </c>
      <c r="BP241" s="16">
        <f t="shared" si="812"/>
        <v>0</v>
      </c>
      <c r="BQ241" s="16">
        <f t="shared" si="813"/>
        <v>0</v>
      </c>
      <c r="BR241" s="17">
        <f t="shared" si="814"/>
        <v>0</v>
      </c>
      <c r="BS241" s="35">
        <f t="shared" ref="BS241" si="936">SUM(BO241:BR241)</f>
        <v>12910</v>
      </c>
    </row>
    <row r="242" spans="2:71" x14ac:dyDescent="0.3">
      <c r="B242" s="269"/>
      <c r="C242" s="230"/>
      <c r="D242" s="250"/>
      <c r="E242" s="250"/>
      <c r="F242" s="123" t="s">
        <v>223</v>
      </c>
      <c r="G242" s="34">
        <v>129</v>
      </c>
      <c r="H242" s="16"/>
      <c r="I242" s="16"/>
      <c r="J242" s="17"/>
      <c r="K242" s="18">
        <f t="shared" ref="K242" si="937">SUM(G242:J242)</f>
        <v>129</v>
      </c>
      <c r="L242" s="34">
        <v>113</v>
      </c>
      <c r="M242" s="16"/>
      <c r="N242" s="16"/>
      <c r="O242" s="17"/>
      <c r="P242" s="18">
        <f t="shared" ref="P242" si="938">SUM(L242:O242)</f>
        <v>113</v>
      </c>
      <c r="Q242" s="34"/>
      <c r="R242" s="16"/>
      <c r="S242" s="16"/>
      <c r="T242" s="17"/>
      <c r="U242" s="18">
        <f t="shared" ref="U242" si="939">SUM(Q242:T242)</f>
        <v>0</v>
      </c>
      <c r="V242" s="34"/>
      <c r="W242" s="16"/>
      <c r="X242" s="16"/>
      <c r="Y242" s="17"/>
      <c r="Z242" s="18">
        <f t="shared" ref="Z242" si="940">SUM(V242:Y242)</f>
        <v>0</v>
      </c>
      <c r="AA242" s="34"/>
      <c r="AB242" s="16"/>
      <c r="AC242" s="16"/>
      <c r="AD242" s="17"/>
      <c r="AE242" s="18">
        <f t="shared" ref="AE242" si="941">SUM(AA242:AD242)</f>
        <v>0</v>
      </c>
      <c r="AF242" s="34"/>
      <c r="AG242" s="16"/>
      <c r="AH242" s="16"/>
      <c r="AI242" s="17"/>
      <c r="AJ242" s="18">
        <f t="shared" ref="AJ242" si="942">SUM(AF242:AI242)</f>
        <v>0</v>
      </c>
      <c r="AK242" s="34"/>
      <c r="AL242" s="16"/>
      <c r="AM242" s="16"/>
      <c r="AN242" s="17"/>
      <c r="AO242" s="18">
        <f t="shared" ref="AO242" si="943">SUM(AK242:AN242)</f>
        <v>0</v>
      </c>
      <c r="AP242" s="34"/>
      <c r="AQ242" s="16"/>
      <c r="AR242" s="16"/>
      <c r="AS242" s="17"/>
      <c r="AT242" s="18">
        <f t="shared" ref="AT242" si="944">SUM(AP242:AS242)</f>
        <v>0</v>
      </c>
      <c r="AU242" s="34">
        <v>93</v>
      </c>
      <c r="AV242" s="16"/>
      <c r="AW242" s="16"/>
      <c r="AX242" s="17"/>
      <c r="AY242" s="18">
        <f t="shared" ref="AY242" si="945">SUM(AU242:AX242)</f>
        <v>93</v>
      </c>
      <c r="AZ242" s="34">
        <f>130</f>
        <v>130</v>
      </c>
      <c r="BA242" s="16"/>
      <c r="BB242" s="16"/>
      <c r="BC242" s="17"/>
      <c r="BD242" s="18">
        <f t="shared" ref="BD242" si="946">SUM(AZ242:BC242)</f>
        <v>130</v>
      </c>
      <c r="BE242" s="34">
        <v>11</v>
      </c>
      <c r="BF242" s="16"/>
      <c r="BG242" s="16"/>
      <c r="BH242" s="17"/>
      <c r="BI242" s="18">
        <f t="shared" ref="BI242" si="947">SUM(BE242:BH242)</f>
        <v>11</v>
      </c>
      <c r="BJ242" s="34">
        <v>16</v>
      </c>
      <c r="BK242" s="16"/>
      <c r="BL242" s="16"/>
      <c r="BM242" s="17"/>
      <c r="BN242" s="18">
        <f t="shared" ref="BN242" si="948">SUM(BJ242:BM242)</f>
        <v>16</v>
      </c>
      <c r="BO242" s="70">
        <f t="shared" si="811"/>
        <v>492</v>
      </c>
      <c r="BP242" s="16">
        <f t="shared" si="812"/>
        <v>0</v>
      </c>
      <c r="BQ242" s="16">
        <f t="shared" si="813"/>
        <v>0</v>
      </c>
      <c r="BR242" s="17">
        <f t="shared" si="814"/>
        <v>0</v>
      </c>
      <c r="BS242" s="35">
        <f t="shared" ref="BS242" si="949">SUM(BO242:BR242)</f>
        <v>492</v>
      </c>
    </row>
    <row r="243" spans="2:71" x14ac:dyDescent="0.3">
      <c r="B243" s="269"/>
      <c r="C243" s="230"/>
      <c r="D243" s="250"/>
      <c r="E243" s="250"/>
      <c r="F243" s="123" t="s">
        <v>225</v>
      </c>
      <c r="G243" s="34">
        <v>716</v>
      </c>
      <c r="H243" s="16"/>
      <c r="I243" s="16"/>
      <c r="J243" s="17"/>
      <c r="K243" s="18">
        <f t="shared" si="799"/>
        <v>716</v>
      </c>
      <c r="L243" s="34">
        <v>266</v>
      </c>
      <c r="M243" s="16"/>
      <c r="N243" s="16"/>
      <c r="O243" s="17"/>
      <c r="P243" s="18">
        <f t="shared" ref="P243" si="950">SUM(L243:O243)</f>
        <v>266</v>
      </c>
      <c r="Q243" s="34"/>
      <c r="R243" s="16"/>
      <c r="S243" s="16"/>
      <c r="T243" s="17"/>
      <c r="U243" s="18">
        <f t="shared" ref="U243" si="951">SUM(Q243:T243)</f>
        <v>0</v>
      </c>
      <c r="V243" s="34">
        <v>1046</v>
      </c>
      <c r="W243" s="16"/>
      <c r="X243" s="16"/>
      <c r="Y243" s="17"/>
      <c r="Z243" s="18">
        <f t="shared" ref="Z243" si="952">SUM(V243:Y243)</f>
        <v>1046</v>
      </c>
      <c r="AA243" s="34">
        <v>970</v>
      </c>
      <c r="AB243" s="16"/>
      <c r="AC243" s="16"/>
      <c r="AD243" s="17"/>
      <c r="AE243" s="18">
        <f t="shared" ref="AE243" si="953">SUM(AA243:AD243)</f>
        <v>970</v>
      </c>
      <c r="AF243" s="34">
        <v>96</v>
      </c>
      <c r="AG243" s="16"/>
      <c r="AH243" s="16"/>
      <c r="AI243" s="17"/>
      <c r="AJ243" s="18">
        <f t="shared" ref="AJ243" si="954">SUM(AF243:AI243)</f>
        <v>96</v>
      </c>
      <c r="AK243" s="34"/>
      <c r="AL243" s="16"/>
      <c r="AM243" s="16"/>
      <c r="AN243" s="17"/>
      <c r="AO243" s="18">
        <f t="shared" ref="AO243" si="955">SUM(AK243:AN243)</f>
        <v>0</v>
      </c>
      <c r="AP243" s="34">
        <v>312</v>
      </c>
      <c r="AQ243" s="16"/>
      <c r="AR243" s="16"/>
      <c r="AS243" s="17"/>
      <c r="AT243" s="18">
        <f t="shared" ref="AT243" si="956">SUM(AP243:AS243)</f>
        <v>312</v>
      </c>
      <c r="AU243" s="34">
        <f>1615+1189</f>
        <v>2804</v>
      </c>
      <c r="AV243" s="16"/>
      <c r="AW243" s="16"/>
      <c r="AX243" s="17"/>
      <c r="AY243" s="18">
        <f t="shared" ref="AY243" si="957">SUM(AU243:AX243)</f>
        <v>2804</v>
      </c>
      <c r="AZ243" s="34">
        <f>526+101</f>
        <v>627</v>
      </c>
      <c r="BA243" s="16"/>
      <c r="BB243" s="16"/>
      <c r="BC243" s="17"/>
      <c r="BD243" s="18">
        <f t="shared" ref="BD243" si="958">SUM(AZ243:BC243)</f>
        <v>627</v>
      </c>
      <c r="BE243" s="34"/>
      <c r="BF243" s="16"/>
      <c r="BG243" s="16"/>
      <c r="BH243" s="17"/>
      <c r="BI243" s="18">
        <f t="shared" ref="BI243" si="959">SUM(BE243:BH243)</f>
        <v>0</v>
      </c>
      <c r="BJ243" s="34">
        <v>976</v>
      </c>
      <c r="BK243" s="16"/>
      <c r="BL243" s="16"/>
      <c r="BM243" s="17"/>
      <c r="BN243" s="18">
        <f t="shared" ref="BN243" si="960">SUM(BJ243:BM243)</f>
        <v>976</v>
      </c>
      <c r="BO243" s="70">
        <f t="shared" si="811"/>
        <v>7813</v>
      </c>
      <c r="BP243" s="16">
        <f t="shared" si="812"/>
        <v>0</v>
      </c>
      <c r="BQ243" s="16">
        <f t="shared" si="813"/>
        <v>0</v>
      </c>
      <c r="BR243" s="17">
        <f t="shared" si="814"/>
        <v>0</v>
      </c>
      <c r="BS243" s="35">
        <f t="shared" si="815"/>
        <v>7813</v>
      </c>
    </row>
    <row r="244" spans="2:71" x14ac:dyDescent="0.3">
      <c r="B244" s="269"/>
      <c r="C244" s="230"/>
      <c r="D244" s="250"/>
      <c r="E244" s="250"/>
      <c r="F244" s="123" t="s">
        <v>226</v>
      </c>
      <c r="G244" s="34">
        <v>716</v>
      </c>
      <c r="H244" s="16"/>
      <c r="I244" s="16"/>
      <c r="J244" s="17"/>
      <c r="K244" s="18">
        <f t="shared" ref="K244" si="961">SUM(G244:J244)</f>
        <v>716</v>
      </c>
      <c r="L244" s="34">
        <v>711</v>
      </c>
      <c r="M244" s="16"/>
      <c r="N244" s="16"/>
      <c r="O244" s="17"/>
      <c r="P244" s="18">
        <f t="shared" ref="P244:P246" si="962">SUM(L244:O244)</f>
        <v>711</v>
      </c>
      <c r="Q244" s="34">
        <v>22</v>
      </c>
      <c r="R244" s="16"/>
      <c r="S244" s="16"/>
      <c r="T244" s="17"/>
      <c r="U244" s="18">
        <f t="shared" ref="U244:U246" si="963">SUM(Q244:T244)</f>
        <v>22</v>
      </c>
      <c r="V244" s="34">
        <v>1064</v>
      </c>
      <c r="W244" s="16"/>
      <c r="X244" s="16"/>
      <c r="Y244" s="17"/>
      <c r="Z244" s="18">
        <f t="shared" ref="Z244:Z246" si="964">SUM(V244:Y244)</f>
        <v>1064</v>
      </c>
      <c r="AA244" s="34">
        <v>1598</v>
      </c>
      <c r="AB244" s="16"/>
      <c r="AC244" s="16"/>
      <c r="AD244" s="17"/>
      <c r="AE244" s="18">
        <f t="shared" ref="AE244:AE246" si="965">SUM(AA244:AD244)</f>
        <v>1598</v>
      </c>
      <c r="AF244" s="34">
        <v>318</v>
      </c>
      <c r="AG244" s="16"/>
      <c r="AH244" s="16"/>
      <c r="AI244" s="17"/>
      <c r="AJ244" s="18">
        <f t="shared" ref="AJ244:AJ246" si="966">SUM(AF244:AI244)</f>
        <v>318</v>
      </c>
      <c r="AK244" s="34"/>
      <c r="AL244" s="16"/>
      <c r="AM244" s="16"/>
      <c r="AN244" s="17"/>
      <c r="AO244" s="18">
        <f t="shared" ref="AO244:AO246" si="967">SUM(AK244:AN244)</f>
        <v>0</v>
      </c>
      <c r="AP244" s="34"/>
      <c r="AQ244" s="16"/>
      <c r="AR244" s="16"/>
      <c r="AS244" s="17"/>
      <c r="AT244" s="18">
        <f t="shared" ref="AT244:AT246" si="968">SUM(AP244:AS244)</f>
        <v>0</v>
      </c>
      <c r="AU244" s="34"/>
      <c r="AV244" s="16"/>
      <c r="AW244" s="16"/>
      <c r="AX244" s="17"/>
      <c r="AY244" s="18">
        <f t="shared" ref="AY244:AY246" si="969">SUM(AU244:AX244)</f>
        <v>0</v>
      </c>
      <c r="AZ244" s="34"/>
      <c r="BA244" s="16"/>
      <c r="BB244" s="16"/>
      <c r="BC244" s="17"/>
      <c r="BD244" s="18">
        <f t="shared" ref="BD244:BD246" si="970">SUM(AZ244:BC244)</f>
        <v>0</v>
      </c>
      <c r="BE244" s="34"/>
      <c r="BF244" s="16"/>
      <c r="BG244" s="16"/>
      <c r="BH244" s="17"/>
      <c r="BI244" s="18">
        <f t="shared" ref="BI244:BI246" si="971">SUM(BE244:BH244)</f>
        <v>0</v>
      </c>
      <c r="BJ244" s="34"/>
      <c r="BK244" s="16"/>
      <c r="BL244" s="16"/>
      <c r="BM244" s="17"/>
      <c r="BN244" s="18">
        <f t="shared" ref="BN244:BN246" si="972">SUM(BJ244:BM244)</f>
        <v>0</v>
      </c>
      <c r="BO244" s="70">
        <f t="shared" si="811"/>
        <v>4429</v>
      </c>
      <c r="BP244" s="16">
        <f t="shared" si="812"/>
        <v>0</v>
      </c>
      <c r="BQ244" s="16">
        <f t="shared" si="813"/>
        <v>0</v>
      </c>
      <c r="BR244" s="17">
        <f t="shared" si="814"/>
        <v>0</v>
      </c>
      <c r="BS244" s="35">
        <f t="shared" ref="BS244" si="973">SUM(BO244:BR244)</f>
        <v>4429</v>
      </c>
    </row>
    <row r="245" spans="2:71" x14ac:dyDescent="0.3">
      <c r="B245" s="269"/>
      <c r="C245" s="230"/>
      <c r="D245" s="250"/>
      <c r="E245" s="250"/>
      <c r="F245" s="123" t="s">
        <v>332</v>
      </c>
      <c r="G245" s="34"/>
      <c r="H245" s="16"/>
      <c r="I245" s="16"/>
      <c r="J245" s="17"/>
      <c r="K245" s="18">
        <f t="shared" ref="K245" si="974">SUM(G245:J245)</f>
        <v>0</v>
      </c>
      <c r="L245" s="34"/>
      <c r="M245" s="16"/>
      <c r="N245" s="16"/>
      <c r="O245" s="17"/>
      <c r="P245" s="18">
        <f t="shared" ref="P245" si="975">SUM(L245:O245)</f>
        <v>0</v>
      </c>
      <c r="Q245" s="34"/>
      <c r="R245" s="16"/>
      <c r="S245" s="16"/>
      <c r="T245" s="17"/>
      <c r="U245" s="18">
        <f t="shared" ref="U245" si="976">SUM(Q245:T245)</f>
        <v>0</v>
      </c>
      <c r="V245" s="34"/>
      <c r="W245" s="16"/>
      <c r="X245" s="16"/>
      <c r="Y245" s="17"/>
      <c r="Z245" s="18">
        <f t="shared" ref="Z245" si="977">SUM(V245:Y245)</f>
        <v>0</v>
      </c>
      <c r="AA245" s="34">
        <v>232</v>
      </c>
      <c r="AB245" s="16"/>
      <c r="AC245" s="16"/>
      <c r="AD245" s="17"/>
      <c r="AE245" s="18">
        <f t="shared" ref="AE245" si="978">SUM(AA245:AD245)</f>
        <v>232</v>
      </c>
      <c r="AF245" s="34">
        <f>1494</f>
        <v>1494</v>
      </c>
      <c r="AG245" s="16"/>
      <c r="AH245" s="16"/>
      <c r="AI245" s="17"/>
      <c r="AJ245" s="18">
        <f t="shared" ref="AJ245" si="979">SUM(AF245:AI245)</f>
        <v>1494</v>
      </c>
      <c r="AK245" s="34">
        <v>509</v>
      </c>
      <c r="AL245" s="16"/>
      <c r="AM245" s="16"/>
      <c r="AN245" s="17"/>
      <c r="AO245" s="18">
        <f t="shared" ref="AO245" si="980">SUM(AK245:AN245)</f>
        <v>509</v>
      </c>
      <c r="AP245" s="34">
        <f>404+62</f>
        <v>466</v>
      </c>
      <c r="AQ245" s="16"/>
      <c r="AR245" s="16"/>
      <c r="AS245" s="17"/>
      <c r="AT245" s="18">
        <f t="shared" ref="AT245" si="981">SUM(AP245:AS245)</f>
        <v>466</v>
      </c>
      <c r="AU245" s="34">
        <f>974+467</f>
        <v>1441</v>
      </c>
      <c r="AV245" s="16"/>
      <c r="AW245" s="16"/>
      <c r="AX245" s="17"/>
      <c r="AY245" s="18">
        <f t="shared" ref="AY245" si="982">SUM(AU245:AX245)</f>
        <v>1441</v>
      </c>
      <c r="AZ245" s="34">
        <f>841+2591+36</f>
        <v>3468</v>
      </c>
      <c r="BA245" s="16"/>
      <c r="BB245" s="16"/>
      <c r="BC245" s="17"/>
      <c r="BD245" s="18">
        <f t="shared" ref="BD245" si="983">SUM(AZ245:BC245)</f>
        <v>3468</v>
      </c>
      <c r="BE245" s="34">
        <v>575</v>
      </c>
      <c r="BF245" s="16"/>
      <c r="BG245" s="16"/>
      <c r="BH245" s="17"/>
      <c r="BI245" s="18">
        <f t="shared" ref="BI245" si="984">SUM(BE245:BH245)</f>
        <v>575</v>
      </c>
      <c r="BJ245" s="34">
        <f>482+427</f>
        <v>909</v>
      </c>
      <c r="BK245" s="16"/>
      <c r="BL245" s="16"/>
      <c r="BM245" s="17"/>
      <c r="BN245" s="18">
        <f t="shared" ref="BN245" si="985">SUM(BJ245:BM245)</f>
        <v>909</v>
      </c>
      <c r="BO245" s="70">
        <f t="shared" si="811"/>
        <v>9094</v>
      </c>
      <c r="BP245" s="16">
        <f t="shared" si="812"/>
        <v>0</v>
      </c>
      <c r="BQ245" s="16">
        <f t="shared" si="813"/>
        <v>0</v>
      </c>
      <c r="BR245" s="17">
        <f t="shared" si="814"/>
        <v>0</v>
      </c>
      <c r="BS245" s="35">
        <f t="shared" ref="BS245" si="986">SUM(BO245:BR245)</f>
        <v>9094</v>
      </c>
    </row>
    <row r="246" spans="2:71" x14ac:dyDescent="0.3">
      <c r="B246" s="269"/>
      <c r="C246" s="230"/>
      <c r="D246" s="250"/>
      <c r="E246" s="250"/>
      <c r="F246" s="123" t="s">
        <v>248</v>
      </c>
      <c r="G246" s="34"/>
      <c r="H246" s="16"/>
      <c r="I246" s="16"/>
      <c r="J246" s="17"/>
      <c r="K246" s="18">
        <f t="shared" ref="K246" si="987">SUM(G246:J246)</f>
        <v>0</v>
      </c>
      <c r="L246" s="34">
        <v>726</v>
      </c>
      <c r="M246" s="16"/>
      <c r="N246" s="16"/>
      <c r="O246" s="17"/>
      <c r="P246" s="18">
        <f t="shared" si="962"/>
        <v>726</v>
      </c>
      <c r="Q246" s="34">
        <v>1592</v>
      </c>
      <c r="R246" s="16"/>
      <c r="S246" s="16"/>
      <c r="T246" s="17"/>
      <c r="U246" s="18">
        <f t="shared" si="963"/>
        <v>1592</v>
      </c>
      <c r="V246" s="34">
        <v>1933</v>
      </c>
      <c r="W246" s="16"/>
      <c r="X246" s="16"/>
      <c r="Y246" s="17"/>
      <c r="Z246" s="18">
        <f t="shared" si="964"/>
        <v>1933</v>
      </c>
      <c r="AA246" s="34">
        <v>1744</v>
      </c>
      <c r="AB246" s="16"/>
      <c r="AC246" s="16"/>
      <c r="AD246" s="17"/>
      <c r="AE246" s="18">
        <f t="shared" si="965"/>
        <v>1744</v>
      </c>
      <c r="AF246" s="34">
        <v>2096</v>
      </c>
      <c r="AG246" s="16"/>
      <c r="AH246" s="16"/>
      <c r="AI246" s="17"/>
      <c r="AJ246" s="18">
        <f t="shared" si="966"/>
        <v>2096</v>
      </c>
      <c r="AK246" s="34">
        <v>1022</v>
      </c>
      <c r="AL246" s="16"/>
      <c r="AM246" s="16"/>
      <c r="AN246" s="17"/>
      <c r="AO246" s="18">
        <f t="shared" si="967"/>
        <v>1022</v>
      </c>
      <c r="AP246" s="34">
        <v>1738</v>
      </c>
      <c r="AQ246" s="16"/>
      <c r="AR246" s="16"/>
      <c r="AS246" s="17"/>
      <c r="AT246" s="18">
        <f t="shared" si="968"/>
        <v>1738</v>
      </c>
      <c r="AU246" s="34">
        <v>2583</v>
      </c>
      <c r="AV246" s="16"/>
      <c r="AW246" s="16"/>
      <c r="AX246" s="17"/>
      <c r="AY246" s="18">
        <f t="shared" si="969"/>
        <v>2583</v>
      </c>
      <c r="AZ246" s="34">
        <v>4302</v>
      </c>
      <c r="BA246" s="16"/>
      <c r="BB246" s="16"/>
      <c r="BC246" s="17"/>
      <c r="BD246" s="18">
        <f t="shared" si="970"/>
        <v>4302</v>
      </c>
      <c r="BE246" s="34">
        <v>1502</v>
      </c>
      <c r="BF246" s="16"/>
      <c r="BG246" s="16"/>
      <c r="BH246" s="17"/>
      <c r="BI246" s="18">
        <f t="shared" si="971"/>
        <v>1502</v>
      </c>
      <c r="BJ246" s="34">
        <v>1542</v>
      </c>
      <c r="BK246" s="16"/>
      <c r="BL246" s="16"/>
      <c r="BM246" s="17"/>
      <c r="BN246" s="18">
        <f t="shared" si="972"/>
        <v>1542</v>
      </c>
      <c r="BO246" s="70">
        <f t="shared" si="811"/>
        <v>20780</v>
      </c>
      <c r="BP246" s="16">
        <f t="shared" si="812"/>
        <v>0</v>
      </c>
      <c r="BQ246" s="16">
        <f t="shared" si="813"/>
        <v>0</v>
      </c>
      <c r="BR246" s="17">
        <f t="shared" si="814"/>
        <v>0</v>
      </c>
      <c r="BS246" s="35">
        <f t="shared" ref="BS246" si="988">SUM(BO246:BR246)</f>
        <v>20780</v>
      </c>
    </row>
    <row r="247" spans="2:71" x14ac:dyDescent="0.3">
      <c r="B247" s="269"/>
      <c r="C247" s="230"/>
      <c r="D247" s="250"/>
      <c r="E247" s="250"/>
      <c r="F247" s="133" t="s">
        <v>331</v>
      </c>
      <c r="G247" s="49"/>
      <c r="H247" s="50"/>
      <c r="I247" s="50"/>
      <c r="J247" s="51"/>
      <c r="K247" s="52">
        <f t="shared" ref="K247:K249" si="989">SUM(G247:J247)</f>
        <v>0</v>
      </c>
      <c r="L247" s="49"/>
      <c r="M247" s="50"/>
      <c r="N247" s="50"/>
      <c r="O247" s="51"/>
      <c r="P247" s="52">
        <f t="shared" ref="P247:P252" si="990">SUM(L247:O247)</f>
        <v>0</v>
      </c>
      <c r="Q247" s="49"/>
      <c r="R247" s="50"/>
      <c r="S247" s="50"/>
      <c r="T247" s="51"/>
      <c r="U247" s="52">
        <f t="shared" ref="U247:U252" si="991">SUM(Q247:T247)</f>
        <v>0</v>
      </c>
      <c r="V247" s="49"/>
      <c r="W247" s="50"/>
      <c r="X247" s="50"/>
      <c r="Y247" s="51"/>
      <c r="Z247" s="52">
        <f t="shared" ref="Z247:Z252" si="992">SUM(V247:Y247)</f>
        <v>0</v>
      </c>
      <c r="AA247" s="49">
        <v>150</v>
      </c>
      <c r="AB247" s="50"/>
      <c r="AC247" s="50"/>
      <c r="AD247" s="51"/>
      <c r="AE247" s="52">
        <f t="shared" ref="AE247:AE252" si="993">SUM(AA247:AD247)</f>
        <v>150</v>
      </c>
      <c r="AF247" s="49"/>
      <c r="AG247" s="50"/>
      <c r="AH247" s="50"/>
      <c r="AI247" s="51"/>
      <c r="AJ247" s="52">
        <f t="shared" ref="AJ247:AJ252" si="994">SUM(AF247:AI247)</f>
        <v>0</v>
      </c>
      <c r="AK247" s="49"/>
      <c r="AL247" s="50"/>
      <c r="AM247" s="50"/>
      <c r="AN247" s="51"/>
      <c r="AO247" s="52">
        <f t="shared" ref="AO247:AO252" si="995">SUM(AK247:AN247)</f>
        <v>0</v>
      </c>
      <c r="AP247" s="49"/>
      <c r="AQ247" s="50"/>
      <c r="AR247" s="50"/>
      <c r="AS247" s="51"/>
      <c r="AT247" s="52">
        <f t="shared" ref="AT247:AT252" si="996">SUM(AP247:AS247)</f>
        <v>0</v>
      </c>
      <c r="AU247" s="49"/>
      <c r="AV247" s="50"/>
      <c r="AW247" s="50"/>
      <c r="AX247" s="51"/>
      <c r="AY247" s="52">
        <f t="shared" ref="AY247:AY252" si="997">SUM(AU247:AX247)</f>
        <v>0</v>
      </c>
      <c r="AZ247" s="49"/>
      <c r="BA247" s="50"/>
      <c r="BB247" s="50"/>
      <c r="BC247" s="51"/>
      <c r="BD247" s="52">
        <f t="shared" ref="BD247:BD252" si="998">SUM(AZ247:BC247)</f>
        <v>0</v>
      </c>
      <c r="BE247" s="49"/>
      <c r="BF247" s="50"/>
      <c r="BG247" s="50">
        <v>1500</v>
      </c>
      <c r="BH247" s="51"/>
      <c r="BI247" s="52">
        <f t="shared" ref="BI247:BI252" si="999">SUM(BE247:BH247)</f>
        <v>1500</v>
      </c>
      <c r="BJ247" s="49"/>
      <c r="BK247" s="50"/>
      <c r="BL247" s="50"/>
      <c r="BM247" s="51"/>
      <c r="BN247" s="52">
        <f t="shared" ref="BN247:BN252" si="1000">SUM(BJ247:BM247)</f>
        <v>0</v>
      </c>
      <c r="BO247" s="167">
        <f t="shared" si="811"/>
        <v>150</v>
      </c>
      <c r="BP247" s="50">
        <f t="shared" si="812"/>
        <v>0</v>
      </c>
      <c r="BQ247" s="50">
        <f t="shared" si="813"/>
        <v>1500</v>
      </c>
      <c r="BR247" s="51">
        <f t="shared" si="814"/>
        <v>0</v>
      </c>
      <c r="BS247" s="53">
        <f t="shared" ref="BS247:BS249" si="1001">SUM(BO247:BR247)</f>
        <v>1650</v>
      </c>
    </row>
    <row r="248" spans="2:71" x14ac:dyDescent="0.3">
      <c r="B248" s="269"/>
      <c r="C248" s="230"/>
      <c r="D248" s="250"/>
      <c r="E248" s="250"/>
      <c r="F248" s="133" t="s">
        <v>333</v>
      </c>
      <c r="G248" s="49"/>
      <c r="H248" s="50"/>
      <c r="I248" s="50"/>
      <c r="J248" s="51"/>
      <c r="K248" s="52">
        <f t="shared" si="989"/>
        <v>0</v>
      </c>
      <c r="L248" s="49"/>
      <c r="M248" s="50"/>
      <c r="N248" s="50"/>
      <c r="O248" s="51"/>
      <c r="P248" s="52">
        <f t="shared" si="990"/>
        <v>0</v>
      </c>
      <c r="Q248" s="49"/>
      <c r="R248" s="50"/>
      <c r="S248" s="50"/>
      <c r="T248" s="51"/>
      <c r="U248" s="52">
        <f t="shared" si="991"/>
        <v>0</v>
      </c>
      <c r="V248" s="49"/>
      <c r="W248" s="50"/>
      <c r="X248" s="50"/>
      <c r="Y248" s="51"/>
      <c r="Z248" s="52">
        <f t="shared" si="992"/>
        <v>0</v>
      </c>
      <c r="AA248" s="49">
        <v>2198</v>
      </c>
      <c r="AB248" s="50"/>
      <c r="AC248" s="50">
        <v>2198</v>
      </c>
      <c r="AD248" s="51"/>
      <c r="AE248" s="52">
        <f t="shared" si="993"/>
        <v>4396</v>
      </c>
      <c r="AF248" s="49">
        <v>1818</v>
      </c>
      <c r="AG248" s="50"/>
      <c r="AH248" s="50">
        <v>1818</v>
      </c>
      <c r="AI248" s="51"/>
      <c r="AJ248" s="52">
        <f t="shared" si="994"/>
        <v>3636</v>
      </c>
      <c r="AK248" s="49"/>
      <c r="AL248" s="50"/>
      <c r="AM248" s="50"/>
      <c r="AN248" s="51"/>
      <c r="AO248" s="52">
        <f t="shared" si="995"/>
        <v>0</v>
      </c>
      <c r="AP248" s="49"/>
      <c r="AQ248" s="50"/>
      <c r="AR248" s="50"/>
      <c r="AS248" s="51"/>
      <c r="AT248" s="52">
        <f t="shared" si="996"/>
        <v>0</v>
      </c>
      <c r="AU248" s="49"/>
      <c r="AV248" s="50"/>
      <c r="AW248" s="50"/>
      <c r="AX248" s="51"/>
      <c r="AY248" s="52">
        <f t="shared" si="997"/>
        <v>0</v>
      </c>
      <c r="AZ248" s="49"/>
      <c r="BA248" s="50"/>
      <c r="BB248" s="50"/>
      <c r="BC248" s="51"/>
      <c r="BD248" s="52">
        <f t="shared" si="998"/>
        <v>0</v>
      </c>
      <c r="BE248" s="49"/>
      <c r="BF248" s="50"/>
      <c r="BG248" s="50"/>
      <c r="BH248" s="51"/>
      <c r="BI248" s="52">
        <f t="shared" si="999"/>
        <v>0</v>
      </c>
      <c r="BJ248" s="49"/>
      <c r="BK248" s="50"/>
      <c r="BL248" s="50"/>
      <c r="BM248" s="51"/>
      <c r="BN248" s="52">
        <f t="shared" si="1000"/>
        <v>0</v>
      </c>
      <c r="BO248" s="167">
        <f t="shared" si="811"/>
        <v>4016</v>
      </c>
      <c r="BP248" s="50">
        <f t="shared" si="812"/>
        <v>0</v>
      </c>
      <c r="BQ248" s="50">
        <f t="shared" si="813"/>
        <v>4016</v>
      </c>
      <c r="BR248" s="51">
        <f t="shared" si="814"/>
        <v>0</v>
      </c>
      <c r="BS248" s="53">
        <f t="shared" si="1001"/>
        <v>8032</v>
      </c>
    </row>
    <row r="249" spans="2:71" x14ac:dyDescent="0.3">
      <c r="B249" s="269"/>
      <c r="C249" s="230"/>
      <c r="D249" s="250"/>
      <c r="E249" s="250"/>
      <c r="F249" s="133" t="s">
        <v>355</v>
      </c>
      <c r="G249" s="49"/>
      <c r="H249" s="50"/>
      <c r="I249" s="50"/>
      <c r="J249" s="51"/>
      <c r="K249" s="52">
        <f t="shared" si="989"/>
        <v>0</v>
      </c>
      <c r="L249" s="49"/>
      <c r="M249" s="50"/>
      <c r="N249" s="50"/>
      <c r="O249" s="51"/>
      <c r="P249" s="52">
        <f t="shared" ref="P249" si="1002">SUM(L249:O249)</f>
        <v>0</v>
      </c>
      <c r="Q249" s="49"/>
      <c r="R249" s="50"/>
      <c r="S249" s="50"/>
      <c r="T249" s="51"/>
      <c r="U249" s="52">
        <f t="shared" ref="U249" si="1003">SUM(Q249:T249)</f>
        <v>0</v>
      </c>
      <c r="V249" s="49"/>
      <c r="W249" s="50"/>
      <c r="X249" s="50"/>
      <c r="Y249" s="51"/>
      <c r="Z249" s="52">
        <f t="shared" ref="Z249" si="1004">SUM(V249:Y249)</f>
        <v>0</v>
      </c>
      <c r="AA249" s="49"/>
      <c r="AB249" s="50"/>
      <c r="AC249" s="50"/>
      <c r="AD249" s="51"/>
      <c r="AE249" s="52">
        <f t="shared" ref="AE249" si="1005">SUM(AA249:AD249)</f>
        <v>0</v>
      </c>
      <c r="AF249" s="49"/>
      <c r="AG249" s="50"/>
      <c r="AH249" s="50"/>
      <c r="AI249" s="51"/>
      <c r="AJ249" s="52">
        <f t="shared" ref="AJ249" si="1006">SUM(AF249:AI249)</f>
        <v>0</v>
      </c>
      <c r="AK249" s="49">
        <v>13750</v>
      </c>
      <c r="AL249" s="50"/>
      <c r="AM249" s="50"/>
      <c r="AN249" s="51"/>
      <c r="AO249" s="52">
        <f t="shared" ref="AO249" si="1007">SUM(AK249:AN249)</f>
        <v>13750</v>
      </c>
      <c r="AP249" s="49"/>
      <c r="AQ249" s="50"/>
      <c r="AR249" s="50"/>
      <c r="AS249" s="51"/>
      <c r="AT249" s="52">
        <f t="shared" ref="AT249" si="1008">SUM(AP249:AS249)</f>
        <v>0</v>
      </c>
      <c r="AU249" s="49">
        <v>19375</v>
      </c>
      <c r="AV249" s="50"/>
      <c r="AW249" s="50"/>
      <c r="AX249" s="51"/>
      <c r="AY249" s="52">
        <f t="shared" ref="AY249" si="1009">SUM(AU249:AX249)</f>
        <v>19375</v>
      </c>
      <c r="AZ249" s="49"/>
      <c r="BA249" s="50"/>
      <c r="BB249" s="50"/>
      <c r="BC249" s="51"/>
      <c r="BD249" s="52">
        <f t="shared" ref="BD249" si="1010">SUM(AZ249:BC249)</f>
        <v>0</v>
      </c>
      <c r="BE249" s="49"/>
      <c r="BF249" s="50"/>
      <c r="BG249" s="50"/>
      <c r="BH249" s="51"/>
      <c r="BI249" s="52">
        <f t="shared" ref="BI249" si="1011">SUM(BE249:BH249)</f>
        <v>0</v>
      </c>
      <c r="BJ249" s="49"/>
      <c r="BK249" s="50"/>
      <c r="BL249" s="50"/>
      <c r="BM249" s="51"/>
      <c r="BN249" s="52">
        <f t="shared" ref="BN249" si="1012">SUM(BJ249:BM249)</f>
        <v>0</v>
      </c>
      <c r="BO249" s="167">
        <f t="shared" si="811"/>
        <v>33125</v>
      </c>
      <c r="BP249" s="50">
        <f t="shared" si="812"/>
        <v>0</v>
      </c>
      <c r="BQ249" s="50">
        <f t="shared" si="813"/>
        <v>0</v>
      </c>
      <c r="BR249" s="51">
        <f t="shared" si="814"/>
        <v>0</v>
      </c>
      <c r="BS249" s="53">
        <f t="shared" si="1001"/>
        <v>33125</v>
      </c>
    </row>
    <row r="250" spans="2:71" x14ac:dyDescent="0.3">
      <c r="B250" s="269"/>
      <c r="C250" s="230"/>
      <c r="D250" s="250"/>
      <c r="E250" s="250"/>
      <c r="F250" s="133" t="s">
        <v>414</v>
      </c>
      <c r="G250" s="49"/>
      <c r="H250" s="50"/>
      <c r="I250" s="50"/>
      <c r="J250" s="51"/>
      <c r="K250" s="52">
        <f t="shared" ref="K250" si="1013">SUM(G250:J250)</f>
        <v>0</v>
      </c>
      <c r="L250" s="49"/>
      <c r="M250" s="50"/>
      <c r="N250" s="50"/>
      <c r="O250" s="51"/>
      <c r="P250" s="52">
        <f t="shared" si="990"/>
        <v>0</v>
      </c>
      <c r="Q250" s="49"/>
      <c r="R250" s="50"/>
      <c r="S250" s="50"/>
      <c r="T250" s="51"/>
      <c r="U250" s="52">
        <f t="shared" si="991"/>
        <v>0</v>
      </c>
      <c r="V250" s="49"/>
      <c r="W250" s="50"/>
      <c r="X250" s="50"/>
      <c r="Y250" s="51"/>
      <c r="Z250" s="52">
        <f t="shared" si="992"/>
        <v>0</v>
      </c>
      <c r="AA250" s="49"/>
      <c r="AB250" s="50"/>
      <c r="AC250" s="50"/>
      <c r="AD250" s="51"/>
      <c r="AE250" s="52">
        <f t="shared" si="993"/>
        <v>0</v>
      </c>
      <c r="AF250" s="49"/>
      <c r="AG250" s="50"/>
      <c r="AH250" s="50"/>
      <c r="AI250" s="51"/>
      <c r="AJ250" s="52">
        <f t="shared" si="994"/>
        <v>0</v>
      </c>
      <c r="AK250" s="49"/>
      <c r="AL250" s="50"/>
      <c r="AM250" s="50"/>
      <c r="AN250" s="51"/>
      <c r="AO250" s="52">
        <f t="shared" si="995"/>
        <v>0</v>
      </c>
      <c r="AP250" s="49"/>
      <c r="AQ250" s="50"/>
      <c r="AR250" s="50"/>
      <c r="AS250" s="51"/>
      <c r="AT250" s="52">
        <f t="shared" si="996"/>
        <v>0</v>
      </c>
      <c r="AU250" s="49"/>
      <c r="AV250" s="50"/>
      <c r="AW250" s="50"/>
      <c r="AX250" s="51"/>
      <c r="AY250" s="52">
        <f t="shared" si="997"/>
        <v>0</v>
      </c>
      <c r="AZ250" s="49"/>
      <c r="BA250" s="50"/>
      <c r="BB250" s="50"/>
      <c r="BC250" s="51"/>
      <c r="BD250" s="52">
        <f t="shared" si="998"/>
        <v>0</v>
      </c>
      <c r="BE250" s="49"/>
      <c r="BF250" s="50"/>
      <c r="BG250" s="50"/>
      <c r="BH250" s="51"/>
      <c r="BI250" s="52">
        <f t="shared" si="999"/>
        <v>0</v>
      </c>
      <c r="BJ250" s="49"/>
      <c r="BK250" s="50"/>
      <c r="BL250" s="50">
        <v>1502</v>
      </c>
      <c r="BM250" s="51"/>
      <c r="BN250" s="52">
        <f t="shared" si="1000"/>
        <v>1502</v>
      </c>
      <c r="BO250" s="167">
        <f t="shared" si="811"/>
        <v>0</v>
      </c>
      <c r="BP250" s="50">
        <f t="shared" si="812"/>
        <v>0</v>
      </c>
      <c r="BQ250" s="50">
        <f t="shared" si="813"/>
        <v>1502</v>
      </c>
      <c r="BR250" s="51">
        <f t="shared" si="814"/>
        <v>0</v>
      </c>
      <c r="BS250" s="53">
        <f t="shared" ref="BS250" si="1014">SUM(BO250:BR250)</f>
        <v>1502</v>
      </c>
    </row>
    <row r="251" spans="2:71" x14ac:dyDescent="0.3">
      <c r="B251" s="269"/>
      <c r="C251" s="231"/>
      <c r="D251" s="251"/>
      <c r="E251" s="251"/>
      <c r="F251" s="114" t="s">
        <v>57</v>
      </c>
      <c r="G251" s="40">
        <f>SUM(G228:G250)</f>
        <v>7466</v>
      </c>
      <c r="H251" s="22">
        <f>SUM(H228:H250)</f>
        <v>0</v>
      </c>
      <c r="I251" s="22">
        <f>SUM(I228:I250)</f>
        <v>3337</v>
      </c>
      <c r="J251" s="23">
        <f>SUM(J228:J250)</f>
        <v>0</v>
      </c>
      <c r="K251" s="24">
        <f t="shared" ref="K251:K334" si="1015">SUM(G251:J251)</f>
        <v>10803</v>
      </c>
      <c r="L251" s="40">
        <f>SUM(L228:L250)</f>
        <v>16627</v>
      </c>
      <c r="M251" s="22">
        <f>SUM(M228:M250)</f>
        <v>0</v>
      </c>
      <c r="N251" s="22">
        <f>SUM(N228:N250)</f>
        <v>5752</v>
      </c>
      <c r="O251" s="23">
        <f>SUM(O228:O250)</f>
        <v>0</v>
      </c>
      <c r="P251" s="24">
        <f t="shared" si="990"/>
        <v>22379</v>
      </c>
      <c r="Q251" s="40">
        <f>SUM(Q228:Q250)</f>
        <v>14845</v>
      </c>
      <c r="R251" s="22">
        <f>SUM(R228:R250)</f>
        <v>0</v>
      </c>
      <c r="S251" s="22">
        <f>SUM(S228:S250)</f>
        <v>5213</v>
      </c>
      <c r="T251" s="23">
        <f>SUM(T228:T250)</f>
        <v>0</v>
      </c>
      <c r="U251" s="24">
        <f t="shared" si="991"/>
        <v>20058</v>
      </c>
      <c r="V251" s="40">
        <f>SUM(V228:V250)</f>
        <v>26420</v>
      </c>
      <c r="W251" s="22">
        <f>SUM(W228:W250)</f>
        <v>0</v>
      </c>
      <c r="X251" s="22">
        <f>SUM(X228:X250)</f>
        <v>5367</v>
      </c>
      <c r="Y251" s="23">
        <f>SUM(Y228:Y250)</f>
        <v>0</v>
      </c>
      <c r="Z251" s="24">
        <f t="shared" si="992"/>
        <v>31787</v>
      </c>
      <c r="AA251" s="40">
        <f>SUM(AA228:AA250)</f>
        <v>23702</v>
      </c>
      <c r="AB251" s="22">
        <f>SUM(AB228:AB250)</f>
        <v>0</v>
      </c>
      <c r="AC251" s="22">
        <f>SUM(AC228:AC250)</f>
        <v>7087</v>
      </c>
      <c r="AD251" s="23">
        <f>SUM(AD228:AD250)</f>
        <v>0</v>
      </c>
      <c r="AE251" s="24">
        <f t="shared" si="993"/>
        <v>30789</v>
      </c>
      <c r="AF251" s="40">
        <f>SUM(AF228:AF250)</f>
        <v>20611</v>
      </c>
      <c r="AG251" s="22">
        <f>SUM(AG228:AG250)</f>
        <v>0</v>
      </c>
      <c r="AH251" s="22">
        <f>SUM(AH228:AH250)</f>
        <v>9263</v>
      </c>
      <c r="AI251" s="23">
        <f>SUM(AI228:AI250)</f>
        <v>0</v>
      </c>
      <c r="AJ251" s="24">
        <f t="shared" si="994"/>
        <v>29874</v>
      </c>
      <c r="AK251" s="40">
        <f>SUM(AK228:AK250)</f>
        <v>25829</v>
      </c>
      <c r="AL251" s="22">
        <f>SUM(AL228:AL250)</f>
        <v>0</v>
      </c>
      <c r="AM251" s="22">
        <f>SUM(AM228:AM250)</f>
        <v>3027</v>
      </c>
      <c r="AN251" s="23">
        <f>SUM(AN228:AN250)</f>
        <v>0</v>
      </c>
      <c r="AO251" s="24">
        <f t="shared" si="995"/>
        <v>28856</v>
      </c>
      <c r="AP251" s="40">
        <f>SUM(AP228:AP250)</f>
        <v>19662</v>
      </c>
      <c r="AQ251" s="22">
        <f>SUM(AQ228:AQ250)</f>
        <v>0</v>
      </c>
      <c r="AR251" s="22">
        <f>SUM(AR228:AR250)</f>
        <v>5089</v>
      </c>
      <c r="AS251" s="23">
        <f>SUM(AS228:AS250)</f>
        <v>0</v>
      </c>
      <c r="AT251" s="24">
        <f t="shared" si="996"/>
        <v>24751</v>
      </c>
      <c r="AU251" s="40">
        <f>SUM(AU228:AU250)</f>
        <v>44754</v>
      </c>
      <c r="AV251" s="22">
        <f>SUM(AV228:AV250)</f>
        <v>0</v>
      </c>
      <c r="AW251" s="22">
        <f>SUM(AW228:AW250)</f>
        <v>6311</v>
      </c>
      <c r="AX251" s="23">
        <f>SUM(AX228:AX250)</f>
        <v>0</v>
      </c>
      <c r="AY251" s="24">
        <f t="shared" si="997"/>
        <v>51065</v>
      </c>
      <c r="AZ251" s="40">
        <f>SUM(AZ228:AZ250)</f>
        <v>35803</v>
      </c>
      <c r="BA251" s="22">
        <f>SUM(BA228:BA250)</f>
        <v>0</v>
      </c>
      <c r="BB251" s="22">
        <f>SUM(BB228:BB250)</f>
        <v>9866</v>
      </c>
      <c r="BC251" s="23">
        <f>SUM(BC228:BC250)</f>
        <v>0</v>
      </c>
      <c r="BD251" s="24">
        <f t="shared" si="998"/>
        <v>45669</v>
      </c>
      <c r="BE251" s="40">
        <f>SUM(BE228:BE250)</f>
        <v>8993</v>
      </c>
      <c r="BF251" s="22">
        <f>SUM(BF228:BF250)</f>
        <v>0</v>
      </c>
      <c r="BG251" s="22">
        <f>SUM(BG228:BG250)</f>
        <v>5422</v>
      </c>
      <c r="BH251" s="23">
        <f>SUM(BH228:BH250)</f>
        <v>0</v>
      </c>
      <c r="BI251" s="24">
        <f t="shared" si="999"/>
        <v>14415</v>
      </c>
      <c r="BJ251" s="40">
        <f>SUM(BJ228:BJ250)</f>
        <v>9577</v>
      </c>
      <c r="BK251" s="22">
        <f>SUM(BK228:BK250)</f>
        <v>0</v>
      </c>
      <c r="BL251" s="22">
        <f>SUM(BL228:BL250)</f>
        <v>5369</v>
      </c>
      <c r="BM251" s="23">
        <f>SUM(BM228:BM250)</f>
        <v>0</v>
      </c>
      <c r="BN251" s="24">
        <f t="shared" si="1000"/>
        <v>14946</v>
      </c>
      <c r="BO251" s="68">
        <f>SUM(BO228:BO250)</f>
        <v>254289</v>
      </c>
      <c r="BP251" s="22">
        <f>SUM(BP228:BP250)</f>
        <v>0</v>
      </c>
      <c r="BQ251" s="22">
        <f>SUM(BQ228:BQ250)</f>
        <v>71103</v>
      </c>
      <c r="BR251" s="23">
        <f>SUM(BR228:BR250)</f>
        <v>0</v>
      </c>
      <c r="BS251" s="41">
        <f t="shared" ref="BS251:BS334" si="1016">SUM(BO251:BR251)</f>
        <v>325392</v>
      </c>
    </row>
    <row r="252" spans="2:71" x14ac:dyDescent="0.3">
      <c r="B252" s="269"/>
      <c r="C252" s="213" t="s">
        <v>74</v>
      </c>
      <c r="D252" s="214"/>
      <c r="E252" s="219" t="s">
        <v>75</v>
      </c>
      <c r="F252" s="120" t="s">
        <v>76</v>
      </c>
      <c r="G252" s="30"/>
      <c r="H252" s="7"/>
      <c r="I252" s="7"/>
      <c r="J252" s="8"/>
      <c r="K252" s="9">
        <f t="shared" si="1015"/>
        <v>0</v>
      </c>
      <c r="L252" s="30">
        <v>9</v>
      </c>
      <c r="M252" s="7"/>
      <c r="N252" s="7">
        <v>12</v>
      </c>
      <c r="O252" s="8"/>
      <c r="P252" s="9">
        <f t="shared" si="990"/>
        <v>21</v>
      </c>
      <c r="Q252" s="30">
        <v>7</v>
      </c>
      <c r="R252" s="7"/>
      <c r="S252" s="7">
        <v>14</v>
      </c>
      <c r="T252" s="8"/>
      <c r="U252" s="9">
        <f t="shared" si="991"/>
        <v>21</v>
      </c>
      <c r="V252" s="30">
        <v>7</v>
      </c>
      <c r="W252" s="7"/>
      <c r="X252" s="7">
        <v>14</v>
      </c>
      <c r="Y252" s="8"/>
      <c r="Z252" s="9">
        <f t="shared" si="992"/>
        <v>21</v>
      </c>
      <c r="AA252" s="30">
        <v>37</v>
      </c>
      <c r="AB252" s="7"/>
      <c r="AC252" s="7">
        <v>50</v>
      </c>
      <c r="AD252" s="8"/>
      <c r="AE252" s="9">
        <f t="shared" si="993"/>
        <v>87</v>
      </c>
      <c r="AF252" s="30">
        <v>9</v>
      </c>
      <c r="AG252" s="7"/>
      <c r="AH252" s="7">
        <v>9</v>
      </c>
      <c r="AI252" s="8"/>
      <c r="AJ252" s="9">
        <f t="shared" si="994"/>
        <v>18</v>
      </c>
      <c r="AK252" s="30">
        <v>11</v>
      </c>
      <c r="AL252" s="7"/>
      <c r="AM252" s="7">
        <v>22</v>
      </c>
      <c r="AN252" s="8"/>
      <c r="AO252" s="9">
        <f t="shared" si="995"/>
        <v>33</v>
      </c>
      <c r="AP252" s="30">
        <v>7</v>
      </c>
      <c r="AQ252" s="7"/>
      <c r="AR252" s="7">
        <v>5</v>
      </c>
      <c r="AS252" s="8"/>
      <c r="AT252" s="9">
        <f t="shared" si="996"/>
        <v>12</v>
      </c>
      <c r="AU252" s="30">
        <v>5</v>
      </c>
      <c r="AV252" s="7"/>
      <c r="AW252" s="7">
        <v>6</v>
      </c>
      <c r="AX252" s="8"/>
      <c r="AY252" s="9">
        <f t="shared" si="997"/>
        <v>11</v>
      </c>
      <c r="AZ252" s="30">
        <v>5</v>
      </c>
      <c r="BA252" s="7"/>
      <c r="BB252" s="7">
        <v>5</v>
      </c>
      <c r="BC252" s="8"/>
      <c r="BD252" s="9">
        <f t="shared" si="998"/>
        <v>10</v>
      </c>
      <c r="BE252" s="30">
        <v>3</v>
      </c>
      <c r="BF252" s="7"/>
      <c r="BG252" s="7">
        <v>6</v>
      </c>
      <c r="BH252" s="8"/>
      <c r="BI252" s="9">
        <f t="shared" si="999"/>
        <v>9</v>
      </c>
      <c r="BJ252" s="30">
        <v>2</v>
      </c>
      <c r="BK252" s="7"/>
      <c r="BL252" s="7">
        <v>2</v>
      </c>
      <c r="BM252" s="8"/>
      <c r="BN252" s="9">
        <f t="shared" si="1000"/>
        <v>4</v>
      </c>
      <c r="BO252" s="65">
        <f t="shared" ref="BO252:BO292" si="1017">SUM(G252,L252,Q252,V252,AA252,AF252,AK252,AP252,AU252,AZ252,BE252,BJ252)</f>
        <v>102</v>
      </c>
      <c r="BP252" s="7">
        <f t="shared" ref="BP252:BP292" si="1018">SUM(H252,M252,R252,W252,AB252,AG252,AL252,AQ252,AV252,BA252,BF252,BK252)</f>
        <v>0</v>
      </c>
      <c r="BQ252" s="7">
        <f t="shared" ref="BQ252:BQ292" si="1019">SUM(I252,N252,S252,X252,AC252,AH252,AM252,AR252,AW252,BB252,BG252,BL252)</f>
        <v>145</v>
      </c>
      <c r="BR252" s="8">
        <f t="shared" ref="BR252:BR292" si="1020">SUM(J252,O252,T252,Y252,AD252,AI252,AN252,AS252,AX252,BC252,BH252,BM252)</f>
        <v>0</v>
      </c>
      <c r="BS252" s="31">
        <f t="shared" si="1016"/>
        <v>247</v>
      </c>
    </row>
    <row r="253" spans="2:71" x14ac:dyDescent="0.3">
      <c r="B253" s="269"/>
      <c r="C253" s="215"/>
      <c r="D253" s="216"/>
      <c r="E253" s="220"/>
      <c r="F253" s="123" t="s">
        <v>118</v>
      </c>
      <c r="G253" s="34">
        <v>7</v>
      </c>
      <c r="H253" s="16"/>
      <c r="I253" s="16">
        <v>5</v>
      </c>
      <c r="J253" s="51"/>
      <c r="K253" s="18">
        <f t="shared" ref="K253" si="1021">SUM(G253:J253)</f>
        <v>12</v>
      </c>
      <c r="L253" s="34">
        <v>7</v>
      </c>
      <c r="M253" s="16"/>
      <c r="N253" s="16">
        <v>3</v>
      </c>
      <c r="O253" s="51"/>
      <c r="P253" s="18">
        <f t="shared" ref="P253" si="1022">SUM(L253:O253)</f>
        <v>10</v>
      </c>
      <c r="Q253" s="34"/>
      <c r="R253" s="16"/>
      <c r="S253" s="16">
        <v>2</v>
      </c>
      <c r="T253" s="51"/>
      <c r="U253" s="18">
        <f t="shared" ref="U253" si="1023">SUM(Q253:T253)</f>
        <v>2</v>
      </c>
      <c r="V253" s="34">
        <v>1</v>
      </c>
      <c r="W253" s="16"/>
      <c r="X253" s="16"/>
      <c r="Y253" s="51"/>
      <c r="Z253" s="18">
        <f t="shared" ref="Z253" si="1024">SUM(V253:Y253)</f>
        <v>1</v>
      </c>
      <c r="AA253" s="34">
        <v>21</v>
      </c>
      <c r="AB253" s="16"/>
      <c r="AC253" s="16">
        <v>14</v>
      </c>
      <c r="AD253" s="51"/>
      <c r="AE253" s="18">
        <f t="shared" ref="AE253" si="1025">SUM(AA253:AD253)</f>
        <v>35</v>
      </c>
      <c r="AF253" s="34">
        <v>4</v>
      </c>
      <c r="AG253" s="16"/>
      <c r="AH253" s="16">
        <v>4</v>
      </c>
      <c r="AI253" s="51"/>
      <c r="AJ253" s="18">
        <f t="shared" ref="AJ253" si="1026">SUM(AF253:AI253)</f>
        <v>8</v>
      </c>
      <c r="AK253" s="34">
        <v>8</v>
      </c>
      <c r="AL253" s="16"/>
      <c r="AM253" s="16">
        <v>7</v>
      </c>
      <c r="AN253" s="51"/>
      <c r="AO253" s="18">
        <f t="shared" ref="AO253" si="1027">SUM(AK253:AN253)</f>
        <v>15</v>
      </c>
      <c r="AP253" s="34">
        <v>3</v>
      </c>
      <c r="AQ253" s="16"/>
      <c r="AR253" s="16">
        <v>1</v>
      </c>
      <c r="AS253" s="51"/>
      <c r="AT253" s="18">
        <f t="shared" ref="AT253" si="1028">SUM(AP253:AS253)</f>
        <v>4</v>
      </c>
      <c r="AU253" s="34">
        <v>13</v>
      </c>
      <c r="AV253" s="16"/>
      <c r="AW253" s="16">
        <v>8</v>
      </c>
      <c r="AX253" s="51"/>
      <c r="AY253" s="18">
        <f t="shared" ref="AY253" si="1029">SUM(AU253:AX253)</f>
        <v>21</v>
      </c>
      <c r="AZ253" s="34">
        <v>2</v>
      </c>
      <c r="BA253" s="16"/>
      <c r="BB253" s="16">
        <v>3</v>
      </c>
      <c r="BC253" s="51"/>
      <c r="BD253" s="18">
        <f t="shared" ref="BD253" si="1030">SUM(AZ253:BC253)</f>
        <v>5</v>
      </c>
      <c r="BE253" s="34">
        <v>8</v>
      </c>
      <c r="BF253" s="16"/>
      <c r="BG253" s="16">
        <v>5</v>
      </c>
      <c r="BH253" s="51"/>
      <c r="BI253" s="18">
        <f t="shared" ref="BI253" si="1031">SUM(BE253:BH253)</f>
        <v>13</v>
      </c>
      <c r="BJ253" s="34">
        <v>2</v>
      </c>
      <c r="BK253" s="16"/>
      <c r="BL253" s="16">
        <v>1</v>
      </c>
      <c r="BM253" s="51"/>
      <c r="BN253" s="18">
        <f t="shared" ref="BN253" si="1032">SUM(BJ253:BM253)</f>
        <v>3</v>
      </c>
      <c r="BO253" s="70">
        <f t="shared" si="1017"/>
        <v>76</v>
      </c>
      <c r="BP253" s="16">
        <f t="shared" si="1018"/>
        <v>0</v>
      </c>
      <c r="BQ253" s="16">
        <f t="shared" si="1019"/>
        <v>53</v>
      </c>
      <c r="BR253" s="17">
        <f t="shared" si="1020"/>
        <v>0</v>
      </c>
      <c r="BS253" s="35">
        <f t="shared" ref="BS253" si="1033">SUM(BO253:BR253)</f>
        <v>129</v>
      </c>
    </row>
    <row r="254" spans="2:71" x14ac:dyDescent="0.3">
      <c r="B254" s="269"/>
      <c r="C254" s="215"/>
      <c r="D254" s="216"/>
      <c r="E254" s="220"/>
      <c r="F254" s="123" t="s">
        <v>77</v>
      </c>
      <c r="G254" s="34">
        <v>16</v>
      </c>
      <c r="H254" s="16"/>
      <c r="I254" s="16">
        <v>13</v>
      </c>
      <c r="J254" s="151">
        <v>14</v>
      </c>
      <c r="K254" s="18">
        <f t="shared" si="1015"/>
        <v>43</v>
      </c>
      <c r="L254" s="34">
        <v>12</v>
      </c>
      <c r="M254" s="16"/>
      <c r="N254" s="16">
        <v>15</v>
      </c>
      <c r="O254" s="151">
        <v>11</v>
      </c>
      <c r="P254" s="18">
        <f t="shared" ref="P254:P263" si="1034">SUM(L254:O254)</f>
        <v>38</v>
      </c>
      <c r="Q254" s="34">
        <v>46</v>
      </c>
      <c r="R254" s="16"/>
      <c r="S254" s="16">
        <v>29</v>
      </c>
      <c r="T254" s="151">
        <v>32</v>
      </c>
      <c r="U254" s="18">
        <f t="shared" ref="U254:U262" si="1035">SUM(Q254:T254)</f>
        <v>107</v>
      </c>
      <c r="V254" s="34">
        <v>79</v>
      </c>
      <c r="W254" s="16"/>
      <c r="X254" s="16">
        <v>39</v>
      </c>
      <c r="Y254" s="151">
        <v>28</v>
      </c>
      <c r="Z254" s="18">
        <f t="shared" ref="Z254:Z262" si="1036">SUM(V254:Y254)</f>
        <v>146</v>
      </c>
      <c r="AA254" s="34">
        <v>35</v>
      </c>
      <c r="AB254" s="16"/>
      <c r="AC254" s="16">
        <v>29</v>
      </c>
      <c r="AD254" s="151">
        <v>18</v>
      </c>
      <c r="AE254" s="18">
        <f t="shared" ref="AE254:AE262" si="1037">SUM(AA254:AD254)</f>
        <v>82</v>
      </c>
      <c r="AF254" s="34">
        <v>80</v>
      </c>
      <c r="AG254" s="16"/>
      <c r="AH254" s="16">
        <v>37</v>
      </c>
      <c r="AI254" s="151">
        <v>29</v>
      </c>
      <c r="AJ254" s="18">
        <f t="shared" ref="AJ254:AJ262" si="1038">SUM(AF254:AI254)</f>
        <v>146</v>
      </c>
      <c r="AK254" s="34">
        <v>39</v>
      </c>
      <c r="AL254" s="16"/>
      <c r="AM254" s="16">
        <v>19</v>
      </c>
      <c r="AN254" s="151">
        <v>21</v>
      </c>
      <c r="AO254" s="18">
        <f t="shared" ref="AO254:AO262" si="1039">SUM(AK254:AN254)</f>
        <v>79</v>
      </c>
      <c r="AP254" s="34">
        <v>55</v>
      </c>
      <c r="AQ254" s="16"/>
      <c r="AR254" s="16">
        <v>27</v>
      </c>
      <c r="AS254" s="151">
        <v>29</v>
      </c>
      <c r="AT254" s="18">
        <f t="shared" ref="AT254:AT262" si="1040">SUM(AP254:AS254)</f>
        <v>111</v>
      </c>
      <c r="AU254" s="34">
        <v>82</v>
      </c>
      <c r="AV254" s="16"/>
      <c r="AW254" s="16">
        <v>36</v>
      </c>
      <c r="AX254" s="151">
        <v>41</v>
      </c>
      <c r="AY254" s="18">
        <f t="shared" ref="AY254:AY262" si="1041">SUM(AU254:AX254)</f>
        <v>159</v>
      </c>
      <c r="AZ254" s="34">
        <v>73</v>
      </c>
      <c r="BA254" s="16"/>
      <c r="BB254" s="16">
        <v>34</v>
      </c>
      <c r="BC254" s="151">
        <v>47</v>
      </c>
      <c r="BD254" s="18">
        <f t="shared" ref="BD254:BD262" si="1042">SUM(AZ254:BC254)</f>
        <v>154</v>
      </c>
      <c r="BE254" s="34">
        <v>44</v>
      </c>
      <c r="BF254" s="16"/>
      <c r="BG254" s="16">
        <v>21</v>
      </c>
      <c r="BH254" s="151">
        <v>21</v>
      </c>
      <c r="BI254" s="18">
        <f t="shared" ref="BI254:BI262" si="1043">SUM(BE254:BH254)</f>
        <v>86</v>
      </c>
      <c r="BJ254" s="34">
        <v>46</v>
      </c>
      <c r="BK254" s="16"/>
      <c r="BL254" s="16">
        <v>21</v>
      </c>
      <c r="BM254" s="151">
        <v>18</v>
      </c>
      <c r="BN254" s="18">
        <f t="shared" ref="BN254:BN262" si="1044">SUM(BJ254:BM254)</f>
        <v>85</v>
      </c>
      <c r="BO254" s="70">
        <f t="shared" si="1017"/>
        <v>607</v>
      </c>
      <c r="BP254" s="16">
        <f t="shared" si="1018"/>
        <v>0</v>
      </c>
      <c r="BQ254" s="16">
        <f t="shared" si="1019"/>
        <v>320</v>
      </c>
      <c r="BR254" s="17">
        <f t="shared" si="1020"/>
        <v>309</v>
      </c>
      <c r="BS254" s="35">
        <f t="shared" si="1016"/>
        <v>1236</v>
      </c>
    </row>
    <row r="255" spans="2:71" x14ac:dyDescent="0.3">
      <c r="B255" s="269"/>
      <c r="C255" s="215"/>
      <c r="D255" s="216"/>
      <c r="E255" s="220"/>
      <c r="F255" s="123" t="s">
        <v>78</v>
      </c>
      <c r="G255" s="34">
        <v>36</v>
      </c>
      <c r="H255" s="16"/>
      <c r="I255" s="16">
        <v>18</v>
      </c>
      <c r="J255" s="151">
        <v>11</v>
      </c>
      <c r="K255" s="18">
        <f t="shared" si="1015"/>
        <v>65</v>
      </c>
      <c r="L255" s="34">
        <v>44</v>
      </c>
      <c r="M255" s="16"/>
      <c r="N255" s="16">
        <v>28</v>
      </c>
      <c r="O255" s="151">
        <v>9</v>
      </c>
      <c r="P255" s="18">
        <f t="shared" si="1034"/>
        <v>81</v>
      </c>
      <c r="Q255" s="34">
        <v>96</v>
      </c>
      <c r="R255" s="16"/>
      <c r="S255" s="16">
        <v>57</v>
      </c>
      <c r="T255" s="151">
        <v>27</v>
      </c>
      <c r="U255" s="18">
        <f t="shared" si="1035"/>
        <v>180</v>
      </c>
      <c r="V255" s="34">
        <v>43</v>
      </c>
      <c r="W255" s="16"/>
      <c r="X255" s="16">
        <v>20</v>
      </c>
      <c r="Y255" s="151">
        <v>17</v>
      </c>
      <c r="Z255" s="18">
        <f t="shared" si="1036"/>
        <v>80</v>
      </c>
      <c r="AA255" s="34">
        <v>55</v>
      </c>
      <c r="AB255" s="16"/>
      <c r="AC255" s="16">
        <v>30</v>
      </c>
      <c r="AD255" s="151">
        <v>12</v>
      </c>
      <c r="AE255" s="18">
        <f t="shared" si="1037"/>
        <v>97</v>
      </c>
      <c r="AF255" s="34">
        <v>56</v>
      </c>
      <c r="AG255" s="16"/>
      <c r="AH255" s="16">
        <v>35</v>
      </c>
      <c r="AI255" s="151">
        <v>22</v>
      </c>
      <c r="AJ255" s="18">
        <f t="shared" si="1038"/>
        <v>113</v>
      </c>
      <c r="AK255" s="34">
        <v>30</v>
      </c>
      <c r="AL255" s="16"/>
      <c r="AM255" s="16">
        <v>22</v>
      </c>
      <c r="AN255" s="151">
        <v>5</v>
      </c>
      <c r="AO255" s="18">
        <f t="shared" si="1039"/>
        <v>57</v>
      </c>
      <c r="AP255" s="34">
        <v>33</v>
      </c>
      <c r="AQ255" s="16"/>
      <c r="AR255" s="16">
        <v>20</v>
      </c>
      <c r="AS255" s="151">
        <v>12</v>
      </c>
      <c r="AT255" s="18">
        <f t="shared" si="1040"/>
        <v>65</v>
      </c>
      <c r="AU255" s="34">
        <v>62</v>
      </c>
      <c r="AV255" s="16"/>
      <c r="AW255" s="16">
        <v>39</v>
      </c>
      <c r="AX255" s="151">
        <v>20</v>
      </c>
      <c r="AY255" s="18">
        <f t="shared" si="1041"/>
        <v>121</v>
      </c>
      <c r="AZ255" s="34">
        <v>71</v>
      </c>
      <c r="BA255" s="16"/>
      <c r="BB255" s="16">
        <v>54</v>
      </c>
      <c r="BC255" s="151">
        <v>12</v>
      </c>
      <c r="BD255" s="18">
        <f t="shared" si="1042"/>
        <v>137</v>
      </c>
      <c r="BE255" s="34">
        <v>10</v>
      </c>
      <c r="BF255" s="16"/>
      <c r="BG255" s="16">
        <v>5</v>
      </c>
      <c r="BH255" s="151">
        <v>5</v>
      </c>
      <c r="BI255" s="18">
        <f t="shared" si="1043"/>
        <v>20</v>
      </c>
      <c r="BJ255" s="34">
        <v>6</v>
      </c>
      <c r="BK255" s="16"/>
      <c r="BL255" s="16">
        <v>5</v>
      </c>
      <c r="BM255" s="151">
        <v>2</v>
      </c>
      <c r="BN255" s="18">
        <f t="shared" si="1044"/>
        <v>13</v>
      </c>
      <c r="BO255" s="70">
        <f t="shared" si="1017"/>
        <v>542</v>
      </c>
      <c r="BP255" s="16">
        <f t="shared" si="1018"/>
        <v>0</v>
      </c>
      <c r="BQ255" s="16">
        <f t="shared" si="1019"/>
        <v>333</v>
      </c>
      <c r="BR255" s="17">
        <f t="shared" si="1020"/>
        <v>154</v>
      </c>
      <c r="BS255" s="35">
        <f t="shared" si="1016"/>
        <v>1029</v>
      </c>
    </row>
    <row r="256" spans="2:71" x14ac:dyDescent="0.3">
      <c r="B256" s="269"/>
      <c r="C256" s="215"/>
      <c r="D256" s="216"/>
      <c r="E256" s="220"/>
      <c r="F256" s="123" t="s">
        <v>79</v>
      </c>
      <c r="G256" s="34">
        <v>8</v>
      </c>
      <c r="H256" s="16"/>
      <c r="I256" s="16">
        <v>6</v>
      </c>
      <c r="J256" s="17"/>
      <c r="K256" s="18">
        <f t="shared" si="1015"/>
        <v>14</v>
      </c>
      <c r="L256" s="34">
        <v>13</v>
      </c>
      <c r="M256" s="16"/>
      <c r="N256" s="16">
        <v>11</v>
      </c>
      <c r="O256" s="151">
        <v>1</v>
      </c>
      <c r="P256" s="18">
        <f t="shared" si="1034"/>
        <v>25</v>
      </c>
      <c r="Q256" s="34">
        <v>14</v>
      </c>
      <c r="R256" s="16"/>
      <c r="S256" s="16">
        <v>12</v>
      </c>
      <c r="T256" s="151">
        <v>1</v>
      </c>
      <c r="U256" s="18">
        <f t="shared" si="1035"/>
        <v>27</v>
      </c>
      <c r="V256" s="34">
        <v>23</v>
      </c>
      <c r="W256" s="16"/>
      <c r="X256" s="16">
        <v>14</v>
      </c>
      <c r="Y256" s="151">
        <v>1</v>
      </c>
      <c r="Z256" s="18">
        <f t="shared" si="1036"/>
        <v>38</v>
      </c>
      <c r="AA256" s="34">
        <v>13</v>
      </c>
      <c r="AB256" s="16"/>
      <c r="AC256" s="16">
        <v>8</v>
      </c>
      <c r="AD256" s="151">
        <v>1</v>
      </c>
      <c r="AE256" s="18">
        <f t="shared" si="1037"/>
        <v>22</v>
      </c>
      <c r="AF256" s="34">
        <v>24</v>
      </c>
      <c r="AG256" s="16"/>
      <c r="AH256" s="16">
        <v>16</v>
      </c>
      <c r="AI256" s="151">
        <v>1</v>
      </c>
      <c r="AJ256" s="18">
        <f t="shared" si="1038"/>
        <v>41</v>
      </c>
      <c r="AK256" s="34">
        <v>15</v>
      </c>
      <c r="AL256" s="16"/>
      <c r="AM256" s="16">
        <v>15</v>
      </c>
      <c r="AN256" s="151">
        <v>1</v>
      </c>
      <c r="AO256" s="18">
        <f t="shared" si="1039"/>
        <v>31</v>
      </c>
      <c r="AP256" s="34">
        <v>10</v>
      </c>
      <c r="AQ256" s="16"/>
      <c r="AR256" s="16">
        <v>5</v>
      </c>
      <c r="AS256" s="17"/>
      <c r="AT256" s="18">
        <f t="shared" si="1040"/>
        <v>15</v>
      </c>
      <c r="AU256" s="34">
        <v>28</v>
      </c>
      <c r="AV256" s="16"/>
      <c r="AW256" s="16">
        <v>25</v>
      </c>
      <c r="AX256" s="151">
        <v>4</v>
      </c>
      <c r="AY256" s="18">
        <f t="shared" si="1041"/>
        <v>57</v>
      </c>
      <c r="AZ256" s="34">
        <v>30</v>
      </c>
      <c r="BA256" s="16"/>
      <c r="BB256" s="16">
        <v>28</v>
      </c>
      <c r="BC256" s="151">
        <v>1</v>
      </c>
      <c r="BD256" s="18">
        <f t="shared" si="1042"/>
        <v>59</v>
      </c>
      <c r="BE256" s="34">
        <v>9</v>
      </c>
      <c r="BF256" s="16"/>
      <c r="BG256" s="16">
        <v>6</v>
      </c>
      <c r="BH256" s="17"/>
      <c r="BI256" s="18">
        <f t="shared" si="1043"/>
        <v>15</v>
      </c>
      <c r="BJ256" s="34">
        <v>6</v>
      </c>
      <c r="BK256" s="16"/>
      <c r="BL256" s="16">
        <v>6</v>
      </c>
      <c r="BM256" s="17"/>
      <c r="BN256" s="18">
        <f t="shared" si="1044"/>
        <v>12</v>
      </c>
      <c r="BO256" s="70">
        <f t="shared" si="1017"/>
        <v>193</v>
      </c>
      <c r="BP256" s="16">
        <f t="shared" si="1018"/>
        <v>0</v>
      </c>
      <c r="BQ256" s="16">
        <f t="shared" si="1019"/>
        <v>152</v>
      </c>
      <c r="BR256" s="17">
        <f t="shared" si="1020"/>
        <v>11</v>
      </c>
      <c r="BS256" s="35">
        <f t="shared" si="1016"/>
        <v>356</v>
      </c>
    </row>
    <row r="257" spans="2:71" x14ac:dyDescent="0.3">
      <c r="B257" s="269"/>
      <c r="C257" s="215"/>
      <c r="D257" s="216"/>
      <c r="E257" s="220"/>
      <c r="F257" s="123" t="s">
        <v>80</v>
      </c>
      <c r="G257" s="34">
        <v>15</v>
      </c>
      <c r="H257" s="16"/>
      <c r="I257" s="16">
        <v>9</v>
      </c>
      <c r="J257" s="17"/>
      <c r="K257" s="18">
        <f t="shared" si="1015"/>
        <v>24</v>
      </c>
      <c r="L257" s="34">
        <v>13</v>
      </c>
      <c r="M257" s="16"/>
      <c r="N257" s="16">
        <v>10</v>
      </c>
      <c r="O257" s="17"/>
      <c r="P257" s="18">
        <f t="shared" si="1034"/>
        <v>23</v>
      </c>
      <c r="Q257" s="34">
        <v>26</v>
      </c>
      <c r="R257" s="16"/>
      <c r="S257" s="16">
        <v>17</v>
      </c>
      <c r="T257" s="17"/>
      <c r="U257" s="18">
        <f t="shared" si="1035"/>
        <v>43</v>
      </c>
      <c r="V257" s="34">
        <v>34</v>
      </c>
      <c r="W257" s="16"/>
      <c r="X257" s="16">
        <v>21</v>
      </c>
      <c r="Y257" s="17"/>
      <c r="Z257" s="18">
        <f t="shared" si="1036"/>
        <v>55</v>
      </c>
      <c r="AA257" s="34">
        <v>80</v>
      </c>
      <c r="AB257" s="16"/>
      <c r="AC257" s="16">
        <v>18</v>
      </c>
      <c r="AD257" s="17"/>
      <c r="AE257" s="18">
        <f t="shared" si="1037"/>
        <v>98</v>
      </c>
      <c r="AF257" s="34">
        <v>22</v>
      </c>
      <c r="AG257" s="16"/>
      <c r="AH257" s="16">
        <v>13</v>
      </c>
      <c r="AI257" s="17"/>
      <c r="AJ257" s="18">
        <f t="shared" si="1038"/>
        <v>35</v>
      </c>
      <c r="AK257" s="34">
        <v>21</v>
      </c>
      <c r="AL257" s="16"/>
      <c r="AM257" s="16">
        <v>17</v>
      </c>
      <c r="AN257" s="17"/>
      <c r="AO257" s="18">
        <f t="shared" si="1039"/>
        <v>38</v>
      </c>
      <c r="AP257" s="34">
        <v>19</v>
      </c>
      <c r="AQ257" s="16"/>
      <c r="AR257" s="16">
        <f>12</f>
        <v>12</v>
      </c>
      <c r="AS257" s="17"/>
      <c r="AT257" s="18">
        <f t="shared" si="1040"/>
        <v>31</v>
      </c>
      <c r="AU257" s="34">
        <v>34</v>
      </c>
      <c r="AV257" s="16"/>
      <c r="AW257" s="16">
        <v>20</v>
      </c>
      <c r="AX257" s="17"/>
      <c r="AY257" s="18">
        <f t="shared" si="1041"/>
        <v>54</v>
      </c>
      <c r="AZ257" s="34">
        <v>34</v>
      </c>
      <c r="BA257" s="16"/>
      <c r="BB257" s="16">
        <v>18</v>
      </c>
      <c r="BC257" s="17"/>
      <c r="BD257" s="18">
        <f t="shared" si="1042"/>
        <v>52</v>
      </c>
      <c r="BE257" s="34">
        <v>8</v>
      </c>
      <c r="BF257" s="16"/>
      <c r="BG257" s="16">
        <v>5</v>
      </c>
      <c r="BH257" s="17"/>
      <c r="BI257" s="18">
        <f t="shared" si="1043"/>
        <v>13</v>
      </c>
      <c r="BJ257" s="34">
        <v>11</v>
      </c>
      <c r="BK257" s="16"/>
      <c r="BL257" s="16">
        <v>8</v>
      </c>
      <c r="BM257" s="17"/>
      <c r="BN257" s="18">
        <f t="shared" si="1044"/>
        <v>19</v>
      </c>
      <c r="BO257" s="70">
        <f t="shared" si="1017"/>
        <v>317</v>
      </c>
      <c r="BP257" s="16">
        <f t="shared" si="1018"/>
        <v>0</v>
      </c>
      <c r="BQ257" s="16">
        <f t="shared" si="1019"/>
        <v>168</v>
      </c>
      <c r="BR257" s="17">
        <f t="shared" si="1020"/>
        <v>0</v>
      </c>
      <c r="BS257" s="35">
        <f t="shared" si="1016"/>
        <v>485</v>
      </c>
    </row>
    <row r="258" spans="2:71" x14ac:dyDescent="0.3">
      <c r="B258" s="269"/>
      <c r="C258" s="215"/>
      <c r="D258" s="216"/>
      <c r="E258" s="220"/>
      <c r="F258" s="123" t="s">
        <v>84</v>
      </c>
      <c r="G258" s="34">
        <v>4</v>
      </c>
      <c r="H258" s="16"/>
      <c r="I258" s="16"/>
      <c r="J258" s="17"/>
      <c r="K258" s="18">
        <f t="shared" ref="K258:K261" si="1045">SUM(G258:J258)</f>
        <v>4</v>
      </c>
      <c r="L258" s="34">
        <v>6</v>
      </c>
      <c r="M258" s="16"/>
      <c r="N258" s="16"/>
      <c r="O258" s="17"/>
      <c r="P258" s="18">
        <f t="shared" si="1034"/>
        <v>6</v>
      </c>
      <c r="Q258" s="34">
        <v>6</v>
      </c>
      <c r="R258" s="16"/>
      <c r="S258" s="16"/>
      <c r="T258" s="17"/>
      <c r="U258" s="18">
        <f t="shared" si="1035"/>
        <v>6</v>
      </c>
      <c r="V258" s="34">
        <v>13</v>
      </c>
      <c r="W258" s="16"/>
      <c r="X258" s="16"/>
      <c r="Y258" s="17"/>
      <c r="Z258" s="18">
        <f t="shared" si="1036"/>
        <v>13</v>
      </c>
      <c r="AA258" s="34">
        <v>10</v>
      </c>
      <c r="AB258" s="16"/>
      <c r="AC258" s="16"/>
      <c r="AD258" s="17"/>
      <c r="AE258" s="18">
        <f t="shared" si="1037"/>
        <v>10</v>
      </c>
      <c r="AF258" s="34">
        <v>1</v>
      </c>
      <c r="AG258" s="16"/>
      <c r="AH258" s="16"/>
      <c r="AI258" s="17"/>
      <c r="AJ258" s="18">
        <f t="shared" si="1038"/>
        <v>1</v>
      </c>
      <c r="AK258" s="34">
        <v>3</v>
      </c>
      <c r="AL258" s="16"/>
      <c r="AM258" s="16"/>
      <c r="AN258" s="17"/>
      <c r="AO258" s="18">
        <f t="shared" si="1039"/>
        <v>3</v>
      </c>
      <c r="AP258" s="34"/>
      <c r="AQ258" s="16"/>
      <c r="AR258" s="16"/>
      <c r="AS258" s="17"/>
      <c r="AT258" s="18">
        <f t="shared" si="1040"/>
        <v>0</v>
      </c>
      <c r="AU258" s="34">
        <v>1</v>
      </c>
      <c r="AV258" s="16"/>
      <c r="AW258" s="16"/>
      <c r="AX258" s="17"/>
      <c r="AY258" s="18">
        <f t="shared" si="1041"/>
        <v>1</v>
      </c>
      <c r="AZ258" s="34">
        <v>1</v>
      </c>
      <c r="BA258" s="16"/>
      <c r="BB258" s="16"/>
      <c r="BC258" s="17"/>
      <c r="BD258" s="18">
        <f t="shared" si="1042"/>
        <v>1</v>
      </c>
      <c r="BE258" s="34"/>
      <c r="BF258" s="16"/>
      <c r="BG258" s="16"/>
      <c r="BH258" s="17"/>
      <c r="BI258" s="18">
        <f t="shared" si="1043"/>
        <v>0</v>
      </c>
      <c r="BJ258" s="34">
        <v>1</v>
      </c>
      <c r="BK258" s="16"/>
      <c r="BL258" s="16"/>
      <c r="BM258" s="17"/>
      <c r="BN258" s="18">
        <f t="shared" si="1044"/>
        <v>1</v>
      </c>
      <c r="BO258" s="70">
        <f t="shared" si="1017"/>
        <v>46</v>
      </c>
      <c r="BP258" s="16">
        <f t="shared" si="1018"/>
        <v>0</v>
      </c>
      <c r="BQ258" s="16">
        <f t="shared" si="1019"/>
        <v>0</v>
      </c>
      <c r="BR258" s="17">
        <f t="shared" si="1020"/>
        <v>0</v>
      </c>
      <c r="BS258" s="35">
        <f t="shared" ref="BS258:BS261" si="1046">SUM(BO258:BR258)</f>
        <v>46</v>
      </c>
    </row>
    <row r="259" spans="2:71" x14ac:dyDescent="0.3">
      <c r="B259" s="269"/>
      <c r="C259" s="215"/>
      <c r="D259" s="216"/>
      <c r="E259" s="220"/>
      <c r="F259" s="123" t="s">
        <v>145</v>
      </c>
      <c r="G259" s="34">
        <v>2</v>
      </c>
      <c r="H259" s="16"/>
      <c r="I259" s="16"/>
      <c r="J259" s="17"/>
      <c r="K259" s="18">
        <f t="shared" si="1045"/>
        <v>2</v>
      </c>
      <c r="L259" s="34">
        <v>3</v>
      </c>
      <c r="M259" s="16"/>
      <c r="N259" s="16"/>
      <c r="O259" s="17"/>
      <c r="P259" s="18">
        <f t="shared" si="1034"/>
        <v>3</v>
      </c>
      <c r="Q259" s="34">
        <v>6</v>
      </c>
      <c r="R259" s="16"/>
      <c r="S259" s="16"/>
      <c r="T259" s="17"/>
      <c r="U259" s="18">
        <f t="shared" si="1035"/>
        <v>6</v>
      </c>
      <c r="V259" s="34">
        <v>2</v>
      </c>
      <c r="W259" s="16"/>
      <c r="X259" s="16"/>
      <c r="Y259" s="17"/>
      <c r="Z259" s="18">
        <f t="shared" si="1036"/>
        <v>2</v>
      </c>
      <c r="AA259" s="34">
        <v>3</v>
      </c>
      <c r="AB259" s="16"/>
      <c r="AC259" s="16"/>
      <c r="AD259" s="17"/>
      <c r="AE259" s="18">
        <f t="shared" si="1037"/>
        <v>3</v>
      </c>
      <c r="AF259" s="34"/>
      <c r="AG259" s="16"/>
      <c r="AH259" s="16"/>
      <c r="AI259" s="17"/>
      <c r="AJ259" s="18">
        <f t="shared" si="1038"/>
        <v>0</v>
      </c>
      <c r="AK259" s="34"/>
      <c r="AL259" s="16"/>
      <c r="AM259" s="16"/>
      <c r="AN259" s="17"/>
      <c r="AO259" s="18">
        <f t="shared" si="1039"/>
        <v>0</v>
      </c>
      <c r="AP259" s="34"/>
      <c r="AQ259" s="16"/>
      <c r="AR259" s="16"/>
      <c r="AS259" s="17"/>
      <c r="AT259" s="18">
        <f t="shared" si="1040"/>
        <v>0</v>
      </c>
      <c r="AU259" s="34"/>
      <c r="AV259" s="16"/>
      <c r="AW259" s="16"/>
      <c r="AX259" s="17"/>
      <c r="AY259" s="18">
        <f t="shared" si="1041"/>
        <v>0</v>
      </c>
      <c r="AZ259" s="34">
        <v>1</v>
      </c>
      <c r="BA259" s="16"/>
      <c r="BB259" s="16"/>
      <c r="BC259" s="17"/>
      <c r="BD259" s="18">
        <f t="shared" si="1042"/>
        <v>1</v>
      </c>
      <c r="BE259" s="34"/>
      <c r="BF259" s="16"/>
      <c r="BG259" s="16"/>
      <c r="BH259" s="17"/>
      <c r="BI259" s="18">
        <f t="shared" si="1043"/>
        <v>0</v>
      </c>
      <c r="BJ259" s="34"/>
      <c r="BK259" s="16"/>
      <c r="BL259" s="16"/>
      <c r="BM259" s="17"/>
      <c r="BN259" s="18">
        <f t="shared" si="1044"/>
        <v>0</v>
      </c>
      <c r="BO259" s="70">
        <f t="shared" si="1017"/>
        <v>17</v>
      </c>
      <c r="BP259" s="16">
        <f t="shared" si="1018"/>
        <v>0</v>
      </c>
      <c r="BQ259" s="16">
        <f t="shared" si="1019"/>
        <v>0</v>
      </c>
      <c r="BR259" s="17">
        <f t="shared" si="1020"/>
        <v>0</v>
      </c>
      <c r="BS259" s="35">
        <f t="shared" si="1046"/>
        <v>17</v>
      </c>
    </row>
    <row r="260" spans="2:71" x14ac:dyDescent="0.3">
      <c r="B260" s="269"/>
      <c r="C260" s="215"/>
      <c r="D260" s="216"/>
      <c r="E260" s="220"/>
      <c r="F260" s="123" t="s">
        <v>146</v>
      </c>
      <c r="G260" s="34">
        <v>2</v>
      </c>
      <c r="H260" s="16"/>
      <c r="I260" s="16"/>
      <c r="J260" s="17"/>
      <c r="K260" s="18">
        <f t="shared" si="1045"/>
        <v>2</v>
      </c>
      <c r="L260" s="34"/>
      <c r="M260" s="16"/>
      <c r="N260" s="16"/>
      <c r="O260" s="17"/>
      <c r="P260" s="18">
        <f t="shared" si="1034"/>
        <v>0</v>
      </c>
      <c r="Q260" s="34"/>
      <c r="R260" s="16"/>
      <c r="S260" s="16"/>
      <c r="T260" s="17"/>
      <c r="U260" s="18">
        <f t="shared" si="1035"/>
        <v>0</v>
      </c>
      <c r="V260" s="34"/>
      <c r="W260" s="16"/>
      <c r="X260" s="16"/>
      <c r="Y260" s="17"/>
      <c r="Z260" s="18">
        <f t="shared" si="1036"/>
        <v>0</v>
      </c>
      <c r="AA260" s="34"/>
      <c r="AB260" s="16"/>
      <c r="AC260" s="16"/>
      <c r="AD260" s="17"/>
      <c r="AE260" s="18">
        <f t="shared" si="1037"/>
        <v>0</v>
      </c>
      <c r="AF260" s="34">
        <v>2</v>
      </c>
      <c r="AG260" s="16"/>
      <c r="AH260" s="16"/>
      <c r="AI260" s="17"/>
      <c r="AJ260" s="18">
        <f t="shared" si="1038"/>
        <v>2</v>
      </c>
      <c r="AK260" s="34">
        <v>1</v>
      </c>
      <c r="AL260" s="16"/>
      <c r="AM260" s="16"/>
      <c r="AN260" s="17"/>
      <c r="AO260" s="18">
        <f t="shared" si="1039"/>
        <v>1</v>
      </c>
      <c r="AP260" s="34"/>
      <c r="AQ260" s="16"/>
      <c r="AR260" s="16"/>
      <c r="AS260" s="17"/>
      <c r="AT260" s="18">
        <f t="shared" si="1040"/>
        <v>0</v>
      </c>
      <c r="AU260" s="34"/>
      <c r="AV260" s="16"/>
      <c r="AW260" s="16"/>
      <c r="AX260" s="17"/>
      <c r="AY260" s="18">
        <f t="shared" si="1041"/>
        <v>0</v>
      </c>
      <c r="AZ260" s="34"/>
      <c r="BA260" s="16"/>
      <c r="BB260" s="16"/>
      <c r="BC260" s="17"/>
      <c r="BD260" s="18">
        <f t="shared" si="1042"/>
        <v>0</v>
      </c>
      <c r="BE260" s="34">
        <v>1</v>
      </c>
      <c r="BF260" s="16"/>
      <c r="BG260" s="16"/>
      <c r="BH260" s="17"/>
      <c r="BI260" s="18">
        <f t="shared" si="1043"/>
        <v>1</v>
      </c>
      <c r="BJ260" s="34"/>
      <c r="BK260" s="16"/>
      <c r="BL260" s="16"/>
      <c r="BM260" s="17"/>
      <c r="BN260" s="18">
        <f t="shared" si="1044"/>
        <v>0</v>
      </c>
      <c r="BO260" s="70">
        <f t="shared" si="1017"/>
        <v>6</v>
      </c>
      <c r="BP260" s="16">
        <f t="shared" si="1018"/>
        <v>0</v>
      </c>
      <c r="BQ260" s="16">
        <f t="shared" si="1019"/>
        <v>0</v>
      </c>
      <c r="BR260" s="17">
        <f t="shared" si="1020"/>
        <v>0</v>
      </c>
      <c r="BS260" s="35">
        <f t="shared" si="1046"/>
        <v>6</v>
      </c>
    </row>
    <row r="261" spans="2:71" x14ac:dyDescent="0.3">
      <c r="B261" s="269"/>
      <c r="C261" s="215"/>
      <c r="D261" s="216"/>
      <c r="E261" s="220"/>
      <c r="F261" s="123" t="s">
        <v>147</v>
      </c>
      <c r="G261" s="34">
        <v>7</v>
      </c>
      <c r="H261" s="16"/>
      <c r="I261" s="16"/>
      <c r="J261" s="17"/>
      <c r="K261" s="18">
        <f t="shared" si="1045"/>
        <v>7</v>
      </c>
      <c r="L261" s="34">
        <v>3</v>
      </c>
      <c r="M261" s="16"/>
      <c r="N261" s="16"/>
      <c r="O261" s="17"/>
      <c r="P261" s="18">
        <f t="shared" si="1034"/>
        <v>3</v>
      </c>
      <c r="Q261" s="34"/>
      <c r="R261" s="16"/>
      <c r="S261" s="16"/>
      <c r="T261" s="17"/>
      <c r="U261" s="18">
        <f t="shared" si="1035"/>
        <v>0</v>
      </c>
      <c r="V261" s="34">
        <v>3</v>
      </c>
      <c r="W261" s="16"/>
      <c r="X261" s="16"/>
      <c r="Y261" s="17"/>
      <c r="Z261" s="18">
        <f t="shared" si="1036"/>
        <v>3</v>
      </c>
      <c r="AA261" s="34"/>
      <c r="AB261" s="16"/>
      <c r="AC261" s="16"/>
      <c r="AD261" s="17"/>
      <c r="AE261" s="18">
        <f t="shared" si="1037"/>
        <v>0</v>
      </c>
      <c r="AF261" s="34"/>
      <c r="AG261" s="16"/>
      <c r="AH261" s="16"/>
      <c r="AI261" s="17"/>
      <c r="AJ261" s="18">
        <f t="shared" si="1038"/>
        <v>0</v>
      </c>
      <c r="AK261" s="34"/>
      <c r="AL261" s="16"/>
      <c r="AM261" s="16"/>
      <c r="AN261" s="17"/>
      <c r="AO261" s="18">
        <f t="shared" si="1039"/>
        <v>0</v>
      </c>
      <c r="AP261" s="34">
        <v>2</v>
      </c>
      <c r="AQ261" s="16"/>
      <c r="AR261" s="16"/>
      <c r="AS261" s="17"/>
      <c r="AT261" s="18">
        <f t="shared" si="1040"/>
        <v>2</v>
      </c>
      <c r="AU261" s="34"/>
      <c r="AV261" s="16"/>
      <c r="AW261" s="16"/>
      <c r="AX261" s="17"/>
      <c r="AY261" s="18">
        <f t="shared" si="1041"/>
        <v>0</v>
      </c>
      <c r="AZ261" s="34">
        <v>3</v>
      </c>
      <c r="BA261" s="16"/>
      <c r="BB261" s="16"/>
      <c r="BC261" s="17"/>
      <c r="BD261" s="18">
        <f t="shared" si="1042"/>
        <v>3</v>
      </c>
      <c r="BE261" s="34">
        <v>1</v>
      </c>
      <c r="BF261" s="16"/>
      <c r="BG261" s="16"/>
      <c r="BH261" s="17"/>
      <c r="BI261" s="18">
        <f t="shared" si="1043"/>
        <v>1</v>
      </c>
      <c r="BJ261" s="34">
        <v>2</v>
      </c>
      <c r="BK261" s="16"/>
      <c r="BL261" s="16"/>
      <c r="BM261" s="17"/>
      <c r="BN261" s="18">
        <f t="shared" si="1044"/>
        <v>2</v>
      </c>
      <c r="BO261" s="70">
        <f t="shared" si="1017"/>
        <v>21</v>
      </c>
      <c r="BP261" s="16">
        <f t="shared" si="1018"/>
        <v>0</v>
      </c>
      <c r="BQ261" s="16">
        <f t="shared" si="1019"/>
        <v>0</v>
      </c>
      <c r="BR261" s="17">
        <f t="shared" si="1020"/>
        <v>0</v>
      </c>
      <c r="BS261" s="35">
        <f t="shared" si="1046"/>
        <v>21</v>
      </c>
    </row>
    <row r="262" spans="2:71" x14ac:dyDescent="0.3">
      <c r="B262" s="269"/>
      <c r="C262" s="215"/>
      <c r="D262" s="216"/>
      <c r="E262" s="220"/>
      <c r="F262" s="123" t="s">
        <v>172</v>
      </c>
      <c r="G262" s="34">
        <v>75</v>
      </c>
      <c r="H262" s="16"/>
      <c r="I262" s="16">
        <v>68</v>
      </c>
      <c r="J262" s="17"/>
      <c r="K262" s="18">
        <f t="shared" si="1015"/>
        <v>143</v>
      </c>
      <c r="L262" s="34">
        <v>231</v>
      </c>
      <c r="M262" s="16"/>
      <c r="N262" s="16">
        <v>206</v>
      </c>
      <c r="O262" s="17"/>
      <c r="P262" s="18">
        <f t="shared" si="1034"/>
        <v>437</v>
      </c>
      <c r="Q262" s="34">
        <v>38</v>
      </c>
      <c r="R262" s="16"/>
      <c r="S262" s="16">
        <v>32</v>
      </c>
      <c r="T262" s="17"/>
      <c r="U262" s="18">
        <f t="shared" si="1035"/>
        <v>70</v>
      </c>
      <c r="V262" s="34"/>
      <c r="W262" s="16"/>
      <c r="X262" s="16"/>
      <c r="Y262" s="17"/>
      <c r="Z262" s="18">
        <f t="shared" si="1036"/>
        <v>0</v>
      </c>
      <c r="AA262" s="34"/>
      <c r="AB262" s="16"/>
      <c r="AC262" s="16"/>
      <c r="AD262" s="17"/>
      <c r="AE262" s="18">
        <f t="shared" si="1037"/>
        <v>0</v>
      </c>
      <c r="AF262" s="34"/>
      <c r="AG262" s="16"/>
      <c r="AH262" s="16"/>
      <c r="AI262" s="17"/>
      <c r="AJ262" s="18">
        <f t="shared" si="1038"/>
        <v>0</v>
      </c>
      <c r="AK262" s="34"/>
      <c r="AL262" s="16"/>
      <c r="AM262" s="16"/>
      <c r="AN262" s="17"/>
      <c r="AO262" s="18">
        <f t="shared" si="1039"/>
        <v>0</v>
      </c>
      <c r="AP262" s="34"/>
      <c r="AQ262" s="16"/>
      <c r="AR262" s="16"/>
      <c r="AS262" s="17"/>
      <c r="AT262" s="18">
        <f t="shared" si="1040"/>
        <v>0</v>
      </c>
      <c r="AU262" s="34"/>
      <c r="AV262" s="16"/>
      <c r="AW262" s="16"/>
      <c r="AX262" s="17"/>
      <c r="AY262" s="18">
        <f t="shared" si="1041"/>
        <v>0</v>
      </c>
      <c r="AZ262" s="34"/>
      <c r="BA262" s="16"/>
      <c r="BB262" s="16"/>
      <c r="BC262" s="17"/>
      <c r="BD262" s="18">
        <f t="shared" si="1042"/>
        <v>0</v>
      </c>
      <c r="BE262" s="34"/>
      <c r="BF262" s="16"/>
      <c r="BG262" s="16"/>
      <c r="BH262" s="17"/>
      <c r="BI262" s="18">
        <f t="shared" si="1043"/>
        <v>0</v>
      </c>
      <c r="BJ262" s="34"/>
      <c r="BK262" s="16"/>
      <c r="BL262" s="16"/>
      <c r="BM262" s="17"/>
      <c r="BN262" s="18">
        <f t="shared" si="1044"/>
        <v>0</v>
      </c>
      <c r="BO262" s="70">
        <f t="shared" si="1017"/>
        <v>344</v>
      </c>
      <c r="BP262" s="16">
        <f t="shared" si="1018"/>
        <v>0</v>
      </c>
      <c r="BQ262" s="16">
        <f t="shared" si="1019"/>
        <v>306</v>
      </c>
      <c r="BR262" s="17">
        <f t="shared" si="1020"/>
        <v>0</v>
      </c>
      <c r="BS262" s="35">
        <f t="shared" si="1016"/>
        <v>650</v>
      </c>
    </row>
    <row r="263" spans="2:71" x14ac:dyDescent="0.3">
      <c r="B263" s="269"/>
      <c r="C263" s="215"/>
      <c r="D263" s="216"/>
      <c r="E263" s="220"/>
      <c r="F263" s="123" t="s">
        <v>246</v>
      </c>
      <c r="G263" s="34"/>
      <c r="H263" s="16"/>
      <c r="I263" s="16"/>
      <c r="J263" s="17"/>
      <c r="K263" s="18">
        <f t="shared" ref="K263:K265" si="1047">SUM(G263:J263)</f>
        <v>0</v>
      </c>
      <c r="L263" s="34">
        <v>281</v>
      </c>
      <c r="M263" s="16"/>
      <c r="N263" s="16">
        <v>255</v>
      </c>
      <c r="O263" s="17"/>
      <c r="P263" s="18">
        <f t="shared" si="1034"/>
        <v>536</v>
      </c>
      <c r="Q263" s="34">
        <v>765</v>
      </c>
      <c r="R263" s="16"/>
      <c r="S263" s="16">
        <v>592</v>
      </c>
      <c r="T263" s="17"/>
      <c r="U263" s="18">
        <f t="shared" ref="U263:U265" si="1048">SUM(Q263:T263)</f>
        <v>1357</v>
      </c>
      <c r="V263" s="34">
        <v>154</v>
      </c>
      <c r="W263" s="16"/>
      <c r="X263" s="16">
        <v>114</v>
      </c>
      <c r="Y263" s="17"/>
      <c r="Z263" s="18">
        <f t="shared" ref="Z263:Z265" si="1049">SUM(V263:Y263)</f>
        <v>268</v>
      </c>
      <c r="AA263" s="34"/>
      <c r="AB263" s="16"/>
      <c r="AC263" s="16"/>
      <c r="AD263" s="17"/>
      <c r="AE263" s="18">
        <f t="shared" ref="AE263:AE265" si="1050">SUM(AA263:AD263)</f>
        <v>0</v>
      </c>
      <c r="AF263" s="34"/>
      <c r="AG263" s="16"/>
      <c r="AH263" s="16"/>
      <c r="AI263" s="17"/>
      <c r="AJ263" s="18">
        <f t="shared" ref="AJ263:AJ265" si="1051">SUM(AF263:AI263)</f>
        <v>0</v>
      </c>
      <c r="AK263" s="34"/>
      <c r="AL263" s="16"/>
      <c r="AM263" s="16"/>
      <c r="AN263" s="17"/>
      <c r="AO263" s="18">
        <f t="shared" ref="AO263:AO265" si="1052">SUM(AK263:AN263)</f>
        <v>0</v>
      </c>
      <c r="AP263" s="34"/>
      <c r="AQ263" s="16"/>
      <c r="AR263" s="16"/>
      <c r="AS263" s="17"/>
      <c r="AT263" s="18">
        <f t="shared" ref="AT263:AT265" si="1053">SUM(AP263:AS263)</f>
        <v>0</v>
      </c>
      <c r="AU263" s="34">
        <v>428</v>
      </c>
      <c r="AV263" s="16"/>
      <c r="AW263" s="16">
        <v>305</v>
      </c>
      <c r="AX263" s="17"/>
      <c r="AY263" s="18">
        <f t="shared" ref="AY263:AY265" si="1054">SUM(AU263:AX263)</f>
        <v>733</v>
      </c>
      <c r="AZ263" s="34">
        <v>859</v>
      </c>
      <c r="BA263" s="16"/>
      <c r="BB263" s="16">
        <v>610</v>
      </c>
      <c r="BC263" s="17"/>
      <c r="BD263" s="18">
        <f t="shared" ref="BD263:BD265" si="1055">SUM(AZ263:BC263)</f>
        <v>1469</v>
      </c>
      <c r="BE263" s="34">
        <v>357</v>
      </c>
      <c r="BF263" s="16"/>
      <c r="BG263" s="16">
        <v>250</v>
      </c>
      <c r="BH263" s="17"/>
      <c r="BI263" s="18">
        <f t="shared" ref="BI263:BI265" si="1056">SUM(BE263:BH263)</f>
        <v>607</v>
      </c>
      <c r="BJ263" s="34"/>
      <c r="BK263" s="16"/>
      <c r="BL263" s="16"/>
      <c r="BM263" s="17"/>
      <c r="BN263" s="18">
        <f t="shared" ref="BN263:BN265" si="1057">SUM(BJ263:BM263)</f>
        <v>0</v>
      </c>
      <c r="BO263" s="70">
        <f t="shared" si="1017"/>
        <v>2844</v>
      </c>
      <c r="BP263" s="16">
        <f t="shared" si="1018"/>
        <v>0</v>
      </c>
      <c r="BQ263" s="16">
        <f t="shared" si="1019"/>
        <v>2126</v>
      </c>
      <c r="BR263" s="17">
        <f t="shared" si="1020"/>
        <v>0</v>
      </c>
      <c r="BS263" s="35">
        <f t="shared" ref="BS263:BS265" si="1058">SUM(BO263:BR263)</f>
        <v>4970</v>
      </c>
    </row>
    <row r="264" spans="2:71" x14ac:dyDescent="0.3">
      <c r="B264" s="269"/>
      <c r="C264" s="215"/>
      <c r="D264" s="216"/>
      <c r="E264" s="220"/>
      <c r="F264" s="123" t="s">
        <v>395</v>
      </c>
      <c r="G264" s="34"/>
      <c r="H264" s="16"/>
      <c r="I264" s="16"/>
      <c r="J264" s="17"/>
      <c r="K264" s="18">
        <f t="shared" si="1047"/>
        <v>0</v>
      </c>
      <c r="L264" s="34"/>
      <c r="M264" s="16"/>
      <c r="N264" s="16"/>
      <c r="O264" s="17"/>
      <c r="P264" s="18">
        <f t="shared" ref="P264" si="1059">SUM(L264:O264)</f>
        <v>0</v>
      </c>
      <c r="Q264" s="34"/>
      <c r="R264" s="16"/>
      <c r="S264" s="16"/>
      <c r="T264" s="17"/>
      <c r="U264" s="18">
        <f t="shared" si="1048"/>
        <v>0</v>
      </c>
      <c r="V264" s="34"/>
      <c r="W264" s="16"/>
      <c r="X264" s="16"/>
      <c r="Y264" s="17"/>
      <c r="Z264" s="18">
        <f t="shared" si="1049"/>
        <v>0</v>
      </c>
      <c r="AA264" s="34"/>
      <c r="AB264" s="16"/>
      <c r="AC264" s="16"/>
      <c r="AD264" s="17"/>
      <c r="AE264" s="18">
        <f t="shared" si="1050"/>
        <v>0</v>
      </c>
      <c r="AF264" s="34"/>
      <c r="AG264" s="16"/>
      <c r="AH264" s="16"/>
      <c r="AI264" s="17"/>
      <c r="AJ264" s="18">
        <f t="shared" si="1051"/>
        <v>0</v>
      </c>
      <c r="AK264" s="34"/>
      <c r="AL264" s="16"/>
      <c r="AM264" s="16"/>
      <c r="AN264" s="17"/>
      <c r="AO264" s="18">
        <f t="shared" si="1052"/>
        <v>0</v>
      </c>
      <c r="AP264" s="34"/>
      <c r="AQ264" s="16"/>
      <c r="AR264" s="16"/>
      <c r="AS264" s="17"/>
      <c r="AT264" s="18">
        <f t="shared" si="1053"/>
        <v>0</v>
      </c>
      <c r="AU264" s="34"/>
      <c r="AV264" s="16"/>
      <c r="AW264" s="16"/>
      <c r="AX264" s="17"/>
      <c r="AY264" s="18">
        <f t="shared" si="1054"/>
        <v>0</v>
      </c>
      <c r="AZ264" s="34">
        <v>1</v>
      </c>
      <c r="BA264" s="16"/>
      <c r="BB264" s="16"/>
      <c r="BC264" s="17"/>
      <c r="BD264" s="18">
        <f t="shared" si="1055"/>
        <v>1</v>
      </c>
      <c r="BE264" s="34"/>
      <c r="BF264" s="16"/>
      <c r="BG264" s="16"/>
      <c r="BH264" s="17"/>
      <c r="BI264" s="18">
        <f t="shared" si="1056"/>
        <v>0</v>
      </c>
      <c r="BJ264" s="34"/>
      <c r="BK264" s="16"/>
      <c r="BL264" s="16"/>
      <c r="BM264" s="17"/>
      <c r="BN264" s="18">
        <f t="shared" si="1057"/>
        <v>0</v>
      </c>
      <c r="BO264" s="70">
        <f t="shared" si="1017"/>
        <v>1</v>
      </c>
      <c r="BP264" s="16">
        <f t="shared" si="1018"/>
        <v>0</v>
      </c>
      <c r="BQ264" s="16">
        <f t="shared" si="1019"/>
        <v>0</v>
      </c>
      <c r="BR264" s="17">
        <f t="shared" si="1020"/>
        <v>0</v>
      </c>
      <c r="BS264" s="35">
        <f t="shared" si="1058"/>
        <v>1</v>
      </c>
    </row>
    <row r="265" spans="2:71" x14ac:dyDescent="0.3">
      <c r="B265" s="269"/>
      <c r="C265" s="215"/>
      <c r="D265" s="216"/>
      <c r="E265" s="220"/>
      <c r="F265" s="123" t="s">
        <v>247</v>
      </c>
      <c r="G265" s="34"/>
      <c r="H265" s="16"/>
      <c r="I265" s="16"/>
      <c r="J265" s="17"/>
      <c r="K265" s="18">
        <f t="shared" si="1047"/>
        <v>0</v>
      </c>
      <c r="L265" s="34">
        <v>91</v>
      </c>
      <c r="M265" s="16"/>
      <c r="N265" s="16">
        <v>87</v>
      </c>
      <c r="O265" s="17"/>
      <c r="P265" s="18">
        <f t="shared" ref="P265" si="1060">SUM(L265:O265)</f>
        <v>178</v>
      </c>
      <c r="Q265" s="34">
        <v>47</v>
      </c>
      <c r="R265" s="16"/>
      <c r="S265" s="16">
        <v>35</v>
      </c>
      <c r="T265" s="17"/>
      <c r="U265" s="18">
        <f t="shared" si="1048"/>
        <v>82</v>
      </c>
      <c r="V265" s="34"/>
      <c r="W265" s="16"/>
      <c r="X265" s="16"/>
      <c r="Y265" s="17"/>
      <c r="Z265" s="18">
        <f t="shared" si="1049"/>
        <v>0</v>
      </c>
      <c r="AA265" s="34"/>
      <c r="AB265" s="16"/>
      <c r="AC265" s="16"/>
      <c r="AD265" s="17"/>
      <c r="AE265" s="18">
        <f t="shared" si="1050"/>
        <v>0</v>
      </c>
      <c r="AF265" s="34"/>
      <c r="AG265" s="16"/>
      <c r="AH265" s="16"/>
      <c r="AI265" s="17"/>
      <c r="AJ265" s="18">
        <f t="shared" si="1051"/>
        <v>0</v>
      </c>
      <c r="AK265" s="34"/>
      <c r="AL265" s="16"/>
      <c r="AM265" s="16"/>
      <c r="AN265" s="17"/>
      <c r="AO265" s="18">
        <f t="shared" si="1052"/>
        <v>0</v>
      </c>
      <c r="AP265" s="34"/>
      <c r="AQ265" s="16"/>
      <c r="AR265" s="16"/>
      <c r="AS265" s="17"/>
      <c r="AT265" s="18">
        <f t="shared" si="1053"/>
        <v>0</v>
      </c>
      <c r="AU265" s="34"/>
      <c r="AV265" s="16"/>
      <c r="AW265" s="16"/>
      <c r="AX265" s="17"/>
      <c r="AY265" s="18">
        <f t="shared" si="1054"/>
        <v>0</v>
      </c>
      <c r="AZ265" s="34">
        <v>32</v>
      </c>
      <c r="BA265" s="16"/>
      <c r="BB265" s="16">
        <v>29</v>
      </c>
      <c r="BC265" s="17"/>
      <c r="BD265" s="18">
        <f t="shared" si="1055"/>
        <v>61</v>
      </c>
      <c r="BE265" s="34">
        <v>6</v>
      </c>
      <c r="BF265" s="16"/>
      <c r="BG265" s="16">
        <v>4</v>
      </c>
      <c r="BH265" s="17"/>
      <c r="BI265" s="18">
        <f t="shared" si="1056"/>
        <v>10</v>
      </c>
      <c r="BJ265" s="34"/>
      <c r="BK265" s="16"/>
      <c r="BL265" s="16"/>
      <c r="BM265" s="17"/>
      <c r="BN265" s="18">
        <f t="shared" si="1057"/>
        <v>0</v>
      </c>
      <c r="BO265" s="70">
        <f t="shared" si="1017"/>
        <v>176</v>
      </c>
      <c r="BP265" s="16">
        <f t="shared" si="1018"/>
        <v>0</v>
      </c>
      <c r="BQ265" s="16">
        <f t="shared" si="1019"/>
        <v>155</v>
      </c>
      <c r="BR265" s="17">
        <f t="shared" si="1020"/>
        <v>0</v>
      </c>
      <c r="BS265" s="35">
        <f t="shared" si="1058"/>
        <v>331</v>
      </c>
    </row>
    <row r="266" spans="2:71" x14ac:dyDescent="0.3">
      <c r="B266" s="269"/>
      <c r="C266" s="215"/>
      <c r="D266" s="216"/>
      <c r="E266" s="220"/>
      <c r="F266" s="123" t="s">
        <v>300</v>
      </c>
      <c r="G266" s="34"/>
      <c r="H266" s="16"/>
      <c r="I266" s="16"/>
      <c r="J266" s="17"/>
      <c r="K266" s="18">
        <f t="shared" ref="K266:K269" si="1061">SUM(G266:J266)</f>
        <v>0</v>
      </c>
      <c r="L266" s="34"/>
      <c r="M266" s="16"/>
      <c r="N266" s="16"/>
      <c r="O266" s="17"/>
      <c r="P266" s="18">
        <f t="shared" ref="P266:P273" si="1062">SUM(L266:O266)</f>
        <v>0</v>
      </c>
      <c r="Q266" s="34"/>
      <c r="R266" s="16"/>
      <c r="S266" s="16"/>
      <c r="T266" s="17"/>
      <c r="U266" s="18">
        <f t="shared" ref="U266:U273" si="1063">SUM(Q266:T266)</f>
        <v>0</v>
      </c>
      <c r="V266" s="34">
        <v>332</v>
      </c>
      <c r="W266" s="16"/>
      <c r="X266" s="16">
        <v>279</v>
      </c>
      <c r="Y266" s="17"/>
      <c r="Z266" s="18">
        <f t="shared" ref="Z266:Z273" si="1064">SUM(V266:Y266)</f>
        <v>611</v>
      </c>
      <c r="AA266" s="34">
        <v>832</v>
      </c>
      <c r="AB266" s="16"/>
      <c r="AC266" s="16">
        <v>761</v>
      </c>
      <c r="AD266" s="17"/>
      <c r="AE266" s="18">
        <f t="shared" ref="AE266:AE273" si="1065">SUM(AA266:AD266)</f>
        <v>1593</v>
      </c>
      <c r="AF266" s="34"/>
      <c r="AG266" s="16"/>
      <c r="AH266" s="16"/>
      <c r="AI266" s="17"/>
      <c r="AJ266" s="18">
        <f t="shared" ref="AJ266:AJ273" si="1066">SUM(AF266:AI266)</f>
        <v>0</v>
      </c>
      <c r="AK266" s="34"/>
      <c r="AL266" s="16"/>
      <c r="AM266" s="16"/>
      <c r="AN266" s="17"/>
      <c r="AO266" s="18">
        <f t="shared" ref="AO266:AO273" si="1067">SUM(AK266:AN266)</f>
        <v>0</v>
      </c>
      <c r="AP266" s="34"/>
      <c r="AQ266" s="16"/>
      <c r="AR266" s="16"/>
      <c r="AS266" s="17"/>
      <c r="AT266" s="18">
        <f t="shared" ref="AT266:AT273" si="1068">SUM(AP266:AS266)</f>
        <v>0</v>
      </c>
      <c r="AU266" s="34">
        <v>683</v>
      </c>
      <c r="AV266" s="16"/>
      <c r="AW266" s="16">
        <v>380</v>
      </c>
      <c r="AX266" s="151">
        <v>155</v>
      </c>
      <c r="AY266" s="18">
        <f t="shared" ref="AY266:AY273" si="1069">SUM(AU266:AX266)</f>
        <v>1218</v>
      </c>
      <c r="AZ266" s="34">
        <v>140</v>
      </c>
      <c r="BA266" s="16"/>
      <c r="BB266" s="16">
        <v>77</v>
      </c>
      <c r="BC266" s="151">
        <v>35</v>
      </c>
      <c r="BD266" s="18">
        <f t="shared" ref="BD266:BD273" si="1070">SUM(AZ266:BC266)</f>
        <v>252</v>
      </c>
      <c r="BE266" s="34"/>
      <c r="BF266" s="16"/>
      <c r="BG266" s="16"/>
      <c r="BH266" s="17"/>
      <c r="BI266" s="18">
        <f t="shared" ref="BI266:BI273" si="1071">SUM(BE266:BH266)</f>
        <v>0</v>
      </c>
      <c r="BJ266" s="34"/>
      <c r="BK266" s="16"/>
      <c r="BL266" s="16"/>
      <c r="BM266" s="17"/>
      <c r="BN266" s="18">
        <f t="shared" ref="BN266:BN273" si="1072">SUM(BJ266:BM266)</f>
        <v>0</v>
      </c>
      <c r="BO266" s="70">
        <f t="shared" si="1017"/>
        <v>1987</v>
      </c>
      <c r="BP266" s="16">
        <f t="shared" si="1018"/>
        <v>0</v>
      </c>
      <c r="BQ266" s="16">
        <f t="shared" si="1019"/>
        <v>1497</v>
      </c>
      <c r="BR266" s="17">
        <f t="shared" si="1020"/>
        <v>190</v>
      </c>
      <c r="BS266" s="35">
        <f t="shared" ref="BS266:BS269" si="1073">SUM(BO266:BR266)</f>
        <v>3674</v>
      </c>
    </row>
    <row r="267" spans="2:71" x14ac:dyDescent="0.3">
      <c r="B267" s="269"/>
      <c r="C267" s="215"/>
      <c r="D267" s="216"/>
      <c r="E267" s="220"/>
      <c r="F267" s="123" t="s">
        <v>390</v>
      </c>
      <c r="G267" s="34"/>
      <c r="H267" s="16"/>
      <c r="I267" s="16"/>
      <c r="J267" s="17"/>
      <c r="K267" s="18">
        <f t="shared" si="1061"/>
        <v>0</v>
      </c>
      <c r="L267" s="34"/>
      <c r="M267" s="16"/>
      <c r="N267" s="16"/>
      <c r="O267" s="17"/>
      <c r="P267" s="18">
        <f t="shared" si="1062"/>
        <v>0</v>
      </c>
      <c r="Q267" s="34"/>
      <c r="R267" s="16"/>
      <c r="S267" s="16"/>
      <c r="T267" s="17"/>
      <c r="U267" s="18">
        <f t="shared" si="1063"/>
        <v>0</v>
      </c>
      <c r="V267" s="34"/>
      <c r="W267" s="16"/>
      <c r="X267" s="16"/>
      <c r="Y267" s="17"/>
      <c r="Z267" s="18">
        <f t="shared" si="1064"/>
        <v>0</v>
      </c>
      <c r="AA267" s="34"/>
      <c r="AB267" s="16"/>
      <c r="AC267" s="16"/>
      <c r="AD267" s="17"/>
      <c r="AE267" s="18">
        <f t="shared" si="1065"/>
        <v>0</v>
      </c>
      <c r="AF267" s="34"/>
      <c r="AG267" s="16"/>
      <c r="AH267" s="16"/>
      <c r="AI267" s="17"/>
      <c r="AJ267" s="18">
        <f t="shared" si="1066"/>
        <v>0</v>
      </c>
      <c r="AK267" s="34"/>
      <c r="AL267" s="16"/>
      <c r="AM267" s="16"/>
      <c r="AN267" s="17"/>
      <c r="AO267" s="18">
        <f t="shared" si="1067"/>
        <v>0</v>
      </c>
      <c r="AP267" s="34"/>
      <c r="AQ267" s="16"/>
      <c r="AR267" s="16"/>
      <c r="AS267" s="17"/>
      <c r="AT267" s="18">
        <f t="shared" si="1068"/>
        <v>0</v>
      </c>
      <c r="AU267" s="34">
        <v>5</v>
      </c>
      <c r="AV267" s="16"/>
      <c r="AW267" s="16"/>
      <c r="AX267" s="17"/>
      <c r="AY267" s="18">
        <f t="shared" si="1069"/>
        <v>5</v>
      </c>
      <c r="AZ267" s="34"/>
      <c r="BA267" s="16"/>
      <c r="BB267" s="16"/>
      <c r="BC267" s="17"/>
      <c r="BD267" s="18">
        <f t="shared" si="1070"/>
        <v>0</v>
      </c>
      <c r="BE267" s="34"/>
      <c r="BF267" s="16"/>
      <c r="BG267" s="16"/>
      <c r="BH267" s="17"/>
      <c r="BI267" s="18">
        <f t="shared" si="1071"/>
        <v>0</v>
      </c>
      <c r="BJ267" s="34"/>
      <c r="BK267" s="16"/>
      <c r="BL267" s="16"/>
      <c r="BM267" s="17"/>
      <c r="BN267" s="18">
        <f t="shared" si="1072"/>
        <v>0</v>
      </c>
      <c r="BO267" s="70">
        <f t="shared" si="1017"/>
        <v>5</v>
      </c>
      <c r="BP267" s="16">
        <f t="shared" si="1018"/>
        <v>0</v>
      </c>
      <c r="BQ267" s="16">
        <f t="shared" si="1019"/>
        <v>0</v>
      </c>
      <c r="BR267" s="17">
        <f t="shared" si="1020"/>
        <v>0</v>
      </c>
      <c r="BS267" s="35">
        <f t="shared" si="1073"/>
        <v>5</v>
      </c>
    </row>
    <row r="268" spans="2:71" x14ac:dyDescent="0.3">
      <c r="B268" s="269"/>
      <c r="C268" s="215"/>
      <c r="D268" s="216"/>
      <c r="E268" s="220"/>
      <c r="F268" s="123" t="s">
        <v>409</v>
      </c>
      <c r="G268" s="34"/>
      <c r="H268" s="16"/>
      <c r="I268" s="16"/>
      <c r="J268" s="17"/>
      <c r="K268" s="18">
        <f t="shared" ref="K268" si="1074">SUM(G268:J268)</f>
        <v>0</v>
      </c>
      <c r="L268" s="34"/>
      <c r="M268" s="16"/>
      <c r="N268" s="16"/>
      <c r="O268" s="17"/>
      <c r="P268" s="18">
        <f t="shared" ref="P268" si="1075">SUM(L268:O268)</f>
        <v>0</v>
      </c>
      <c r="Q268" s="34"/>
      <c r="R268" s="16"/>
      <c r="S268" s="16"/>
      <c r="T268" s="17"/>
      <c r="U268" s="18">
        <f t="shared" ref="U268" si="1076">SUM(Q268:T268)</f>
        <v>0</v>
      </c>
      <c r="V268" s="34"/>
      <c r="W268" s="16"/>
      <c r="X268" s="16"/>
      <c r="Y268" s="17"/>
      <c r="Z268" s="18">
        <f t="shared" ref="Z268" si="1077">SUM(V268:Y268)</f>
        <v>0</v>
      </c>
      <c r="AA268" s="34"/>
      <c r="AB268" s="16"/>
      <c r="AC268" s="16"/>
      <c r="AD268" s="17"/>
      <c r="AE268" s="18">
        <f t="shared" ref="AE268" si="1078">SUM(AA268:AD268)</f>
        <v>0</v>
      </c>
      <c r="AF268" s="34"/>
      <c r="AG268" s="16"/>
      <c r="AH268" s="16"/>
      <c r="AI268" s="17"/>
      <c r="AJ268" s="18">
        <f t="shared" ref="AJ268" si="1079">SUM(AF268:AI268)</f>
        <v>0</v>
      </c>
      <c r="AK268" s="34"/>
      <c r="AL268" s="16"/>
      <c r="AM268" s="16"/>
      <c r="AN268" s="17"/>
      <c r="AO268" s="18">
        <f t="shared" ref="AO268" si="1080">SUM(AK268:AN268)</f>
        <v>0</v>
      </c>
      <c r="AP268" s="34"/>
      <c r="AQ268" s="16"/>
      <c r="AR268" s="16"/>
      <c r="AS268" s="17"/>
      <c r="AT268" s="18">
        <f t="shared" ref="AT268" si="1081">SUM(AP268:AS268)</f>
        <v>0</v>
      </c>
      <c r="AU268" s="34"/>
      <c r="AV268" s="16"/>
      <c r="AW268" s="16"/>
      <c r="AX268" s="17"/>
      <c r="AY268" s="18">
        <f t="shared" ref="AY268" si="1082">SUM(AU268:AX268)</f>
        <v>0</v>
      </c>
      <c r="AZ268" s="34"/>
      <c r="BA268" s="16"/>
      <c r="BB268" s="16"/>
      <c r="BC268" s="17"/>
      <c r="BD268" s="18">
        <f t="shared" ref="BD268" si="1083">SUM(AZ268:BC268)</f>
        <v>0</v>
      </c>
      <c r="BE268" s="34"/>
      <c r="BF268" s="16"/>
      <c r="BG268" s="16"/>
      <c r="BH268" s="17"/>
      <c r="BI268" s="18">
        <f t="shared" ref="BI268" si="1084">SUM(BE268:BH268)</f>
        <v>0</v>
      </c>
      <c r="BJ268" s="34">
        <v>2</v>
      </c>
      <c r="BK268" s="16"/>
      <c r="BL268" s="16">
        <v>2</v>
      </c>
      <c r="BM268" s="17"/>
      <c r="BN268" s="18">
        <f t="shared" ref="BN268" si="1085">SUM(BJ268:BM268)</f>
        <v>4</v>
      </c>
      <c r="BO268" s="70">
        <f t="shared" si="1017"/>
        <v>2</v>
      </c>
      <c r="BP268" s="16">
        <f t="shared" si="1018"/>
        <v>0</v>
      </c>
      <c r="BQ268" s="16">
        <f t="shared" si="1019"/>
        <v>2</v>
      </c>
      <c r="BR268" s="17">
        <f t="shared" si="1020"/>
        <v>0</v>
      </c>
      <c r="BS268" s="35">
        <f t="shared" ref="BS268" si="1086">SUM(BO268:BR268)</f>
        <v>4</v>
      </c>
    </row>
    <row r="269" spans="2:71" x14ac:dyDescent="0.3">
      <c r="B269" s="269"/>
      <c r="C269" s="215"/>
      <c r="D269" s="216"/>
      <c r="E269" s="220"/>
      <c r="F269" s="123" t="s">
        <v>391</v>
      </c>
      <c r="G269" s="34"/>
      <c r="H269" s="16"/>
      <c r="I269" s="16"/>
      <c r="J269" s="17"/>
      <c r="K269" s="18">
        <f t="shared" si="1061"/>
        <v>0</v>
      </c>
      <c r="L269" s="34"/>
      <c r="M269" s="16"/>
      <c r="N269" s="16"/>
      <c r="O269" s="17"/>
      <c r="P269" s="18">
        <f t="shared" si="1062"/>
        <v>0</v>
      </c>
      <c r="Q269" s="34"/>
      <c r="R269" s="16"/>
      <c r="S269" s="16"/>
      <c r="T269" s="17"/>
      <c r="U269" s="18">
        <f t="shared" si="1063"/>
        <v>0</v>
      </c>
      <c r="V269" s="34"/>
      <c r="W269" s="16"/>
      <c r="X269" s="16"/>
      <c r="Y269" s="17"/>
      <c r="Z269" s="18">
        <f t="shared" si="1064"/>
        <v>0</v>
      </c>
      <c r="AA269" s="34"/>
      <c r="AB269" s="16"/>
      <c r="AC269" s="16"/>
      <c r="AD269" s="17"/>
      <c r="AE269" s="18">
        <f t="shared" si="1065"/>
        <v>0</v>
      </c>
      <c r="AF269" s="34"/>
      <c r="AG269" s="16"/>
      <c r="AH269" s="16"/>
      <c r="AI269" s="17"/>
      <c r="AJ269" s="18">
        <f t="shared" si="1066"/>
        <v>0</v>
      </c>
      <c r="AK269" s="34"/>
      <c r="AL269" s="16"/>
      <c r="AM269" s="16"/>
      <c r="AN269" s="17"/>
      <c r="AO269" s="18">
        <f t="shared" si="1067"/>
        <v>0</v>
      </c>
      <c r="AP269" s="34"/>
      <c r="AQ269" s="16"/>
      <c r="AR269" s="16"/>
      <c r="AS269" s="17"/>
      <c r="AT269" s="18">
        <f t="shared" si="1068"/>
        <v>0</v>
      </c>
      <c r="AU269" s="34">
        <v>5</v>
      </c>
      <c r="AV269" s="16"/>
      <c r="AW269" s="16">
        <v>6</v>
      </c>
      <c r="AX269" s="151">
        <v>2</v>
      </c>
      <c r="AY269" s="18">
        <f t="shared" si="1069"/>
        <v>13</v>
      </c>
      <c r="AZ269" s="34"/>
      <c r="BA269" s="16"/>
      <c r="BB269" s="16"/>
      <c r="BC269" s="17"/>
      <c r="BD269" s="18">
        <f t="shared" si="1070"/>
        <v>0</v>
      </c>
      <c r="BE269" s="34"/>
      <c r="BF269" s="16"/>
      <c r="BG269" s="16"/>
      <c r="BH269" s="17"/>
      <c r="BI269" s="18">
        <f t="shared" si="1071"/>
        <v>0</v>
      </c>
      <c r="BJ269" s="34">
        <v>3</v>
      </c>
      <c r="BK269" s="16"/>
      <c r="BL269" s="16">
        <v>1</v>
      </c>
      <c r="BM269" s="151">
        <v>1</v>
      </c>
      <c r="BN269" s="18">
        <f t="shared" si="1072"/>
        <v>5</v>
      </c>
      <c r="BO269" s="70">
        <f t="shared" si="1017"/>
        <v>8</v>
      </c>
      <c r="BP269" s="16">
        <f t="shared" si="1018"/>
        <v>0</v>
      </c>
      <c r="BQ269" s="16">
        <f t="shared" si="1019"/>
        <v>7</v>
      </c>
      <c r="BR269" s="17">
        <f t="shared" si="1020"/>
        <v>3</v>
      </c>
      <c r="BS269" s="35">
        <f t="shared" si="1073"/>
        <v>18</v>
      </c>
    </row>
    <row r="270" spans="2:71" x14ac:dyDescent="0.3">
      <c r="B270" s="269"/>
      <c r="C270" s="215"/>
      <c r="D270" s="216"/>
      <c r="E270" s="220"/>
      <c r="F270" s="123" t="s">
        <v>301</v>
      </c>
      <c r="G270" s="34"/>
      <c r="H270" s="16"/>
      <c r="I270" s="16"/>
      <c r="J270" s="17"/>
      <c r="K270" s="18">
        <f t="shared" ref="K270" si="1087">SUM(G270:J270)</f>
        <v>0</v>
      </c>
      <c r="L270" s="34"/>
      <c r="M270" s="16"/>
      <c r="N270" s="16"/>
      <c r="O270" s="17"/>
      <c r="P270" s="18">
        <f t="shared" si="1062"/>
        <v>0</v>
      </c>
      <c r="Q270" s="34"/>
      <c r="R270" s="16"/>
      <c r="S270" s="16"/>
      <c r="T270" s="17"/>
      <c r="U270" s="18">
        <f t="shared" si="1063"/>
        <v>0</v>
      </c>
      <c r="V270" s="34">
        <v>13</v>
      </c>
      <c r="W270" s="16"/>
      <c r="X270" s="16">
        <v>24</v>
      </c>
      <c r="Y270" s="17"/>
      <c r="Z270" s="18">
        <f t="shared" si="1064"/>
        <v>37</v>
      </c>
      <c r="AA270" s="34">
        <v>71</v>
      </c>
      <c r="AB270" s="16"/>
      <c r="AC270" s="16">
        <v>326</v>
      </c>
      <c r="AD270" s="17"/>
      <c r="AE270" s="18">
        <f t="shared" si="1065"/>
        <v>397</v>
      </c>
      <c r="AF270" s="34"/>
      <c r="AG270" s="16"/>
      <c r="AH270" s="16"/>
      <c r="AI270" s="17"/>
      <c r="AJ270" s="18">
        <f t="shared" si="1066"/>
        <v>0</v>
      </c>
      <c r="AK270" s="34"/>
      <c r="AL270" s="16"/>
      <c r="AM270" s="16"/>
      <c r="AN270" s="17"/>
      <c r="AO270" s="18">
        <f t="shared" si="1067"/>
        <v>0</v>
      </c>
      <c r="AP270" s="34"/>
      <c r="AQ270" s="16"/>
      <c r="AR270" s="16"/>
      <c r="AS270" s="17"/>
      <c r="AT270" s="18">
        <f t="shared" si="1068"/>
        <v>0</v>
      </c>
      <c r="AU270" s="34"/>
      <c r="AV270" s="16"/>
      <c r="AW270" s="16"/>
      <c r="AX270" s="17"/>
      <c r="AY270" s="18">
        <f t="shared" si="1069"/>
        <v>0</v>
      </c>
      <c r="AZ270" s="34"/>
      <c r="BA270" s="16"/>
      <c r="BB270" s="16"/>
      <c r="BC270" s="17"/>
      <c r="BD270" s="18">
        <f t="shared" si="1070"/>
        <v>0</v>
      </c>
      <c r="BE270" s="34"/>
      <c r="BF270" s="16"/>
      <c r="BG270" s="16"/>
      <c r="BH270" s="17"/>
      <c r="BI270" s="18">
        <f t="shared" si="1071"/>
        <v>0</v>
      </c>
      <c r="BJ270" s="34"/>
      <c r="BK270" s="16"/>
      <c r="BL270" s="16"/>
      <c r="BM270" s="17"/>
      <c r="BN270" s="18">
        <f t="shared" si="1072"/>
        <v>0</v>
      </c>
      <c r="BO270" s="70">
        <f t="shared" si="1017"/>
        <v>84</v>
      </c>
      <c r="BP270" s="16">
        <f t="shared" si="1018"/>
        <v>0</v>
      </c>
      <c r="BQ270" s="16">
        <f t="shared" si="1019"/>
        <v>350</v>
      </c>
      <c r="BR270" s="17">
        <f t="shared" si="1020"/>
        <v>0</v>
      </c>
      <c r="BS270" s="35">
        <f t="shared" ref="BS270" si="1088">SUM(BO270:BR270)</f>
        <v>434</v>
      </c>
    </row>
    <row r="271" spans="2:71" x14ac:dyDescent="0.3">
      <c r="B271" s="269"/>
      <c r="C271" s="215"/>
      <c r="D271" s="216"/>
      <c r="E271" s="220"/>
      <c r="F271" s="123" t="s">
        <v>305</v>
      </c>
      <c r="G271" s="34"/>
      <c r="H271" s="16"/>
      <c r="I271" s="16"/>
      <c r="J271" s="17"/>
      <c r="K271" s="18">
        <f t="shared" ref="K271:K273" si="1089">SUM(G271:J271)</f>
        <v>0</v>
      </c>
      <c r="L271" s="34"/>
      <c r="M271" s="16"/>
      <c r="N271" s="16"/>
      <c r="O271" s="17"/>
      <c r="P271" s="18">
        <f t="shared" si="1062"/>
        <v>0</v>
      </c>
      <c r="Q271" s="34"/>
      <c r="R271" s="16"/>
      <c r="S271" s="16"/>
      <c r="T271" s="17"/>
      <c r="U271" s="18">
        <f t="shared" si="1063"/>
        <v>0</v>
      </c>
      <c r="V271" s="34">
        <f>9+9</f>
        <v>18</v>
      </c>
      <c r="W271" s="16"/>
      <c r="X271" s="16"/>
      <c r="Y271" s="17"/>
      <c r="Z271" s="18">
        <f t="shared" si="1064"/>
        <v>18</v>
      </c>
      <c r="AA271" s="34">
        <f>134+134</f>
        <v>268</v>
      </c>
      <c r="AB271" s="16"/>
      <c r="AC271" s="16"/>
      <c r="AD271" s="17"/>
      <c r="AE271" s="18">
        <f t="shared" si="1065"/>
        <v>268</v>
      </c>
      <c r="AF271" s="34"/>
      <c r="AG271" s="16"/>
      <c r="AH271" s="16"/>
      <c r="AI271" s="17"/>
      <c r="AJ271" s="18">
        <f t="shared" si="1066"/>
        <v>0</v>
      </c>
      <c r="AK271" s="34"/>
      <c r="AL271" s="16"/>
      <c r="AM271" s="16"/>
      <c r="AN271" s="17"/>
      <c r="AO271" s="18">
        <f t="shared" si="1067"/>
        <v>0</v>
      </c>
      <c r="AP271" s="34"/>
      <c r="AQ271" s="16"/>
      <c r="AR271" s="16"/>
      <c r="AS271" s="17"/>
      <c r="AT271" s="18">
        <f t="shared" si="1068"/>
        <v>0</v>
      </c>
      <c r="AU271" s="34"/>
      <c r="AV271" s="16"/>
      <c r="AW271" s="16"/>
      <c r="AX271" s="17"/>
      <c r="AY271" s="18">
        <f t="shared" si="1069"/>
        <v>0</v>
      </c>
      <c r="AZ271" s="34"/>
      <c r="BA271" s="16"/>
      <c r="BB271" s="16"/>
      <c r="BC271" s="17"/>
      <c r="BD271" s="18">
        <f t="shared" si="1070"/>
        <v>0</v>
      </c>
      <c r="BE271" s="34"/>
      <c r="BF271" s="16"/>
      <c r="BG271" s="16"/>
      <c r="BH271" s="17"/>
      <c r="BI271" s="18">
        <f t="shared" si="1071"/>
        <v>0</v>
      </c>
      <c r="BJ271" s="34"/>
      <c r="BK271" s="16"/>
      <c r="BL271" s="16"/>
      <c r="BM271" s="17"/>
      <c r="BN271" s="18">
        <f t="shared" si="1072"/>
        <v>0</v>
      </c>
      <c r="BO271" s="70">
        <f t="shared" si="1017"/>
        <v>286</v>
      </c>
      <c r="BP271" s="16">
        <f t="shared" si="1018"/>
        <v>0</v>
      </c>
      <c r="BQ271" s="16">
        <f t="shared" si="1019"/>
        <v>0</v>
      </c>
      <c r="BR271" s="17">
        <f t="shared" si="1020"/>
        <v>0</v>
      </c>
      <c r="BS271" s="35">
        <f t="shared" ref="BS271:BS273" si="1090">SUM(BO271:BR271)</f>
        <v>286</v>
      </c>
    </row>
    <row r="272" spans="2:71" x14ac:dyDescent="0.3">
      <c r="B272" s="269"/>
      <c r="C272" s="215"/>
      <c r="D272" s="216"/>
      <c r="E272" s="220"/>
      <c r="F272" s="123" t="s">
        <v>302</v>
      </c>
      <c r="G272" s="34"/>
      <c r="H272" s="16"/>
      <c r="I272" s="16"/>
      <c r="J272" s="17"/>
      <c r="K272" s="18">
        <f t="shared" ref="K272" si="1091">SUM(G272:J272)</f>
        <v>0</v>
      </c>
      <c r="L272" s="34"/>
      <c r="M272" s="16"/>
      <c r="N272" s="16"/>
      <c r="O272" s="17"/>
      <c r="P272" s="18">
        <f t="shared" ref="P272" si="1092">SUM(L272:O272)</f>
        <v>0</v>
      </c>
      <c r="Q272" s="34"/>
      <c r="R272" s="16"/>
      <c r="S272" s="16"/>
      <c r="T272" s="17"/>
      <c r="U272" s="18">
        <f t="shared" ref="U272" si="1093">SUM(Q272:T272)</f>
        <v>0</v>
      </c>
      <c r="V272" s="34">
        <v>35</v>
      </c>
      <c r="W272" s="16"/>
      <c r="X272" s="16"/>
      <c r="Y272" s="17"/>
      <c r="Z272" s="18">
        <f t="shared" ref="Z272" si="1094">SUM(V272:Y272)</f>
        <v>35</v>
      </c>
      <c r="AA272" s="34">
        <v>559</v>
      </c>
      <c r="AB272" s="16"/>
      <c r="AC272" s="16"/>
      <c r="AD272" s="17"/>
      <c r="AE272" s="18">
        <f t="shared" ref="AE272" si="1095">SUM(AA272:AD272)</f>
        <v>559</v>
      </c>
      <c r="AF272" s="34"/>
      <c r="AG272" s="16"/>
      <c r="AH272" s="16"/>
      <c r="AI272" s="17"/>
      <c r="AJ272" s="18">
        <f t="shared" ref="AJ272" si="1096">SUM(AF272:AI272)</f>
        <v>0</v>
      </c>
      <c r="AK272" s="34"/>
      <c r="AL272" s="16"/>
      <c r="AM272" s="16"/>
      <c r="AN272" s="17"/>
      <c r="AO272" s="18">
        <f t="shared" ref="AO272" si="1097">SUM(AK272:AN272)</f>
        <v>0</v>
      </c>
      <c r="AP272" s="34"/>
      <c r="AQ272" s="16"/>
      <c r="AR272" s="16"/>
      <c r="AS272" s="17"/>
      <c r="AT272" s="18">
        <f t="shared" ref="AT272" si="1098">SUM(AP272:AS272)</f>
        <v>0</v>
      </c>
      <c r="AU272" s="34"/>
      <c r="AV272" s="16"/>
      <c r="AW272" s="16"/>
      <c r="AX272" s="17"/>
      <c r="AY272" s="18">
        <f t="shared" ref="AY272" si="1099">SUM(AU272:AX272)</f>
        <v>0</v>
      </c>
      <c r="AZ272" s="34"/>
      <c r="BA272" s="16"/>
      <c r="BB272" s="16"/>
      <c r="BC272" s="17"/>
      <c r="BD272" s="18">
        <f t="shared" ref="BD272" si="1100">SUM(AZ272:BC272)</f>
        <v>0</v>
      </c>
      <c r="BE272" s="34"/>
      <c r="BF272" s="16"/>
      <c r="BG272" s="16"/>
      <c r="BH272" s="17"/>
      <c r="BI272" s="18">
        <f t="shared" ref="BI272" si="1101">SUM(BE272:BH272)</f>
        <v>0</v>
      </c>
      <c r="BJ272" s="34"/>
      <c r="BK272" s="16"/>
      <c r="BL272" s="16"/>
      <c r="BM272" s="17"/>
      <c r="BN272" s="18">
        <f t="shared" ref="BN272" si="1102">SUM(BJ272:BM272)</f>
        <v>0</v>
      </c>
      <c r="BO272" s="70">
        <f t="shared" si="1017"/>
        <v>594</v>
      </c>
      <c r="BP272" s="16">
        <f t="shared" si="1018"/>
        <v>0</v>
      </c>
      <c r="BQ272" s="16">
        <f t="shared" si="1019"/>
        <v>0</v>
      </c>
      <c r="BR272" s="17">
        <f t="shared" si="1020"/>
        <v>0</v>
      </c>
      <c r="BS272" s="35">
        <f t="shared" ref="BS272" si="1103">SUM(BO272:BR272)</f>
        <v>594</v>
      </c>
    </row>
    <row r="273" spans="2:71" x14ac:dyDescent="0.3">
      <c r="B273" s="269"/>
      <c r="C273" s="215"/>
      <c r="D273" s="216"/>
      <c r="E273" s="220"/>
      <c r="F273" s="123" t="s">
        <v>303</v>
      </c>
      <c r="G273" s="34"/>
      <c r="H273" s="16"/>
      <c r="I273" s="16"/>
      <c r="J273" s="17"/>
      <c r="K273" s="18">
        <f t="shared" si="1089"/>
        <v>0</v>
      </c>
      <c r="L273" s="34"/>
      <c r="M273" s="16"/>
      <c r="N273" s="16"/>
      <c r="O273" s="17"/>
      <c r="P273" s="18">
        <f t="shared" si="1062"/>
        <v>0</v>
      </c>
      <c r="Q273" s="34"/>
      <c r="R273" s="16"/>
      <c r="S273" s="16"/>
      <c r="T273" s="17"/>
      <c r="U273" s="18">
        <f t="shared" si="1063"/>
        <v>0</v>
      </c>
      <c r="V273" s="34">
        <v>35</v>
      </c>
      <c r="W273" s="16"/>
      <c r="X273" s="16"/>
      <c r="Y273" s="17"/>
      <c r="Z273" s="18">
        <f t="shared" si="1064"/>
        <v>35</v>
      </c>
      <c r="AA273" s="34">
        <v>559</v>
      </c>
      <c r="AB273" s="16"/>
      <c r="AC273" s="16"/>
      <c r="AD273" s="17"/>
      <c r="AE273" s="18">
        <f t="shared" si="1065"/>
        <v>559</v>
      </c>
      <c r="AF273" s="34"/>
      <c r="AG273" s="16"/>
      <c r="AH273" s="16"/>
      <c r="AI273" s="17"/>
      <c r="AJ273" s="18">
        <f t="shared" si="1066"/>
        <v>0</v>
      </c>
      <c r="AK273" s="34"/>
      <c r="AL273" s="16"/>
      <c r="AM273" s="16"/>
      <c r="AN273" s="17"/>
      <c r="AO273" s="18">
        <f t="shared" si="1067"/>
        <v>0</v>
      </c>
      <c r="AP273" s="34"/>
      <c r="AQ273" s="16"/>
      <c r="AR273" s="16"/>
      <c r="AS273" s="17"/>
      <c r="AT273" s="18">
        <f t="shared" si="1068"/>
        <v>0</v>
      </c>
      <c r="AU273" s="34"/>
      <c r="AV273" s="16"/>
      <c r="AW273" s="16"/>
      <c r="AX273" s="17"/>
      <c r="AY273" s="18">
        <f t="shared" si="1069"/>
        <v>0</v>
      </c>
      <c r="AZ273" s="34"/>
      <c r="BA273" s="16"/>
      <c r="BB273" s="16"/>
      <c r="BC273" s="17"/>
      <c r="BD273" s="18">
        <f t="shared" si="1070"/>
        <v>0</v>
      </c>
      <c r="BE273" s="34"/>
      <c r="BF273" s="16"/>
      <c r="BG273" s="16"/>
      <c r="BH273" s="17"/>
      <c r="BI273" s="18">
        <f t="shared" si="1071"/>
        <v>0</v>
      </c>
      <c r="BJ273" s="34"/>
      <c r="BK273" s="16"/>
      <c r="BL273" s="16"/>
      <c r="BM273" s="17"/>
      <c r="BN273" s="18">
        <f t="shared" si="1072"/>
        <v>0</v>
      </c>
      <c r="BO273" s="70">
        <f t="shared" si="1017"/>
        <v>594</v>
      </c>
      <c r="BP273" s="16">
        <f t="shared" si="1018"/>
        <v>0</v>
      </c>
      <c r="BQ273" s="16">
        <f t="shared" si="1019"/>
        <v>0</v>
      </c>
      <c r="BR273" s="17">
        <f t="shared" si="1020"/>
        <v>0</v>
      </c>
      <c r="BS273" s="35">
        <f t="shared" si="1090"/>
        <v>594</v>
      </c>
    </row>
    <row r="274" spans="2:71" x14ac:dyDescent="0.3">
      <c r="B274" s="269"/>
      <c r="C274" s="215"/>
      <c r="D274" s="216"/>
      <c r="E274" s="220"/>
      <c r="F274" s="123" t="s">
        <v>304</v>
      </c>
      <c r="G274" s="34"/>
      <c r="H274" s="16"/>
      <c r="I274" s="16"/>
      <c r="J274" s="17"/>
      <c r="K274" s="18">
        <f t="shared" ref="K274:K277" si="1104">SUM(G274:J274)</f>
        <v>0</v>
      </c>
      <c r="L274" s="34"/>
      <c r="M274" s="16"/>
      <c r="N274" s="16"/>
      <c r="O274" s="17"/>
      <c r="P274" s="18">
        <f t="shared" ref="P274:P277" si="1105">SUM(L274:O274)</f>
        <v>0</v>
      </c>
      <c r="Q274" s="34"/>
      <c r="R274" s="16"/>
      <c r="S274" s="16"/>
      <c r="T274" s="17"/>
      <c r="U274" s="18">
        <f t="shared" ref="U274:U277" si="1106">SUM(Q274:T274)</f>
        <v>0</v>
      </c>
      <c r="V274" s="34">
        <v>35</v>
      </c>
      <c r="W274" s="16"/>
      <c r="X274" s="16"/>
      <c r="Y274" s="17"/>
      <c r="Z274" s="18">
        <f t="shared" ref="Z274:Z277" si="1107">SUM(V274:Y274)</f>
        <v>35</v>
      </c>
      <c r="AA274" s="34">
        <v>559</v>
      </c>
      <c r="AB274" s="16"/>
      <c r="AC274" s="16"/>
      <c r="AD274" s="17"/>
      <c r="AE274" s="18">
        <f t="shared" ref="AE274:AE277" si="1108">SUM(AA274:AD274)</f>
        <v>559</v>
      </c>
      <c r="AF274" s="34"/>
      <c r="AG274" s="16"/>
      <c r="AH274" s="16"/>
      <c r="AI274" s="17"/>
      <c r="AJ274" s="18">
        <f t="shared" ref="AJ274:AJ277" si="1109">SUM(AF274:AI274)</f>
        <v>0</v>
      </c>
      <c r="AK274" s="34"/>
      <c r="AL274" s="16"/>
      <c r="AM274" s="16"/>
      <c r="AN274" s="17"/>
      <c r="AO274" s="18">
        <f t="shared" ref="AO274:AO277" si="1110">SUM(AK274:AN274)</f>
        <v>0</v>
      </c>
      <c r="AP274" s="34"/>
      <c r="AQ274" s="16"/>
      <c r="AR274" s="16"/>
      <c r="AS274" s="17"/>
      <c r="AT274" s="18">
        <f t="shared" ref="AT274:AT277" si="1111">SUM(AP274:AS274)</f>
        <v>0</v>
      </c>
      <c r="AU274" s="34"/>
      <c r="AV274" s="16"/>
      <c r="AW274" s="16"/>
      <c r="AX274" s="17"/>
      <c r="AY274" s="18">
        <f t="shared" ref="AY274:AY277" si="1112">SUM(AU274:AX274)</f>
        <v>0</v>
      </c>
      <c r="AZ274" s="34"/>
      <c r="BA274" s="16"/>
      <c r="BB274" s="16"/>
      <c r="BC274" s="17"/>
      <c r="BD274" s="18">
        <f t="shared" ref="BD274:BD277" si="1113">SUM(AZ274:BC274)</f>
        <v>0</v>
      </c>
      <c r="BE274" s="34"/>
      <c r="BF274" s="16"/>
      <c r="BG274" s="16"/>
      <c r="BH274" s="17"/>
      <c r="BI274" s="18">
        <f t="shared" ref="BI274:BI277" si="1114">SUM(BE274:BH274)</f>
        <v>0</v>
      </c>
      <c r="BJ274" s="34"/>
      <c r="BK274" s="16"/>
      <c r="BL274" s="16"/>
      <c r="BM274" s="17"/>
      <c r="BN274" s="18">
        <f t="shared" ref="BN274:BN277" si="1115">SUM(BJ274:BM274)</f>
        <v>0</v>
      </c>
      <c r="BO274" s="70">
        <f t="shared" si="1017"/>
        <v>594</v>
      </c>
      <c r="BP274" s="16">
        <f t="shared" si="1018"/>
        <v>0</v>
      </c>
      <c r="BQ274" s="16">
        <f t="shared" si="1019"/>
        <v>0</v>
      </c>
      <c r="BR274" s="17">
        <f t="shared" si="1020"/>
        <v>0</v>
      </c>
      <c r="BS274" s="35">
        <f t="shared" ref="BS274:BS277" si="1116">SUM(BO274:BR274)</f>
        <v>594</v>
      </c>
    </row>
    <row r="275" spans="2:71" x14ac:dyDescent="0.3">
      <c r="B275" s="269"/>
      <c r="C275" s="215"/>
      <c r="D275" s="216"/>
      <c r="E275" s="220"/>
      <c r="F275" s="123" t="s">
        <v>402</v>
      </c>
      <c r="G275" s="34"/>
      <c r="H275" s="16"/>
      <c r="I275" s="16"/>
      <c r="J275" s="17"/>
      <c r="K275" s="18">
        <f t="shared" si="1104"/>
        <v>0</v>
      </c>
      <c r="L275" s="34"/>
      <c r="M275" s="16"/>
      <c r="N275" s="16"/>
      <c r="O275" s="17"/>
      <c r="P275" s="18">
        <f t="shared" si="1105"/>
        <v>0</v>
      </c>
      <c r="Q275" s="34"/>
      <c r="R275" s="16"/>
      <c r="S275" s="16"/>
      <c r="T275" s="17"/>
      <c r="U275" s="18">
        <f t="shared" si="1106"/>
        <v>0</v>
      </c>
      <c r="V275" s="34"/>
      <c r="W275" s="16"/>
      <c r="X275" s="16"/>
      <c r="Y275" s="17"/>
      <c r="Z275" s="18">
        <f t="shared" si="1107"/>
        <v>0</v>
      </c>
      <c r="AA275" s="34"/>
      <c r="AB275" s="16"/>
      <c r="AC275" s="16"/>
      <c r="AD275" s="17"/>
      <c r="AE275" s="18">
        <f t="shared" si="1108"/>
        <v>0</v>
      </c>
      <c r="AF275" s="34"/>
      <c r="AG275" s="16"/>
      <c r="AH275" s="16"/>
      <c r="AI275" s="17"/>
      <c r="AJ275" s="18">
        <f t="shared" si="1109"/>
        <v>0</v>
      </c>
      <c r="AK275" s="34"/>
      <c r="AL275" s="16"/>
      <c r="AM275" s="16"/>
      <c r="AN275" s="17"/>
      <c r="AO275" s="18">
        <f t="shared" si="1110"/>
        <v>0</v>
      </c>
      <c r="AP275" s="34"/>
      <c r="AQ275" s="16"/>
      <c r="AR275" s="16"/>
      <c r="AS275" s="17"/>
      <c r="AT275" s="18">
        <f t="shared" si="1111"/>
        <v>0</v>
      </c>
      <c r="AU275" s="34"/>
      <c r="AV275" s="16"/>
      <c r="AW275" s="16"/>
      <c r="AX275" s="17"/>
      <c r="AY275" s="18">
        <f t="shared" si="1112"/>
        <v>0</v>
      </c>
      <c r="AZ275" s="34"/>
      <c r="BA275" s="16"/>
      <c r="BB275" s="16"/>
      <c r="BC275" s="17"/>
      <c r="BD275" s="18">
        <f t="shared" si="1113"/>
        <v>0</v>
      </c>
      <c r="BE275" s="34"/>
      <c r="BF275" s="16"/>
      <c r="BG275" s="16">
        <v>32</v>
      </c>
      <c r="BH275" s="17"/>
      <c r="BI275" s="18">
        <f t="shared" si="1114"/>
        <v>32</v>
      </c>
      <c r="BJ275" s="34"/>
      <c r="BK275" s="16"/>
      <c r="BL275" s="16"/>
      <c r="BM275" s="17"/>
      <c r="BN275" s="18">
        <f t="shared" si="1115"/>
        <v>0</v>
      </c>
      <c r="BO275" s="70">
        <f t="shared" si="1017"/>
        <v>0</v>
      </c>
      <c r="BP275" s="16">
        <f t="shared" si="1018"/>
        <v>0</v>
      </c>
      <c r="BQ275" s="16">
        <f t="shared" si="1019"/>
        <v>32</v>
      </c>
      <c r="BR275" s="17">
        <f t="shared" si="1020"/>
        <v>0</v>
      </c>
      <c r="BS275" s="35">
        <f t="shared" si="1116"/>
        <v>32</v>
      </c>
    </row>
    <row r="276" spans="2:71" x14ac:dyDescent="0.3">
      <c r="B276" s="269"/>
      <c r="C276" s="215"/>
      <c r="D276" s="216"/>
      <c r="E276" s="220"/>
      <c r="F276" s="123" t="s">
        <v>410</v>
      </c>
      <c r="G276" s="34"/>
      <c r="H276" s="16"/>
      <c r="I276" s="16"/>
      <c r="J276" s="17"/>
      <c r="K276" s="18">
        <f t="shared" ref="K276" si="1117">SUM(G276:J276)</f>
        <v>0</v>
      </c>
      <c r="L276" s="34"/>
      <c r="M276" s="16"/>
      <c r="N276" s="16"/>
      <c r="O276" s="17"/>
      <c r="P276" s="18">
        <f t="shared" ref="P276" si="1118">SUM(L276:O276)</f>
        <v>0</v>
      </c>
      <c r="Q276" s="34"/>
      <c r="R276" s="16"/>
      <c r="S276" s="16"/>
      <c r="T276" s="17"/>
      <c r="U276" s="18">
        <f t="shared" ref="U276" si="1119">SUM(Q276:T276)</f>
        <v>0</v>
      </c>
      <c r="V276" s="34"/>
      <c r="W276" s="16"/>
      <c r="X276" s="16"/>
      <c r="Y276" s="17"/>
      <c r="Z276" s="18">
        <f t="shared" ref="Z276" si="1120">SUM(V276:Y276)</f>
        <v>0</v>
      </c>
      <c r="AA276" s="34"/>
      <c r="AB276" s="16"/>
      <c r="AC276" s="16"/>
      <c r="AD276" s="17"/>
      <c r="AE276" s="18">
        <f t="shared" ref="AE276" si="1121">SUM(AA276:AD276)</f>
        <v>0</v>
      </c>
      <c r="AF276" s="34"/>
      <c r="AG276" s="16"/>
      <c r="AH276" s="16"/>
      <c r="AI276" s="17"/>
      <c r="AJ276" s="18">
        <f t="shared" ref="AJ276" si="1122">SUM(AF276:AI276)</f>
        <v>0</v>
      </c>
      <c r="AK276" s="34"/>
      <c r="AL276" s="16"/>
      <c r="AM276" s="16"/>
      <c r="AN276" s="17"/>
      <c r="AO276" s="18">
        <f t="shared" ref="AO276" si="1123">SUM(AK276:AN276)</f>
        <v>0</v>
      </c>
      <c r="AP276" s="34"/>
      <c r="AQ276" s="16"/>
      <c r="AR276" s="16"/>
      <c r="AS276" s="17"/>
      <c r="AT276" s="18">
        <f t="shared" ref="AT276" si="1124">SUM(AP276:AS276)</f>
        <v>0</v>
      </c>
      <c r="AU276" s="34"/>
      <c r="AV276" s="16"/>
      <c r="AW276" s="16"/>
      <c r="AX276" s="17"/>
      <c r="AY276" s="18">
        <f t="shared" ref="AY276" si="1125">SUM(AU276:AX276)</f>
        <v>0</v>
      </c>
      <c r="AZ276" s="34"/>
      <c r="BA276" s="16"/>
      <c r="BB276" s="16"/>
      <c r="BC276" s="17"/>
      <c r="BD276" s="18">
        <f t="shared" ref="BD276" si="1126">SUM(AZ276:BC276)</f>
        <v>0</v>
      </c>
      <c r="BE276" s="34"/>
      <c r="BF276" s="16"/>
      <c r="BG276" s="16"/>
      <c r="BH276" s="17"/>
      <c r="BI276" s="18">
        <f t="shared" ref="BI276" si="1127">SUM(BE276:BH276)</f>
        <v>0</v>
      </c>
      <c r="BJ276" s="34">
        <v>31</v>
      </c>
      <c r="BK276" s="16"/>
      <c r="BL276" s="16">
        <v>16</v>
      </c>
      <c r="BM276" s="151">
        <v>4</v>
      </c>
      <c r="BN276" s="18">
        <f t="shared" ref="BN276" si="1128">SUM(BJ276:BM276)</f>
        <v>51</v>
      </c>
      <c r="BO276" s="70">
        <f t="shared" si="1017"/>
        <v>31</v>
      </c>
      <c r="BP276" s="16">
        <f t="shared" si="1018"/>
        <v>0</v>
      </c>
      <c r="BQ276" s="16">
        <f t="shared" si="1019"/>
        <v>16</v>
      </c>
      <c r="BR276" s="17">
        <f t="shared" si="1020"/>
        <v>4</v>
      </c>
      <c r="BS276" s="35">
        <f t="shared" ref="BS276" si="1129">SUM(BO276:BR276)</f>
        <v>51</v>
      </c>
    </row>
    <row r="277" spans="2:71" x14ac:dyDescent="0.3">
      <c r="B277" s="269"/>
      <c r="C277" s="215"/>
      <c r="D277" s="216"/>
      <c r="E277" s="220"/>
      <c r="F277" s="123" t="s">
        <v>411</v>
      </c>
      <c r="G277" s="34"/>
      <c r="H277" s="16"/>
      <c r="I277" s="16"/>
      <c r="J277" s="17"/>
      <c r="K277" s="18">
        <f t="shared" si="1104"/>
        <v>0</v>
      </c>
      <c r="L277" s="34"/>
      <c r="M277" s="16"/>
      <c r="N277" s="16"/>
      <c r="O277" s="17"/>
      <c r="P277" s="18">
        <f t="shared" si="1105"/>
        <v>0</v>
      </c>
      <c r="Q277" s="34"/>
      <c r="R277" s="16"/>
      <c r="S277" s="16"/>
      <c r="T277" s="17"/>
      <c r="U277" s="18">
        <f t="shared" si="1106"/>
        <v>0</v>
      </c>
      <c r="V277" s="34"/>
      <c r="W277" s="16"/>
      <c r="X277" s="16"/>
      <c r="Y277" s="17"/>
      <c r="Z277" s="18">
        <f t="shared" si="1107"/>
        <v>0</v>
      </c>
      <c r="AA277" s="34"/>
      <c r="AB277" s="16"/>
      <c r="AC277" s="16"/>
      <c r="AD277" s="17"/>
      <c r="AE277" s="18">
        <f t="shared" si="1108"/>
        <v>0</v>
      </c>
      <c r="AF277" s="34"/>
      <c r="AG277" s="16"/>
      <c r="AH277" s="16"/>
      <c r="AI277" s="17"/>
      <c r="AJ277" s="18">
        <f t="shared" si="1109"/>
        <v>0</v>
      </c>
      <c r="AK277" s="34"/>
      <c r="AL277" s="16"/>
      <c r="AM277" s="16"/>
      <c r="AN277" s="17"/>
      <c r="AO277" s="18">
        <f t="shared" si="1110"/>
        <v>0</v>
      </c>
      <c r="AP277" s="34"/>
      <c r="AQ277" s="16"/>
      <c r="AR277" s="16"/>
      <c r="AS277" s="17"/>
      <c r="AT277" s="18">
        <f t="shared" si="1111"/>
        <v>0</v>
      </c>
      <c r="AU277" s="34"/>
      <c r="AV277" s="16"/>
      <c r="AW277" s="16"/>
      <c r="AX277" s="17"/>
      <c r="AY277" s="18">
        <f t="shared" si="1112"/>
        <v>0</v>
      </c>
      <c r="AZ277" s="34"/>
      <c r="BA277" s="16"/>
      <c r="BB277" s="16"/>
      <c r="BC277" s="17"/>
      <c r="BD277" s="18">
        <f t="shared" si="1113"/>
        <v>0</v>
      </c>
      <c r="BE277" s="34"/>
      <c r="BF277" s="16"/>
      <c r="BG277" s="16"/>
      <c r="BH277" s="17"/>
      <c r="BI277" s="18">
        <f t="shared" si="1114"/>
        <v>0</v>
      </c>
      <c r="BJ277" s="34">
        <v>11</v>
      </c>
      <c r="BK277" s="16"/>
      <c r="BL277" s="16">
        <v>8</v>
      </c>
      <c r="BM277" s="151">
        <v>1</v>
      </c>
      <c r="BN277" s="18">
        <f t="shared" si="1115"/>
        <v>20</v>
      </c>
      <c r="BO277" s="70">
        <f t="shared" si="1017"/>
        <v>11</v>
      </c>
      <c r="BP277" s="16">
        <f t="shared" si="1018"/>
        <v>0</v>
      </c>
      <c r="BQ277" s="16">
        <f t="shared" si="1019"/>
        <v>8</v>
      </c>
      <c r="BR277" s="17">
        <f t="shared" si="1020"/>
        <v>1</v>
      </c>
      <c r="BS277" s="35">
        <f t="shared" si="1116"/>
        <v>20</v>
      </c>
    </row>
    <row r="278" spans="2:71" x14ac:dyDescent="0.3">
      <c r="B278" s="269"/>
      <c r="C278" s="215"/>
      <c r="D278" s="216"/>
      <c r="E278" s="220"/>
      <c r="F278" s="123" t="s">
        <v>412</v>
      </c>
      <c r="G278" s="34"/>
      <c r="H278" s="16"/>
      <c r="I278" s="16"/>
      <c r="J278" s="17"/>
      <c r="K278" s="18">
        <f t="shared" ref="K278" si="1130">SUM(G278:J278)</f>
        <v>0</v>
      </c>
      <c r="L278" s="34"/>
      <c r="M278" s="16"/>
      <c r="N278" s="16"/>
      <c r="O278" s="17"/>
      <c r="P278" s="18">
        <f t="shared" ref="P278" si="1131">SUM(L278:O278)</f>
        <v>0</v>
      </c>
      <c r="Q278" s="34"/>
      <c r="R278" s="16"/>
      <c r="S278" s="16"/>
      <c r="T278" s="17"/>
      <c r="U278" s="18">
        <f t="shared" ref="U278" si="1132">SUM(Q278:T278)</f>
        <v>0</v>
      </c>
      <c r="V278" s="34"/>
      <c r="W278" s="16"/>
      <c r="X278" s="16"/>
      <c r="Y278" s="17"/>
      <c r="Z278" s="18">
        <f t="shared" ref="Z278" si="1133">SUM(V278:Y278)</f>
        <v>0</v>
      </c>
      <c r="AA278" s="34"/>
      <c r="AB278" s="16"/>
      <c r="AC278" s="16"/>
      <c r="AD278" s="17"/>
      <c r="AE278" s="18">
        <f t="shared" ref="AE278" si="1134">SUM(AA278:AD278)</f>
        <v>0</v>
      </c>
      <c r="AF278" s="34"/>
      <c r="AG278" s="16"/>
      <c r="AH278" s="16"/>
      <c r="AI278" s="17"/>
      <c r="AJ278" s="18">
        <f t="shared" ref="AJ278" si="1135">SUM(AF278:AI278)</f>
        <v>0</v>
      </c>
      <c r="AK278" s="34"/>
      <c r="AL278" s="16"/>
      <c r="AM278" s="16"/>
      <c r="AN278" s="17"/>
      <c r="AO278" s="18">
        <f t="shared" ref="AO278" si="1136">SUM(AK278:AN278)</f>
        <v>0</v>
      </c>
      <c r="AP278" s="34"/>
      <c r="AQ278" s="16"/>
      <c r="AR278" s="16"/>
      <c r="AS278" s="17"/>
      <c r="AT278" s="18">
        <f t="shared" ref="AT278" si="1137">SUM(AP278:AS278)</f>
        <v>0</v>
      </c>
      <c r="AU278" s="34"/>
      <c r="AV278" s="16"/>
      <c r="AW278" s="16"/>
      <c r="AX278" s="17"/>
      <c r="AY278" s="18">
        <f t="shared" ref="AY278" si="1138">SUM(AU278:AX278)</f>
        <v>0</v>
      </c>
      <c r="AZ278" s="34"/>
      <c r="BA278" s="16"/>
      <c r="BB278" s="16"/>
      <c r="BC278" s="17"/>
      <c r="BD278" s="18">
        <f t="shared" ref="BD278" si="1139">SUM(AZ278:BC278)</f>
        <v>0</v>
      </c>
      <c r="BE278" s="34"/>
      <c r="BF278" s="16"/>
      <c r="BG278" s="16"/>
      <c r="BH278" s="17"/>
      <c r="BI278" s="18">
        <f t="shared" ref="BI278" si="1140">SUM(BE278:BH278)</f>
        <v>0</v>
      </c>
      <c r="BJ278" s="34">
        <v>1</v>
      </c>
      <c r="BK278" s="16"/>
      <c r="BL278" s="16"/>
      <c r="BM278" s="17"/>
      <c r="BN278" s="18">
        <f t="shared" ref="BN278" si="1141">SUM(BJ278:BM278)</f>
        <v>1</v>
      </c>
      <c r="BO278" s="70">
        <f t="shared" si="1017"/>
        <v>1</v>
      </c>
      <c r="BP278" s="16">
        <f t="shared" si="1018"/>
        <v>0</v>
      </c>
      <c r="BQ278" s="16">
        <f t="shared" si="1019"/>
        <v>0</v>
      </c>
      <c r="BR278" s="17">
        <f t="shared" si="1020"/>
        <v>0</v>
      </c>
      <c r="BS278" s="35">
        <f t="shared" ref="BS278" si="1142">SUM(BO278:BR278)</f>
        <v>1</v>
      </c>
    </row>
    <row r="279" spans="2:71" x14ac:dyDescent="0.3">
      <c r="B279" s="269"/>
      <c r="C279" s="215"/>
      <c r="D279" s="216"/>
      <c r="E279" s="219" t="s">
        <v>81</v>
      </c>
      <c r="F279" s="120" t="s">
        <v>77</v>
      </c>
      <c r="G279" s="30">
        <v>27</v>
      </c>
      <c r="H279" s="7"/>
      <c r="I279" s="7">
        <v>26</v>
      </c>
      <c r="J279" s="150">
        <v>19</v>
      </c>
      <c r="K279" s="9">
        <f t="shared" ref="K279:K282" si="1143">SUM(G279:J279)</f>
        <v>72</v>
      </c>
      <c r="L279" s="30">
        <v>43</v>
      </c>
      <c r="M279" s="7"/>
      <c r="N279" s="7">
        <v>22</v>
      </c>
      <c r="O279" s="150">
        <v>33</v>
      </c>
      <c r="P279" s="9">
        <f t="shared" ref="P279:P341" si="1144">SUM(L279:O279)</f>
        <v>98</v>
      </c>
      <c r="Q279" s="30">
        <v>133</v>
      </c>
      <c r="R279" s="7"/>
      <c r="S279" s="7">
        <v>75</v>
      </c>
      <c r="T279" s="150">
        <v>65</v>
      </c>
      <c r="U279" s="9">
        <f t="shared" ref="U279:U341" si="1145">SUM(Q279:T279)</f>
        <v>273</v>
      </c>
      <c r="V279" s="30">
        <v>58</v>
      </c>
      <c r="W279" s="7"/>
      <c r="X279" s="7">
        <v>34</v>
      </c>
      <c r="Y279" s="150">
        <v>19</v>
      </c>
      <c r="Z279" s="9">
        <f t="shared" ref="Z279:Z341" si="1146">SUM(V279:Y279)</f>
        <v>111</v>
      </c>
      <c r="AA279" s="30">
        <v>52</v>
      </c>
      <c r="AB279" s="7"/>
      <c r="AC279" s="7">
        <v>23</v>
      </c>
      <c r="AD279" s="150">
        <v>22</v>
      </c>
      <c r="AE279" s="9">
        <f t="shared" ref="AE279:AE341" si="1147">SUM(AA279:AD279)</f>
        <v>97</v>
      </c>
      <c r="AF279" s="30">
        <v>56</v>
      </c>
      <c r="AG279" s="7"/>
      <c r="AH279" s="7">
        <v>17</v>
      </c>
      <c r="AI279" s="150">
        <v>16</v>
      </c>
      <c r="AJ279" s="9">
        <f t="shared" ref="AJ279:AJ341" si="1148">SUM(AF279:AI279)</f>
        <v>89</v>
      </c>
      <c r="AK279" s="30">
        <v>16</v>
      </c>
      <c r="AL279" s="7"/>
      <c r="AM279" s="7">
        <v>8</v>
      </c>
      <c r="AN279" s="150">
        <v>10</v>
      </c>
      <c r="AO279" s="9">
        <f t="shared" ref="AO279:AO341" si="1149">SUM(AK279:AN279)</f>
        <v>34</v>
      </c>
      <c r="AP279" s="30">
        <v>29</v>
      </c>
      <c r="AQ279" s="7"/>
      <c r="AR279" s="7">
        <v>6</v>
      </c>
      <c r="AS279" s="150">
        <v>14</v>
      </c>
      <c r="AT279" s="9">
        <f t="shared" ref="AT279:AT341" si="1150">SUM(AP279:AS279)</f>
        <v>49</v>
      </c>
      <c r="AU279" s="30">
        <v>44</v>
      </c>
      <c r="AV279" s="7"/>
      <c r="AW279" s="7">
        <v>14</v>
      </c>
      <c r="AX279" s="150">
        <v>11</v>
      </c>
      <c r="AY279" s="9">
        <f t="shared" ref="AY279:AY341" si="1151">SUM(AU279:AX279)</f>
        <v>69</v>
      </c>
      <c r="AZ279" s="30">
        <v>50</v>
      </c>
      <c r="BA279" s="7"/>
      <c r="BB279" s="7">
        <v>15</v>
      </c>
      <c r="BC279" s="150">
        <v>11</v>
      </c>
      <c r="BD279" s="9">
        <f t="shared" ref="BD279:BD341" si="1152">SUM(AZ279:BC279)</f>
        <v>76</v>
      </c>
      <c r="BE279" s="30">
        <v>12</v>
      </c>
      <c r="BF279" s="7"/>
      <c r="BG279" s="7">
        <v>5</v>
      </c>
      <c r="BH279" s="150">
        <v>4</v>
      </c>
      <c r="BI279" s="9">
        <f t="shared" ref="BI279:BI341" si="1153">SUM(BE279:BH279)</f>
        <v>21</v>
      </c>
      <c r="BJ279" s="30">
        <v>17</v>
      </c>
      <c r="BK279" s="7"/>
      <c r="BL279" s="7">
        <v>4</v>
      </c>
      <c r="BM279" s="150">
        <v>6</v>
      </c>
      <c r="BN279" s="9">
        <f t="shared" ref="BN279:BN341" si="1154">SUM(BJ279:BM279)</f>
        <v>27</v>
      </c>
      <c r="BO279" s="65">
        <f t="shared" si="1017"/>
        <v>537</v>
      </c>
      <c r="BP279" s="7">
        <f t="shared" si="1018"/>
        <v>0</v>
      </c>
      <c r="BQ279" s="7">
        <f t="shared" si="1019"/>
        <v>249</v>
      </c>
      <c r="BR279" s="8">
        <f t="shared" si="1020"/>
        <v>230</v>
      </c>
      <c r="BS279" s="31">
        <f t="shared" ref="BS279:BS282" si="1155">SUM(BO279:BR279)</f>
        <v>1016</v>
      </c>
    </row>
    <row r="280" spans="2:71" x14ac:dyDescent="0.3">
      <c r="B280" s="269"/>
      <c r="C280" s="215"/>
      <c r="D280" s="216"/>
      <c r="E280" s="220"/>
      <c r="F280" s="123" t="s">
        <v>83</v>
      </c>
      <c r="G280" s="34">
        <v>10</v>
      </c>
      <c r="H280" s="16"/>
      <c r="I280" s="16">
        <v>6</v>
      </c>
      <c r="J280" s="151">
        <v>1</v>
      </c>
      <c r="K280" s="18">
        <f t="shared" si="1143"/>
        <v>17</v>
      </c>
      <c r="L280" s="34">
        <v>21</v>
      </c>
      <c r="M280" s="16"/>
      <c r="N280" s="16">
        <v>13</v>
      </c>
      <c r="O280" s="151">
        <v>6</v>
      </c>
      <c r="P280" s="18">
        <f t="shared" si="1144"/>
        <v>40</v>
      </c>
      <c r="Q280" s="34">
        <v>29</v>
      </c>
      <c r="R280" s="16"/>
      <c r="S280" s="16">
        <v>27</v>
      </c>
      <c r="T280" s="151">
        <v>16</v>
      </c>
      <c r="U280" s="18">
        <f t="shared" si="1145"/>
        <v>72</v>
      </c>
      <c r="V280" s="34">
        <v>29</v>
      </c>
      <c r="W280" s="16"/>
      <c r="X280" s="16">
        <v>20</v>
      </c>
      <c r="Y280" s="151">
        <v>11</v>
      </c>
      <c r="Z280" s="18">
        <f t="shared" si="1146"/>
        <v>60</v>
      </c>
      <c r="AA280" s="34">
        <v>45</v>
      </c>
      <c r="AB280" s="16"/>
      <c r="AC280" s="16">
        <v>22</v>
      </c>
      <c r="AD280" s="151">
        <v>15</v>
      </c>
      <c r="AE280" s="18">
        <f t="shared" si="1147"/>
        <v>82</v>
      </c>
      <c r="AF280" s="34">
        <v>20</v>
      </c>
      <c r="AG280" s="16"/>
      <c r="AH280" s="16">
        <v>15</v>
      </c>
      <c r="AI280" s="151">
        <v>4</v>
      </c>
      <c r="AJ280" s="18">
        <f t="shared" si="1148"/>
        <v>39</v>
      </c>
      <c r="AK280" s="34">
        <v>17</v>
      </c>
      <c r="AL280" s="16"/>
      <c r="AM280" s="16">
        <v>6</v>
      </c>
      <c r="AN280" s="151">
        <v>3</v>
      </c>
      <c r="AO280" s="18">
        <f t="shared" si="1149"/>
        <v>26</v>
      </c>
      <c r="AP280" s="34">
        <v>10</v>
      </c>
      <c r="AQ280" s="16"/>
      <c r="AR280" s="16">
        <v>12</v>
      </c>
      <c r="AS280" s="151">
        <v>6</v>
      </c>
      <c r="AT280" s="18">
        <f t="shared" si="1150"/>
        <v>28</v>
      </c>
      <c r="AU280" s="34">
        <v>38</v>
      </c>
      <c r="AV280" s="16"/>
      <c r="AW280" s="16">
        <v>30</v>
      </c>
      <c r="AX280" s="151">
        <v>9</v>
      </c>
      <c r="AY280" s="18">
        <f t="shared" si="1151"/>
        <v>77</v>
      </c>
      <c r="AZ280" s="34">
        <v>45</v>
      </c>
      <c r="BA280" s="16"/>
      <c r="BB280" s="16">
        <v>28</v>
      </c>
      <c r="BC280" s="151">
        <v>10</v>
      </c>
      <c r="BD280" s="18">
        <f t="shared" si="1152"/>
        <v>83</v>
      </c>
      <c r="BE280" s="34">
        <v>6</v>
      </c>
      <c r="BF280" s="16"/>
      <c r="BG280" s="16">
        <v>9</v>
      </c>
      <c r="BH280" s="151">
        <v>3</v>
      </c>
      <c r="BI280" s="18">
        <f t="shared" si="1153"/>
        <v>18</v>
      </c>
      <c r="BJ280" s="34">
        <v>14</v>
      </c>
      <c r="BK280" s="16"/>
      <c r="BL280" s="16">
        <v>8</v>
      </c>
      <c r="BM280" s="151">
        <v>1</v>
      </c>
      <c r="BN280" s="18">
        <f t="shared" si="1154"/>
        <v>23</v>
      </c>
      <c r="BO280" s="70">
        <f t="shared" si="1017"/>
        <v>284</v>
      </c>
      <c r="BP280" s="16">
        <f t="shared" si="1018"/>
        <v>0</v>
      </c>
      <c r="BQ280" s="16">
        <f t="shared" si="1019"/>
        <v>196</v>
      </c>
      <c r="BR280" s="17">
        <f t="shared" si="1020"/>
        <v>85</v>
      </c>
      <c r="BS280" s="35">
        <f t="shared" si="1155"/>
        <v>565</v>
      </c>
    </row>
    <row r="281" spans="2:71" x14ac:dyDescent="0.3">
      <c r="B281" s="269"/>
      <c r="C281" s="215"/>
      <c r="D281" s="216"/>
      <c r="E281" s="220"/>
      <c r="F281" s="123" t="s">
        <v>84</v>
      </c>
      <c r="G281" s="34">
        <v>1</v>
      </c>
      <c r="H281" s="16"/>
      <c r="I281" s="16"/>
      <c r="J281" s="17"/>
      <c r="K281" s="18">
        <f t="shared" si="1143"/>
        <v>1</v>
      </c>
      <c r="L281" s="34">
        <v>5</v>
      </c>
      <c r="M281" s="16"/>
      <c r="N281" s="16"/>
      <c r="O281" s="17"/>
      <c r="P281" s="18">
        <f t="shared" si="1144"/>
        <v>5</v>
      </c>
      <c r="Q281" s="34">
        <v>3</v>
      </c>
      <c r="R281" s="16"/>
      <c r="S281" s="16"/>
      <c r="T281" s="17"/>
      <c r="U281" s="18">
        <f t="shared" si="1145"/>
        <v>3</v>
      </c>
      <c r="V281" s="34"/>
      <c r="W281" s="16"/>
      <c r="X281" s="16"/>
      <c r="Y281" s="17"/>
      <c r="Z281" s="18">
        <f t="shared" si="1146"/>
        <v>0</v>
      </c>
      <c r="AA281" s="34"/>
      <c r="AB281" s="16"/>
      <c r="AC281" s="16"/>
      <c r="AD281" s="17"/>
      <c r="AE281" s="18">
        <f t="shared" si="1147"/>
        <v>0</v>
      </c>
      <c r="AF281" s="34"/>
      <c r="AG281" s="16"/>
      <c r="AH281" s="16"/>
      <c r="AI281" s="17"/>
      <c r="AJ281" s="18">
        <f t="shared" si="1148"/>
        <v>0</v>
      </c>
      <c r="AK281" s="34"/>
      <c r="AL281" s="16"/>
      <c r="AM281" s="16"/>
      <c r="AN281" s="17"/>
      <c r="AO281" s="18">
        <f t="shared" si="1149"/>
        <v>0</v>
      </c>
      <c r="AP281" s="34"/>
      <c r="AQ281" s="16"/>
      <c r="AR281" s="16"/>
      <c r="AS281" s="17"/>
      <c r="AT281" s="18">
        <f t="shared" si="1150"/>
        <v>0</v>
      </c>
      <c r="AU281" s="34"/>
      <c r="AV281" s="16"/>
      <c r="AW281" s="16"/>
      <c r="AX281" s="17"/>
      <c r="AY281" s="18">
        <f t="shared" si="1151"/>
        <v>0</v>
      </c>
      <c r="AZ281" s="34"/>
      <c r="BA281" s="16"/>
      <c r="BB281" s="16"/>
      <c r="BC281" s="17"/>
      <c r="BD281" s="18">
        <f t="shared" si="1152"/>
        <v>0</v>
      </c>
      <c r="BE281" s="34"/>
      <c r="BF281" s="16"/>
      <c r="BG281" s="16"/>
      <c r="BH281" s="17"/>
      <c r="BI281" s="18">
        <f t="shared" si="1153"/>
        <v>0</v>
      </c>
      <c r="BJ281" s="34"/>
      <c r="BK281" s="16"/>
      <c r="BL281" s="16"/>
      <c r="BM281" s="17"/>
      <c r="BN281" s="18">
        <f t="shared" si="1154"/>
        <v>0</v>
      </c>
      <c r="BO281" s="70">
        <f t="shared" si="1017"/>
        <v>9</v>
      </c>
      <c r="BP281" s="16">
        <f t="shared" si="1018"/>
        <v>0</v>
      </c>
      <c r="BQ281" s="16">
        <f t="shared" si="1019"/>
        <v>0</v>
      </c>
      <c r="BR281" s="17">
        <f t="shared" si="1020"/>
        <v>0</v>
      </c>
      <c r="BS281" s="35">
        <f t="shared" si="1155"/>
        <v>9</v>
      </c>
    </row>
    <row r="282" spans="2:71" x14ac:dyDescent="0.3">
      <c r="B282" s="269"/>
      <c r="C282" s="215"/>
      <c r="D282" s="216"/>
      <c r="E282" s="220"/>
      <c r="F282" s="123" t="s">
        <v>85</v>
      </c>
      <c r="G282" s="34">
        <v>1</v>
      </c>
      <c r="H282" s="16"/>
      <c r="I282" s="16"/>
      <c r="J282" s="17"/>
      <c r="K282" s="18">
        <f t="shared" si="1143"/>
        <v>1</v>
      </c>
      <c r="L282" s="34"/>
      <c r="M282" s="16"/>
      <c r="N282" s="16"/>
      <c r="O282" s="17"/>
      <c r="P282" s="18">
        <f t="shared" si="1144"/>
        <v>0</v>
      </c>
      <c r="Q282" s="34">
        <v>1</v>
      </c>
      <c r="R282" s="16"/>
      <c r="S282" s="16"/>
      <c r="T282" s="17"/>
      <c r="U282" s="18">
        <f t="shared" si="1145"/>
        <v>1</v>
      </c>
      <c r="V282" s="34"/>
      <c r="W282" s="16"/>
      <c r="X282" s="16"/>
      <c r="Y282" s="17"/>
      <c r="Z282" s="18">
        <f t="shared" si="1146"/>
        <v>0</v>
      </c>
      <c r="AA282" s="34"/>
      <c r="AB282" s="16"/>
      <c r="AC282" s="16"/>
      <c r="AD282" s="17"/>
      <c r="AE282" s="18">
        <f t="shared" si="1147"/>
        <v>0</v>
      </c>
      <c r="AF282" s="34"/>
      <c r="AG282" s="16"/>
      <c r="AH282" s="16"/>
      <c r="AI282" s="17"/>
      <c r="AJ282" s="18">
        <f t="shared" si="1148"/>
        <v>0</v>
      </c>
      <c r="AK282" s="34"/>
      <c r="AL282" s="16"/>
      <c r="AM282" s="16"/>
      <c r="AN282" s="17"/>
      <c r="AO282" s="18">
        <f t="shared" si="1149"/>
        <v>0</v>
      </c>
      <c r="AP282" s="34"/>
      <c r="AQ282" s="16"/>
      <c r="AR282" s="16"/>
      <c r="AS282" s="17"/>
      <c r="AT282" s="18">
        <f t="shared" si="1150"/>
        <v>0</v>
      </c>
      <c r="AU282" s="34"/>
      <c r="AV282" s="16"/>
      <c r="AW282" s="16"/>
      <c r="AX282" s="17"/>
      <c r="AY282" s="18">
        <f t="shared" si="1151"/>
        <v>0</v>
      </c>
      <c r="AZ282" s="34"/>
      <c r="BA282" s="16"/>
      <c r="BB282" s="16"/>
      <c r="BC282" s="17"/>
      <c r="BD282" s="18">
        <f t="shared" si="1152"/>
        <v>0</v>
      </c>
      <c r="BE282" s="34"/>
      <c r="BF282" s="16"/>
      <c r="BG282" s="16"/>
      <c r="BH282" s="17"/>
      <c r="BI282" s="18">
        <f t="shared" si="1153"/>
        <v>0</v>
      </c>
      <c r="BJ282" s="34"/>
      <c r="BK282" s="16"/>
      <c r="BL282" s="16"/>
      <c r="BM282" s="17"/>
      <c r="BN282" s="18">
        <f t="shared" si="1154"/>
        <v>0</v>
      </c>
      <c r="BO282" s="70">
        <f t="shared" si="1017"/>
        <v>2</v>
      </c>
      <c r="BP282" s="16">
        <f t="shared" si="1018"/>
        <v>0</v>
      </c>
      <c r="BQ282" s="16">
        <f t="shared" si="1019"/>
        <v>0</v>
      </c>
      <c r="BR282" s="17">
        <f t="shared" si="1020"/>
        <v>0</v>
      </c>
      <c r="BS282" s="35">
        <f t="shared" si="1155"/>
        <v>2</v>
      </c>
    </row>
    <row r="283" spans="2:71" x14ac:dyDescent="0.3">
      <c r="B283" s="269"/>
      <c r="C283" s="215"/>
      <c r="D283" s="216"/>
      <c r="E283" s="219" t="s">
        <v>82</v>
      </c>
      <c r="F283" s="120" t="s">
        <v>77</v>
      </c>
      <c r="G283" s="30">
        <v>26</v>
      </c>
      <c r="H283" s="7"/>
      <c r="I283" s="7">
        <v>7</v>
      </c>
      <c r="J283" s="8"/>
      <c r="K283" s="9">
        <f t="shared" ref="K283" si="1156">SUM(G283:J283)</f>
        <v>33</v>
      </c>
      <c r="L283" s="30">
        <v>42</v>
      </c>
      <c r="M283" s="7"/>
      <c r="N283" s="7">
        <v>7</v>
      </c>
      <c r="O283" s="8"/>
      <c r="P283" s="9">
        <f t="shared" si="1144"/>
        <v>49</v>
      </c>
      <c r="Q283" s="30">
        <v>114</v>
      </c>
      <c r="R283" s="7"/>
      <c r="S283" s="7">
        <v>16</v>
      </c>
      <c r="T283" s="8"/>
      <c r="U283" s="9">
        <f t="shared" si="1145"/>
        <v>130</v>
      </c>
      <c r="V283" s="30">
        <v>11</v>
      </c>
      <c r="W283" s="7"/>
      <c r="X283" s="7"/>
      <c r="Y283" s="8"/>
      <c r="Z283" s="9">
        <f t="shared" si="1146"/>
        <v>11</v>
      </c>
      <c r="AA283" s="30">
        <v>16</v>
      </c>
      <c r="AB283" s="7"/>
      <c r="AC283" s="7">
        <v>8</v>
      </c>
      <c r="AD283" s="8"/>
      <c r="AE283" s="9">
        <f t="shared" si="1147"/>
        <v>24</v>
      </c>
      <c r="AF283" s="30">
        <v>12</v>
      </c>
      <c r="AG283" s="7"/>
      <c r="AH283" s="7"/>
      <c r="AI283" s="8"/>
      <c r="AJ283" s="9">
        <f t="shared" si="1148"/>
        <v>12</v>
      </c>
      <c r="AK283" s="30">
        <v>9</v>
      </c>
      <c r="AL283" s="7"/>
      <c r="AM283" s="7">
        <v>2</v>
      </c>
      <c r="AN283" s="8"/>
      <c r="AO283" s="9">
        <f t="shared" si="1149"/>
        <v>11</v>
      </c>
      <c r="AP283" s="30">
        <v>6</v>
      </c>
      <c r="AQ283" s="7"/>
      <c r="AR283" s="7"/>
      <c r="AS283" s="8"/>
      <c r="AT283" s="9">
        <f t="shared" si="1150"/>
        <v>6</v>
      </c>
      <c r="AU283" s="30">
        <v>11</v>
      </c>
      <c r="AV283" s="7"/>
      <c r="AW283" s="7"/>
      <c r="AX283" s="8"/>
      <c r="AY283" s="9">
        <f t="shared" si="1151"/>
        <v>11</v>
      </c>
      <c r="AZ283" s="30">
        <v>15</v>
      </c>
      <c r="BA283" s="7"/>
      <c r="BB283" s="7">
        <v>2</v>
      </c>
      <c r="BC283" s="8"/>
      <c r="BD283" s="9">
        <f t="shared" si="1152"/>
        <v>17</v>
      </c>
      <c r="BE283" s="30">
        <v>5</v>
      </c>
      <c r="BF283" s="7"/>
      <c r="BG283" s="7"/>
      <c r="BH283" s="8"/>
      <c r="BI283" s="9">
        <f t="shared" si="1153"/>
        <v>5</v>
      </c>
      <c r="BJ283" s="30">
        <v>1</v>
      </c>
      <c r="BK283" s="7"/>
      <c r="BL283" s="7"/>
      <c r="BM283" s="8"/>
      <c r="BN283" s="9">
        <f t="shared" si="1154"/>
        <v>1</v>
      </c>
      <c r="BO283" s="65">
        <f t="shared" si="1017"/>
        <v>268</v>
      </c>
      <c r="BP283" s="7">
        <f t="shared" si="1018"/>
        <v>0</v>
      </c>
      <c r="BQ283" s="7">
        <f t="shared" si="1019"/>
        <v>42</v>
      </c>
      <c r="BR283" s="8">
        <f t="shared" si="1020"/>
        <v>0</v>
      </c>
      <c r="BS283" s="31">
        <f t="shared" ref="BS283" si="1157">SUM(BO283:BR283)</f>
        <v>310</v>
      </c>
    </row>
    <row r="284" spans="2:71" x14ac:dyDescent="0.3">
      <c r="B284" s="269"/>
      <c r="C284" s="215"/>
      <c r="D284" s="216"/>
      <c r="E284" s="220"/>
      <c r="F284" s="123" t="s">
        <v>83</v>
      </c>
      <c r="G284" s="34">
        <v>9</v>
      </c>
      <c r="H284" s="16"/>
      <c r="I284" s="16"/>
      <c r="J284" s="17"/>
      <c r="K284" s="18">
        <f t="shared" ref="K284:K287" si="1158">SUM(G284:J284)</f>
        <v>9</v>
      </c>
      <c r="L284" s="34">
        <v>21</v>
      </c>
      <c r="M284" s="16"/>
      <c r="N284" s="16">
        <v>3</v>
      </c>
      <c r="O284" s="17"/>
      <c r="P284" s="18">
        <f t="shared" si="1144"/>
        <v>24</v>
      </c>
      <c r="Q284" s="34">
        <v>46</v>
      </c>
      <c r="R284" s="16"/>
      <c r="S284" s="16">
        <v>2</v>
      </c>
      <c r="T284" s="17"/>
      <c r="U284" s="18">
        <f t="shared" si="1145"/>
        <v>48</v>
      </c>
      <c r="V284" s="34">
        <v>25</v>
      </c>
      <c r="W284" s="16"/>
      <c r="X284" s="16">
        <v>2</v>
      </c>
      <c r="Y284" s="17"/>
      <c r="Z284" s="18">
        <f t="shared" si="1146"/>
        <v>27</v>
      </c>
      <c r="AA284" s="34">
        <v>37</v>
      </c>
      <c r="AB284" s="16"/>
      <c r="AC284" s="16">
        <v>5</v>
      </c>
      <c r="AD284" s="17"/>
      <c r="AE284" s="18">
        <f t="shared" si="1147"/>
        <v>42</v>
      </c>
      <c r="AF284" s="34">
        <v>16</v>
      </c>
      <c r="AG284" s="16"/>
      <c r="AH284" s="16">
        <v>1</v>
      </c>
      <c r="AI284" s="17"/>
      <c r="AJ284" s="18">
        <f t="shared" si="1148"/>
        <v>17</v>
      </c>
      <c r="AK284" s="34">
        <v>8</v>
      </c>
      <c r="AL284" s="16"/>
      <c r="AM284" s="16"/>
      <c r="AN284" s="17"/>
      <c r="AO284" s="18">
        <f t="shared" si="1149"/>
        <v>8</v>
      </c>
      <c r="AP284" s="34">
        <v>19</v>
      </c>
      <c r="AQ284" s="16"/>
      <c r="AR284" s="16">
        <v>2</v>
      </c>
      <c r="AS284" s="17"/>
      <c r="AT284" s="18">
        <f t="shared" si="1150"/>
        <v>21</v>
      </c>
      <c r="AU284" s="34">
        <v>33</v>
      </c>
      <c r="AV284" s="16"/>
      <c r="AW284" s="16">
        <v>1</v>
      </c>
      <c r="AX284" s="17"/>
      <c r="AY284" s="18">
        <f t="shared" si="1151"/>
        <v>34</v>
      </c>
      <c r="AZ284" s="34">
        <v>27</v>
      </c>
      <c r="BA284" s="16"/>
      <c r="BB284" s="16">
        <v>4</v>
      </c>
      <c r="BC284" s="17"/>
      <c r="BD284" s="18">
        <f t="shared" si="1152"/>
        <v>31</v>
      </c>
      <c r="BE284" s="34">
        <v>9</v>
      </c>
      <c r="BF284" s="16"/>
      <c r="BG284" s="16"/>
      <c r="BH284" s="17"/>
      <c r="BI284" s="18">
        <f t="shared" si="1153"/>
        <v>9</v>
      </c>
      <c r="BJ284" s="34">
        <v>10</v>
      </c>
      <c r="BK284" s="16"/>
      <c r="BL284" s="16">
        <v>1</v>
      </c>
      <c r="BM284" s="17"/>
      <c r="BN284" s="18">
        <f t="shared" si="1154"/>
        <v>11</v>
      </c>
      <c r="BO284" s="70">
        <f t="shared" si="1017"/>
        <v>260</v>
      </c>
      <c r="BP284" s="16">
        <f t="shared" si="1018"/>
        <v>0</v>
      </c>
      <c r="BQ284" s="16">
        <f t="shared" si="1019"/>
        <v>21</v>
      </c>
      <c r="BR284" s="17">
        <f t="shared" si="1020"/>
        <v>0</v>
      </c>
      <c r="BS284" s="35">
        <f t="shared" ref="BS284:BS287" si="1159">SUM(BO284:BR284)</f>
        <v>281</v>
      </c>
    </row>
    <row r="285" spans="2:71" x14ac:dyDescent="0.3">
      <c r="B285" s="269"/>
      <c r="C285" s="215"/>
      <c r="D285" s="216"/>
      <c r="E285" s="220"/>
      <c r="F285" s="123" t="s">
        <v>84</v>
      </c>
      <c r="G285" s="34"/>
      <c r="H285" s="16"/>
      <c r="I285" s="16"/>
      <c r="J285" s="17"/>
      <c r="K285" s="18">
        <f t="shared" si="1158"/>
        <v>0</v>
      </c>
      <c r="L285" s="34">
        <v>1</v>
      </c>
      <c r="M285" s="16"/>
      <c r="N285" s="16"/>
      <c r="O285" s="17"/>
      <c r="P285" s="18">
        <f t="shared" si="1144"/>
        <v>1</v>
      </c>
      <c r="Q285" s="34">
        <v>3</v>
      </c>
      <c r="R285" s="16"/>
      <c r="S285" s="16"/>
      <c r="T285" s="17"/>
      <c r="U285" s="18">
        <f t="shared" si="1145"/>
        <v>3</v>
      </c>
      <c r="V285" s="34"/>
      <c r="W285" s="16"/>
      <c r="X285" s="16"/>
      <c r="Y285" s="17"/>
      <c r="Z285" s="18">
        <f t="shared" si="1146"/>
        <v>0</v>
      </c>
      <c r="AA285" s="34"/>
      <c r="AB285" s="16"/>
      <c r="AC285" s="16"/>
      <c r="AD285" s="17"/>
      <c r="AE285" s="18">
        <f t="shared" si="1147"/>
        <v>0</v>
      </c>
      <c r="AF285" s="34"/>
      <c r="AG285" s="16"/>
      <c r="AH285" s="16"/>
      <c r="AI285" s="17"/>
      <c r="AJ285" s="18">
        <f t="shared" si="1148"/>
        <v>0</v>
      </c>
      <c r="AK285" s="34"/>
      <c r="AL285" s="16"/>
      <c r="AM285" s="16"/>
      <c r="AN285" s="17"/>
      <c r="AO285" s="18">
        <f t="shared" si="1149"/>
        <v>0</v>
      </c>
      <c r="AP285" s="34"/>
      <c r="AQ285" s="16"/>
      <c r="AR285" s="16"/>
      <c r="AS285" s="17"/>
      <c r="AT285" s="18">
        <f t="shared" si="1150"/>
        <v>0</v>
      </c>
      <c r="AU285" s="34"/>
      <c r="AV285" s="16"/>
      <c r="AW285" s="16"/>
      <c r="AX285" s="17"/>
      <c r="AY285" s="18">
        <f t="shared" si="1151"/>
        <v>0</v>
      </c>
      <c r="AZ285" s="34"/>
      <c r="BA285" s="16"/>
      <c r="BB285" s="16"/>
      <c r="BC285" s="17"/>
      <c r="BD285" s="18">
        <f t="shared" si="1152"/>
        <v>0</v>
      </c>
      <c r="BE285" s="34"/>
      <c r="BF285" s="16"/>
      <c r="BG285" s="16"/>
      <c r="BH285" s="17"/>
      <c r="BI285" s="18">
        <f t="shared" si="1153"/>
        <v>0</v>
      </c>
      <c r="BJ285" s="34"/>
      <c r="BK285" s="16"/>
      <c r="BL285" s="16"/>
      <c r="BM285" s="17"/>
      <c r="BN285" s="18">
        <f t="shared" si="1154"/>
        <v>0</v>
      </c>
      <c r="BO285" s="70">
        <f t="shared" si="1017"/>
        <v>4</v>
      </c>
      <c r="BP285" s="16">
        <f t="shared" si="1018"/>
        <v>0</v>
      </c>
      <c r="BQ285" s="16">
        <f t="shared" si="1019"/>
        <v>0</v>
      </c>
      <c r="BR285" s="17">
        <f t="shared" si="1020"/>
        <v>0</v>
      </c>
      <c r="BS285" s="35">
        <f t="shared" si="1159"/>
        <v>4</v>
      </c>
    </row>
    <row r="286" spans="2:71" x14ac:dyDescent="0.3">
      <c r="B286" s="269"/>
      <c r="C286" s="215"/>
      <c r="D286" s="216"/>
      <c r="E286" s="220"/>
      <c r="F286" s="123" t="s">
        <v>85</v>
      </c>
      <c r="G286" s="34">
        <v>1</v>
      </c>
      <c r="H286" s="16"/>
      <c r="I286" s="16"/>
      <c r="J286" s="17"/>
      <c r="K286" s="18">
        <f t="shared" si="1158"/>
        <v>1</v>
      </c>
      <c r="L286" s="34">
        <v>1</v>
      </c>
      <c r="M286" s="16"/>
      <c r="N286" s="16"/>
      <c r="O286" s="17"/>
      <c r="P286" s="18">
        <f t="shared" si="1144"/>
        <v>1</v>
      </c>
      <c r="Q286" s="34">
        <v>2</v>
      </c>
      <c r="R286" s="16"/>
      <c r="S286" s="16"/>
      <c r="T286" s="17"/>
      <c r="U286" s="18">
        <f t="shared" si="1145"/>
        <v>2</v>
      </c>
      <c r="V286" s="34"/>
      <c r="W286" s="16"/>
      <c r="X286" s="16"/>
      <c r="Y286" s="17"/>
      <c r="Z286" s="18">
        <f t="shared" si="1146"/>
        <v>0</v>
      </c>
      <c r="AA286" s="34"/>
      <c r="AB286" s="16"/>
      <c r="AC286" s="16"/>
      <c r="AD286" s="17"/>
      <c r="AE286" s="18">
        <f t="shared" si="1147"/>
        <v>0</v>
      </c>
      <c r="AF286" s="34"/>
      <c r="AG286" s="16"/>
      <c r="AH286" s="16"/>
      <c r="AI286" s="17"/>
      <c r="AJ286" s="18">
        <f t="shared" si="1148"/>
        <v>0</v>
      </c>
      <c r="AK286" s="34"/>
      <c r="AL286" s="16"/>
      <c r="AM286" s="16"/>
      <c r="AN286" s="17"/>
      <c r="AO286" s="18">
        <f t="shared" si="1149"/>
        <v>0</v>
      </c>
      <c r="AP286" s="34"/>
      <c r="AQ286" s="16"/>
      <c r="AR286" s="16"/>
      <c r="AS286" s="17"/>
      <c r="AT286" s="18">
        <f t="shared" si="1150"/>
        <v>0</v>
      </c>
      <c r="AU286" s="34"/>
      <c r="AV286" s="16"/>
      <c r="AW286" s="16"/>
      <c r="AX286" s="17"/>
      <c r="AY286" s="18">
        <f t="shared" si="1151"/>
        <v>0</v>
      </c>
      <c r="AZ286" s="34"/>
      <c r="BA286" s="16"/>
      <c r="BB286" s="16"/>
      <c r="BC286" s="17"/>
      <c r="BD286" s="18">
        <f t="shared" si="1152"/>
        <v>0</v>
      </c>
      <c r="BE286" s="34"/>
      <c r="BF286" s="16"/>
      <c r="BG286" s="16"/>
      <c r="BH286" s="17"/>
      <c r="BI286" s="18">
        <f t="shared" si="1153"/>
        <v>0</v>
      </c>
      <c r="BJ286" s="34"/>
      <c r="BK286" s="16"/>
      <c r="BL286" s="16"/>
      <c r="BM286" s="17"/>
      <c r="BN286" s="18">
        <f t="shared" si="1154"/>
        <v>0</v>
      </c>
      <c r="BO286" s="70">
        <f t="shared" si="1017"/>
        <v>4</v>
      </c>
      <c r="BP286" s="16">
        <f t="shared" si="1018"/>
        <v>0</v>
      </c>
      <c r="BQ286" s="16">
        <f t="shared" si="1019"/>
        <v>0</v>
      </c>
      <c r="BR286" s="17">
        <f t="shared" si="1020"/>
        <v>0</v>
      </c>
      <c r="BS286" s="35">
        <f t="shared" si="1159"/>
        <v>4</v>
      </c>
    </row>
    <row r="287" spans="2:71" x14ac:dyDescent="0.3">
      <c r="B287" s="269"/>
      <c r="C287" s="215"/>
      <c r="D287" s="216"/>
      <c r="E287" s="220"/>
      <c r="F287" s="123" t="s">
        <v>354</v>
      </c>
      <c r="G287" s="34"/>
      <c r="H287" s="16"/>
      <c r="I287" s="16"/>
      <c r="J287" s="17"/>
      <c r="K287" s="18">
        <f t="shared" si="1158"/>
        <v>0</v>
      </c>
      <c r="L287" s="34"/>
      <c r="M287" s="16"/>
      <c r="N287" s="16"/>
      <c r="O287" s="17"/>
      <c r="P287" s="18">
        <f t="shared" ref="P287" si="1160">SUM(L287:O287)</f>
        <v>0</v>
      </c>
      <c r="Q287" s="34"/>
      <c r="R287" s="16"/>
      <c r="S287" s="16"/>
      <c r="T287" s="17"/>
      <c r="U287" s="18">
        <f t="shared" ref="U287" si="1161">SUM(Q287:T287)</f>
        <v>0</v>
      </c>
      <c r="V287" s="34"/>
      <c r="W287" s="16"/>
      <c r="X287" s="16"/>
      <c r="Y287" s="17"/>
      <c r="Z287" s="18">
        <f t="shared" ref="Z287" si="1162">SUM(V287:Y287)</f>
        <v>0</v>
      </c>
      <c r="AA287" s="34"/>
      <c r="AB287" s="16"/>
      <c r="AC287" s="16"/>
      <c r="AD287" s="17"/>
      <c r="AE287" s="18">
        <f t="shared" ref="AE287" si="1163">SUM(AA287:AD287)</f>
        <v>0</v>
      </c>
      <c r="AF287" s="34">
        <v>40</v>
      </c>
      <c r="AG287" s="16"/>
      <c r="AH287" s="16"/>
      <c r="AI287" s="17"/>
      <c r="AJ287" s="18">
        <f t="shared" ref="AJ287" si="1164">SUM(AF287:AI287)</f>
        <v>40</v>
      </c>
      <c r="AK287" s="34"/>
      <c r="AL287" s="16"/>
      <c r="AM287" s="16"/>
      <c r="AN287" s="17"/>
      <c r="AO287" s="18">
        <f t="shared" ref="AO287" si="1165">SUM(AK287:AN287)</f>
        <v>0</v>
      </c>
      <c r="AP287" s="34"/>
      <c r="AQ287" s="16"/>
      <c r="AR287" s="16"/>
      <c r="AS287" s="17"/>
      <c r="AT287" s="18">
        <f t="shared" ref="AT287" si="1166">SUM(AP287:AS287)</f>
        <v>0</v>
      </c>
      <c r="AU287" s="34"/>
      <c r="AV287" s="16"/>
      <c r="AW287" s="16"/>
      <c r="AX287" s="17"/>
      <c r="AY287" s="18">
        <f t="shared" ref="AY287" si="1167">SUM(AU287:AX287)</f>
        <v>0</v>
      </c>
      <c r="AZ287" s="34"/>
      <c r="BA287" s="16"/>
      <c r="BB287" s="16"/>
      <c r="BC287" s="17"/>
      <c r="BD287" s="18">
        <f t="shared" ref="BD287" si="1168">SUM(AZ287:BC287)</f>
        <v>0</v>
      </c>
      <c r="BE287" s="34"/>
      <c r="BF287" s="16"/>
      <c r="BG287" s="16"/>
      <c r="BH287" s="17"/>
      <c r="BI287" s="18">
        <f t="shared" ref="BI287" si="1169">SUM(BE287:BH287)</f>
        <v>0</v>
      </c>
      <c r="BJ287" s="34"/>
      <c r="BK287" s="16"/>
      <c r="BL287" s="16"/>
      <c r="BM287" s="17"/>
      <c r="BN287" s="18">
        <f t="shared" ref="BN287" si="1170">SUM(BJ287:BM287)</f>
        <v>0</v>
      </c>
      <c r="BO287" s="70">
        <f t="shared" si="1017"/>
        <v>40</v>
      </c>
      <c r="BP287" s="16">
        <f t="shared" si="1018"/>
        <v>0</v>
      </c>
      <c r="BQ287" s="16">
        <f t="shared" si="1019"/>
        <v>0</v>
      </c>
      <c r="BR287" s="17">
        <f t="shared" si="1020"/>
        <v>0</v>
      </c>
      <c r="BS287" s="35">
        <f t="shared" si="1159"/>
        <v>40</v>
      </c>
    </row>
    <row r="288" spans="2:71" x14ac:dyDescent="0.3">
      <c r="B288" s="269"/>
      <c r="C288" s="215"/>
      <c r="D288" s="216"/>
      <c r="E288" s="219" t="s">
        <v>86</v>
      </c>
      <c r="F288" s="120" t="s">
        <v>212</v>
      </c>
      <c r="G288" s="30"/>
      <c r="H288" s="7"/>
      <c r="I288" s="7"/>
      <c r="J288" s="8"/>
      <c r="K288" s="9">
        <f t="shared" si="1015"/>
        <v>0</v>
      </c>
      <c r="L288" s="30">
        <v>87</v>
      </c>
      <c r="M288" s="7"/>
      <c r="N288" s="7">
        <v>84</v>
      </c>
      <c r="O288" s="8"/>
      <c r="P288" s="9">
        <f t="shared" si="1144"/>
        <v>171</v>
      </c>
      <c r="Q288" s="30">
        <v>438</v>
      </c>
      <c r="R288" s="7"/>
      <c r="S288" s="7">
        <v>384</v>
      </c>
      <c r="T288" s="8"/>
      <c r="U288" s="9">
        <f t="shared" si="1145"/>
        <v>822</v>
      </c>
      <c r="V288" s="30"/>
      <c r="W288" s="7"/>
      <c r="X288" s="7"/>
      <c r="Y288" s="8"/>
      <c r="Z288" s="9">
        <f t="shared" si="1146"/>
        <v>0</v>
      </c>
      <c r="AA288" s="30"/>
      <c r="AB288" s="7"/>
      <c r="AC288" s="7"/>
      <c r="AD288" s="8"/>
      <c r="AE288" s="9">
        <f t="shared" si="1147"/>
        <v>0</v>
      </c>
      <c r="AF288" s="30">
        <v>19</v>
      </c>
      <c r="AG288" s="7"/>
      <c r="AH288" s="7">
        <v>15</v>
      </c>
      <c r="AI288" s="8"/>
      <c r="AJ288" s="9">
        <f t="shared" si="1148"/>
        <v>34</v>
      </c>
      <c r="AK288" s="30">
        <v>442</v>
      </c>
      <c r="AL288" s="7"/>
      <c r="AM288" s="7">
        <v>362</v>
      </c>
      <c r="AN288" s="8"/>
      <c r="AO288" s="9">
        <f t="shared" si="1149"/>
        <v>804</v>
      </c>
      <c r="AP288" s="30">
        <v>65</v>
      </c>
      <c r="AQ288" s="7"/>
      <c r="AR288" s="7">
        <v>51</v>
      </c>
      <c r="AS288" s="8"/>
      <c r="AT288" s="9">
        <f t="shared" si="1150"/>
        <v>116</v>
      </c>
      <c r="AU288" s="30"/>
      <c r="AV288" s="7"/>
      <c r="AW288" s="7"/>
      <c r="AX288" s="8"/>
      <c r="AY288" s="9">
        <f t="shared" si="1151"/>
        <v>0</v>
      </c>
      <c r="AZ288" s="30"/>
      <c r="BA288" s="7"/>
      <c r="BB288" s="7"/>
      <c r="BC288" s="8"/>
      <c r="BD288" s="9">
        <f t="shared" si="1152"/>
        <v>0</v>
      </c>
      <c r="BE288" s="30"/>
      <c r="BF288" s="7"/>
      <c r="BG288" s="7"/>
      <c r="BH288" s="8"/>
      <c r="BI288" s="9">
        <f t="shared" si="1153"/>
        <v>0</v>
      </c>
      <c r="BJ288" s="30">
        <v>96</v>
      </c>
      <c r="BK288" s="7"/>
      <c r="BL288" s="7">
        <v>65</v>
      </c>
      <c r="BM288" s="8"/>
      <c r="BN288" s="9">
        <f t="shared" si="1154"/>
        <v>161</v>
      </c>
      <c r="BO288" s="65">
        <f t="shared" si="1017"/>
        <v>1147</v>
      </c>
      <c r="BP288" s="7">
        <f t="shared" si="1018"/>
        <v>0</v>
      </c>
      <c r="BQ288" s="7">
        <f t="shared" si="1019"/>
        <v>961</v>
      </c>
      <c r="BR288" s="8">
        <f t="shared" si="1020"/>
        <v>0</v>
      </c>
      <c r="BS288" s="31">
        <f t="shared" si="1016"/>
        <v>2108</v>
      </c>
    </row>
    <row r="289" spans="2:71" x14ac:dyDescent="0.3">
      <c r="B289" s="269"/>
      <c r="C289" s="215"/>
      <c r="D289" s="216"/>
      <c r="E289" s="235"/>
      <c r="F289" s="121" t="s">
        <v>213</v>
      </c>
      <c r="G289" s="32"/>
      <c r="H289" s="13"/>
      <c r="I289" s="13"/>
      <c r="J289" s="14"/>
      <c r="K289" s="15">
        <f t="shared" si="1015"/>
        <v>0</v>
      </c>
      <c r="L289" s="32">
        <v>568</v>
      </c>
      <c r="M289" s="13"/>
      <c r="N289" s="13">
        <v>512</v>
      </c>
      <c r="O289" s="14"/>
      <c r="P289" s="15">
        <f t="shared" si="1144"/>
        <v>1080</v>
      </c>
      <c r="Q289" s="32">
        <v>2336</v>
      </c>
      <c r="R289" s="13"/>
      <c r="S289" s="13">
        <v>1878</v>
      </c>
      <c r="T289" s="14"/>
      <c r="U289" s="15">
        <f t="shared" si="1145"/>
        <v>4214</v>
      </c>
      <c r="V289" s="32"/>
      <c r="W289" s="13"/>
      <c r="X289" s="13"/>
      <c r="Y289" s="14"/>
      <c r="Z289" s="15">
        <f t="shared" si="1146"/>
        <v>0</v>
      </c>
      <c r="AA289" s="32"/>
      <c r="AB289" s="13"/>
      <c r="AC289" s="13"/>
      <c r="AD289" s="14"/>
      <c r="AE289" s="15">
        <f t="shared" si="1147"/>
        <v>0</v>
      </c>
      <c r="AF289" s="32">
        <v>50</v>
      </c>
      <c r="AG289" s="13"/>
      <c r="AH289" s="13">
        <v>37</v>
      </c>
      <c r="AI289" s="14"/>
      <c r="AJ289" s="15">
        <f t="shared" si="1148"/>
        <v>87</v>
      </c>
      <c r="AK289" s="32">
        <v>2129</v>
      </c>
      <c r="AL289" s="13"/>
      <c r="AM289" s="13">
        <v>1686</v>
      </c>
      <c r="AN289" s="14"/>
      <c r="AO289" s="15">
        <f t="shared" si="1149"/>
        <v>3815</v>
      </c>
      <c r="AP289" s="32">
        <v>583</v>
      </c>
      <c r="AQ289" s="13"/>
      <c r="AR289" s="13">
        <v>485</v>
      </c>
      <c r="AS289" s="14"/>
      <c r="AT289" s="15">
        <f t="shared" si="1150"/>
        <v>1068</v>
      </c>
      <c r="AU289" s="32"/>
      <c r="AV289" s="13"/>
      <c r="AW289" s="13"/>
      <c r="AX289" s="14"/>
      <c r="AY289" s="15">
        <f t="shared" si="1151"/>
        <v>0</v>
      </c>
      <c r="AZ289" s="32"/>
      <c r="BA289" s="13"/>
      <c r="BB289" s="13"/>
      <c r="BC289" s="14"/>
      <c r="BD289" s="15">
        <f t="shared" si="1152"/>
        <v>0</v>
      </c>
      <c r="BE289" s="32"/>
      <c r="BF289" s="13"/>
      <c r="BG289" s="13"/>
      <c r="BH289" s="14"/>
      <c r="BI289" s="15">
        <f t="shared" si="1153"/>
        <v>0</v>
      </c>
      <c r="BJ289" s="32">
        <v>974</v>
      </c>
      <c r="BK289" s="13"/>
      <c r="BL289" s="13">
        <v>748</v>
      </c>
      <c r="BM289" s="14"/>
      <c r="BN289" s="15">
        <f t="shared" si="1154"/>
        <v>1722</v>
      </c>
      <c r="BO289" s="66">
        <f t="shared" si="1017"/>
        <v>6640</v>
      </c>
      <c r="BP289" s="13">
        <f t="shared" si="1018"/>
        <v>0</v>
      </c>
      <c r="BQ289" s="13">
        <f t="shared" si="1019"/>
        <v>5346</v>
      </c>
      <c r="BR289" s="14">
        <f t="shared" si="1020"/>
        <v>0</v>
      </c>
      <c r="BS289" s="33">
        <f t="shared" si="1016"/>
        <v>11986</v>
      </c>
    </row>
    <row r="290" spans="2:71" x14ac:dyDescent="0.3">
      <c r="B290" s="269"/>
      <c r="C290" s="215"/>
      <c r="D290" s="216"/>
      <c r="E290" s="235"/>
      <c r="F290" s="121" t="s">
        <v>215</v>
      </c>
      <c r="G290" s="32">
        <v>378</v>
      </c>
      <c r="H290" s="13"/>
      <c r="I290" s="13">
        <v>308</v>
      </c>
      <c r="J290" s="14"/>
      <c r="K290" s="15">
        <f t="shared" si="1015"/>
        <v>686</v>
      </c>
      <c r="L290" s="32"/>
      <c r="M290" s="13"/>
      <c r="N290" s="13"/>
      <c r="O290" s="14"/>
      <c r="P290" s="15">
        <f t="shared" si="1144"/>
        <v>0</v>
      </c>
      <c r="Q290" s="32"/>
      <c r="R290" s="13"/>
      <c r="S290" s="13"/>
      <c r="T290" s="14"/>
      <c r="U290" s="15">
        <f t="shared" si="1145"/>
        <v>0</v>
      </c>
      <c r="V290" s="32"/>
      <c r="W290" s="13"/>
      <c r="X290" s="13"/>
      <c r="Y290" s="14"/>
      <c r="Z290" s="15">
        <f t="shared" si="1146"/>
        <v>0</v>
      </c>
      <c r="AA290" s="32"/>
      <c r="AB290" s="13"/>
      <c r="AC290" s="13"/>
      <c r="AD290" s="14"/>
      <c r="AE290" s="15">
        <f t="shared" si="1147"/>
        <v>0</v>
      </c>
      <c r="AF290" s="32"/>
      <c r="AG290" s="13"/>
      <c r="AH290" s="13"/>
      <c r="AI290" s="14"/>
      <c r="AJ290" s="15">
        <f t="shared" si="1148"/>
        <v>0</v>
      </c>
      <c r="AK290" s="32"/>
      <c r="AL290" s="13"/>
      <c r="AM290" s="13"/>
      <c r="AN290" s="14"/>
      <c r="AO290" s="15">
        <f t="shared" si="1149"/>
        <v>0</v>
      </c>
      <c r="AP290" s="32"/>
      <c r="AQ290" s="13"/>
      <c r="AR290" s="13"/>
      <c r="AS290" s="14"/>
      <c r="AT290" s="15">
        <f t="shared" si="1150"/>
        <v>0</v>
      </c>
      <c r="AU290" s="32"/>
      <c r="AV290" s="13"/>
      <c r="AW290" s="13"/>
      <c r="AX290" s="14"/>
      <c r="AY290" s="15">
        <f t="shared" si="1151"/>
        <v>0</v>
      </c>
      <c r="AZ290" s="32"/>
      <c r="BA290" s="13"/>
      <c r="BB290" s="13"/>
      <c r="BC290" s="14"/>
      <c r="BD290" s="15">
        <f t="shared" si="1152"/>
        <v>0</v>
      </c>
      <c r="BE290" s="32"/>
      <c r="BF290" s="13"/>
      <c r="BG290" s="13"/>
      <c r="BH290" s="14"/>
      <c r="BI290" s="15">
        <f t="shared" si="1153"/>
        <v>0</v>
      </c>
      <c r="BJ290" s="32"/>
      <c r="BK290" s="13"/>
      <c r="BL290" s="13"/>
      <c r="BM290" s="14"/>
      <c r="BN290" s="15">
        <f t="shared" si="1154"/>
        <v>0</v>
      </c>
      <c r="BO290" s="66">
        <f t="shared" si="1017"/>
        <v>378</v>
      </c>
      <c r="BP290" s="13">
        <f t="shared" si="1018"/>
        <v>0</v>
      </c>
      <c r="BQ290" s="13">
        <f t="shared" si="1019"/>
        <v>308</v>
      </c>
      <c r="BR290" s="14">
        <f t="shared" si="1020"/>
        <v>0</v>
      </c>
      <c r="BS290" s="33">
        <f t="shared" si="1016"/>
        <v>686</v>
      </c>
    </row>
    <row r="291" spans="2:71" x14ac:dyDescent="0.3">
      <c r="B291" s="269"/>
      <c r="C291" s="215"/>
      <c r="D291" s="216"/>
      <c r="E291" s="235"/>
      <c r="F291" s="121" t="s">
        <v>214</v>
      </c>
      <c r="G291" s="32">
        <v>103</v>
      </c>
      <c r="H291" s="13"/>
      <c r="I291" s="13">
        <v>64</v>
      </c>
      <c r="J291" s="14"/>
      <c r="K291" s="15">
        <f t="shared" ref="K291" si="1171">SUM(G291:J291)</f>
        <v>167</v>
      </c>
      <c r="L291" s="32"/>
      <c r="M291" s="13"/>
      <c r="N291" s="13"/>
      <c r="O291" s="14"/>
      <c r="P291" s="15">
        <f t="shared" si="1144"/>
        <v>0</v>
      </c>
      <c r="Q291" s="32"/>
      <c r="R291" s="13"/>
      <c r="S291" s="13"/>
      <c r="T291" s="14"/>
      <c r="U291" s="15">
        <f t="shared" si="1145"/>
        <v>0</v>
      </c>
      <c r="V291" s="32"/>
      <c r="W291" s="13"/>
      <c r="X291" s="13"/>
      <c r="Y291" s="14"/>
      <c r="Z291" s="15">
        <f t="shared" si="1146"/>
        <v>0</v>
      </c>
      <c r="AA291" s="32"/>
      <c r="AB291" s="13"/>
      <c r="AC291" s="13"/>
      <c r="AD291" s="14"/>
      <c r="AE291" s="15">
        <f t="shared" si="1147"/>
        <v>0</v>
      </c>
      <c r="AF291" s="32"/>
      <c r="AG291" s="13"/>
      <c r="AH291" s="13"/>
      <c r="AI291" s="14"/>
      <c r="AJ291" s="15">
        <f t="shared" si="1148"/>
        <v>0</v>
      </c>
      <c r="AK291" s="32"/>
      <c r="AL291" s="13"/>
      <c r="AM291" s="13"/>
      <c r="AN291" s="14"/>
      <c r="AO291" s="15">
        <f t="shared" si="1149"/>
        <v>0</v>
      </c>
      <c r="AP291" s="32"/>
      <c r="AQ291" s="13"/>
      <c r="AR291" s="13"/>
      <c r="AS291" s="14"/>
      <c r="AT291" s="15">
        <f t="shared" si="1150"/>
        <v>0</v>
      </c>
      <c r="AU291" s="32"/>
      <c r="AV291" s="13"/>
      <c r="AW291" s="13"/>
      <c r="AX291" s="14"/>
      <c r="AY291" s="15">
        <f t="shared" si="1151"/>
        <v>0</v>
      </c>
      <c r="AZ291" s="32"/>
      <c r="BA291" s="13"/>
      <c r="BB291" s="13"/>
      <c r="BC291" s="14"/>
      <c r="BD291" s="15">
        <f t="shared" si="1152"/>
        <v>0</v>
      </c>
      <c r="BE291" s="32"/>
      <c r="BF291" s="13"/>
      <c r="BG291" s="13"/>
      <c r="BH291" s="14"/>
      <c r="BI291" s="15">
        <f t="shared" si="1153"/>
        <v>0</v>
      </c>
      <c r="BJ291" s="32"/>
      <c r="BK291" s="13"/>
      <c r="BL291" s="13"/>
      <c r="BM291" s="14"/>
      <c r="BN291" s="15">
        <f t="shared" si="1154"/>
        <v>0</v>
      </c>
      <c r="BO291" s="66">
        <f t="shared" si="1017"/>
        <v>103</v>
      </c>
      <c r="BP291" s="13">
        <f t="shared" si="1018"/>
        <v>0</v>
      </c>
      <c r="BQ291" s="13">
        <f t="shared" si="1019"/>
        <v>64</v>
      </c>
      <c r="BR291" s="14">
        <f t="shared" si="1020"/>
        <v>0</v>
      </c>
      <c r="BS291" s="33">
        <f t="shared" ref="BS291" si="1172">SUM(BO291:BR291)</f>
        <v>167</v>
      </c>
    </row>
    <row r="292" spans="2:71" x14ac:dyDescent="0.3">
      <c r="B292" s="269"/>
      <c r="C292" s="215"/>
      <c r="D292" s="216"/>
      <c r="E292" s="235"/>
      <c r="F292" s="121" t="s">
        <v>413</v>
      </c>
      <c r="G292" s="32"/>
      <c r="H292" s="13"/>
      <c r="I292" s="13"/>
      <c r="J292" s="14"/>
      <c r="K292" s="15">
        <f t="shared" ref="K292" si="1173">SUM(G292:J292)</f>
        <v>0</v>
      </c>
      <c r="L292" s="32"/>
      <c r="M292" s="13"/>
      <c r="N292" s="13"/>
      <c r="O292" s="14"/>
      <c r="P292" s="15">
        <f t="shared" si="1144"/>
        <v>0</v>
      </c>
      <c r="Q292" s="32"/>
      <c r="R292" s="13"/>
      <c r="S292" s="13"/>
      <c r="T292" s="14"/>
      <c r="U292" s="15">
        <f t="shared" si="1145"/>
        <v>0</v>
      </c>
      <c r="V292" s="32"/>
      <c r="W292" s="13"/>
      <c r="X292" s="13"/>
      <c r="Y292" s="14"/>
      <c r="Z292" s="15">
        <f t="shared" si="1146"/>
        <v>0</v>
      </c>
      <c r="AA292" s="32"/>
      <c r="AB292" s="13"/>
      <c r="AC292" s="13"/>
      <c r="AD292" s="14"/>
      <c r="AE292" s="15">
        <f t="shared" si="1147"/>
        <v>0</v>
      </c>
      <c r="AF292" s="32"/>
      <c r="AG292" s="13"/>
      <c r="AH292" s="13"/>
      <c r="AI292" s="14"/>
      <c r="AJ292" s="15">
        <f t="shared" si="1148"/>
        <v>0</v>
      </c>
      <c r="AK292" s="32"/>
      <c r="AL292" s="13"/>
      <c r="AM292" s="13"/>
      <c r="AN292" s="14"/>
      <c r="AO292" s="15">
        <f t="shared" si="1149"/>
        <v>0</v>
      </c>
      <c r="AP292" s="32"/>
      <c r="AQ292" s="13"/>
      <c r="AR292" s="13"/>
      <c r="AS292" s="14"/>
      <c r="AT292" s="15">
        <f t="shared" si="1150"/>
        <v>0</v>
      </c>
      <c r="AU292" s="32"/>
      <c r="AV292" s="13"/>
      <c r="AW292" s="13"/>
      <c r="AX292" s="14"/>
      <c r="AY292" s="15">
        <f t="shared" si="1151"/>
        <v>0</v>
      </c>
      <c r="AZ292" s="32"/>
      <c r="BA292" s="13"/>
      <c r="BB292" s="13"/>
      <c r="BC292" s="14"/>
      <c r="BD292" s="15">
        <f t="shared" si="1152"/>
        <v>0</v>
      </c>
      <c r="BE292" s="32"/>
      <c r="BF292" s="13"/>
      <c r="BG292" s="13"/>
      <c r="BH292" s="14"/>
      <c r="BI292" s="15">
        <f t="shared" si="1153"/>
        <v>0</v>
      </c>
      <c r="BJ292" s="32">
        <v>709</v>
      </c>
      <c r="BK292" s="13"/>
      <c r="BL292" s="13">
        <v>519</v>
      </c>
      <c r="BM292" s="14"/>
      <c r="BN292" s="15">
        <f t="shared" si="1154"/>
        <v>1228</v>
      </c>
      <c r="BO292" s="66">
        <f t="shared" si="1017"/>
        <v>709</v>
      </c>
      <c r="BP292" s="13">
        <f t="shared" si="1018"/>
        <v>0</v>
      </c>
      <c r="BQ292" s="13">
        <f t="shared" si="1019"/>
        <v>519</v>
      </c>
      <c r="BR292" s="14">
        <f t="shared" si="1020"/>
        <v>0</v>
      </c>
      <c r="BS292" s="33">
        <f t="shared" ref="BS292" si="1174">SUM(BO292:BR292)</f>
        <v>1228</v>
      </c>
    </row>
    <row r="293" spans="2:71" x14ac:dyDescent="0.3">
      <c r="B293" s="269"/>
      <c r="C293" s="217"/>
      <c r="D293" s="218"/>
      <c r="E293" s="238" t="s">
        <v>57</v>
      </c>
      <c r="F293" s="252"/>
      <c r="G293" s="40">
        <f>SUM(G252:G292)</f>
        <v>728</v>
      </c>
      <c r="H293" s="22">
        <f>SUM(H252:H292)</f>
        <v>0</v>
      </c>
      <c r="I293" s="22">
        <f>SUM(I252:I292)</f>
        <v>530</v>
      </c>
      <c r="J293" s="23">
        <f>SUM(J252:J292)</f>
        <v>45</v>
      </c>
      <c r="K293" s="24">
        <f t="shared" si="1015"/>
        <v>1303</v>
      </c>
      <c r="L293" s="40">
        <f>SUM(L252:L292)</f>
        <v>1502</v>
      </c>
      <c r="M293" s="22">
        <f>SUM(M252:M292)</f>
        <v>0</v>
      </c>
      <c r="N293" s="22">
        <f>SUM(N252:N292)</f>
        <v>1268</v>
      </c>
      <c r="O293" s="23">
        <f>SUM(O252:O292)</f>
        <v>60</v>
      </c>
      <c r="P293" s="24">
        <f t="shared" si="1144"/>
        <v>2830</v>
      </c>
      <c r="Q293" s="40">
        <f>SUM(Q252:Q292)</f>
        <v>4156</v>
      </c>
      <c r="R293" s="22">
        <f>SUM(R252:R292)</f>
        <v>0</v>
      </c>
      <c r="S293" s="22">
        <f>SUM(S252:S292)</f>
        <v>3172</v>
      </c>
      <c r="T293" s="23">
        <f>SUM(T252:T292)</f>
        <v>141</v>
      </c>
      <c r="U293" s="24">
        <f t="shared" si="1145"/>
        <v>7469</v>
      </c>
      <c r="V293" s="40">
        <f>SUM(V252:V292)</f>
        <v>950</v>
      </c>
      <c r="W293" s="22">
        <f>SUM(W252:W292)</f>
        <v>0</v>
      </c>
      <c r="X293" s="22">
        <f>SUM(X252:X292)</f>
        <v>581</v>
      </c>
      <c r="Y293" s="23">
        <f>SUM(Y252:Y292)</f>
        <v>76</v>
      </c>
      <c r="Z293" s="24">
        <f t="shared" si="1146"/>
        <v>1607</v>
      </c>
      <c r="AA293" s="40">
        <f>SUM(AA252:AA292)</f>
        <v>3252</v>
      </c>
      <c r="AB293" s="22">
        <f>SUM(AB252:AB292)</f>
        <v>0</v>
      </c>
      <c r="AC293" s="22">
        <f>SUM(AC252:AC292)</f>
        <v>1294</v>
      </c>
      <c r="AD293" s="23">
        <f>SUM(AD252:AD292)</f>
        <v>68</v>
      </c>
      <c r="AE293" s="24">
        <f t="shared" si="1147"/>
        <v>4614</v>
      </c>
      <c r="AF293" s="40">
        <f>SUM(AF252:AF292)</f>
        <v>411</v>
      </c>
      <c r="AG293" s="22">
        <f>SUM(AG252:AG292)</f>
        <v>0</v>
      </c>
      <c r="AH293" s="22">
        <f>SUM(AH252:AH292)</f>
        <v>199</v>
      </c>
      <c r="AI293" s="23">
        <f>SUM(AI252:AI292)</f>
        <v>72</v>
      </c>
      <c r="AJ293" s="24">
        <f t="shared" si="1148"/>
        <v>682</v>
      </c>
      <c r="AK293" s="40">
        <f>SUM(AK252:AK292)</f>
        <v>2749</v>
      </c>
      <c r="AL293" s="22">
        <f>SUM(AL252:AL292)</f>
        <v>0</v>
      </c>
      <c r="AM293" s="22">
        <f>SUM(AM252:AM292)</f>
        <v>2166</v>
      </c>
      <c r="AN293" s="23">
        <f>SUM(AN252:AN292)</f>
        <v>40</v>
      </c>
      <c r="AO293" s="24">
        <f t="shared" si="1149"/>
        <v>4955</v>
      </c>
      <c r="AP293" s="40">
        <f>SUM(AP252:AP292)</f>
        <v>841</v>
      </c>
      <c r="AQ293" s="22">
        <f>SUM(AQ252:AQ292)</f>
        <v>0</v>
      </c>
      <c r="AR293" s="22">
        <f>SUM(AR252:AR292)</f>
        <v>626</v>
      </c>
      <c r="AS293" s="23">
        <f>SUM(AS252:AS292)</f>
        <v>61</v>
      </c>
      <c r="AT293" s="24">
        <f t="shared" si="1150"/>
        <v>1528</v>
      </c>
      <c r="AU293" s="40">
        <f>SUM(AU252:AU292)</f>
        <v>1472</v>
      </c>
      <c r="AV293" s="22">
        <f>SUM(AV252:AV292)</f>
        <v>0</v>
      </c>
      <c r="AW293" s="22">
        <f>SUM(AW252:AW292)</f>
        <v>870</v>
      </c>
      <c r="AX293" s="23">
        <f>SUM(AX252:AX292)</f>
        <v>242</v>
      </c>
      <c r="AY293" s="24">
        <f t="shared" si="1151"/>
        <v>2584</v>
      </c>
      <c r="AZ293" s="40">
        <f>SUM(AZ252:AZ292)</f>
        <v>1389</v>
      </c>
      <c r="BA293" s="22">
        <f>SUM(BA252:BA292)</f>
        <v>0</v>
      </c>
      <c r="BB293" s="22">
        <f>SUM(BB252:BB292)</f>
        <v>907</v>
      </c>
      <c r="BC293" s="23">
        <f>SUM(BC252:BC292)</f>
        <v>116</v>
      </c>
      <c r="BD293" s="24">
        <f t="shared" si="1152"/>
        <v>2412</v>
      </c>
      <c r="BE293" s="40">
        <f>SUM(BE252:BE292)</f>
        <v>479</v>
      </c>
      <c r="BF293" s="22">
        <f>SUM(BF252:BF292)</f>
        <v>0</v>
      </c>
      <c r="BG293" s="22">
        <f>SUM(BG252:BG292)</f>
        <v>348</v>
      </c>
      <c r="BH293" s="23">
        <f>SUM(BH252:BH292)</f>
        <v>33</v>
      </c>
      <c r="BI293" s="24">
        <f t="shared" si="1153"/>
        <v>860</v>
      </c>
      <c r="BJ293" s="40">
        <f>SUM(BJ252:BJ292)</f>
        <v>1945</v>
      </c>
      <c r="BK293" s="22">
        <f>SUM(BK252:BK292)</f>
        <v>0</v>
      </c>
      <c r="BL293" s="22">
        <f>SUM(BL252:BL292)</f>
        <v>1415</v>
      </c>
      <c r="BM293" s="23">
        <f>SUM(BM252:BM292)</f>
        <v>33</v>
      </c>
      <c r="BN293" s="24">
        <f t="shared" si="1154"/>
        <v>3393</v>
      </c>
      <c r="BO293" s="68">
        <f>SUM(BO252:BO292)</f>
        <v>19874</v>
      </c>
      <c r="BP293" s="22">
        <f>SUM(BP252:BP292)</f>
        <v>0</v>
      </c>
      <c r="BQ293" s="22">
        <f>SUM(BQ252:BQ292)</f>
        <v>13376</v>
      </c>
      <c r="BR293" s="23">
        <f>SUM(BR252:BR292)</f>
        <v>987</v>
      </c>
      <c r="BS293" s="41">
        <f t="shared" si="1016"/>
        <v>34237</v>
      </c>
    </row>
    <row r="294" spans="2:71" s="75" customFormat="1" ht="22.5" customHeight="1" thickBot="1" x14ac:dyDescent="0.35">
      <c r="B294" s="270"/>
      <c r="C294" s="259" t="s">
        <v>22</v>
      </c>
      <c r="D294" s="259"/>
      <c r="E294" s="259"/>
      <c r="F294" s="260"/>
      <c r="G294" s="76">
        <f>SUM(G8,G102,G133,G227,G251,G293)</f>
        <v>27526</v>
      </c>
      <c r="H294" s="77">
        <f>SUM(H8,H102,H133,H227,H251,H293)</f>
        <v>1162</v>
      </c>
      <c r="I294" s="77">
        <f>SUM(I8,I102,I133,I227,I251,I293)</f>
        <v>7501</v>
      </c>
      <c r="J294" s="78">
        <f>SUM(J8,J102,J133,J227,J251,J293)</f>
        <v>45</v>
      </c>
      <c r="K294" s="79">
        <f t="shared" si="1015"/>
        <v>36234</v>
      </c>
      <c r="L294" s="76">
        <f>SUM(L8,L102,L133,L227,L251,L293)</f>
        <v>44443</v>
      </c>
      <c r="M294" s="77">
        <f>SUM(M8,M102,M133,M227,M251,M293)</f>
        <v>2799</v>
      </c>
      <c r="N294" s="77">
        <f>SUM(N8,N102,N133,N227,N251,N293)</f>
        <v>12304</v>
      </c>
      <c r="O294" s="78">
        <f>SUM(O8,O102,O133,O227,O251,O293)</f>
        <v>60</v>
      </c>
      <c r="P294" s="79">
        <f t="shared" si="1144"/>
        <v>59606</v>
      </c>
      <c r="Q294" s="76">
        <f>SUM(Q8,Q102,Q133,Q227,Q251,Q293)</f>
        <v>39269</v>
      </c>
      <c r="R294" s="77">
        <f>SUM(R8,R102,R133,R227,R251,R293)</f>
        <v>769</v>
      </c>
      <c r="S294" s="77">
        <f>SUM(S8,S102,S133,S227,S251,S293)</f>
        <v>12630</v>
      </c>
      <c r="T294" s="78">
        <f>SUM(T8,T102,T133,T227,T251,T293)</f>
        <v>141</v>
      </c>
      <c r="U294" s="79">
        <f t="shared" si="1145"/>
        <v>52809</v>
      </c>
      <c r="V294" s="76">
        <f>SUM(V8,V102,V133,V227,V251,V293)</f>
        <v>58138</v>
      </c>
      <c r="W294" s="77">
        <f>SUM(W8,W102,W133,W227,W251,W293)</f>
        <v>797</v>
      </c>
      <c r="X294" s="77">
        <f>SUM(X8,X102,X133,X227,X251,X293)</f>
        <v>11175</v>
      </c>
      <c r="Y294" s="78">
        <f>SUM(Y8,Y102,Y133,Y227,Y251,Y293)</f>
        <v>76</v>
      </c>
      <c r="Z294" s="79">
        <f t="shared" si="1146"/>
        <v>70186</v>
      </c>
      <c r="AA294" s="76">
        <f>SUM(AA8,AA102,AA133,AA227,AA251,AA293)</f>
        <v>56070</v>
      </c>
      <c r="AB294" s="77">
        <f>SUM(AB8,AB102,AB133,AB227,AB251,AB293)</f>
        <v>782</v>
      </c>
      <c r="AC294" s="77">
        <f>SUM(AC8,AC102,AC133,AC227,AC251,AC293)</f>
        <v>13530</v>
      </c>
      <c r="AD294" s="78">
        <f>SUM(AD8,AD102,AD133,AD227,AD251,AD293)</f>
        <v>68</v>
      </c>
      <c r="AE294" s="79">
        <f t="shared" si="1147"/>
        <v>70450</v>
      </c>
      <c r="AF294" s="76">
        <f>SUM(AF8,AF102,AF133,AF227,AF251,AF293)</f>
        <v>47365</v>
      </c>
      <c r="AG294" s="77">
        <f>SUM(AG8,AG102,AG133,AG227,AG251,AG293)</f>
        <v>585</v>
      </c>
      <c r="AH294" s="77">
        <f>SUM(AH8,AH102,AH133,AH227,AH251,AH293)</f>
        <v>14014</v>
      </c>
      <c r="AI294" s="78">
        <f>SUM(AI8,AI102,AI133,AI227,AI251,AI293)</f>
        <v>72</v>
      </c>
      <c r="AJ294" s="79">
        <f t="shared" si="1148"/>
        <v>62036</v>
      </c>
      <c r="AK294" s="76">
        <f>SUM(AK8,AK102,AK133,AK227,AK251,AK293)</f>
        <v>39464</v>
      </c>
      <c r="AL294" s="77">
        <f>SUM(AL8,AL102,AL133,AL227,AL251,AL293)</f>
        <v>535</v>
      </c>
      <c r="AM294" s="77">
        <f>SUM(AM8,AM102,AM133,AM227,AM251,AM293)</f>
        <v>7064</v>
      </c>
      <c r="AN294" s="78">
        <f>SUM(AN8,AN102,AN133,AN227,AN251,AN293)</f>
        <v>40</v>
      </c>
      <c r="AO294" s="79">
        <f t="shared" si="1149"/>
        <v>47103</v>
      </c>
      <c r="AP294" s="76">
        <f>SUM(AP8,AP102,AP133,AP227,AP251,AP293)</f>
        <v>36851</v>
      </c>
      <c r="AQ294" s="77">
        <f>SUM(AQ8,AQ102,AQ133,AQ227,AQ251,AQ293)</f>
        <v>910</v>
      </c>
      <c r="AR294" s="77">
        <f>SUM(AR8,AR102,AR133,AR227,AR251,AR293)</f>
        <v>9124</v>
      </c>
      <c r="AS294" s="78">
        <f>SUM(AS8,AS102,AS133,AS227,AS251,AS293)</f>
        <v>61</v>
      </c>
      <c r="AT294" s="79">
        <f t="shared" si="1150"/>
        <v>46946</v>
      </c>
      <c r="AU294" s="76">
        <f>SUM(AU8,AU102,AU133,AU227,AU251,AU293)</f>
        <v>75022</v>
      </c>
      <c r="AV294" s="77">
        <f>SUM(AV8,AV102,AV133,AV227,AV251,AV293)</f>
        <v>578</v>
      </c>
      <c r="AW294" s="77">
        <f>SUM(AW8,AW102,AW133,AW227,AW251,AW293)</f>
        <v>13453</v>
      </c>
      <c r="AX294" s="78">
        <f>SUM(AX8,AX102,AX133,AX227,AX251,AX293)</f>
        <v>242</v>
      </c>
      <c r="AY294" s="79">
        <f t="shared" si="1151"/>
        <v>89295</v>
      </c>
      <c r="AZ294" s="76">
        <f>SUM(AZ8,AZ102,AZ133,AZ227,AZ251,AZ293)</f>
        <v>86753</v>
      </c>
      <c r="BA294" s="77">
        <f>SUM(BA8,BA102,BA133,BA227,BA251,BA293)</f>
        <v>1161</v>
      </c>
      <c r="BB294" s="77">
        <f>SUM(BB8,BB102,BB133,BB227,BB251,BB293)</f>
        <v>20735</v>
      </c>
      <c r="BC294" s="78">
        <f>SUM(BC8,BC102,BC133,BC227,BC251,BC293)</f>
        <v>116</v>
      </c>
      <c r="BD294" s="79">
        <f t="shared" si="1152"/>
        <v>108765</v>
      </c>
      <c r="BE294" s="76">
        <f>SUM(BE8,BE102,BE133,BE227,BE251,BE293)</f>
        <v>22782</v>
      </c>
      <c r="BF294" s="77">
        <f>SUM(BF8,BF102,BF133,BF227,BF251,BF293)</f>
        <v>911</v>
      </c>
      <c r="BG294" s="77">
        <f>SUM(BG8,BG102,BG133,BG227,BG251,BG293)</f>
        <v>8041</v>
      </c>
      <c r="BH294" s="78">
        <f>SUM(BH8,BH102,BH133,BH227,BH251,BH293)</f>
        <v>33</v>
      </c>
      <c r="BI294" s="79">
        <f t="shared" si="1153"/>
        <v>31767</v>
      </c>
      <c r="BJ294" s="76">
        <f>SUM(BJ8,BJ102,BJ133,BJ227,BJ251,BJ293)</f>
        <v>24249</v>
      </c>
      <c r="BK294" s="77">
        <f>SUM(BK8,BK102,BK133,BK227,BK251,BK293)</f>
        <v>1192</v>
      </c>
      <c r="BL294" s="77">
        <f>SUM(BL8,BL102,BL133,BL227,BL251,BL293)</f>
        <v>9161</v>
      </c>
      <c r="BM294" s="78">
        <f>SUM(BM8,BM102,BM133,BM227,BM251,BM293)</f>
        <v>33</v>
      </c>
      <c r="BN294" s="79">
        <f t="shared" si="1154"/>
        <v>34635</v>
      </c>
      <c r="BO294" s="168">
        <f>SUM(BO8,BO102,BO133,BO227,BO251,BO293)</f>
        <v>557932</v>
      </c>
      <c r="BP294" s="77">
        <f>SUM(BP8,BP102,BP133,BP227,BP251,BP293)</f>
        <v>12181</v>
      </c>
      <c r="BQ294" s="77">
        <f>SUM(BQ8,BQ102,BQ133,BQ227,BQ251,BQ293)</f>
        <v>138732</v>
      </c>
      <c r="BR294" s="78">
        <f>SUM(BR8,BR102,BR133,BR227,BR251,BR293)</f>
        <v>987</v>
      </c>
      <c r="BS294" s="80">
        <f t="shared" si="1016"/>
        <v>709832</v>
      </c>
    </row>
    <row r="295" spans="2:71" x14ac:dyDescent="0.3">
      <c r="B295" s="263" t="s">
        <v>23</v>
      </c>
      <c r="C295" s="221" t="s">
        <v>15</v>
      </c>
      <c r="D295" s="222"/>
      <c r="E295" s="222"/>
      <c r="F295" s="134" t="s">
        <v>126</v>
      </c>
      <c r="G295" s="30">
        <v>489</v>
      </c>
      <c r="H295" s="7"/>
      <c r="I295" s="7"/>
      <c r="J295" s="8"/>
      <c r="K295" s="9">
        <f t="shared" si="1015"/>
        <v>489</v>
      </c>
      <c r="L295" s="30">
        <v>1758</v>
      </c>
      <c r="M295" s="7"/>
      <c r="N295" s="7"/>
      <c r="O295" s="8"/>
      <c r="P295" s="9">
        <f t="shared" si="1144"/>
        <v>1758</v>
      </c>
      <c r="Q295" s="30">
        <v>180</v>
      </c>
      <c r="R295" s="7"/>
      <c r="S295" s="7"/>
      <c r="T295" s="8"/>
      <c r="U295" s="9">
        <f t="shared" si="1145"/>
        <v>180</v>
      </c>
      <c r="V295" s="30"/>
      <c r="W295" s="7"/>
      <c r="X295" s="7"/>
      <c r="Y295" s="8"/>
      <c r="Z295" s="9">
        <f t="shared" si="1146"/>
        <v>0</v>
      </c>
      <c r="AA295" s="30"/>
      <c r="AB295" s="7"/>
      <c r="AC295" s="7"/>
      <c r="AD295" s="8"/>
      <c r="AE295" s="9">
        <f t="shared" si="1147"/>
        <v>0</v>
      </c>
      <c r="AF295" s="30"/>
      <c r="AG295" s="7"/>
      <c r="AH295" s="7"/>
      <c r="AI295" s="8"/>
      <c r="AJ295" s="9">
        <f t="shared" si="1148"/>
        <v>0</v>
      </c>
      <c r="AK295" s="30"/>
      <c r="AL295" s="7"/>
      <c r="AM295" s="7"/>
      <c r="AN295" s="8"/>
      <c r="AO295" s="9">
        <f t="shared" si="1149"/>
        <v>0</v>
      </c>
      <c r="AP295" s="30"/>
      <c r="AQ295" s="7"/>
      <c r="AR295" s="7"/>
      <c r="AS295" s="8"/>
      <c r="AT295" s="9">
        <f t="shared" si="1150"/>
        <v>0</v>
      </c>
      <c r="AU295" s="30"/>
      <c r="AV295" s="7"/>
      <c r="AW295" s="7"/>
      <c r="AX295" s="8"/>
      <c r="AY295" s="9">
        <f t="shared" si="1151"/>
        <v>0</v>
      </c>
      <c r="AZ295" s="30"/>
      <c r="BA295" s="7"/>
      <c r="BB295" s="7"/>
      <c r="BC295" s="8"/>
      <c r="BD295" s="9">
        <f t="shared" si="1152"/>
        <v>0</v>
      </c>
      <c r="BE295" s="30">
        <v>884</v>
      </c>
      <c r="BF295" s="7"/>
      <c r="BG295" s="7"/>
      <c r="BH295" s="8"/>
      <c r="BI295" s="9">
        <f t="shared" si="1153"/>
        <v>884</v>
      </c>
      <c r="BJ295" s="30">
        <v>610</v>
      </c>
      <c r="BK295" s="7"/>
      <c r="BL295" s="7"/>
      <c r="BM295" s="8"/>
      <c r="BN295" s="9">
        <f t="shared" si="1154"/>
        <v>610</v>
      </c>
      <c r="BO295" s="65">
        <f t="shared" ref="BO295:BR299" si="1175">SUM(G295,L295,Q295,V295,AA295,AF295,AK295,AP295,AU295,AZ295,BE295,BJ295)</f>
        <v>3921</v>
      </c>
      <c r="BP295" s="7">
        <f t="shared" si="1175"/>
        <v>0</v>
      </c>
      <c r="BQ295" s="7">
        <f t="shared" si="1175"/>
        <v>0</v>
      </c>
      <c r="BR295" s="8">
        <f t="shared" si="1175"/>
        <v>0</v>
      </c>
      <c r="BS295" s="31">
        <f t="shared" si="1016"/>
        <v>3921</v>
      </c>
    </row>
    <row r="296" spans="2:71" x14ac:dyDescent="0.3">
      <c r="B296" s="264"/>
      <c r="C296" s="223"/>
      <c r="D296" s="224"/>
      <c r="E296" s="224"/>
      <c r="F296" s="121" t="s">
        <v>131</v>
      </c>
      <c r="G296" s="34"/>
      <c r="H296" s="16"/>
      <c r="I296" s="16"/>
      <c r="J296" s="17"/>
      <c r="K296" s="18">
        <f t="shared" si="1015"/>
        <v>0</v>
      </c>
      <c r="L296" s="34"/>
      <c r="M296" s="16"/>
      <c r="N296" s="16"/>
      <c r="O296" s="17"/>
      <c r="P296" s="18">
        <f t="shared" si="1144"/>
        <v>0</v>
      </c>
      <c r="Q296" s="34"/>
      <c r="R296" s="16"/>
      <c r="S296" s="16"/>
      <c r="T296" s="17"/>
      <c r="U296" s="18">
        <f t="shared" si="1145"/>
        <v>0</v>
      </c>
      <c r="V296" s="34">
        <v>412</v>
      </c>
      <c r="W296" s="16"/>
      <c r="X296" s="16"/>
      <c r="Y296" s="17"/>
      <c r="Z296" s="18">
        <f t="shared" si="1146"/>
        <v>412</v>
      </c>
      <c r="AA296" s="34">
        <v>504</v>
      </c>
      <c r="AB296" s="16"/>
      <c r="AC296" s="16"/>
      <c r="AD296" s="17"/>
      <c r="AE296" s="18">
        <f t="shared" si="1147"/>
        <v>504</v>
      </c>
      <c r="AF296" s="34">
        <v>769</v>
      </c>
      <c r="AG296" s="16"/>
      <c r="AH296" s="16"/>
      <c r="AI296" s="17"/>
      <c r="AJ296" s="18">
        <f t="shared" si="1148"/>
        <v>769</v>
      </c>
      <c r="AK296" s="34">
        <v>342</v>
      </c>
      <c r="AL296" s="16"/>
      <c r="AM296" s="16"/>
      <c r="AN296" s="17"/>
      <c r="AO296" s="18">
        <f t="shared" si="1149"/>
        <v>342</v>
      </c>
      <c r="AP296" s="34">
        <v>328</v>
      </c>
      <c r="AQ296" s="16"/>
      <c r="AR296" s="16"/>
      <c r="AS296" s="17"/>
      <c r="AT296" s="18">
        <f t="shared" si="1150"/>
        <v>328</v>
      </c>
      <c r="AU296" s="34">
        <v>1995</v>
      </c>
      <c r="AV296" s="16"/>
      <c r="AW296" s="16"/>
      <c r="AX296" s="17"/>
      <c r="AY296" s="18">
        <f t="shared" si="1151"/>
        <v>1995</v>
      </c>
      <c r="AZ296" s="34">
        <v>1099</v>
      </c>
      <c r="BA296" s="16"/>
      <c r="BB296" s="16"/>
      <c r="BC296" s="17"/>
      <c r="BD296" s="18">
        <f t="shared" si="1152"/>
        <v>1099</v>
      </c>
      <c r="BE296" s="34"/>
      <c r="BF296" s="16"/>
      <c r="BG296" s="16"/>
      <c r="BH296" s="17"/>
      <c r="BI296" s="18">
        <f t="shared" si="1153"/>
        <v>0</v>
      </c>
      <c r="BJ296" s="34"/>
      <c r="BK296" s="16"/>
      <c r="BL296" s="16"/>
      <c r="BM296" s="17"/>
      <c r="BN296" s="18">
        <f t="shared" si="1154"/>
        <v>0</v>
      </c>
      <c r="BO296" s="66">
        <f t="shared" si="1175"/>
        <v>5449</v>
      </c>
      <c r="BP296" s="13">
        <f t="shared" si="1175"/>
        <v>0</v>
      </c>
      <c r="BQ296" s="13">
        <f t="shared" si="1175"/>
        <v>0</v>
      </c>
      <c r="BR296" s="14">
        <f t="shared" si="1175"/>
        <v>0</v>
      </c>
      <c r="BS296" s="35">
        <f t="shared" si="1016"/>
        <v>5449</v>
      </c>
    </row>
    <row r="297" spans="2:71" x14ac:dyDescent="0.3">
      <c r="B297" s="264"/>
      <c r="C297" s="223"/>
      <c r="D297" s="224"/>
      <c r="E297" s="224"/>
      <c r="F297" s="121" t="s">
        <v>370</v>
      </c>
      <c r="G297" s="34"/>
      <c r="H297" s="16"/>
      <c r="I297" s="16"/>
      <c r="J297" s="17"/>
      <c r="K297" s="18">
        <f t="shared" ref="K297" si="1176">SUM(G297:J297)</f>
        <v>0</v>
      </c>
      <c r="L297" s="34"/>
      <c r="M297" s="16"/>
      <c r="N297" s="16"/>
      <c r="O297" s="17"/>
      <c r="P297" s="18">
        <f t="shared" ref="P297" si="1177">SUM(L297:O297)</f>
        <v>0</v>
      </c>
      <c r="Q297" s="34"/>
      <c r="R297" s="16"/>
      <c r="S297" s="16"/>
      <c r="T297" s="17"/>
      <c r="U297" s="18">
        <f t="shared" ref="U297" si="1178">SUM(Q297:T297)</f>
        <v>0</v>
      </c>
      <c r="V297" s="34"/>
      <c r="W297" s="16"/>
      <c r="X297" s="16"/>
      <c r="Y297" s="17"/>
      <c r="Z297" s="18">
        <f t="shared" ref="Z297" si="1179">SUM(V297:Y297)</f>
        <v>0</v>
      </c>
      <c r="AA297" s="34"/>
      <c r="AB297" s="16"/>
      <c r="AC297" s="16"/>
      <c r="AD297" s="17"/>
      <c r="AE297" s="18">
        <f t="shared" ref="AE297" si="1180">SUM(AA297:AD297)</f>
        <v>0</v>
      </c>
      <c r="AF297" s="34"/>
      <c r="AG297" s="16"/>
      <c r="AH297" s="16"/>
      <c r="AI297" s="17"/>
      <c r="AJ297" s="18">
        <f t="shared" ref="AJ297" si="1181">SUM(AF297:AI297)</f>
        <v>0</v>
      </c>
      <c r="AK297" s="34"/>
      <c r="AL297" s="16"/>
      <c r="AM297" s="16"/>
      <c r="AN297" s="17"/>
      <c r="AO297" s="18">
        <f t="shared" ref="AO297" si="1182">SUM(AK297:AN297)</f>
        <v>0</v>
      </c>
      <c r="AP297" s="34">
        <v>48</v>
      </c>
      <c r="AQ297" s="16"/>
      <c r="AR297" s="16"/>
      <c r="AS297" s="17"/>
      <c r="AT297" s="18">
        <f t="shared" ref="AT297" si="1183">SUM(AP297:AS297)</f>
        <v>48</v>
      </c>
      <c r="AU297" s="34"/>
      <c r="AV297" s="16"/>
      <c r="AW297" s="16"/>
      <c r="AX297" s="17"/>
      <c r="AY297" s="18">
        <f t="shared" ref="AY297" si="1184">SUM(AU297:AX297)</f>
        <v>0</v>
      </c>
      <c r="AZ297" s="34">
        <v>17</v>
      </c>
      <c r="BA297" s="16"/>
      <c r="BB297" s="16"/>
      <c r="BC297" s="17"/>
      <c r="BD297" s="18">
        <f t="shared" ref="BD297" si="1185">SUM(AZ297:BC297)</f>
        <v>17</v>
      </c>
      <c r="BE297" s="34"/>
      <c r="BF297" s="16"/>
      <c r="BG297" s="16"/>
      <c r="BH297" s="17"/>
      <c r="BI297" s="18">
        <f t="shared" ref="BI297" si="1186">SUM(BE297:BH297)</f>
        <v>0</v>
      </c>
      <c r="BJ297" s="34"/>
      <c r="BK297" s="16"/>
      <c r="BL297" s="16"/>
      <c r="BM297" s="17"/>
      <c r="BN297" s="18">
        <f t="shared" ref="BN297" si="1187">SUM(BJ297:BM297)</f>
        <v>0</v>
      </c>
      <c r="BO297" s="66">
        <f t="shared" si="1175"/>
        <v>65</v>
      </c>
      <c r="BP297" s="13">
        <f t="shared" si="1175"/>
        <v>0</v>
      </c>
      <c r="BQ297" s="13">
        <f t="shared" si="1175"/>
        <v>0</v>
      </c>
      <c r="BR297" s="14">
        <f t="shared" si="1175"/>
        <v>0</v>
      </c>
      <c r="BS297" s="35">
        <f t="shared" ref="BS297" si="1188">SUM(BO297:BR297)</f>
        <v>65</v>
      </c>
    </row>
    <row r="298" spans="2:71" x14ac:dyDescent="0.3">
      <c r="B298" s="264"/>
      <c r="C298" s="223"/>
      <c r="D298" s="224"/>
      <c r="E298" s="224"/>
      <c r="F298" s="123" t="s">
        <v>184</v>
      </c>
      <c r="G298" s="34"/>
      <c r="H298" s="16"/>
      <c r="I298" s="16"/>
      <c r="J298" s="17"/>
      <c r="K298" s="18">
        <f t="shared" ref="K298" si="1189">SUM(G298:J298)</f>
        <v>0</v>
      </c>
      <c r="L298" s="34"/>
      <c r="M298" s="16"/>
      <c r="N298" s="16"/>
      <c r="O298" s="17"/>
      <c r="P298" s="18">
        <f t="shared" si="1144"/>
        <v>0</v>
      </c>
      <c r="Q298" s="34"/>
      <c r="R298" s="16"/>
      <c r="S298" s="16"/>
      <c r="T298" s="17"/>
      <c r="U298" s="18">
        <f t="shared" si="1145"/>
        <v>0</v>
      </c>
      <c r="V298" s="34">
        <v>7</v>
      </c>
      <c r="W298" s="16"/>
      <c r="X298" s="16"/>
      <c r="Y298" s="17"/>
      <c r="Z298" s="18">
        <f t="shared" si="1146"/>
        <v>7</v>
      </c>
      <c r="AA298" s="34">
        <v>34</v>
      </c>
      <c r="AB298" s="16"/>
      <c r="AC298" s="16"/>
      <c r="AD298" s="17"/>
      <c r="AE298" s="18">
        <f t="shared" si="1147"/>
        <v>34</v>
      </c>
      <c r="AF298" s="34">
        <v>26</v>
      </c>
      <c r="AG298" s="16"/>
      <c r="AH298" s="16"/>
      <c r="AI298" s="17"/>
      <c r="AJ298" s="18">
        <f t="shared" si="1148"/>
        <v>26</v>
      </c>
      <c r="AK298" s="34"/>
      <c r="AL298" s="16"/>
      <c r="AM298" s="16"/>
      <c r="AN298" s="17"/>
      <c r="AO298" s="18">
        <f t="shared" si="1149"/>
        <v>0</v>
      </c>
      <c r="AP298" s="34"/>
      <c r="AQ298" s="16"/>
      <c r="AR298" s="16"/>
      <c r="AS298" s="17"/>
      <c r="AT298" s="18">
        <f t="shared" si="1150"/>
        <v>0</v>
      </c>
      <c r="AU298" s="34">
        <v>29</v>
      </c>
      <c r="AV298" s="16"/>
      <c r="AW298" s="16"/>
      <c r="AX298" s="17"/>
      <c r="AY298" s="18">
        <f t="shared" si="1151"/>
        <v>29</v>
      </c>
      <c r="AZ298" s="34">
        <v>67</v>
      </c>
      <c r="BA298" s="16"/>
      <c r="BB298" s="16"/>
      <c r="BC298" s="17"/>
      <c r="BD298" s="18">
        <f t="shared" si="1152"/>
        <v>67</v>
      </c>
      <c r="BE298" s="34"/>
      <c r="BF298" s="16"/>
      <c r="BG298" s="16"/>
      <c r="BH298" s="17"/>
      <c r="BI298" s="18">
        <f t="shared" si="1153"/>
        <v>0</v>
      </c>
      <c r="BJ298" s="34"/>
      <c r="BK298" s="16"/>
      <c r="BL298" s="16"/>
      <c r="BM298" s="17"/>
      <c r="BN298" s="18">
        <f t="shared" si="1154"/>
        <v>0</v>
      </c>
      <c r="BO298" s="70">
        <f t="shared" si="1175"/>
        <v>163</v>
      </c>
      <c r="BP298" s="16">
        <f t="shared" si="1175"/>
        <v>0</v>
      </c>
      <c r="BQ298" s="16">
        <f t="shared" si="1175"/>
        <v>0</v>
      </c>
      <c r="BR298" s="17">
        <f t="shared" si="1175"/>
        <v>0</v>
      </c>
      <c r="BS298" s="35">
        <f t="shared" ref="BS298" si="1190">SUM(BO298:BR298)</f>
        <v>163</v>
      </c>
    </row>
    <row r="299" spans="2:71" x14ac:dyDescent="0.3">
      <c r="B299" s="264"/>
      <c r="C299" s="223"/>
      <c r="D299" s="224"/>
      <c r="E299" s="224"/>
      <c r="F299" s="123" t="s">
        <v>139</v>
      </c>
      <c r="G299" s="34"/>
      <c r="H299" s="16"/>
      <c r="I299" s="16"/>
      <c r="J299" s="17"/>
      <c r="K299" s="18">
        <f t="shared" si="1015"/>
        <v>0</v>
      </c>
      <c r="L299" s="34"/>
      <c r="M299" s="16"/>
      <c r="N299" s="16"/>
      <c r="O299" s="17"/>
      <c r="P299" s="18">
        <f t="shared" si="1144"/>
        <v>0</v>
      </c>
      <c r="Q299" s="34"/>
      <c r="R299" s="16"/>
      <c r="S299" s="16"/>
      <c r="T299" s="17"/>
      <c r="U299" s="18">
        <f t="shared" si="1145"/>
        <v>0</v>
      </c>
      <c r="V299" s="34">
        <v>6</v>
      </c>
      <c r="W299" s="16"/>
      <c r="X299" s="16"/>
      <c r="Y299" s="17"/>
      <c r="Z299" s="18">
        <f t="shared" si="1146"/>
        <v>6</v>
      </c>
      <c r="AA299" s="34">
        <v>7</v>
      </c>
      <c r="AB299" s="16"/>
      <c r="AC299" s="16"/>
      <c r="AD299" s="17"/>
      <c r="AE299" s="18">
        <f t="shared" si="1147"/>
        <v>7</v>
      </c>
      <c r="AF299" s="34">
        <v>6</v>
      </c>
      <c r="AG299" s="16"/>
      <c r="AH299" s="16"/>
      <c r="AI299" s="17"/>
      <c r="AJ299" s="18">
        <f t="shared" si="1148"/>
        <v>6</v>
      </c>
      <c r="AK299" s="34"/>
      <c r="AL299" s="16"/>
      <c r="AM299" s="16"/>
      <c r="AN299" s="17"/>
      <c r="AO299" s="18">
        <f t="shared" si="1149"/>
        <v>0</v>
      </c>
      <c r="AP299" s="34"/>
      <c r="AQ299" s="16"/>
      <c r="AR299" s="16"/>
      <c r="AS299" s="17"/>
      <c r="AT299" s="18">
        <f t="shared" si="1150"/>
        <v>0</v>
      </c>
      <c r="AU299" s="34">
        <v>6</v>
      </c>
      <c r="AV299" s="16"/>
      <c r="AW299" s="16"/>
      <c r="AX299" s="17"/>
      <c r="AY299" s="18">
        <f t="shared" si="1151"/>
        <v>6</v>
      </c>
      <c r="AZ299" s="34">
        <v>11</v>
      </c>
      <c r="BA299" s="16"/>
      <c r="BB299" s="16"/>
      <c r="BC299" s="17"/>
      <c r="BD299" s="18">
        <f t="shared" si="1152"/>
        <v>11</v>
      </c>
      <c r="BE299" s="34"/>
      <c r="BF299" s="16"/>
      <c r="BG299" s="16"/>
      <c r="BH299" s="17"/>
      <c r="BI299" s="18">
        <f t="shared" si="1153"/>
        <v>0</v>
      </c>
      <c r="BJ299" s="34">
        <v>5</v>
      </c>
      <c r="BK299" s="16"/>
      <c r="BL299" s="16"/>
      <c r="BM299" s="17"/>
      <c r="BN299" s="18">
        <f t="shared" si="1154"/>
        <v>5</v>
      </c>
      <c r="BO299" s="70">
        <f t="shared" si="1175"/>
        <v>41</v>
      </c>
      <c r="BP299" s="16">
        <f t="shared" si="1175"/>
        <v>0</v>
      </c>
      <c r="BQ299" s="16">
        <f t="shared" si="1175"/>
        <v>0</v>
      </c>
      <c r="BR299" s="17">
        <f t="shared" si="1175"/>
        <v>0</v>
      </c>
      <c r="BS299" s="35">
        <f t="shared" si="1016"/>
        <v>41</v>
      </c>
    </row>
    <row r="300" spans="2:71" x14ac:dyDescent="0.3">
      <c r="B300" s="264"/>
      <c r="C300" s="225"/>
      <c r="D300" s="226"/>
      <c r="E300" s="226"/>
      <c r="F300" s="116" t="s">
        <v>57</v>
      </c>
      <c r="G300" s="54">
        <f>SUM(G295:G299)</f>
        <v>489</v>
      </c>
      <c r="H300" s="55">
        <f>SUM(H295:H299)</f>
        <v>0</v>
      </c>
      <c r="I300" s="55">
        <f>SUM(I295:I299)</f>
        <v>0</v>
      </c>
      <c r="J300" s="56">
        <f>SUM(J295:J299)</f>
        <v>0</v>
      </c>
      <c r="K300" s="57">
        <f t="shared" si="1015"/>
        <v>489</v>
      </c>
      <c r="L300" s="54">
        <f>SUM(L295:L299)</f>
        <v>1758</v>
      </c>
      <c r="M300" s="55">
        <f>SUM(M295:M299)</f>
        <v>0</v>
      </c>
      <c r="N300" s="55">
        <f>SUM(N295:N299)</f>
        <v>0</v>
      </c>
      <c r="O300" s="56">
        <f>SUM(O295:O299)</f>
        <v>0</v>
      </c>
      <c r="P300" s="57">
        <f t="shared" si="1144"/>
        <v>1758</v>
      </c>
      <c r="Q300" s="54">
        <f>SUM(Q295:Q299)</f>
        <v>180</v>
      </c>
      <c r="R300" s="55">
        <f>SUM(R295:R299)</f>
        <v>0</v>
      </c>
      <c r="S300" s="55">
        <f>SUM(S295:S299)</f>
        <v>0</v>
      </c>
      <c r="T300" s="56">
        <f>SUM(T295:T299)</f>
        <v>0</v>
      </c>
      <c r="U300" s="57">
        <f t="shared" si="1145"/>
        <v>180</v>
      </c>
      <c r="V300" s="54">
        <f>SUM(V295:V299)</f>
        <v>425</v>
      </c>
      <c r="W300" s="55">
        <f>SUM(W295:W299)</f>
        <v>0</v>
      </c>
      <c r="X300" s="55">
        <f>SUM(X295:X299)</f>
        <v>0</v>
      </c>
      <c r="Y300" s="56">
        <f>SUM(Y295:Y299)</f>
        <v>0</v>
      </c>
      <c r="Z300" s="57">
        <f t="shared" si="1146"/>
        <v>425</v>
      </c>
      <c r="AA300" s="54">
        <f>SUM(AA295:AA299)</f>
        <v>545</v>
      </c>
      <c r="AB300" s="55">
        <f>SUM(AB295:AB299)</f>
        <v>0</v>
      </c>
      <c r="AC300" s="55">
        <f>SUM(AC295:AC299)</f>
        <v>0</v>
      </c>
      <c r="AD300" s="56">
        <f>SUM(AD295:AD299)</f>
        <v>0</v>
      </c>
      <c r="AE300" s="57">
        <f t="shared" si="1147"/>
        <v>545</v>
      </c>
      <c r="AF300" s="54">
        <f>SUM(AF295:AF299)</f>
        <v>801</v>
      </c>
      <c r="AG300" s="55">
        <f>SUM(AG295:AG299)</f>
        <v>0</v>
      </c>
      <c r="AH300" s="55">
        <f>SUM(AH295:AH299)</f>
        <v>0</v>
      </c>
      <c r="AI300" s="56">
        <f>SUM(AI295:AI299)</f>
        <v>0</v>
      </c>
      <c r="AJ300" s="57">
        <f t="shared" si="1148"/>
        <v>801</v>
      </c>
      <c r="AK300" s="54">
        <f>SUM(AK295:AK299)</f>
        <v>342</v>
      </c>
      <c r="AL300" s="55">
        <f>SUM(AL295:AL299)</f>
        <v>0</v>
      </c>
      <c r="AM300" s="55">
        <f>SUM(AM295:AM299)</f>
        <v>0</v>
      </c>
      <c r="AN300" s="56">
        <f>SUM(AN295:AN299)</f>
        <v>0</v>
      </c>
      <c r="AO300" s="57">
        <f t="shared" si="1149"/>
        <v>342</v>
      </c>
      <c r="AP300" s="54">
        <f>SUM(AP295:AP299)</f>
        <v>376</v>
      </c>
      <c r="AQ300" s="55">
        <f>SUM(AQ295:AQ299)</f>
        <v>0</v>
      </c>
      <c r="AR300" s="55">
        <f>SUM(AR295:AR299)</f>
        <v>0</v>
      </c>
      <c r="AS300" s="56">
        <f>SUM(AS295:AS299)</f>
        <v>0</v>
      </c>
      <c r="AT300" s="57">
        <f t="shared" si="1150"/>
        <v>376</v>
      </c>
      <c r="AU300" s="54">
        <f>SUM(AU295:AU299)</f>
        <v>2030</v>
      </c>
      <c r="AV300" s="55">
        <f>SUM(AV295:AV299)</f>
        <v>0</v>
      </c>
      <c r="AW300" s="55">
        <f>SUM(AW295:AW299)</f>
        <v>0</v>
      </c>
      <c r="AX300" s="56">
        <f>SUM(AX295:AX299)</f>
        <v>0</v>
      </c>
      <c r="AY300" s="57">
        <f t="shared" si="1151"/>
        <v>2030</v>
      </c>
      <c r="AZ300" s="54">
        <f>SUM(AZ295:AZ299)</f>
        <v>1194</v>
      </c>
      <c r="BA300" s="55">
        <f>SUM(BA295:BA299)</f>
        <v>0</v>
      </c>
      <c r="BB300" s="55">
        <f>SUM(BB295:BB299)</f>
        <v>0</v>
      </c>
      <c r="BC300" s="56">
        <f>SUM(BC295:BC299)</f>
        <v>0</v>
      </c>
      <c r="BD300" s="57">
        <f t="shared" si="1152"/>
        <v>1194</v>
      </c>
      <c r="BE300" s="54">
        <f>SUM(BE295:BE299)</f>
        <v>884</v>
      </c>
      <c r="BF300" s="55">
        <f>SUM(BF295:BF299)</f>
        <v>0</v>
      </c>
      <c r="BG300" s="55">
        <f>SUM(BG295:BG299)</f>
        <v>0</v>
      </c>
      <c r="BH300" s="56">
        <f>SUM(BH295:BH299)</f>
        <v>0</v>
      </c>
      <c r="BI300" s="57">
        <f t="shared" si="1153"/>
        <v>884</v>
      </c>
      <c r="BJ300" s="54">
        <f>SUM(BJ295:BJ299)</f>
        <v>615</v>
      </c>
      <c r="BK300" s="55">
        <f>SUM(BK295:BK299)</f>
        <v>0</v>
      </c>
      <c r="BL300" s="55">
        <f>SUM(BL295:BL299)</f>
        <v>0</v>
      </c>
      <c r="BM300" s="56">
        <f>SUM(BM295:BM299)</f>
        <v>0</v>
      </c>
      <c r="BN300" s="57">
        <f t="shared" si="1154"/>
        <v>615</v>
      </c>
      <c r="BO300" s="72">
        <f>SUM(BO295:BO299)</f>
        <v>9639</v>
      </c>
      <c r="BP300" s="55">
        <f>SUM(BP295:BP299)</f>
        <v>0</v>
      </c>
      <c r="BQ300" s="55">
        <f>SUM(BQ295:BQ299)</f>
        <v>0</v>
      </c>
      <c r="BR300" s="56">
        <f>SUM(BR295:BR299)</f>
        <v>0</v>
      </c>
      <c r="BS300" s="58">
        <f t="shared" si="1016"/>
        <v>9639</v>
      </c>
    </row>
    <row r="301" spans="2:71" x14ac:dyDescent="0.3">
      <c r="B301" s="264"/>
      <c r="C301" s="227" t="s">
        <v>16</v>
      </c>
      <c r="D301" s="228"/>
      <c r="E301" s="210" t="s">
        <v>87</v>
      </c>
      <c r="F301" s="120" t="s">
        <v>133</v>
      </c>
      <c r="G301" s="30"/>
      <c r="H301" s="7"/>
      <c r="I301" s="7"/>
      <c r="J301" s="8"/>
      <c r="K301" s="9">
        <f t="shared" si="1015"/>
        <v>0</v>
      </c>
      <c r="L301" s="30"/>
      <c r="M301" s="7"/>
      <c r="N301" s="7">
        <v>175</v>
      </c>
      <c r="O301" s="8"/>
      <c r="P301" s="9">
        <f t="shared" si="1144"/>
        <v>175</v>
      </c>
      <c r="Q301" s="30"/>
      <c r="R301" s="7"/>
      <c r="S301" s="7">
        <v>187</v>
      </c>
      <c r="T301" s="8"/>
      <c r="U301" s="9">
        <f t="shared" si="1145"/>
        <v>187</v>
      </c>
      <c r="V301" s="30"/>
      <c r="W301" s="7"/>
      <c r="X301" s="7">
        <v>10794</v>
      </c>
      <c r="Y301" s="8"/>
      <c r="Z301" s="9">
        <f t="shared" si="1146"/>
        <v>10794</v>
      </c>
      <c r="AA301" s="30"/>
      <c r="AB301" s="7"/>
      <c r="AC301" s="7">
        <v>11148</v>
      </c>
      <c r="AD301" s="8"/>
      <c r="AE301" s="9">
        <f t="shared" si="1147"/>
        <v>11148</v>
      </c>
      <c r="AF301" s="30"/>
      <c r="AG301" s="7"/>
      <c r="AH301" s="7">
        <v>2568</v>
      </c>
      <c r="AI301" s="8"/>
      <c r="AJ301" s="9">
        <f t="shared" si="1148"/>
        <v>2568</v>
      </c>
      <c r="AK301" s="30"/>
      <c r="AL301" s="7"/>
      <c r="AM301" s="7">
        <v>147</v>
      </c>
      <c r="AN301" s="8"/>
      <c r="AO301" s="9">
        <f t="shared" si="1149"/>
        <v>147</v>
      </c>
      <c r="AP301" s="30"/>
      <c r="AQ301" s="7"/>
      <c r="AR301" s="7">
        <v>53</v>
      </c>
      <c r="AS301" s="8"/>
      <c r="AT301" s="9">
        <f t="shared" si="1150"/>
        <v>53</v>
      </c>
      <c r="AU301" s="30"/>
      <c r="AV301" s="7"/>
      <c r="AW301" s="7">
        <v>3053</v>
      </c>
      <c r="AX301" s="8"/>
      <c r="AY301" s="9">
        <f t="shared" si="1151"/>
        <v>3053</v>
      </c>
      <c r="AZ301" s="30"/>
      <c r="BA301" s="7"/>
      <c r="BB301" s="7">
        <v>5352</v>
      </c>
      <c r="BC301" s="8"/>
      <c r="BD301" s="9">
        <f t="shared" si="1152"/>
        <v>5352</v>
      </c>
      <c r="BE301" s="30"/>
      <c r="BF301" s="7"/>
      <c r="BG301" s="7">
        <v>528</v>
      </c>
      <c r="BH301" s="8"/>
      <c r="BI301" s="9">
        <f t="shared" si="1153"/>
        <v>528</v>
      </c>
      <c r="BJ301" s="30"/>
      <c r="BK301" s="7"/>
      <c r="BL301" s="7"/>
      <c r="BM301" s="8"/>
      <c r="BN301" s="9">
        <f t="shared" si="1154"/>
        <v>0</v>
      </c>
      <c r="BO301" s="65">
        <f t="shared" ref="BO301:BO314" si="1191">SUM(G301,L301,Q301,V301,AA301,AF301,AK301,AP301,AU301,AZ301,BE301,BJ301)</f>
        <v>0</v>
      </c>
      <c r="BP301" s="7">
        <f t="shared" ref="BP301:BP314" si="1192">SUM(H301,M301,R301,W301,AB301,AG301,AL301,AQ301,AV301,BA301,BF301,BK301)</f>
        <v>0</v>
      </c>
      <c r="BQ301" s="7">
        <f t="shared" ref="BQ301:BQ314" si="1193">SUM(I301,N301,S301,X301,AC301,AH301,AM301,AR301,AW301,BB301,BG301,BL301)</f>
        <v>34005</v>
      </c>
      <c r="BR301" s="8">
        <f t="shared" ref="BR301:BR314" si="1194">SUM(J301,O301,T301,Y301,AD301,AI301,AN301,AS301,AX301,BC301,BH301,BM301)</f>
        <v>0</v>
      </c>
      <c r="BS301" s="31">
        <f t="shared" si="1016"/>
        <v>34005</v>
      </c>
    </row>
    <row r="302" spans="2:71" x14ac:dyDescent="0.3">
      <c r="B302" s="264"/>
      <c r="C302" s="223"/>
      <c r="D302" s="224"/>
      <c r="E302" s="211"/>
      <c r="F302" s="121" t="s">
        <v>177</v>
      </c>
      <c r="G302" s="32"/>
      <c r="H302" s="13"/>
      <c r="I302" s="13"/>
      <c r="J302" s="14"/>
      <c r="K302" s="15">
        <f t="shared" ref="K302" si="1195">SUM(G302:J302)</f>
        <v>0</v>
      </c>
      <c r="L302" s="32"/>
      <c r="M302" s="13"/>
      <c r="N302" s="13"/>
      <c r="O302" s="14"/>
      <c r="P302" s="15">
        <f t="shared" si="1144"/>
        <v>0</v>
      </c>
      <c r="Q302" s="32"/>
      <c r="R302" s="13"/>
      <c r="S302" s="13"/>
      <c r="T302" s="14"/>
      <c r="U302" s="15">
        <f t="shared" si="1145"/>
        <v>0</v>
      </c>
      <c r="V302" s="32"/>
      <c r="W302" s="13"/>
      <c r="X302" s="13">
        <v>32</v>
      </c>
      <c r="Y302" s="14"/>
      <c r="Z302" s="15">
        <f t="shared" si="1146"/>
        <v>32</v>
      </c>
      <c r="AA302" s="32"/>
      <c r="AB302" s="13"/>
      <c r="AC302" s="13">
        <v>147</v>
      </c>
      <c r="AD302" s="14"/>
      <c r="AE302" s="15">
        <f t="shared" si="1147"/>
        <v>147</v>
      </c>
      <c r="AF302" s="32"/>
      <c r="AG302" s="13"/>
      <c r="AH302" s="13"/>
      <c r="AI302" s="14"/>
      <c r="AJ302" s="15">
        <f t="shared" si="1148"/>
        <v>0</v>
      </c>
      <c r="AK302" s="32"/>
      <c r="AL302" s="13"/>
      <c r="AM302" s="13">
        <v>42</v>
      </c>
      <c r="AN302" s="14"/>
      <c r="AO302" s="15">
        <f t="shared" si="1149"/>
        <v>42</v>
      </c>
      <c r="AP302" s="32"/>
      <c r="AQ302" s="13"/>
      <c r="AR302" s="13"/>
      <c r="AS302" s="14"/>
      <c r="AT302" s="15">
        <f t="shared" si="1150"/>
        <v>0</v>
      </c>
      <c r="AU302" s="32"/>
      <c r="AV302" s="13"/>
      <c r="AW302" s="13"/>
      <c r="AX302" s="14"/>
      <c r="AY302" s="15">
        <f t="shared" si="1151"/>
        <v>0</v>
      </c>
      <c r="AZ302" s="32"/>
      <c r="BA302" s="13"/>
      <c r="BB302" s="13">
        <v>72</v>
      </c>
      <c r="BC302" s="14"/>
      <c r="BD302" s="15">
        <f t="shared" si="1152"/>
        <v>72</v>
      </c>
      <c r="BE302" s="32"/>
      <c r="BF302" s="13"/>
      <c r="BG302" s="13"/>
      <c r="BH302" s="14"/>
      <c r="BI302" s="15">
        <f t="shared" si="1153"/>
        <v>0</v>
      </c>
      <c r="BJ302" s="32"/>
      <c r="BK302" s="13"/>
      <c r="BL302" s="13"/>
      <c r="BM302" s="14"/>
      <c r="BN302" s="15">
        <f t="shared" si="1154"/>
        <v>0</v>
      </c>
      <c r="BO302" s="66">
        <f t="shared" si="1191"/>
        <v>0</v>
      </c>
      <c r="BP302" s="13">
        <f t="shared" si="1192"/>
        <v>0</v>
      </c>
      <c r="BQ302" s="13">
        <f t="shared" si="1193"/>
        <v>293</v>
      </c>
      <c r="BR302" s="14">
        <f t="shared" si="1194"/>
        <v>0</v>
      </c>
      <c r="BS302" s="33">
        <f t="shared" ref="BS302" si="1196">SUM(BO302:BR302)</f>
        <v>293</v>
      </c>
    </row>
    <row r="303" spans="2:71" x14ac:dyDescent="0.3">
      <c r="B303" s="264"/>
      <c r="C303" s="223"/>
      <c r="D303" s="224"/>
      <c r="E303" s="211"/>
      <c r="F303" s="121" t="s">
        <v>170</v>
      </c>
      <c r="G303" s="32"/>
      <c r="H303" s="13"/>
      <c r="I303" s="13">
        <v>16</v>
      </c>
      <c r="J303" s="14"/>
      <c r="K303" s="15">
        <f t="shared" si="1015"/>
        <v>16</v>
      </c>
      <c r="L303" s="32"/>
      <c r="M303" s="13"/>
      <c r="N303" s="13">
        <v>37</v>
      </c>
      <c r="O303" s="14"/>
      <c r="P303" s="15">
        <f t="shared" si="1144"/>
        <v>37</v>
      </c>
      <c r="Q303" s="32"/>
      <c r="R303" s="13"/>
      <c r="S303" s="13"/>
      <c r="T303" s="14"/>
      <c r="U303" s="15">
        <f t="shared" si="1145"/>
        <v>0</v>
      </c>
      <c r="V303" s="32"/>
      <c r="W303" s="13"/>
      <c r="X303" s="13"/>
      <c r="Y303" s="14"/>
      <c r="Z303" s="15">
        <f t="shared" si="1146"/>
        <v>0</v>
      </c>
      <c r="AA303" s="32"/>
      <c r="AB303" s="13"/>
      <c r="AC303" s="13"/>
      <c r="AD303" s="14"/>
      <c r="AE303" s="15">
        <f t="shared" si="1147"/>
        <v>0</v>
      </c>
      <c r="AF303" s="32"/>
      <c r="AG303" s="13"/>
      <c r="AH303" s="13"/>
      <c r="AI303" s="14"/>
      <c r="AJ303" s="15">
        <f t="shared" si="1148"/>
        <v>0</v>
      </c>
      <c r="AK303" s="32"/>
      <c r="AL303" s="13"/>
      <c r="AM303" s="13"/>
      <c r="AN303" s="14"/>
      <c r="AO303" s="15">
        <f t="shared" si="1149"/>
        <v>0</v>
      </c>
      <c r="AP303" s="32"/>
      <c r="AQ303" s="13"/>
      <c r="AR303" s="13">
        <v>8</v>
      </c>
      <c r="AS303" s="14"/>
      <c r="AT303" s="15">
        <f t="shared" si="1150"/>
        <v>8</v>
      </c>
      <c r="AU303" s="32"/>
      <c r="AV303" s="13"/>
      <c r="AW303" s="13"/>
      <c r="AX303" s="14"/>
      <c r="AY303" s="15">
        <f t="shared" si="1151"/>
        <v>0</v>
      </c>
      <c r="AZ303" s="32"/>
      <c r="BA303" s="13"/>
      <c r="BB303" s="13"/>
      <c r="BC303" s="14"/>
      <c r="BD303" s="15">
        <f t="shared" si="1152"/>
        <v>0</v>
      </c>
      <c r="BE303" s="32"/>
      <c r="BF303" s="13"/>
      <c r="BG303" s="13">
        <v>846</v>
      </c>
      <c r="BH303" s="14"/>
      <c r="BI303" s="15">
        <f t="shared" si="1153"/>
        <v>846</v>
      </c>
      <c r="BJ303" s="32"/>
      <c r="BK303" s="13"/>
      <c r="BL303" s="13">
        <v>122</v>
      </c>
      <c r="BM303" s="14"/>
      <c r="BN303" s="15">
        <f t="shared" si="1154"/>
        <v>122</v>
      </c>
      <c r="BO303" s="66">
        <f t="shared" si="1191"/>
        <v>0</v>
      </c>
      <c r="BP303" s="13">
        <f t="shared" si="1192"/>
        <v>0</v>
      </c>
      <c r="BQ303" s="13">
        <f t="shared" si="1193"/>
        <v>1029</v>
      </c>
      <c r="BR303" s="14">
        <f t="shared" si="1194"/>
        <v>0</v>
      </c>
      <c r="BS303" s="33">
        <f t="shared" si="1016"/>
        <v>1029</v>
      </c>
    </row>
    <row r="304" spans="2:71" x14ac:dyDescent="0.3">
      <c r="B304" s="264"/>
      <c r="C304" s="223"/>
      <c r="D304" s="224"/>
      <c r="E304" s="211"/>
      <c r="F304" s="123" t="s">
        <v>185</v>
      </c>
      <c r="G304" s="34"/>
      <c r="H304" s="16"/>
      <c r="I304" s="16"/>
      <c r="J304" s="17"/>
      <c r="K304" s="18">
        <f t="shared" ref="K304" si="1197">SUM(G304:J304)</f>
        <v>0</v>
      </c>
      <c r="L304" s="34"/>
      <c r="M304" s="16"/>
      <c r="N304" s="16"/>
      <c r="O304" s="17"/>
      <c r="P304" s="18">
        <f t="shared" ref="P304" si="1198">SUM(L304:O304)</f>
        <v>0</v>
      </c>
      <c r="Q304" s="34"/>
      <c r="R304" s="16"/>
      <c r="S304" s="16">
        <v>105</v>
      </c>
      <c r="T304" s="17"/>
      <c r="U304" s="18">
        <f t="shared" ref="U304" si="1199">SUM(Q304:T304)</f>
        <v>105</v>
      </c>
      <c r="V304" s="34"/>
      <c r="W304" s="16"/>
      <c r="X304" s="16">
        <v>1412</v>
      </c>
      <c r="Y304" s="17"/>
      <c r="Z304" s="18">
        <f t="shared" ref="Z304" si="1200">SUM(V304:Y304)</f>
        <v>1412</v>
      </c>
      <c r="AA304" s="34"/>
      <c r="AB304" s="16"/>
      <c r="AC304" s="16">
        <v>1420</v>
      </c>
      <c r="AD304" s="17"/>
      <c r="AE304" s="18">
        <f t="shared" ref="AE304" si="1201">SUM(AA304:AD304)</f>
        <v>1420</v>
      </c>
      <c r="AF304" s="34"/>
      <c r="AG304" s="16"/>
      <c r="AH304" s="16">
        <v>33</v>
      </c>
      <c r="AI304" s="17"/>
      <c r="AJ304" s="18">
        <f t="shared" ref="AJ304" si="1202">SUM(AF304:AI304)</f>
        <v>33</v>
      </c>
      <c r="AK304" s="34"/>
      <c r="AL304" s="16"/>
      <c r="AM304" s="16">
        <v>88</v>
      </c>
      <c r="AN304" s="17"/>
      <c r="AO304" s="18">
        <f t="shared" ref="AO304" si="1203">SUM(AK304:AN304)</f>
        <v>88</v>
      </c>
      <c r="AP304" s="34"/>
      <c r="AQ304" s="16"/>
      <c r="AR304" s="16"/>
      <c r="AS304" s="17"/>
      <c r="AT304" s="18">
        <f t="shared" ref="AT304" si="1204">SUM(AP304:AS304)</f>
        <v>0</v>
      </c>
      <c r="AU304" s="34"/>
      <c r="AV304" s="16"/>
      <c r="AW304" s="16">
        <v>151</v>
      </c>
      <c r="AX304" s="17"/>
      <c r="AY304" s="18">
        <f t="shared" ref="AY304" si="1205">SUM(AU304:AX304)</f>
        <v>151</v>
      </c>
      <c r="AZ304" s="34"/>
      <c r="BA304" s="16"/>
      <c r="BB304" s="16">
        <v>818</v>
      </c>
      <c r="BC304" s="17"/>
      <c r="BD304" s="18">
        <f t="shared" ref="BD304" si="1206">SUM(AZ304:BC304)</f>
        <v>818</v>
      </c>
      <c r="BE304" s="34"/>
      <c r="BF304" s="16"/>
      <c r="BG304" s="16">
        <v>245</v>
      </c>
      <c r="BH304" s="17"/>
      <c r="BI304" s="18">
        <f t="shared" ref="BI304" si="1207">SUM(BE304:BH304)</f>
        <v>245</v>
      </c>
      <c r="BJ304" s="34"/>
      <c r="BK304" s="16"/>
      <c r="BL304" s="16">
        <v>19</v>
      </c>
      <c r="BM304" s="17"/>
      <c r="BN304" s="18">
        <f t="shared" ref="BN304" si="1208">SUM(BJ304:BM304)</f>
        <v>19</v>
      </c>
      <c r="BO304" s="70">
        <f t="shared" si="1191"/>
        <v>0</v>
      </c>
      <c r="BP304" s="16">
        <f t="shared" si="1192"/>
        <v>0</v>
      </c>
      <c r="BQ304" s="16">
        <f t="shared" si="1193"/>
        <v>4291</v>
      </c>
      <c r="BR304" s="17">
        <f t="shared" si="1194"/>
        <v>0</v>
      </c>
      <c r="BS304" s="35">
        <f t="shared" ref="BS304" si="1209">SUM(BO304:BR304)</f>
        <v>4291</v>
      </c>
    </row>
    <row r="305" spans="2:71" x14ac:dyDescent="0.3">
      <c r="B305" s="264"/>
      <c r="C305" s="223"/>
      <c r="D305" s="224"/>
      <c r="E305" s="212"/>
      <c r="F305" s="124" t="s">
        <v>392</v>
      </c>
      <c r="G305" s="36"/>
      <c r="H305" s="10"/>
      <c r="I305" s="10"/>
      <c r="J305" s="11"/>
      <c r="K305" s="12">
        <f t="shared" si="1015"/>
        <v>0</v>
      </c>
      <c r="L305" s="36"/>
      <c r="M305" s="10"/>
      <c r="N305" s="10"/>
      <c r="O305" s="11"/>
      <c r="P305" s="12">
        <f t="shared" si="1144"/>
        <v>0</v>
      </c>
      <c r="Q305" s="36"/>
      <c r="R305" s="10"/>
      <c r="S305" s="10"/>
      <c r="T305" s="11"/>
      <c r="U305" s="12">
        <f t="shared" si="1145"/>
        <v>0</v>
      </c>
      <c r="V305" s="36"/>
      <c r="W305" s="10"/>
      <c r="X305" s="10"/>
      <c r="Y305" s="11"/>
      <c r="Z305" s="12">
        <f t="shared" si="1146"/>
        <v>0</v>
      </c>
      <c r="AA305" s="36"/>
      <c r="AB305" s="10"/>
      <c r="AC305" s="10"/>
      <c r="AD305" s="11"/>
      <c r="AE305" s="12">
        <f t="shared" si="1147"/>
        <v>0</v>
      </c>
      <c r="AF305" s="36"/>
      <c r="AG305" s="10"/>
      <c r="AH305" s="10"/>
      <c r="AI305" s="11"/>
      <c r="AJ305" s="12">
        <f t="shared" si="1148"/>
        <v>0</v>
      </c>
      <c r="AK305" s="36"/>
      <c r="AL305" s="10"/>
      <c r="AM305" s="10"/>
      <c r="AN305" s="11"/>
      <c r="AO305" s="12">
        <f t="shared" si="1149"/>
        <v>0</v>
      </c>
      <c r="AP305" s="36"/>
      <c r="AQ305" s="10"/>
      <c r="AR305" s="10"/>
      <c r="AS305" s="11"/>
      <c r="AT305" s="12">
        <f t="shared" si="1150"/>
        <v>0</v>
      </c>
      <c r="AU305" s="36"/>
      <c r="AV305" s="10"/>
      <c r="AW305" s="10">
        <v>31</v>
      </c>
      <c r="AX305" s="11"/>
      <c r="AY305" s="12">
        <f t="shared" si="1151"/>
        <v>31</v>
      </c>
      <c r="AZ305" s="36"/>
      <c r="BA305" s="10"/>
      <c r="BB305" s="10"/>
      <c r="BC305" s="11"/>
      <c r="BD305" s="12">
        <f t="shared" si="1152"/>
        <v>0</v>
      </c>
      <c r="BE305" s="36"/>
      <c r="BF305" s="10"/>
      <c r="BG305" s="10"/>
      <c r="BH305" s="11"/>
      <c r="BI305" s="12">
        <f t="shared" si="1153"/>
        <v>0</v>
      </c>
      <c r="BJ305" s="36"/>
      <c r="BK305" s="10"/>
      <c r="BL305" s="10"/>
      <c r="BM305" s="11"/>
      <c r="BN305" s="12">
        <f t="shared" si="1154"/>
        <v>0</v>
      </c>
      <c r="BO305" s="71">
        <f t="shared" si="1191"/>
        <v>0</v>
      </c>
      <c r="BP305" s="10">
        <f t="shared" si="1192"/>
        <v>0</v>
      </c>
      <c r="BQ305" s="10">
        <f t="shared" si="1193"/>
        <v>31</v>
      </c>
      <c r="BR305" s="11">
        <f t="shared" si="1194"/>
        <v>0</v>
      </c>
      <c r="BS305" s="37">
        <f t="shared" si="1016"/>
        <v>31</v>
      </c>
    </row>
    <row r="306" spans="2:71" x14ac:dyDescent="0.3">
      <c r="B306" s="264"/>
      <c r="C306" s="223"/>
      <c r="D306" s="224"/>
      <c r="E306" s="210" t="s">
        <v>88</v>
      </c>
      <c r="F306" s="121" t="s">
        <v>132</v>
      </c>
      <c r="G306" s="32"/>
      <c r="H306" s="13"/>
      <c r="I306" s="13"/>
      <c r="J306" s="14"/>
      <c r="K306" s="15">
        <f t="shared" si="1015"/>
        <v>0</v>
      </c>
      <c r="L306" s="32"/>
      <c r="M306" s="13"/>
      <c r="N306" s="13"/>
      <c r="O306" s="14"/>
      <c r="P306" s="15">
        <f t="shared" si="1144"/>
        <v>0</v>
      </c>
      <c r="Q306" s="32"/>
      <c r="R306" s="13"/>
      <c r="S306" s="13"/>
      <c r="T306" s="14"/>
      <c r="U306" s="15">
        <f t="shared" si="1145"/>
        <v>0</v>
      </c>
      <c r="V306" s="32"/>
      <c r="W306" s="13">
        <v>8119</v>
      </c>
      <c r="X306" s="13"/>
      <c r="Y306" s="14"/>
      <c r="Z306" s="15">
        <f t="shared" si="1146"/>
        <v>8119</v>
      </c>
      <c r="AA306" s="32"/>
      <c r="AB306" s="13">
        <v>28975</v>
      </c>
      <c r="AC306" s="13"/>
      <c r="AD306" s="14"/>
      <c r="AE306" s="15">
        <f t="shared" si="1147"/>
        <v>28975</v>
      </c>
      <c r="AF306" s="32"/>
      <c r="AG306" s="13">
        <v>6186</v>
      </c>
      <c r="AH306" s="13"/>
      <c r="AI306" s="14"/>
      <c r="AJ306" s="15">
        <f t="shared" si="1148"/>
        <v>6186</v>
      </c>
      <c r="AK306" s="32"/>
      <c r="AL306" s="13">
        <v>21</v>
      </c>
      <c r="AM306" s="13"/>
      <c r="AN306" s="14"/>
      <c r="AO306" s="15">
        <f t="shared" si="1149"/>
        <v>21</v>
      </c>
      <c r="AP306" s="32"/>
      <c r="AQ306" s="13"/>
      <c r="AR306" s="13"/>
      <c r="AS306" s="14"/>
      <c r="AT306" s="15">
        <f t="shared" si="1150"/>
        <v>0</v>
      </c>
      <c r="AU306" s="32"/>
      <c r="AV306" s="13">
        <v>6781</v>
      </c>
      <c r="AW306" s="13"/>
      <c r="AX306" s="14"/>
      <c r="AY306" s="15">
        <f t="shared" si="1151"/>
        <v>6781</v>
      </c>
      <c r="AZ306" s="32"/>
      <c r="BA306" s="13">
        <v>18528</v>
      </c>
      <c r="BB306" s="13"/>
      <c r="BC306" s="14"/>
      <c r="BD306" s="15">
        <f t="shared" si="1152"/>
        <v>18528</v>
      </c>
      <c r="BE306" s="32"/>
      <c r="BF306" s="13"/>
      <c r="BG306" s="13"/>
      <c r="BH306" s="14"/>
      <c r="BI306" s="15">
        <f t="shared" si="1153"/>
        <v>0</v>
      </c>
      <c r="BJ306" s="32"/>
      <c r="BK306" s="13"/>
      <c r="BL306" s="13"/>
      <c r="BM306" s="14"/>
      <c r="BN306" s="15">
        <f t="shared" si="1154"/>
        <v>0</v>
      </c>
      <c r="BO306" s="66">
        <f t="shared" si="1191"/>
        <v>0</v>
      </c>
      <c r="BP306" s="13">
        <f t="shared" si="1192"/>
        <v>68610</v>
      </c>
      <c r="BQ306" s="13">
        <f t="shared" si="1193"/>
        <v>0</v>
      </c>
      <c r="BR306" s="14">
        <f t="shared" si="1194"/>
        <v>0</v>
      </c>
      <c r="BS306" s="33">
        <f t="shared" si="1016"/>
        <v>68610</v>
      </c>
    </row>
    <row r="307" spans="2:71" x14ac:dyDescent="0.3">
      <c r="B307" s="264"/>
      <c r="C307" s="223"/>
      <c r="D307" s="224"/>
      <c r="E307" s="211"/>
      <c r="F307" s="121" t="s">
        <v>306</v>
      </c>
      <c r="G307" s="32"/>
      <c r="H307" s="13"/>
      <c r="I307" s="13"/>
      <c r="J307" s="14"/>
      <c r="K307" s="15">
        <f t="shared" si="1015"/>
        <v>0</v>
      </c>
      <c r="L307" s="32"/>
      <c r="M307" s="13"/>
      <c r="N307" s="13"/>
      <c r="O307" s="14"/>
      <c r="P307" s="15">
        <f t="shared" ref="P307" si="1210">SUM(L307:O307)</f>
        <v>0</v>
      </c>
      <c r="Q307" s="32"/>
      <c r="R307" s="13"/>
      <c r="S307" s="13"/>
      <c r="T307" s="14"/>
      <c r="U307" s="15">
        <f t="shared" ref="U307" si="1211">SUM(Q307:T307)</f>
        <v>0</v>
      </c>
      <c r="V307" s="32"/>
      <c r="W307" s="13">
        <v>206</v>
      </c>
      <c r="X307" s="13"/>
      <c r="Y307" s="14"/>
      <c r="Z307" s="15">
        <f t="shared" ref="Z307" si="1212">SUM(V307:Y307)</f>
        <v>206</v>
      </c>
      <c r="AA307" s="32"/>
      <c r="AB307" s="13">
        <v>29</v>
      </c>
      <c r="AC307" s="13"/>
      <c r="AD307" s="14"/>
      <c r="AE307" s="15">
        <f t="shared" ref="AE307" si="1213">SUM(AA307:AD307)</f>
        <v>29</v>
      </c>
      <c r="AF307" s="32"/>
      <c r="AG307" s="13"/>
      <c r="AH307" s="13"/>
      <c r="AI307" s="14"/>
      <c r="AJ307" s="15">
        <f t="shared" ref="AJ307" si="1214">SUM(AF307:AI307)</f>
        <v>0</v>
      </c>
      <c r="AK307" s="32"/>
      <c r="AL307" s="13"/>
      <c r="AM307" s="13"/>
      <c r="AN307" s="14"/>
      <c r="AO307" s="15">
        <f t="shared" ref="AO307" si="1215">SUM(AK307:AN307)</f>
        <v>0</v>
      </c>
      <c r="AP307" s="32"/>
      <c r="AQ307" s="13"/>
      <c r="AR307" s="13"/>
      <c r="AS307" s="14"/>
      <c r="AT307" s="15">
        <f t="shared" ref="AT307" si="1216">SUM(AP307:AS307)</f>
        <v>0</v>
      </c>
      <c r="AU307" s="32"/>
      <c r="AV307" s="13"/>
      <c r="AW307" s="13"/>
      <c r="AX307" s="14"/>
      <c r="AY307" s="15">
        <f t="shared" ref="AY307" si="1217">SUM(AU307:AX307)</f>
        <v>0</v>
      </c>
      <c r="AZ307" s="32"/>
      <c r="BA307" s="13"/>
      <c r="BB307" s="13"/>
      <c r="BC307" s="14"/>
      <c r="BD307" s="15">
        <f t="shared" ref="BD307" si="1218">SUM(AZ307:BC307)</f>
        <v>0</v>
      </c>
      <c r="BE307" s="32"/>
      <c r="BF307" s="13"/>
      <c r="BG307" s="13"/>
      <c r="BH307" s="14"/>
      <c r="BI307" s="15">
        <f t="shared" ref="BI307" si="1219">SUM(BE307:BH307)</f>
        <v>0</v>
      </c>
      <c r="BJ307" s="32"/>
      <c r="BK307" s="13"/>
      <c r="BL307" s="13"/>
      <c r="BM307" s="14"/>
      <c r="BN307" s="15">
        <f t="shared" ref="BN307" si="1220">SUM(BJ307:BM307)</f>
        <v>0</v>
      </c>
      <c r="BO307" s="66">
        <f t="shared" si="1191"/>
        <v>0</v>
      </c>
      <c r="BP307" s="13">
        <f t="shared" si="1192"/>
        <v>235</v>
      </c>
      <c r="BQ307" s="13">
        <f t="shared" si="1193"/>
        <v>0</v>
      </c>
      <c r="BR307" s="14">
        <f t="shared" si="1194"/>
        <v>0</v>
      </c>
      <c r="BS307" s="33">
        <f t="shared" si="1016"/>
        <v>235</v>
      </c>
    </row>
    <row r="308" spans="2:71" x14ac:dyDescent="0.3">
      <c r="B308" s="264"/>
      <c r="C308" s="223"/>
      <c r="D308" s="224"/>
      <c r="E308" s="211"/>
      <c r="F308" s="121" t="s">
        <v>140</v>
      </c>
      <c r="G308" s="32"/>
      <c r="H308" s="13"/>
      <c r="I308" s="13"/>
      <c r="J308" s="14"/>
      <c r="K308" s="15">
        <f t="shared" ref="K308" si="1221">SUM(G308:J308)</f>
        <v>0</v>
      </c>
      <c r="L308" s="32"/>
      <c r="M308" s="13"/>
      <c r="N308" s="13"/>
      <c r="O308" s="14"/>
      <c r="P308" s="15">
        <f t="shared" si="1144"/>
        <v>0</v>
      </c>
      <c r="Q308" s="32"/>
      <c r="R308" s="13">
        <v>92</v>
      </c>
      <c r="S308" s="13"/>
      <c r="T308" s="14"/>
      <c r="U308" s="15">
        <f t="shared" si="1145"/>
        <v>92</v>
      </c>
      <c r="V308" s="32"/>
      <c r="W308" s="13">
        <v>234</v>
      </c>
      <c r="X308" s="13"/>
      <c r="Y308" s="14"/>
      <c r="Z308" s="15">
        <f t="shared" si="1146"/>
        <v>234</v>
      </c>
      <c r="AA308" s="32"/>
      <c r="AB308" s="13"/>
      <c r="AC308" s="13"/>
      <c r="AD308" s="14"/>
      <c r="AE308" s="15">
        <f t="shared" si="1147"/>
        <v>0</v>
      </c>
      <c r="AF308" s="32"/>
      <c r="AG308" s="13"/>
      <c r="AH308" s="13"/>
      <c r="AI308" s="14"/>
      <c r="AJ308" s="15">
        <f t="shared" si="1148"/>
        <v>0</v>
      </c>
      <c r="AK308" s="32"/>
      <c r="AL308" s="13">
        <v>823</v>
      </c>
      <c r="AM308" s="13"/>
      <c r="AN308" s="14"/>
      <c r="AO308" s="15">
        <f t="shared" si="1149"/>
        <v>823</v>
      </c>
      <c r="AP308" s="32"/>
      <c r="AQ308" s="13"/>
      <c r="AR308" s="13"/>
      <c r="AS308" s="14"/>
      <c r="AT308" s="15">
        <f t="shared" si="1150"/>
        <v>0</v>
      </c>
      <c r="AU308" s="32"/>
      <c r="AV308" s="13"/>
      <c r="AW308" s="13"/>
      <c r="AX308" s="14"/>
      <c r="AY308" s="15">
        <f t="shared" si="1151"/>
        <v>0</v>
      </c>
      <c r="AZ308" s="32"/>
      <c r="BA308" s="13"/>
      <c r="BB308" s="13"/>
      <c r="BC308" s="14"/>
      <c r="BD308" s="15">
        <f t="shared" si="1152"/>
        <v>0</v>
      </c>
      <c r="BE308" s="32"/>
      <c r="BF308" s="13">
        <v>5516</v>
      </c>
      <c r="BG308" s="13"/>
      <c r="BH308" s="14"/>
      <c r="BI308" s="15">
        <f t="shared" si="1153"/>
        <v>5516</v>
      </c>
      <c r="BJ308" s="32"/>
      <c r="BK308" s="13">
        <v>1040</v>
      </c>
      <c r="BL308" s="13"/>
      <c r="BM308" s="14"/>
      <c r="BN308" s="15">
        <f t="shared" si="1154"/>
        <v>1040</v>
      </c>
      <c r="BO308" s="66">
        <f t="shared" si="1191"/>
        <v>0</v>
      </c>
      <c r="BP308" s="13">
        <f t="shared" si="1192"/>
        <v>7705</v>
      </c>
      <c r="BQ308" s="13">
        <f t="shared" si="1193"/>
        <v>0</v>
      </c>
      <c r="BR308" s="14">
        <f t="shared" si="1194"/>
        <v>0</v>
      </c>
      <c r="BS308" s="33">
        <f t="shared" ref="BS308" si="1222">SUM(BO308:BR308)</f>
        <v>7705</v>
      </c>
    </row>
    <row r="309" spans="2:71" x14ac:dyDescent="0.3">
      <c r="B309" s="264"/>
      <c r="C309" s="223"/>
      <c r="D309" s="224"/>
      <c r="E309" s="211"/>
      <c r="F309" s="121" t="s">
        <v>136</v>
      </c>
      <c r="G309" s="32"/>
      <c r="H309" s="13"/>
      <c r="I309" s="13"/>
      <c r="J309" s="14"/>
      <c r="K309" s="15">
        <f t="shared" si="1015"/>
        <v>0</v>
      </c>
      <c r="L309" s="32"/>
      <c r="M309" s="13"/>
      <c r="N309" s="13"/>
      <c r="O309" s="14"/>
      <c r="P309" s="15">
        <f t="shared" si="1144"/>
        <v>0</v>
      </c>
      <c r="Q309" s="32"/>
      <c r="R309" s="13"/>
      <c r="S309" s="13"/>
      <c r="T309" s="14"/>
      <c r="U309" s="15">
        <f t="shared" si="1145"/>
        <v>0</v>
      </c>
      <c r="V309" s="32"/>
      <c r="W309" s="13">
        <v>15</v>
      </c>
      <c r="X309" s="13"/>
      <c r="Y309" s="14"/>
      <c r="Z309" s="15">
        <f t="shared" si="1146"/>
        <v>15</v>
      </c>
      <c r="AA309" s="32"/>
      <c r="AB309" s="13">
        <v>1067</v>
      </c>
      <c r="AC309" s="13"/>
      <c r="AD309" s="14"/>
      <c r="AE309" s="15">
        <f t="shared" si="1147"/>
        <v>1067</v>
      </c>
      <c r="AF309" s="32"/>
      <c r="AG309" s="13"/>
      <c r="AH309" s="13"/>
      <c r="AI309" s="14"/>
      <c r="AJ309" s="15">
        <f t="shared" si="1148"/>
        <v>0</v>
      </c>
      <c r="AK309" s="32"/>
      <c r="AL309" s="13"/>
      <c r="AM309" s="13"/>
      <c r="AN309" s="14"/>
      <c r="AO309" s="15">
        <f t="shared" si="1149"/>
        <v>0</v>
      </c>
      <c r="AP309" s="32"/>
      <c r="AQ309" s="13"/>
      <c r="AR309" s="13"/>
      <c r="AS309" s="14"/>
      <c r="AT309" s="15">
        <f t="shared" si="1150"/>
        <v>0</v>
      </c>
      <c r="AU309" s="32"/>
      <c r="AV309" s="13">
        <v>543</v>
      </c>
      <c r="AW309" s="13"/>
      <c r="AX309" s="14"/>
      <c r="AY309" s="15">
        <f t="shared" si="1151"/>
        <v>543</v>
      </c>
      <c r="AZ309" s="32"/>
      <c r="BA309" s="13">
        <v>796</v>
      </c>
      <c r="BB309" s="13"/>
      <c r="BC309" s="14"/>
      <c r="BD309" s="15">
        <f t="shared" si="1152"/>
        <v>796</v>
      </c>
      <c r="BE309" s="32"/>
      <c r="BF309" s="13">
        <v>787</v>
      </c>
      <c r="BG309" s="13"/>
      <c r="BH309" s="14"/>
      <c r="BI309" s="15">
        <f t="shared" si="1153"/>
        <v>787</v>
      </c>
      <c r="BJ309" s="32"/>
      <c r="BK309" s="13"/>
      <c r="BL309" s="13"/>
      <c r="BM309" s="14"/>
      <c r="BN309" s="15">
        <f t="shared" si="1154"/>
        <v>0</v>
      </c>
      <c r="BO309" s="66">
        <f t="shared" si="1191"/>
        <v>0</v>
      </c>
      <c r="BP309" s="13">
        <f t="shared" si="1192"/>
        <v>3208</v>
      </c>
      <c r="BQ309" s="13">
        <f t="shared" si="1193"/>
        <v>0</v>
      </c>
      <c r="BR309" s="14">
        <f t="shared" si="1194"/>
        <v>0</v>
      </c>
      <c r="BS309" s="33">
        <f t="shared" si="1016"/>
        <v>3208</v>
      </c>
    </row>
    <row r="310" spans="2:71" x14ac:dyDescent="0.3">
      <c r="B310" s="264"/>
      <c r="C310" s="223"/>
      <c r="D310" s="224"/>
      <c r="E310" s="211"/>
      <c r="F310" s="121" t="s">
        <v>190</v>
      </c>
      <c r="G310" s="32"/>
      <c r="H310" s="13"/>
      <c r="I310" s="13"/>
      <c r="J310" s="14"/>
      <c r="K310" s="15">
        <f t="shared" ref="K310:K311" si="1223">SUM(G310:J310)</f>
        <v>0</v>
      </c>
      <c r="L310" s="32"/>
      <c r="M310" s="13"/>
      <c r="N310" s="13"/>
      <c r="O310" s="14"/>
      <c r="P310" s="15">
        <f t="shared" si="1144"/>
        <v>0</v>
      </c>
      <c r="Q310" s="32"/>
      <c r="R310" s="13"/>
      <c r="S310" s="13"/>
      <c r="T310" s="14"/>
      <c r="U310" s="15">
        <f t="shared" si="1145"/>
        <v>0</v>
      </c>
      <c r="V310" s="32"/>
      <c r="W310" s="13"/>
      <c r="X310" s="13"/>
      <c r="Y310" s="14"/>
      <c r="Z310" s="15">
        <f t="shared" si="1146"/>
        <v>0</v>
      </c>
      <c r="AA310" s="32"/>
      <c r="AB310" s="13"/>
      <c r="AC310" s="13"/>
      <c r="AD310" s="14"/>
      <c r="AE310" s="15">
        <f t="shared" si="1147"/>
        <v>0</v>
      </c>
      <c r="AF310" s="32"/>
      <c r="AG310" s="13"/>
      <c r="AH310" s="13"/>
      <c r="AI310" s="14"/>
      <c r="AJ310" s="15">
        <f t="shared" si="1148"/>
        <v>0</v>
      </c>
      <c r="AK310" s="32"/>
      <c r="AL310" s="13"/>
      <c r="AM310" s="13"/>
      <c r="AN310" s="14"/>
      <c r="AO310" s="15">
        <f t="shared" si="1149"/>
        <v>0</v>
      </c>
      <c r="AP310" s="32"/>
      <c r="AQ310" s="13"/>
      <c r="AR310" s="13"/>
      <c r="AS310" s="14"/>
      <c r="AT310" s="15">
        <f t="shared" si="1150"/>
        <v>0</v>
      </c>
      <c r="AU310" s="32"/>
      <c r="AV310" s="13"/>
      <c r="AW310" s="13"/>
      <c r="AX310" s="14"/>
      <c r="AY310" s="15">
        <f t="shared" si="1151"/>
        <v>0</v>
      </c>
      <c r="AZ310" s="32"/>
      <c r="BA310" s="13"/>
      <c r="BB310" s="13"/>
      <c r="BC310" s="14"/>
      <c r="BD310" s="15">
        <f t="shared" si="1152"/>
        <v>0</v>
      </c>
      <c r="BE310" s="32"/>
      <c r="BF310" s="13"/>
      <c r="BG310" s="13"/>
      <c r="BH310" s="14"/>
      <c r="BI310" s="15">
        <f t="shared" si="1153"/>
        <v>0</v>
      </c>
      <c r="BJ310" s="32"/>
      <c r="BK310" s="13"/>
      <c r="BL310" s="13"/>
      <c r="BM310" s="14"/>
      <c r="BN310" s="15">
        <f t="shared" si="1154"/>
        <v>0</v>
      </c>
      <c r="BO310" s="66">
        <f t="shared" si="1191"/>
        <v>0</v>
      </c>
      <c r="BP310" s="13">
        <f t="shared" si="1192"/>
        <v>0</v>
      </c>
      <c r="BQ310" s="13">
        <f t="shared" si="1193"/>
        <v>0</v>
      </c>
      <c r="BR310" s="14">
        <f t="shared" si="1194"/>
        <v>0</v>
      </c>
      <c r="BS310" s="33">
        <f t="shared" ref="BS310:BS311" si="1224">SUM(BO310:BR310)</f>
        <v>0</v>
      </c>
    </row>
    <row r="311" spans="2:71" x14ac:dyDescent="0.3">
      <c r="B311" s="264"/>
      <c r="C311" s="223"/>
      <c r="D311" s="224"/>
      <c r="E311" s="211"/>
      <c r="F311" s="121" t="s">
        <v>191</v>
      </c>
      <c r="G311" s="32"/>
      <c r="H311" s="13"/>
      <c r="I311" s="13"/>
      <c r="J311" s="14"/>
      <c r="K311" s="15">
        <f t="shared" si="1223"/>
        <v>0</v>
      </c>
      <c r="L311" s="32"/>
      <c r="M311" s="13"/>
      <c r="N311" s="13"/>
      <c r="O311" s="14"/>
      <c r="P311" s="15">
        <f t="shared" si="1144"/>
        <v>0</v>
      </c>
      <c r="Q311" s="32"/>
      <c r="R311" s="13">
        <v>9</v>
      </c>
      <c r="S311" s="13"/>
      <c r="T311" s="14"/>
      <c r="U311" s="15">
        <f t="shared" si="1145"/>
        <v>9</v>
      </c>
      <c r="V311" s="32"/>
      <c r="W311" s="13">
        <v>716</v>
      </c>
      <c r="X311" s="13"/>
      <c r="Y311" s="14"/>
      <c r="Z311" s="15">
        <f t="shared" si="1146"/>
        <v>716</v>
      </c>
      <c r="AA311" s="32"/>
      <c r="AB311" s="13">
        <v>2405</v>
      </c>
      <c r="AC311" s="13"/>
      <c r="AD311" s="14"/>
      <c r="AE311" s="15">
        <f t="shared" si="1147"/>
        <v>2405</v>
      </c>
      <c r="AF311" s="32"/>
      <c r="AG311" s="13">
        <v>485</v>
      </c>
      <c r="AH311" s="13"/>
      <c r="AI311" s="14"/>
      <c r="AJ311" s="15">
        <f t="shared" si="1148"/>
        <v>485</v>
      </c>
      <c r="AK311" s="32"/>
      <c r="AL311" s="13">
        <v>28</v>
      </c>
      <c r="AM311" s="13"/>
      <c r="AN311" s="14"/>
      <c r="AO311" s="15">
        <f t="shared" si="1149"/>
        <v>28</v>
      </c>
      <c r="AP311" s="32"/>
      <c r="AQ311" s="13"/>
      <c r="AR311" s="13"/>
      <c r="AS311" s="14"/>
      <c r="AT311" s="15">
        <f t="shared" si="1150"/>
        <v>0</v>
      </c>
      <c r="AU311" s="32"/>
      <c r="AV311" s="13">
        <v>603</v>
      </c>
      <c r="AW311" s="13"/>
      <c r="AX311" s="14"/>
      <c r="AY311" s="15">
        <f t="shared" si="1151"/>
        <v>603</v>
      </c>
      <c r="AZ311" s="32"/>
      <c r="BA311" s="13">
        <v>2171</v>
      </c>
      <c r="BB311" s="13"/>
      <c r="BC311" s="14"/>
      <c r="BD311" s="15">
        <f t="shared" si="1152"/>
        <v>2171</v>
      </c>
      <c r="BE311" s="32"/>
      <c r="BF311" s="13">
        <v>438</v>
      </c>
      <c r="BG311" s="13"/>
      <c r="BH311" s="14"/>
      <c r="BI311" s="15">
        <f t="shared" si="1153"/>
        <v>438</v>
      </c>
      <c r="BJ311" s="32"/>
      <c r="BK311" s="13">
        <v>38</v>
      </c>
      <c r="BL311" s="13"/>
      <c r="BM311" s="14"/>
      <c r="BN311" s="15">
        <f t="shared" si="1154"/>
        <v>38</v>
      </c>
      <c r="BO311" s="66">
        <f t="shared" si="1191"/>
        <v>0</v>
      </c>
      <c r="BP311" s="13">
        <f t="shared" si="1192"/>
        <v>6893</v>
      </c>
      <c r="BQ311" s="13">
        <f t="shared" si="1193"/>
        <v>0</v>
      </c>
      <c r="BR311" s="14">
        <f t="shared" si="1194"/>
        <v>0</v>
      </c>
      <c r="BS311" s="33">
        <f t="shared" si="1224"/>
        <v>6893</v>
      </c>
    </row>
    <row r="312" spans="2:71" x14ac:dyDescent="0.3">
      <c r="B312" s="264"/>
      <c r="C312" s="223"/>
      <c r="D312" s="224"/>
      <c r="E312" s="211"/>
      <c r="F312" s="121" t="s">
        <v>192</v>
      </c>
      <c r="G312" s="32"/>
      <c r="H312" s="13"/>
      <c r="I312" s="13"/>
      <c r="J312" s="14"/>
      <c r="K312" s="15">
        <f t="shared" ref="K312" si="1225">SUM(G312:J312)</f>
        <v>0</v>
      </c>
      <c r="L312" s="32"/>
      <c r="M312" s="13"/>
      <c r="N312" s="13"/>
      <c r="O312" s="14"/>
      <c r="P312" s="15">
        <f t="shared" si="1144"/>
        <v>0</v>
      </c>
      <c r="Q312" s="32"/>
      <c r="R312" s="13"/>
      <c r="S312" s="13"/>
      <c r="T312" s="14"/>
      <c r="U312" s="15">
        <f t="shared" si="1145"/>
        <v>0</v>
      </c>
      <c r="V312" s="32"/>
      <c r="W312" s="13"/>
      <c r="X312" s="13"/>
      <c r="Y312" s="14"/>
      <c r="Z312" s="15">
        <f t="shared" si="1146"/>
        <v>0</v>
      </c>
      <c r="AA312" s="32"/>
      <c r="AB312" s="13"/>
      <c r="AC312" s="13"/>
      <c r="AD312" s="14"/>
      <c r="AE312" s="15">
        <f t="shared" si="1147"/>
        <v>0</v>
      </c>
      <c r="AF312" s="32"/>
      <c r="AG312" s="13"/>
      <c r="AH312" s="13"/>
      <c r="AI312" s="14"/>
      <c r="AJ312" s="15">
        <f t="shared" si="1148"/>
        <v>0</v>
      </c>
      <c r="AK312" s="32"/>
      <c r="AL312" s="13"/>
      <c r="AM312" s="13"/>
      <c r="AN312" s="14"/>
      <c r="AO312" s="15">
        <f t="shared" si="1149"/>
        <v>0</v>
      </c>
      <c r="AP312" s="32"/>
      <c r="AQ312" s="13"/>
      <c r="AR312" s="13"/>
      <c r="AS312" s="14"/>
      <c r="AT312" s="15">
        <f t="shared" si="1150"/>
        <v>0</v>
      </c>
      <c r="AU312" s="32"/>
      <c r="AV312" s="13"/>
      <c r="AW312" s="13"/>
      <c r="AX312" s="14"/>
      <c r="AY312" s="15">
        <f t="shared" si="1151"/>
        <v>0</v>
      </c>
      <c r="AZ312" s="32"/>
      <c r="BA312" s="13">
        <v>14145</v>
      </c>
      <c r="BB312" s="13"/>
      <c r="BC312" s="14"/>
      <c r="BD312" s="15">
        <f t="shared" si="1152"/>
        <v>14145</v>
      </c>
      <c r="BE312" s="32"/>
      <c r="BF312" s="13">
        <v>597</v>
      </c>
      <c r="BG312" s="13"/>
      <c r="BH312" s="14"/>
      <c r="BI312" s="15">
        <f t="shared" si="1153"/>
        <v>597</v>
      </c>
      <c r="BJ312" s="32"/>
      <c r="BK312" s="13"/>
      <c r="BL312" s="13"/>
      <c r="BM312" s="14"/>
      <c r="BN312" s="15">
        <f t="shared" si="1154"/>
        <v>0</v>
      </c>
      <c r="BO312" s="66">
        <f t="shared" si="1191"/>
        <v>0</v>
      </c>
      <c r="BP312" s="13">
        <f t="shared" si="1192"/>
        <v>14742</v>
      </c>
      <c r="BQ312" s="13">
        <f t="shared" si="1193"/>
        <v>0</v>
      </c>
      <c r="BR312" s="14">
        <f t="shared" si="1194"/>
        <v>0</v>
      </c>
      <c r="BS312" s="33">
        <f t="shared" ref="BS312" si="1226">SUM(BO312:BR312)</f>
        <v>14742</v>
      </c>
    </row>
    <row r="313" spans="2:71" x14ac:dyDescent="0.3">
      <c r="B313" s="264"/>
      <c r="C313" s="223"/>
      <c r="D313" s="224"/>
      <c r="E313" s="211"/>
      <c r="F313" s="132" t="s">
        <v>186</v>
      </c>
      <c r="G313" s="44"/>
      <c r="H313" s="45">
        <v>7</v>
      </c>
      <c r="I313" s="45"/>
      <c r="J313" s="46"/>
      <c r="K313" s="47">
        <f t="shared" si="1015"/>
        <v>7</v>
      </c>
      <c r="L313" s="44"/>
      <c r="M313" s="45"/>
      <c r="N313" s="45"/>
      <c r="O313" s="46"/>
      <c r="P313" s="47">
        <f t="shared" si="1144"/>
        <v>0</v>
      </c>
      <c r="Q313" s="44"/>
      <c r="R313" s="45">
        <v>11</v>
      </c>
      <c r="S313" s="45"/>
      <c r="T313" s="46"/>
      <c r="U313" s="47">
        <f t="shared" si="1145"/>
        <v>11</v>
      </c>
      <c r="V313" s="44"/>
      <c r="W313" s="45">
        <v>72</v>
      </c>
      <c r="X313" s="45"/>
      <c r="Y313" s="46"/>
      <c r="Z313" s="47">
        <f t="shared" si="1146"/>
        <v>72</v>
      </c>
      <c r="AA313" s="44"/>
      <c r="AB313" s="45">
        <v>173</v>
      </c>
      <c r="AC313" s="45"/>
      <c r="AD313" s="46"/>
      <c r="AE313" s="47">
        <f t="shared" si="1147"/>
        <v>173</v>
      </c>
      <c r="AF313" s="44"/>
      <c r="AG313" s="45">
        <v>295</v>
      </c>
      <c r="AH313" s="45"/>
      <c r="AI313" s="46"/>
      <c r="AJ313" s="47">
        <f t="shared" si="1148"/>
        <v>295</v>
      </c>
      <c r="AK313" s="44"/>
      <c r="AL313" s="45">
        <v>190</v>
      </c>
      <c r="AM313" s="45"/>
      <c r="AN313" s="46"/>
      <c r="AO313" s="47">
        <f t="shared" si="1149"/>
        <v>190</v>
      </c>
      <c r="AP313" s="44"/>
      <c r="AQ313" s="45"/>
      <c r="AR313" s="45"/>
      <c r="AS313" s="46"/>
      <c r="AT313" s="47">
        <f t="shared" si="1150"/>
        <v>0</v>
      </c>
      <c r="AU313" s="44"/>
      <c r="AV313" s="45">
        <v>107</v>
      </c>
      <c r="AW313" s="45"/>
      <c r="AX313" s="46"/>
      <c r="AY313" s="47">
        <f t="shared" si="1151"/>
        <v>107</v>
      </c>
      <c r="AZ313" s="44"/>
      <c r="BA313" s="45">
        <v>559</v>
      </c>
      <c r="BB313" s="45"/>
      <c r="BC313" s="46"/>
      <c r="BD313" s="47">
        <f t="shared" si="1152"/>
        <v>559</v>
      </c>
      <c r="BE313" s="44"/>
      <c r="BF313" s="45">
        <v>403</v>
      </c>
      <c r="BG313" s="45"/>
      <c r="BH313" s="46"/>
      <c r="BI313" s="47">
        <f t="shared" si="1153"/>
        <v>403</v>
      </c>
      <c r="BJ313" s="44"/>
      <c r="BK313" s="45">
        <v>289</v>
      </c>
      <c r="BL313" s="45"/>
      <c r="BM313" s="46"/>
      <c r="BN313" s="47">
        <f t="shared" si="1154"/>
        <v>289</v>
      </c>
      <c r="BO313" s="67">
        <f t="shared" si="1191"/>
        <v>0</v>
      </c>
      <c r="BP313" s="45">
        <f t="shared" si="1192"/>
        <v>2106</v>
      </c>
      <c r="BQ313" s="45">
        <f t="shared" si="1193"/>
        <v>0</v>
      </c>
      <c r="BR313" s="46">
        <f t="shared" si="1194"/>
        <v>0</v>
      </c>
      <c r="BS313" s="48">
        <f t="shared" si="1016"/>
        <v>2106</v>
      </c>
    </row>
    <row r="314" spans="2:71" x14ac:dyDescent="0.3">
      <c r="B314" s="264"/>
      <c r="C314" s="223"/>
      <c r="D314" s="224"/>
      <c r="E314" s="165" t="s">
        <v>89</v>
      </c>
      <c r="F314" s="146" t="s">
        <v>135</v>
      </c>
      <c r="G314" s="153"/>
      <c r="H314" s="154"/>
      <c r="I314" s="154">
        <v>46</v>
      </c>
      <c r="J314" s="155"/>
      <c r="K314" s="156">
        <f t="shared" si="1015"/>
        <v>46</v>
      </c>
      <c r="L314" s="153"/>
      <c r="M314" s="154"/>
      <c r="N314" s="154"/>
      <c r="O314" s="155"/>
      <c r="P314" s="156">
        <f t="shared" si="1144"/>
        <v>0</v>
      </c>
      <c r="Q314" s="153"/>
      <c r="R314" s="154"/>
      <c r="S314" s="154"/>
      <c r="T314" s="155"/>
      <c r="U314" s="156">
        <f t="shared" si="1145"/>
        <v>0</v>
      </c>
      <c r="V314" s="153"/>
      <c r="W314" s="154"/>
      <c r="X314" s="154"/>
      <c r="Y314" s="155"/>
      <c r="Z314" s="156">
        <f t="shared" si="1146"/>
        <v>0</v>
      </c>
      <c r="AA314" s="153"/>
      <c r="AB314" s="154"/>
      <c r="AC314" s="154">
        <v>1488</v>
      </c>
      <c r="AD314" s="155"/>
      <c r="AE314" s="156">
        <f t="shared" si="1147"/>
        <v>1488</v>
      </c>
      <c r="AF314" s="153"/>
      <c r="AG314" s="154">
        <v>63</v>
      </c>
      <c r="AH314" s="154"/>
      <c r="AI314" s="155"/>
      <c r="AJ314" s="156">
        <f t="shared" si="1148"/>
        <v>63</v>
      </c>
      <c r="AK314" s="153"/>
      <c r="AL314" s="154"/>
      <c r="AM314" s="154"/>
      <c r="AN314" s="155"/>
      <c r="AO314" s="156">
        <f t="shared" si="1149"/>
        <v>0</v>
      </c>
      <c r="AP314" s="153"/>
      <c r="AQ314" s="154"/>
      <c r="AR314" s="154"/>
      <c r="AS314" s="155"/>
      <c r="AT314" s="156">
        <f t="shared" si="1150"/>
        <v>0</v>
      </c>
      <c r="AU314" s="153"/>
      <c r="AV314" s="154">
        <v>403</v>
      </c>
      <c r="AW314" s="154"/>
      <c r="AX314" s="155"/>
      <c r="AY314" s="156">
        <f t="shared" si="1151"/>
        <v>403</v>
      </c>
      <c r="AZ314" s="153"/>
      <c r="BA314" s="154">
        <v>38</v>
      </c>
      <c r="BB314" s="154">
        <v>146</v>
      </c>
      <c r="BC314" s="155"/>
      <c r="BD314" s="156">
        <f t="shared" si="1152"/>
        <v>184</v>
      </c>
      <c r="BE314" s="153"/>
      <c r="BF314" s="154"/>
      <c r="BG314" s="154"/>
      <c r="BH314" s="155"/>
      <c r="BI314" s="156">
        <f t="shared" si="1153"/>
        <v>0</v>
      </c>
      <c r="BJ314" s="153"/>
      <c r="BK314" s="154"/>
      <c r="BL314" s="154"/>
      <c r="BM314" s="155"/>
      <c r="BN314" s="156">
        <f t="shared" si="1154"/>
        <v>0</v>
      </c>
      <c r="BO314" s="158">
        <f t="shared" si="1191"/>
        <v>0</v>
      </c>
      <c r="BP314" s="154">
        <f t="shared" si="1192"/>
        <v>504</v>
      </c>
      <c r="BQ314" s="154">
        <f t="shared" si="1193"/>
        <v>1680</v>
      </c>
      <c r="BR314" s="155">
        <f t="shared" si="1194"/>
        <v>0</v>
      </c>
      <c r="BS314" s="157">
        <f t="shared" si="1016"/>
        <v>2184</v>
      </c>
    </row>
    <row r="315" spans="2:71" x14ac:dyDescent="0.3">
      <c r="B315" s="264"/>
      <c r="C315" s="225"/>
      <c r="D315" s="226"/>
      <c r="E315" s="115"/>
      <c r="F315" s="115" t="s">
        <v>57</v>
      </c>
      <c r="G315" s="159">
        <f>SUM(G301:G314)</f>
        <v>0</v>
      </c>
      <c r="H315" s="160">
        <f>SUM(H301:H314)</f>
        <v>7</v>
      </c>
      <c r="I315" s="160">
        <f>SUM(I301:I314)</f>
        <v>62</v>
      </c>
      <c r="J315" s="161">
        <f>SUM(J301:J314)</f>
        <v>0</v>
      </c>
      <c r="K315" s="162">
        <f t="shared" si="1015"/>
        <v>69</v>
      </c>
      <c r="L315" s="159">
        <f>SUM(L301:L314)</f>
        <v>0</v>
      </c>
      <c r="M315" s="160">
        <f>SUM(M301:M314)</f>
        <v>0</v>
      </c>
      <c r="N315" s="160">
        <f>SUM(N301:N314)</f>
        <v>212</v>
      </c>
      <c r="O315" s="161">
        <f>SUM(O301:O314)</f>
        <v>0</v>
      </c>
      <c r="P315" s="162">
        <f t="shared" si="1144"/>
        <v>212</v>
      </c>
      <c r="Q315" s="159">
        <f>SUM(Q301:Q314)</f>
        <v>0</v>
      </c>
      <c r="R315" s="160">
        <f>SUM(R301:R314)</f>
        <v>112</v>
      </c>
      <c r="S315" s="160">
        <f>SUM(S301:S314)</f>
        <v>292</v>
      </c>
      <c r="T315" s="161">
        <f>SUM(T301:T314)</f>
        <v>0</v>
      </c>
      <c r="U315" s="162">
        <f t="shared" si="1145"/>
        <v>404</v>
      </c>
      <c r="V315" s="159">
        <f>SUM(V301:V314)</f>
        <v>0</v>
      </c>
      <c r="W315" s="160">
        <f>SUM(W301:W314)</f>
        <v>9362</v>
      </c>
      <c r="X315" s="160">
        <f>SUM(X301:X314)</f>
        <v>12238</v>
      </c>
      <c r="Y315" s="161">
        <f>SUM(Y301:Y314)</f>
        <v>0</v>
      </c>
      <c r="Z315" s="162">
        <f t="shared" si="1146"/>
        <v>21600</v>
      </c>
      <c r="AA315" s="159">
        <f>SUM(AA301:AA314)</f>
        <v>0</v>
      </c>
      <c r="AB315" s="160">
        <f>SUM(AB301:AB314)</f>
        <v>32649</v>
      </c>
      <c r="AC315" s="160">
        <f>SUM(AC301:AC314)</f>
        <v>14203</v>
      </c>
      <c r="AD315" s="161">
        <f>SUM(AD301:AD314)</f>
        <v>0</v>
      </c>
      <c r="AE315" s="162">
        <f t="shared" si="1147"/>
        <v>46852</v>
      </c>
      <c r="AF315" s="159">
        <f>SUM(AF301:AF314)</f>
        <v>0</v>
      </c>
      <c r="AG315" s="160">
        <f>SUM(AG301:AG314)</f>
        <v>7029</v>
      </c>
      <c r="AH315" s="160">
        <f>SUM(AH301:AH314)</f>
        <v>2601</v>
      </c>
      <c r="AI315" s="161">
        <f>SUM(AI301:AI314)</f>
        <v>0</v>
      </c>
      <c r="AJ315" s="162">
        <f t="shared" si="1148"/>
        <v>9630</v>
      </c>
      <c r="AK315" s="159">
        <f>SUM(AK301:AK314)</f>
        <v>0</v>
      </c>
      <c r="AL315" s="160">
        <f>SUM(AL301:AL314)</f>
        <v>1062</v>
      </c>
      <c r="AM315" s="160">
        <f>SUM(AM301:AM314)</f>
        <v>277</v>
      </c>
      <c r="AN315" s="161">
        <f>SUM(AN301:AN314)</f>
        <v>0</v>
      </c>
      <c r="AO315" s="162">
        <f t="shared" si="1149"/>
        <v>1339</v>
      </c>
      <c r="AP315" s="159">
        <f>SUM(AP301:AP314)</f>
        <v>0</v>
      </c>
      <c r="AQ315" s="160">
        <f>SUM(AQ301:AQ314)</f>
        <v>0</v>
      </c>
      <c r="AR315" s="160">
        <f>SUM(AR301:AR314)</f>
        <v>61</v>
      </c>
      <c r="AS315" s="161">
        <f>SUM(AS301:AS314)</f>
        <v>0</v>
      </c>
      <c r="AT315" s="162">
        <f t="shared" si="1150"/>
        <v>61</v>
      </c>
      <c r="AU315" s="159">
        <f>SUM(AU301:AU314)</f>
        <v>0</v>
      </c>
      <c r="AV315" s="160">
        <f>SUM(AV301:AV314)</f>
        <v>8437</v>
      </c>
      <c r="AW315" s="160">
        <f>SUM(AW301:AW314)</f>
        <v>3235</v>
      </c>
      <c r="AX315" s="161">
        <f>SUM(AX301:AX314)</f>
        <v>0</v>
      </c>
      <c r="AY315" s="162">
        <f t="shared" si="1151"/>
        <v>11672</v>
      </c>
      <c r="AZ315" s="159">
        <f>SUM(AZ301:AZ314)</f>
        <v>0</v>
      </c>
      <c r="BA315" s="160">
        <f>SUM(BA301:BA314)</f>
        <v>36237</v>
      </c>
      <c r="BB315" s="160">
        <f>SUM(BB301:BB314)</f>
        <v>6388</v>
      </c>
      <c r="BC315" s="161">
        <f>SUM(BC301:BC314)</f>
        <v>0</v>
      </c>
      <c r="BD315" s="162">
        <f t="shared" si="1152"/>
        <v>42625</v>
      </c>
      <c r="BE315" s="159">
        <f>SUM(BE301:BE314)</f>
        <v>0</v>
      </c>
      <c r="BF315" s="160">
        <f>SUM(BF301:BF314)</f>
        <v>7741</v>
      </c>
      <c r="BG315" s="160">
        <f>SUM(BG301:BG314)</f>
        <v>1619</v>
      </c>
      <c r="BH315" s="161">
        <f>SUM(BH301:BH314)</f>
        <v>0</v>
      </c>
      <c r="BI315" s="162">
        <f t="shared" si="1153"/>
        <v>9360</v>
      </c>
      <c r="BJ315" s="159">
        <f>SUM(BJ301:BJ314)</f>
        <v>0</v>
      </c>
      <c r="BK315" s="160">
        <f>SUM(BK301:BK314)</f>
        <v>1367</v>
      </c>
      <c r="BL315" s="160">
        <f>SUM(BL301:BL314)</f>
        <v>141</v>
      </c>
      <c r="BM315" s="161">
        <f>SUM(BM301:BM314)</f>
        <v>0</v>
      </c>
      <c r="BN315" s="162">
        <f t="shared" si="1154"/>
        <v>1508</v>
      </c>
      <c r="BO315" s="164">
        <f>SUM(BO301:BO314)</f>
        <v>0</v>
      </c>
      <c r="BP315" s="160">
        <f>SUM(BP301:BP314)</f>
        <v>104003</v>
      </c>
      <c r="BQ315" s="160">
        <f>SUM(BQ301:BQ314)</f>
        <v>41329</v>
      </c>
      <c r="BR315" s="161">
        <f>SUM(BR301:BR314)</f>
        <v>0</v>
      </c>
      <c r="BS315" s="163">
        <f t="shared" si="1016"/>
        <v>145332</v>
      </c>
    </row>
    <row r="316" spans="2:71" x14ac:dyDescent="0.3">
      <c r="B316" s="264"/>
      <c r="C316" s="227" t="s">
        <v>10</v>
      </c>
      <c r="D316" s="228"/>
      <c r="E316" s="210" t="s">
        <v>91</v>
      </c>
      <c r="F316" s="141" t="s">
        <v>227</v>
      </c>
      <c r="G316" s="30"/>
      <c r="H316" s="7"/>
      <c r="I316" s="7"/>
      <c r="J316" s="8">
        <v>1186</v>
      </c>
      <c r="K316" s="9">
        <f t="shared" si="1015"/>
        <v>1186</v>
      </c>
      <c r="L316" s="30"/>
      <c r="M316" s="7"/>
      <c r="N316" s="7"/>
      <c r="O316" s="8">
        <v>1580</v>
      </c>
      <c r="P316" s="9">
        <f t="shared" si="1144"/>
        <v>1580</v>
      </c>
      <c r="Q316" s="30"/>
      <c r="R316" s="7"/>
      <c r="S316" s="7"/>
      <c r="T316" s="8"/>
      <c r="U316" s="9">
        <f t="shared" si="1145"/>
        <v>0</v>
      </c>
      <c r="V316" s="30"/>
      <c r="W316" s="7"/>
      <c r="X316" s="7"/>
      <c r="Y316" s="8"/>
      <c r="Z316" s="9">
        <f t="shared" si="1146"/>
        <v>0</v>
      </c>
      <c r="AA316" s="30"/>
      <c r="AB316" s="7"/>
      <c r="AC316" s="7"/>
      <c r="AD316" s="8"/>
      <c r="AE316" s="9">
        <f t="shared" si="1147"/>
        <v>0</v>
      </c>
      <c r="AF316" s="30"/>
      <c r="AG316" s="7"/>
      <c r="AH316" s="7"/>
      <c r="AI316" s="8"/>
      <c r="AJ316" s="9">
        <f t="shared" si="1148"/>
        <v>0</v>
      </c>
      <c r="AK316" s="30"/>
      <c r="AL316" s="7"/>
      <c r="AM316" s="7"/>
      <c r="AN316" s="8"/>
      <c r="AO316" s="9">
        <f t="shared" si="1149"/>
        <v>0</v>
      </c>
      <c r="AP316" s="30"/>
      <c r="AQ316" s="7"/>
      <c r="AR316" s="7"/>
      <c r="AS316" s="8"/>
      <c r="AT316" s="9">
        <f t="shared" si="1150"/>
        <v>0</v>
      </c>
      <c r="AU316" s="30"/>
      <c r="AV316" s="7"/>
      <c r="AW316" s="7"/>
      <c r="AX316" s="8"/>
      <c r="AY316" s="9">
        <f t="shared" si="1151"/>
        <v>0</v>
      </c>
      <c r="AZ316" s="30"/>
      <c r="BA316" s="7"/>
      <c r="BB316" s="7"/>
      <c r="BC316" s="8"/>
      <c r="BD316" s="9">
        <f t="shared" si="1152"/>
        <v>0</v>
      </c>
      <c r="BE316" s="30"/>
      <c r="BF316" s="7"/>
      <c r="BG316" s="7"/>
      <c r="BH316" s="8"/>
      <c r="BI316" s="9">
        <f t="shared" si="1153"/>
        <v>0</v>
      </c>
      <c r="BJ316" s="30"/>
      <c r="BK316" s="7"/>
      <c r="BL316" s="7"/>
      <c r="BM316" s="8"/>
      <c r="BN316" s="9">
        <f t="shared" si="1154"/>
        <v>0</v>
      </c>
      <c r="BO316" s="65">
        <f t="shared" ref="BO316:BO325" si="1227">SUM(G316,L316,Q316,V316,AA316,AF316,AK316,AP316,AU316,AZ316,BE316,BJ316)</f>
        <v>0</v>
      </c>
      <c r="BP316" s="7">
        <f t="shared" ref="BP316:BP325" si="1228">SUM(H316,M316,R316,W316,AB316,AG316,AL316,AQ316,AV316,BA316,BF316,BK316)</f>
        <v>0</v>
      </c>
      <c r="BQ316" s="7">
        <f t="shared" ref="BQ316:BQ325" si="1229">SUM(I316,N316,S316,X316,AC316,AH316,AM316,AR316,AW316,BB316,BG316,BL316)</f>
        <v>0</v>
      </c>
      <c r="BR316" s="8">
        <f t="shared" ref="BR316:BR325" si="1230">SUM(J316,O316,T316,Y316,AD316,AI316,AN316,AS316,AX316,BC316,BH316,BM316)</f>
        <v>2766</v>
      </c>
      <c r="BS316" s="31">
        <f t="shared" si="1016"/>
        <v>2766</v>
      </c>
    </row>
    <row r="317" spans="2:71" x14ac:dyDescent="0.3">
      <c r="B317" s="264"/>
      <c r="C317" s="223"/>
      <c r="D317" s="224"/>
      <c r="E317" s="211"/>
      <c r="F317" s="104" t="s">
        <v>93</v>
      </c>
      <c r="G317" s="34"/>
      <c r="H317" s="16"/>
      <c r="I317" s="16"/>
      <c r="J317" s="17"/>
      <c r="K317" s="18">
        <f t="shared" ref="K317" si="1231">SUM(G317:J317)</f>
        <v>0</v>
      </c>
      <c r="L317" s="34"/>
      <c r="M317" s="16"/>
      <c r="N317" s="16"/>
      <c r="O317" s="17"/>
      <c r="P317" s="18">
        <f t="shared" ref="P317" si="1232">SUM(L317:O317)</f>
        <v>0</v>
      </c>
      <c r="Q317" s="34"/>
      <c r="R317" s="16"/>
      <c r="S317" s="16"/>
      <c r="T317" s="17">
        <v>282</v>
      </c>
      <c r="U317" s="18">
        <f t="shared" ref="U317" si="1233">SUM(Q317:T317)</f>
        <v>282</v>
      </c>
      <c r="V317" s="34"/>
      <c r="W317" s="16"/>
      <c r="X317" s="16"/>
      <c r="Y317" s="17"/>
      <c r="Z317" s="18">
        <f t="shared" ref="Z317" si="1234">SUM(V317:Y317)</f>
        <v>0</v>
      </c>
      <c r="AA317" s="34"/>
      <c r="AB317" s="16"/>
      <c r="AC317" s="16"/>
      <c r="AD317" s="17"/>
      <c r="AE317" s="18">
        <f t="shared" ref="AE317" si="1235">SUM(AA317:AD317)</f>
        <v>0</v>
      </c>
      <c r="AF317" s="34"/>
      <c r="AG317" s="16"/>
      <c r="AH317" s="16"/>
      <c r="AI317" s="17"/>
      <c r="AJ317" s="18">
        <f t="shared" ref="AJ317" si="1236">SUM(AF317:AI317)</f>
        <v>0</v>
      </c>
      <c r="AK317" s="34"/>
      <c r="AL317" s="16"/>
      <c r="AM317" s="16"/>
      <c r="AN317" s="17"/>
      <c r="AO317" s="18">
        <f t="shared" ref="AO317" si="1237">SUM(AK317:AN317)</f>
        <v>0</v>
      </c>
      <c r="AP317" s="34"/>
      <c r="AQ317" s="16"/>
      <c r="AR317" s="16"/>
      <c r="AS317" s="17"/>
      <c r="AT317" s="18">
        <f t="shared" ref="AT317" si="1238">SUM(AP317:AS317)</f>
        <v>0</v>
      </c>
      <c r="AU317" s="34"/>
      <c r="AV317" s="16"/>
      <c r="AW317" s="16"/>
      <c r="AX317" s="17"/>
      <c r="AY317" s="18">
        <f t="shared" ref="AY317" si="1239">SUM(AU317:AX317)</f>
        <v>0</v>
      </c>
      <c r="AZ317" s="34"/>
      <c r="BA317" s="16"/>
      <c r="BB317" s="16"/>
      <c r="BC317" s="17"/>
      <c r="BD317" s="18">
        <f t="shared" ref="BD317" si="1240">SUM(AZ317:BC317)</f>
        <v>0</v>
      </c>
      <c r="BE317" s="34"/>
      <c r="BF317" s="16"/>
      <c r="BG317" s="16"/>
      <c r="BH317" s="17">
        <v>2377</v>
      </c>
      <c r="BI317" s="18">
        <f t="shared" ref="BI317" si="1241">SUM(BE317:BH317)</f>
        <v>2377</v>
      </c>
      <c r="BJ317" s="34"/>
      <c r="BK317" s="16"/>
      <c r="BL317" s="16"/>
      <c r="BM317" s="17">
        <v>466</v>
      </c>
      <c r="BN317" s="18">
        <f t="shared" ref="BN317" si="1242">SUM(BJ317:BM317)</f>
        <v>466</v>
      </c>
      <c r="BO317" s="70">
        <f t="shared" si="1227"/>
        <v>0</v>
      </c>
      <c r="BP317" s="16">
        <f t="shared" si="1228"/>
        <v>0</v>
      </c>
      <c r="BQ317" s="16">
        <f t="shared" si="1229"/>
        <v>0</v>
      </c>
      <c r="BR317" s="17">
        <f t="shared" si="1230"/>
        <v>3125</v>
      </c>
      <c r="BS317" s="35">
        <f t="shared" ref="BS317" si="1243">SUM(BO317:BR317)</f>
        <v>3125</v>
      </c>
    </row>
    <row r="318" spans="2:71" x14ac:dyDescent="0.3">
      <c r="B318" s="264"/>
      <c r="C318" s="223"/>
      <c r="D318" s="224"/>
      <c r="E318" s="211"/>
      <c r="F318" s="104" t="s">
        <v>187</v>
      </c>
      <c r="G318" s="34"/>
      <c r="H318" s="16"/>
      <c r="I318" s="16"/>
      <c r="J318" s="17"/>
      <c r="K318" s="18">
        <f t="shared" si="1015"/>
        <v>0</v>
      </c>
      <c r="L318" s="34"/>
      <c r="M318" s="16"/>
      <c r="N318" s="16"/>
      <c r="O318" s="17"/>
      <c r="P318" s="18">
        <f t="shared" si="1144"/>
        <v>0</v>
      </c>
      <c r="Q318" s="34"/>
      <c r="R318" s="16"/>
      <c r="S318" s="16"/>
      <c r="T318" s="17"/>
      <c r="U318" s="18">
        <f t="shared" si="1145"/>
        <v>0</v>
      </c>
      <c r="V318" s="34"/>
      <c r="W318" s="16"/>
      <c r="X318" s="16"/>
      <c r="Y318" s="17"/>
      <c r="Z318" s="18">
        <f t="shared" si="1146"/>
        <v>0</v>
      </c>
      <c r="AA318" s="34"/>
      <c r="AB318" s="16"/>
      <c r="AC318" s="16"/>
      <c r="AD318" s="17">
        <v>116</v>
      </c>
      <c r="AE318" s="18">
        <f t="shared" si="1147"/>
        <v>116</v>
      </c>
      <c r="AF318" s="34"/>
      <c r="AG318" s="16"/>
      <c r="AH318" s="16"/>
      <c r="AI318" s="17">
        <v>108</v>
      </c>
      <c r="AJ318" s="18">
        <f t="shared" si="1148"/>
        <v>108</v>
      </c>
      <c r="AK318" s="34"/>
      <c r="AL318" s="16"/>
      <c r="AM318" s="16"/>
      <c r="AN318" s="17"/>
      <c r="AO318" s="18">
        <f t="shared" si="1149"/>
        <v>0</v>
      </c>
      <c r="AP318" s="34"/>
      <c r="AQ318" s="16"/>
      <c r="AR318" s="16"/>
      <c r="AS318" s="17"/>
      <c r="AT318" s="18">
        <f t="shared" si="1150"/>
        <v>0</v>
      </c>
      <c r="AU318" s="34"/>
      <c r="AV318" s="16"/>
      <c r="AW318" s="16"/>
      <c r="AX318" s="17"/>
      <c r="AY318" s="18">
        <f t="shared" si="1151"/>
        <v>0</v>
      </c>
      <c r="AZ318" s="34"/>
      <c r="BA318" s="16"/>
      <c r="BB318" s="16"/>
      <c r="BC318" s="17">
        <v>15</v>
      </c>
      <c r="BD318" s="18">
        <f t="shared" si="1152"/>
        <v>15</v>
      </c>
      <c r="BE318" s="34"/>
      <c r="BF318" s="16"/>
      <c r="BG318" s="16"/>
      <c r="BH318" s="17"/>
      <c r="BI318" s="18">
        <f t="shared" si="1153"/>
        <v>0</v>
      </c>
      <c r="BJ318" s="34"/>
      <c r="BK318" s="16"/>
      <c r="BL318" s="16"/>
      <c r="BM318" s="17"/>
      <c r="BN318" s="18">
        <f t="shared" si="1154"/>
        <v>0</v>
      </c>
      <c r="BO318" s="70">
        <f t="shared" si="1227"/>
        <v>0</v>
      </c>
      <c r="BP318" s="16">
        <f t="shared" si="1228"/>
        <v>0</v>
      </c>
      <c r="BQ318" s="16">
        <f t="shared" si="1229"/>
        <v>0</v>
      </c>
      <c r="BR318" s="17">
        <f t="shared" si="1230"/>
        <v>239</v>
      </c>
      <c r="BS318" s="35">
        <f t="shared" si="1016"/>
        <v>239</v>
      </c>
    </row>
    <row r="319" spans="2:71" x14ac:dyDescent="0.3">
      <c r="B319" s="264"/>
      <c r="C319" s="223"/>
      <c r="D319" s="224"/>
      <c r="E319" s="212"/>
      <c r="F319" s="143" t="s">
        <v>188</v>
      </c>
      <c r="G319" s="44"/>
      <c r="H319" s="45"/>
      <c r="I319" s="45"/>
      <c r="J319" s="46"/>
      <c r="K319" s="52">
        <f t="shared" si="1015"/>
        <v>0</v>
      </c>
      <c r="L319" s="44"/>
      <c r="M319" s="45"/>
      <c r="N319" s="45"/>
      <c r="O319" s="46"/>
      <c r="P319" s="52">
        <f t="shared" si="1144"/>
        <v>0</v>
      </c>
      <c r="Q319" s="44"/>
      <c r="R319" s="45"/>
      <c r="S319" s="45"/>
      <c r="T319" s="46"/>
      <c r="U319" s="52">
        <f t="shared" si="1145"/>
        <v>0</v>
      </c>
      <c r="V319" s="44"/>
      <c r="W319" s="45"/>
      <c r="X319" s="45"/>
      <c r="Y319" s="46">
        <v>4351</v>
      </c>
      <c r="Z319" s="52">
        <f t="shared" si="1146"/>
        <v>4351</v>
      </c>
      <c r="AA319" s="44"/>
      <c r="AB319" s="45"/>
      <c r="AC319" s="45"/>
      <c r="AD319" s="46">
        <v>6811</v>
      </c>
      <c r="AE319" s="52">
        <f t="shared" si="1147"/>
        <v>6811</v>
      </c>
      <c r="AF319" s="44"/>
      <c r="AG319" s="45"/>
      <c r="AH319" s="45"/>
      <c r="AI319" s="46">
        <v>741</v>
      </c>
      <c r="AJ319" s="52">
        <f t="shared" si="1148"/>
        <v>741</v>
      </c>
      <c r="AK319" s="44"/>
      <c r="AL319" s="45"/>
      <c r="AM319" s="45"/>
      <c r="AN319" s="46">
        <v>76</v>
      </c>
      <c r="AO319" s="52">
        <f t="shared" si="1149"/>
        <v>76</v>
      </c>
      <c r="AP319" s="44"/>
      <c r="AQ319" s="45"/>
      <c r="AR319" s="45"/>
      <c r="AS319" s="46">
        <v>32</v>
      </c>
      <c r="AT319" s="52">
        <f t="shared" si="1150"/>
        <v>32</v>
      </c>
      <c r="AU319" s="44"/>
      <c r="AV319" s="45"/>
      <c r="AW319" s="45"/>
      <c r="AX319" s="46">
        <v>3240</v>
      </c>
      <c r="AY319" s="52">
        <f t="shared" si="1151"/>
        <v>3240</v>
      </c>
      <c r="AZ319" s="44"/>
      <c r="BA319" s="45"/>
      <c r="BB319" s="45"/>
      <c r="BC319" s="46">
        <v>8379</v>
      </c>
      <c r="BD319" s="52">
        <f t="shared" si="1152"/>
        <v>8379</v>
      </c>
      <c r="BE319" s="44"/>
      <c r="BF319" s="45"/>
      <c r="BG319" s="45"/>
      <c r="BH319" s="46"/>
      <c r="BI319" s="52">
        <f t="shared" si="1153"/>
        <v>0</v>
      </c>
      <c r="BJ319" s="44"/>
      <c r="BK319" s="45"/>
      <c r="BL319" s="45"/>
      <c r="BM319" s="46"/>
      <c r="BN319" s="52">
        <f t="shared" si="1154"/>
        <v>0</v>
      </c>
      <c r="BO319" s="67">
        <f t="shared" si="1227"/>
        <v>0</v>
      </c>
      <c r="BP319" s="45">
        <f t="shared" si="1228"/>
        <v>0</v>
      </c>
      <c r="BQ319" s="45">
        <f t="shared" si="1229"/>
        <v>0</v>
      </c>
      <c r="BR319" s="46">
        <f t="shared" si="1230"/>
        <v>23630</v>
      </c>
      <c r="BS319" s="53">
        <f t="shared" si="1016"/>
        <v>23630</v>
      </c>
    </row>
    <row r="320" spans="2:71" x14ac:dyDescent="0.3">
      <c r="B320" s="264"/>
      <c r="C320" s="223"/>
      <c r="D320" s="224"/>
      <c r="E320" s="210" t="s">
        <v>92</v>
      </c>
      <c r="F320" s="141" t="s">
        <v>94</v>
      </c>
      <c r="G320" s="30"/>
      <c r="H320" s="7"/>
      <c r="I320" s="7"/>
      <c r="J320" s="8">
        <v>4108</v>
      </c>
      <c r="K320" s="9">
        <f t="shared" si="1015"/>
        <v>4108</v>
      </c>
      <c r="L320" s="30"/>
      <c r="M320" s="7"/>
      <c r="N320" s="7"/>
      <c r="O320" s="8">
        <v>5376</v>
      </c>
      <c r="P320" s="9">
        <f t="shared" si="1144"/>
        <v>5376</v>
      </c>
      <c r="Q320" s="30"/>
      <c r="R320" s="7"/>
      <c r="S320" s="7"/>
      <c r="T320" s="8"/>
      <c r="U320" s="9">
        <f t="shared" si="1145"/>
        <v>0</v>
      </c>
      <c r="V320" s="30"/>
      <c r="W320" s="7"/>
      <c r="X320" s="7"/>
      <c r="Y320" s="8"/>
      <c r="Z320" s="9">
        <f t="shared" si="1146"/>
        <v>0</v>
      </c>
      <c r="AA320" s="30"/>
      <c r="AB320" s="7"/>
      <c r="AC320" s="7"/>
      <c r="AD320" s="8"/>
      <c r="AE320" s="9">
        <f t="shared" si="1147"/>
        <v>0</v>
      </c>
      <c r="AF320" s="30"/>
      <c r="AG320" s="7"/>
      <c r="AH320" s="7"/>
      <c r="AI320" s="8"/>
      <c r="AJ320" s="9">
        <f t="shared" si="1148"/>
        <v>0</v>
      </c>
      <c r="AK320" s="30"/>
      <c r="AL320" s="7"/>
      <c r="AM320" s="7"/>
      <c r="AN320" s="8"/>
      <c r="AO320" s="9">
        <f t="shared" si="1149"/>
        <v>0</v>
      </c>
      <c r="AP320" s="30"/>
      <c r="AQ320" s="7"/>
      <c r="AR320" s="7"/>
      <c r="AS320" s="8"/>
      <c r="AT320" s="9">
        <f t="shared" si="1150"/>
        <v>0</v>
      </c>
      <c r="AU320" s="30"/>
      <c r="AV320" s="7"/>
      <c r="AW320" s="7"/>
      <c r="AX320" s="8"/>
      <c r="AY320" s="9">
        <f t="shared" si="1151"/>
        <v>0</v>
      </c>
      <c r="AZ320" s="30"/>
      <c r="BA320" s="7"/>
      <c r="BB320" s="7"/>
      <c r="BC320" s="8"/>
      <c r="BD320" s="9">
        <f t="shared" si="1152"/>
        <v>0</v>
      </c>
      <c r="BE320" s="30"/>
      <c r="BF320" s="7"/>
      <c r="BG320" s="7"/>
      <c r="BH320" s="8"/>
      <c r="BI320" s="9">
        <f t="shared" si="1153"/>
        <v>0</v>
      </c>
      <c r="BJ320" s="30"/>
      <c r="BK320" s="7"/>
      <c r="BL320" s="7"/>
      <c r="BM320" s="8"/>
      <c r="BN320" s="9">
        <f t="shared" si="1154"/>
        <v>0</v>
      </c>
      <c r="BO320" s="65">
        <f t="shared" si="1227"/>
        <v>0</v>
      </c>
      <c r="BP320" s="7">
        <f t="shared" si="1228"/>
        <v>0</v>
      </c>
      <c r="BQ320" s="7">
        <f t="shared" si="1229"/>
        <v>0</v>
      </c>
      <c r="BR320" s="8">
        <f t="shared" si="1230"/>
        <v>9484</v>
      </c>
      <c r="BS320" s="31">
        <f t="shared" si="1016"/>
        <v>9484</v>
      </c>
    </row>
    <row r="321" spans="2:71" x14ac:dyDescent="0.3">
      <c r="B321" s="264"/>
      <c r="C321" s="223"/>
      <c r="D321" s="224"/>
      <c r="E321" s="211"/>
      <c r="F321" s="142" t="s">
        <v>137</v>
      </c>
      <c r="G321" s="32"/>
      <c r="H321" s="13"/>
      <c r="I321" s="13"/>
      <c r="J321" s="14"/>
      <c r="K321" s="18">
        <f t="shared" ref="K321:K324" si="1244">SUM(G321:J321)</f>
        <v>0</v>
      </c>
      <c r="L321" s="32"/>
      <c r="M321" s="13"/>
      <c r="N321" s="13"/>
      <c r="O321" s="14"/>
      <c r="P321" s="18">
        <f t="shared" si="1144"/>
        <v>0</v>
      </c>
      <c r="Q321" s="32"/>
      <c r="R321" s="13"/>
      <c r="S321" s="13"/>
      <c r="T321" s="14"/>
      <c r="U321" s="18">
        <f t="shared" si="1145"/>
        <v>0</v>
      </c>
      <c r="V321" s="32"/>
      <c r="W321" s="13"/>
      <c r="X321" s="13"/>
      <c r="Y321" s="14">
        <v>6712</v>
      </c>
      <c r="Z321" s="18">
        <f t="shared" si="1146"/>
        <v>6712</v>
      </c>
      <c r="AA321" s="32"/>
      <c r="AB321" s="13"/>
      <c r="AC321" s="13"/>
      <c r="AD321" s="14">
        <v>4961</v>
      </c>
      <c r="AE321" s="18">
        <f t="shared" si="1147"/>
        <v>4961</v>
      </c>
      <c r="AF321" s="32"/>
      <c r="AG321" s="13"/>
      <c r="AH321" s="13"/>
      <c r="AI321" s="14">
        <v>3890</v>
      </c>
      <c r="AJ321" s="18">
        <f t="shared" si="1148"/>
        <v>3890</v>
      </c>
      <c r="AK321" s="32"/>
      <c r="AL321" s="13"/>
      <c r="AM321" s="13"/>
      <c r="AN321" s="14">
        <v>832</v>
      </c>
      <c r="AO321" s="18">
        <f t="shared" si="1149"/>
        <v>832</v>
      </c>
      <c r="AP321" s="32"/>
      <c r="AQ321" s="13"/>
      <c r="AR321" s="13"/>
      <c r="AS321" s="14">
        <v>569</v>
      </c>
      <c r="AT321" s="18">
        <f t="shared" si="1150"/>
        <v>569</v>
      </c>
      <c r="AU321" s="32"/>
      <c r="AV321" s="13"/>
      <c r="AW321" s="13"/>
      <c r="AX321" s="14">
        <v>4472</v>
      </c>
      <c r="AY321" s="18">
        <f t="shared" si="1151"/>
        <v>4472</v>
      </c>
      <c r="AZ321" s="32"/>
      <c r="BA321" s="13"/>
      <c r="BB321" s="13"/>
      <c r="BC321" s="14">
        <v>10104</v>
      </c>
      <c r="BD321" s="18">
        <f t="shared" si="1152"/>
        <v>10104</v>
      </c>
      <c r="BE321" s="32"/>
      <c r="BF321" s="13"/>
      <c r="BG321" s="13"/>
      <c r="BH321" s="14"/>
      <c r="BI321" s="18">
        <f t="shared" si="1153"/>
        <v>0</v>
      </c>
      <c r="BJ321" s="32"/>
      <c r="BK321" s="13"/>
      <c r="BL321" s="13"/>
      <c r="BM321" s="14"/>
      <c r="BN321" s="18">
        <f t="shared" si="1154"/>
        <v>0</v>
      </c>
      <c r="BO321" s="66">
        <f t="shared" si="1227"/>
        <v>0</v>
      </c>
      <c r="BP321" s="13">
        <f t="shared" si="1228"/>
        <v>0</v>
      </c>
      <c r="BQ321" s="13">
        <f t="shared" si="1229"/>
        <v>0</v>
      </c>
      <c r="BR321" s="14">
        <f t="shared" si="1230"/>
        <v>31540</v>
      </c>
      <c r="BS321" s="35">
        <f t="shared" ref="BS321:BS324" si="1245">SUM(BO321:BR321)</f>
        <v>31540</v>
      </c>
    </row>
    <row r="322" spans="2:71" x14ac:dyDescent="0.3">
      <c r="B322" s="264"/>
      <c r="C322" s="223"/>
      <c r="D322" s="224"/>
      <c r="E322" s="211"/>
      <c r="F322" s="142" t="s">
        <v>134</v>
      </c>
      <c r="G322" s="32"/>
      <c r="H322" s="13"/>
      <c r="I322" s="13"/>
      <c r="J322" s="14"/>
      <c r="K322" s="18">
        <f t="shared" si="1244"/>
        <v>0</v>
      </c>
      <c r="L322" s="32"/>
      <c r="M322" s="13"/>
      <c r="N322" s="13"/>
      <c r="O322" s="14"/>
      <c r="P322" s="18">
        <f t="shared" si="1144"/>
        <v>0</v>
      </c>
      <c r="Q322" s="32"/>
      <c r="R322" s="13"/>
      <c r="S322" s="13"/>
      <c r="T322" s="14"/>
      <c r="U322" s="18">
        <f t="shared" si="1145"/>
        <v>0</v>
      </c>
      <c r="V322" s="32"/>
      <c r="W322" s="13"/>
      <c r="X322" s="13"/>
      <c r="Y322" s="14">
        <v>174</v>
      </c>
      <c r="Z322" s="18">
        <f t="shared" si="1146"/>
        <v>174</v>
      </c>
      <c r="AA322" s="32"/>
      <c r="AB322" s="13"/>
      <c r="AC322" s="13"/>
      <c r="AD322" s="14">
        <v>745</v>
      </c>
      <c r="AE322" s="18">
        <f t="shared" si="1147"/>
        <v>745</v>
      </c>
      <c r="AF322" s="32"/>
      <c r="AG322" s="13"/>
      <c r="AH322" s="13"/>
      <c r="AI322" s="14">
        <v>678</v>
      </c>
      <c r="AJ322" s="18">
        <f t="shared" si="1148"/>
        <v>678</v>
      </c>
      <c r="AK322" s="32"/>
      <c r="AL322" s="13"/>
      <c r="AM322" s="13"/>
      <c r="AN322" s="14">
        <v>143</v>
      </c>
      <c r="AO322" s="18">
        <f t="shared" si="1149"/>
        <v>143</v>
      </c>
      <c r="AP322" s="32"/>
      <c r="AQ322" s="13"/>
      <c r="AR322" s="13"/>
      <c r="AS322" s="14">
        <v>453</v>
      </c>
      <c r="AT322" s="18">
        <f t="shared" si="1150"/>
        <v>453</v>
      </c>
      <c r="AU322" s="32"/>
      <c r="AV322" s="13"/>
      <c r="AW322" s="13"/>
      <c r="AX322" s="14">
        <v>251</v>
      </c>
      <c r="AY322" s="18">
        <f t="shared" si="1151"/>
        <v>251</v>
      </c>
      <c r="AZ322" s="32"/>
      <c r="BA322" s="13"/>
      <c r="BB322" s="13"/>
      <c r="BC322" s="14">
        <v>658</v>
      </c>
      <c r="BD322" s="18">
        <f t="shared" si="1152"/>
        <v>658</v>
      </c>
      <c r="BE322" s="32"/>
      <c r="BF322" s="13"/>
      <c r="BG322" s="13"/>
      <c r="BH322" s="14">
        <v>33</v>
      </c>
      <c r="BI322" s="18">
        <f t="shared" si="1153"/>
        <v>33</v>
      </c>
      <c r="BJ322" s="32"/>
      <c r="BK322" s="13"/>
      <c r="BL322" s="13"/>
      <c r="BM322" s="14"/>
      <c r="BN322" s="18">
        <f t="shared" si="1154"/>
        <v>0</v>
      </c>
      <c r="BO322" s="66">
        <f t="shared" si="1227"/>
        <v>0</v>
      </c>
      <c r="BP322" s="13">
        <f t="shared" si="1228"/>
        <v>0</v>
      </c>
      <c r="BQ322" s="13">
        <f t="shared" si="1229"/>
        <v>0</v>
      </c>
      <c r="BR322" s="14">
        <f t="shared" si="1230"/>
        <v>3135</v>
      </c>
      <c r="BS322" s="35">
        <f t="shared" si="1245"/>
        <v>3135</v>
      </c>
    </row>
    <row r="323" spans="2:71" x14ac:dyDescent="0.3">
      <c r="B323" s="264"/>
      <c r="C323" s="223"/>
      <c r="D323" s="224"/>
      <c r="E323" s="211"/>
      <c r="F323" s="149" t="s">
        <v>403</v>
      </c>
      <c r="G323" s="34"/>
      <c r="H323" s="16"/>
      <c r="I323" s="16"/>
      <c r="J323" s="17"/>
      <c r="K323" s="18">
        <f t="shared" ref="K323" si="1246">SUM(G323:J323)</f>
        <v>0</v>
      </c>
      <c r="L323" s="34"/>
      <c r="M323" s="16"/>
      <c r="N323" s="16"/>
      <c r="O323" s="17"/>
      <c r="P323" s="18">
        <f t="shared" si="1144"/>
        <v>0</v>
      </c>
      <c r="Q323" s="34"/>
      <c r="R323" s="16"/>
      <c r="S323" s="16"/>
      <c r="T323" s="17"/>
      <c r="U323" s="18">
        <f t="shared" si="1145"/>
        <v>0</v>
      </c>
      <c r="V323" s="34"/>
      <c r="W323" s="16"/>
      <c r="X323" s="16"/>
      <c r="Y323" s="17"/>
      <c r="Z323" s="18">
        <f t="shared" si="1146"/>
        <v>0</v>
      </c>
      <c r="AA323" s="34"/>
      <c r="AB323" s="16"/>
      <c r="AC323" s="16"/>
      <c r="AD323" s="17"/>
      <c r="AE323" s="18">
        <f t="shared" si="1147"/>
        <v>0</v>
      </c>
      <c r="AF323" s="34"/>
      <c r="AG323" s="16"/>
      <c r="AH323" s="16"/>
      <c r="AI323" s="17"/>
      <c r="AJ323" s="18">
        <f t="shared" si="1148"/>
        <v>0</v>
      </c>
      <c r="AK323" s="34"/>
      <c r="AL323" s="16"/>
      <c r="AM323" s="16"/>
      <c r="AN323" s="17"/>
      <c r="AO323" s="18">
        <f t="shared" si="1149"/>
        <v>0</v>
      </c>
      <c r="AP323" s="34"/>
      <c r="AQ323" s="16"/>
      <c r="AR323" s="16"/>
      <c r="AS323" s="17"/>
      <c r="AT323" s="18">
        <f t="shared" si="1150"/>
        <v>0</v>
      </c>
      <c r="AU323" s="34"/>
      <c r="AV323" s="16"/>
      <c r="AW323" s="16"/>
      <c r="AX323" s="17"/>
      <c r="AY323" s="18">
        <f t="shared" si="1151"/>
        <v>0</v>
      </c>
      <c r="AZ323" s="34"/>
      <c r="BA323" s="16"/>
      <c r="BB323" s="16"/>
      <c r="BC323" s="17"/>
      <c r="BD323" s="18">
        <f t="shared" si="1152"/>
        <v>0</v>
      </c>
      <c r="BE323" s="170"/>
      <c r="BF323" s="16"/>
      <c r="BG323" s="16"/>
      <c r="BH323" s="17">
        <v>310</v>
      </c>
      <c r="BI323" s="18">
        <f t="shared" si="1153"/>
        <v>310</v>
      </c>
      <c r="BJ323" s="34"/>
      <c r="BK323" s="16"/>
      <c r="BL323" s="16"/>
      <c r="BM323" s="17">
        <v>239</v>
      </c>
      <c r="BN323" s="18">
        <f t="shared" si="1154"/>
        <v>239</v>
      </c>
      <c r="BO323" s="70">
        <f t="shared" si="1227"/>
        <v>0</v>
      </c>
      <c r="BP323" s="16">
        <f t="shared" si="1228"/>
        <v>0</v>
      </c>
      <c r="BQ323" s="16">
        <f t="shared" si="1229"/>
        <v>0</v>
      </c>
      <c r="BR323" s="17">
        <f t="shared" si="1230"/>
        <v>549</v>
      </c>
      <c r="BS323" s="35">
        <f t="shared" ref="BS323" si="1247">SUM(BO323:BR323)</f>
        <v>549</v>
      </c>
    </row>
    <row r="324" spans="2:71" x14ac:dyDescent="0.3">
      <c r="B324" s="264"/>
      <c r="C324" s="223"/>
      <c r="D324" s="224"/>
      <c r="E324" s="211"/>
      <c r="F324" s="149" t="s">
        <v>171</v>
      </c>
      <c r="G324" s="34"/>
      <c r="H324" s="16"/>
      <c r="I324" s="16"/>
      <c r="J324" s="17">
        <v>9272</v>
      </c>
      <c r="K324" s="18">
        <f t="shared" si="1244"/>
        <v>9272</v>
      </c>
      <c r="L324" s="34"/>
      <c r="M324" s="16"/>
      <c r="N324" s="16"/>
      <c r="O324" s="17">
        <v>14582</v>
      </c>
      <c r="P324" s="18">
        <f t="shared" ref="P324" si="1248">SUM(L324:O324)</f>
        <v>14582</v>
      </c>
      <c r="Q324" s="34"/>
      <c r="R324" s="16"/>
      <c r="S324" s="16"/>
      <c r="T324" s="17"/>
      <c r="U324" s="18">
        <f t="shared" ref="U324" si="1249">SUM(Q324:T324)</f>
        <v>0</v>
      </c>
      <c r="V324" s="34"/>
      <c r="W324" s="16"/>
      <c r="X324" s="16"/>
      <c r="Y324" s="17"/>
      <c r="Z324" s="18">
        <f t="shared" ref="Z324" si="1250">SUM(V324:Y324)</f>
        <v>0</v>
      </c>
      <c r="AA324" s="34"/>
      <c r="AB324" s="16"/>
      <c r="AC324" s="16"/>
      <c r="AD324" s="17"/>
      <c r="AE324" s="18">
        <f t="shared" ref="AE324" si="1251">SUM(AA324:AD324)</f>
        <v>0</v>
      </c>
      <c r="AF324" s="34"/>
      <c r="AG324" s="16"/>
      <c r="AH324" s="16"/>
      <c r="AI324" s="17"/>
      <c r="AJ324" s="18">
        <f t="shared" ref="AJ324" si="1252">SUM(AF324:AI324)</f>
        <v>0</v>
      </c>
      <c r="AK324" s="34"/>
      <c r="AL324" s="16"/>
      <c r="AM324" s="16"/>
      <c r="AN324" s="17"/>
      <c r="AO324" s="18">
        <f t="shared" ref="AO324" si="1253">SUM(AK324:AN324)</f>
        <v>0</v>
      </c>
      <c r="AP324" s="34"/>
      <c r="AQ324" s="16"/>
      <c r="AR324" s="16"/>
      <c r="AS324" s="17"/>
      <c r="AT324" s="18">
        <f t="shared" ref="AT324" si="1254">SUM(AP324:AS324)</f>
        <v>0</v>
      </c>
      <c r="AU324" s="34"/>
      <c r="AV324" s="16"/>
      <c r="AW324" s="16"/>
      <c r="AX324" s="17"/>
      <c r="AY324" s="18">
        <f t="shared" ref="AY324" si="1255">SUM(AU324:AX324)</f>
        <v>0</v>
      </c>
      <c r="AZ324" s="34"/>
      <c r="BA324" s="16"/>
      <c r="BB324" s="16"/>
      <c r="BC324" s="17"/>
      <c r="BD324" s="18">
        <f t="shared" ref="BD324" si="1256">SUM(AZ324:BC324)</f>
        <v>0</v>
      </c>
      <c r="BE324" s="34"/>
      <c r="BF324" s="16"/>
      <c r="BG324" s="16"/>
      <c r="BH324" s="17"/>
      <c r="BI324" s="18">
        <f t="shared" ref="BI324" si="1257">SUM(BE324:BH324)</f>
        <v>0</v>
      </c>
      <c r="BJ324" s="34"/>
      <c r="BK324" s="16"/>
      <c r="BL324" s="16"/>
      <c r="BM324" s="17"/>
      <c r="BN324" s="18">
        <f t="shared" ref="BN324" si="1258">SUM(BJ324:BM324)</f>
        <v>0</v>
      </c>
      <c r="BO324" s="70">
        <f t="shared" si="1227"/>
        <v>0</v>
      </c>
      <c r="BP324" s="16">
        <f t="shared" si="1228"/>
        <v>0</v>
      </c>
      <c r="BQ324" s="16">
        <f t="shared" si="1229"/>
        <v>0</v>
      </c>
      <c r="BR324" s="17">
        <f t="shared" si="1230"/>
        <v>23854</v>
      </c>
      <c r="BS324" s="35">
        <f t="shared" si="1245"/>
        <v>23854</v>
      </c>
    </row>
    <row r="325" spans="2:71" x14ac:dyDescent="0.3">
      <c r="B325" s="264"/>
      <c r="C325" s="223"/>
      <c r="D325" s="224"/>
      <c r="E325" s="212"/>
      <c r="F325" s="148" t="s">
        <v>268</v>
      </c>
      <c r="G325" s="36"/>
      <c r="H325" s="10"/>
      <c r="I325" s="10"/>
      <c r="J325" s="11"/>
      <c r="K325" s="12">
        <f t="shared" si="1015"/>
        <v>0</v>
      </c>
      <c r="L325" s="36"/>
      <c r="M325" s="10"/>
      <c r="N325" s="10"/>
      <c r="O325" s="11"/>
      <c r="P325" s="12">
        <f t="shared" si="1144"/>
        <v>0</v>
      </c>
      <c r="Q325" s="36"/>
      <c r="R325" s="10"/>
      <c r="S325" s="10"/>
      <c r="T325" s="11">
        <v>2870</v>
      </c>
      <c r="U325" s="12">
        <f t="shared" si="1145"/>
        <v>2870</v>
      </c>
      <c r="V325" s="36"/>
      <c r="W325" s="10"/>
      <c r="X325" s="10"/>
      <c r="Y325" s="11"/>
      <c r="Z325" s="12">
        <f t="shared" si="1146"/>
        <v>0</v>
      </c>
      <c r="AA325" s="36"/>
      <c r="AB325" s="10"/>
      <c r="AC325" s="10"/>
      <c r="AD325" s="11"/>
      <c r="AE325" s="12">
        <f t="shared" si="1147"/>
        <v>0</v>
      </c>
      <c r="AF325" s="36"/>
      <c r="AG325" s="10"/>
      <c r="AH325" s="10"/>
      <c r="AI325" s="11"/>
      <c r="AJ325" s="12">
        <f t="shared" si="1148"/>
        <v>0</v>
      </c>
      <c r="AK325" s="36"/>
      <c r="AL325" s="10"/>
      <c r="AM325" s="10"/>
      <c r="AN325" s="11"/>
      <c r="AO325" s="12">
        <f t="shared" si="1149"/>
        <v>0</v>
      </c>
      <c r="AP325" s="36"/>
      <c r="AQ325" s="10"/>
      <c r="AR325" s="10"/>
      <c r="AS325" s="11"/>
      <c r="AT325" s="12">
        <f t="shared" si="1150"/>
        <v>0</v>
      </c>
      <c r="AU325" s="36"/>
      <c r="AV325" s="10"/>
      <c r="AW325" s="10"/>
      <c r="AX325" s="11"/>
      <c r="AY325" s="12">
        <f t="shared" si="1151"/>
        <v>0</v>
      </c>
      <c r="AZ325" s="36"/>
      <c r="BA325" s="10"/>
      <c r="BB325" s="10"/>
      <c r="BC325" s="11"/>
      <c r="BD325" s="12">
        <f t="shared" si="1152"/>
        <v>0</v>
      </c>
      <c r="BE325" s="36"/>
      <c r="BF325" s="10"/>
      <c r="BG325" s="10"/>
      <c r="BH325" s="11">
        <v>7227</v>
      </c>
      <c r="BI325" s="12">
        <f t="shared" si="1153"/>
        <v>7227</v>
      </c>
      <c r="BJ325" s="36"/>
      <c r="BK325" s="10"/>
      <c r="BL325" s="10"/>
      <c r="BM325" s="11">
        <v>2974</v>
      </c>
      <c r="BN325" s="12">
        <f t="shared" si="1154"/>
        <v>2974</v>
      </c>
      <c r="BO325" s="71">
        <f t="shared" si="1227"/>
        <v>0</v>
      </c>
      <c r="BP325" s="10">
        <f t="shared" si="1228"/>
        <v>0</v>
      </c>
      <c r="BQ325" s="10">
        <f t="shared" si="1229"/>
        <v>0</v>
      </c>
      <c r="BR325" s="11">
        <f t="shared" si="1230"/>
        <v>13071</v>
      </c>
      <c r="BS325" s="37">
        <f t="shared" si="1016"/>
        <v>13071</v>
      </c>
    </row>
    <row r="326" spans="2:71" x14ac:dyDescent="0.3">
      <c r="B326" s="264"/>
      <c r="C326" s="225"/>
      <c r="D326" s="226"/>
      <c r="E326" s="115"/>
      <c r="F326" s="115" t="s">
        <v>57</v>
      </c>
      <c r="G326" s="159">
        <f>SUM(G316:G325)</f>
        <v>0</v>
      </c>
      <c r="H326" s="160">
        <f>SUM(H316:H325)</f>
        <v>0</v>
      </c>
      <c r="I326" s="160">
        <f>SUM(I316:I325)</f>
        <v>0</v>
      </c>
      <c r="J326" s="161">
        <f>SUM(J316:J325)</f>
        <v>14566</v>
      </c>
      <c r="K326" s="162">
        <f t="shared" si="1015"/>
        <v>14566</v>
      </c>
      <c r="L326" s="159">
        <f>SUM(L316:L325)</f>
        <v>0</v>
      </c>
      <c r="M326" s="160">
        <f>SUM(M316:M325)</f>
        <v>0</v>
      </c>
      <c r="N326" s="160">
        <f>SUM(N316:N325)</f>
        <v>0</v>
      </c>
      <c r="O326" s="161">
        <f>SUM(O316:O325)</f>
        <v>21538</v>
      </c>
      <c r="P326" s="162">
        <f t="shared" si="1144"/>
        <v>21538</v>
      </c>
      <c r="Q326" s="159">
        <f>SUM(Q316:Q325)</f>
        <v>0</v>
      </c>
      <c r="R326" s="160">
        <f>SUM(R316:R325)</f>
        <v>0</v>
      </c>
      <c r="S326" s="160">
        <f>SUM(S316:S325)</f>
        <v>0</v>
      </c>
      <c r="T326" s="161">
        <f>SUM(T316:T325)</f>
        <v>3152</v>
      </c>
      <c r="U326" s="162">
        <f t="shared" si="1145"/>
        <v>3152</v>
      </c>
      <c r="V326" s="159">
        <f>SUM(V316:V325)</f>
        <v>0</v>
      </c>
      <c r="W326" s="160">
        <f>SUM(W316:W325)</f>
        <v>0</v>
      </c>
      <c r="X326" s="160">
        <f>SUM(X316:X325)</f>
        <v>0</v>
      </c>
      <c r="Y326" s="161">
        <f>SUM(Y316:Y325)</f>
        <v>11237</v>
      </c>
      <c r="Z326" s="162">
        <f t="shared" si="1146"/>
        <v>11237</v>
      </c>
      <c r="AA326" s="159">
        <f>SUM(AA316:AA325)</f>
        <v>0</v>
      </c>
      <c r="AB326" s="160">
        <f>SUM(AB316:AB325)</f>
        <v>0</v>
      </c>
      <c r="AC326" s="160">
        <f>SUM(AC316:AC325)</f>
        <v>0</v>
      </c>
      <c r="AD326" s="161">
        <f>SUM(AD316:AD325)</f>
        <v>12633</v>
      </c>
      <c r="AE326" s="162">
        <f t="shared" si="1147"/>
        <v>12633</v>
      </c>
      <c r="AF326" s="159">
        <f>SUM(AF316:AF325)</f>
        <v>0</v>
      </c>
      <c r="AG326" s="160">
        <f>SUM(AG316:AG325)</f>
        <v>0</v>
      </c>
      <c r="AH326" s="160">
        <f>SUM(AH316:AH325)</f>
        <v>0</v>
      </c>
      <c r="AI326" s="161">
        <f>SUM(AI316:AI325)</f>
        <v>5417</v>
      </c>
      <c r="AJ326" s="162">
        <f t="shared" si="1148"/>
        <v>5417</v>
      </c>
      <c r="AK326" s="159">
        <f>SUM(AK316:AK325)</f>
        <v>0</v>
      </c>
      <c r="AL326" s="160">
        <f>SUM(AL316:AL325)</f>
        <v>0</v>
      </c>
      <c r="AM326" s="160">
        <f>SUM(AM316:AM325)</f>
        <v>0</v>
      </c>
      <c r="AN326" s="161">
        <f>SUM(AN316:AN325)</f>
        <v>1051</v>
      </c>
      <c r="AO326" s="162">
        <f t="shared" si="1149"/>
        <v>1051</v>
      </c>
      <c r="AP326" s="159">
        <f>SUM(AP316:AP325)</f>
        <v>0</v>
      </c>
      <c r="AQ326" s="160">
        <f>SUM(AQ316:AQ325)</f>
        <v>0</v>
      </c>
      <c r="AR326" s="160">
        <f>SUM(AR316:AR325)</f>
        <v>0</v>
      </c>
      <c r="AS326" s="161">
        <f>SUM(AS316:AS325)</f>
        <v>1054</v>
      </c>
      <c r="AT326" s="162">
        <f t="shared" si="1150"/>
        <v>1054</v>
      </c>
      <c r="AU326" s="159">
        <f>SUM(AU316:AU325)</f>
        <v>0</v>
      </c>
      <c r="AV326" s="160">
        <f>SUM(AV316:AV325)</f>
        <v>0</v>
      </c>
      <c r="AW326" s="160">
        <f>SUM(AW316:AW325)</f>
        <v>0</v>
      </c>
      <c r="AX326" s="161">
        <f>SUM(AX316:AX325)</f>
        <v>7963</v>
      </c>
      <c r="AY326" s="162">
        <f t="shared" si="1151"/>
        <v>7963</v>
      </c>
      <c r="AZ326" s="159">
        <f>SUM(AZ316:AZ325)</f>
        <v>0</v>
      </c>
      <c r="BA326" s="160">
        <f>SUM(BA316:BA325)</f>
        <v>0</v>
      </c>
      <c r="BB326" s="160">
        <f>SUM(BB316:BB325)</f>
        <v>0</v>
      </c>
      <c r="BC326" s="161">
        <f>SUM(BC316:BC325)</f>
        <v>19156</v>
      </c>
      <c r="BD326" s="162">
        <f t="shared" si="1152"/>
        <v>19156</v>
      </c>
      <c r="BE326" s="159">
        <f>SUM(BE316:BE325)</f>
        <v>0</v>
      </c>
      <c r="BF326" s="160">
        <f>SUM(BF316:BF325)</f>
        <v>0</v>
      </c>
      <c r="BG326" s="160">
        <f>SUM(BG316:BG325)</f>
        <v>0</v>
      </c>
      <c r="BH326" s="161">
        <f>SUM(BH316:BH325)</f>
        <v>9947</v>
      </c>
      <c r="BI326" s="162">
        <f t="shared" si="1153"/>
        <v>9947</v>
      </c>
      <c r="BJ326" s="159">
        <f>SUM(BJ316:BJ325)</f>
        <v>0</v>
      </c>
      <c r="BK326" s="160">
        <f>SUM(BK316:BK325)</f>
        <v>0</v>
      </c>
      <c r="BL326" s="160">
        <f>SUM(BL316:BL325)</f>
        <v>0</v>
      </c>
      <c r="BM326" s="161">
        <f>SUM(BM316:BM325)</f>
        <v>3679</v>
      </c>
      <c r="BN326" s="162">
        <f t="shared" si="1154"/>
        <v>3679</v>
      </c>
      <c r="BO326" s="164">
        <f>SUM(BO316:BO325)</f>
        <v>0</v>
      </c>
      <c r="BP326" s="160">
        <f>SUM(BP316:BP325)</f>
        <v>0</v>
      </c>
      <c r="BQ326" s="160">
        <f>SUM(BQ316:BQ325)</f>
        <v>0</v>
      </c>
      <c r="BR326" s="161">
        <f>SUM(BR316:BR325)</f>
        <v>111393</v>
      </c>
      <c r="BS326" s="163">
        <f t="shared" si="1016"/>
        <v>111393</v>
      </c>
    </row>
    <row r="327" spans="2:71" x14ac:dyDescent="0.3">
      <c r="B327" s="264"/>
      <c r="C327" s="227" t="s">
        <v>17</v>
      </c>
      <c r="D327" s="228"/>
      <c r="E327" s="210" t="s">
        <v>95</v>
      </c>
      <c r="F327" s="141" t="s">
        <v>96</v>
      </c>
      <c r="G327" s="30"/>
      <c r="H327" s="7"/>
      <c r="I327" s="7"/>
      <c r="J327" s="8"/>
      <c r="K327" s="9">
        <f t="shared" si="1015"/>
        <v>0</v>
      </c>
      <c r="L327" s="30"/>
      <c r="M327" s="7"/>
      <c r="N327" s="7"/>
      <c r="O327" s="8"/>
      <c r="P327" s="9">
        <f t="shared" si="1144"/>
        <v>0</v>
      </c>
      <c r="Q327" s="30">
        <v>625</v>
      </c>
      <c r="R327" s="7"/>
      <c r="S327" s="7"/>
      <c r="T327" s="8"/>
      <c r="U327" s="9">
        <f t="shared" si="1145"/>
        <v>625</v>
      </c>
      <c r="V327" s="30">
        <v>994</v>
      </c>
      <c r="W327" s="7"/>
      <c r="X327" s="7"/>
      <c r="Y327" s="8"/>
      <c r="Z327" s="9">
        <f t="shared" si="1146"/>
        <v>994</v>
      </c>
      <c r="AA327" s="30">
        <v>637</v>
      </c>
      <c r="AB327" s="7"/>
      <c r="AC327" s="7"/>
      <c r="AD327" s="8"/>
      <c r="AE327" s="9">
        <f t="shared" si="1147"/>
        <v>637</v>
      </c>
      <c r="AF327" s="30">
        <v>652</v>
      </c>
      <c r="AG327" s="7"/>
      <c r="AH327" s="7"/>
      <c r="AI327" s="8"/>
      <c r="AJ327" s="9">
        <f t="shared" si="1148"/>
        <v>652</v>
      </c>
      <c r="AK327" s="30">
        <v>701</v>
      </c>
      <c r="AL327" s="7"/>
      <c r="AM327" s="7"/>
      <c r="AN327" s="8"/>
      <c r="AO327" s="9">
        <f t="shared" si="1149"/>
        <v>701</v>
      </c>
      <c r="AP327" s="30">
        <v>888</v>
      </c>
      <c r="AQ327" s="7"/>
      <c r="AR327" s="7"/>
      <c r="AS327" s="8"/>
      <c r="AT327" s="9">
        <f t="shared" si="1150"/>
        <v>888</v>
      </c>
      <c r="AU327" s="30">
        <v>668</v>
      </c>
      <c r="AV327" s="7"/>
      <c r="AW327" s="7"/>
      <c r="AX327" s="8"/>
      <c r="AY327" s="9">
        <f t="shared" si="1151"/>
        <v>668</v>
      </c>
      <c r="AZ327" s="30">
        <v>1009</v>
      </c>
      <c r="BA327" s="7"/>
      <c r="BB327" s="7"/>
      <c r="BC327" s="8"/>
      <c r="BD327" s="9">
        <f t="shared" si="1152"/>
        <v>1009</v>
      </c>
      <c r="BE327" s="30">
        <v>535</v>
      </c>
      <c r="BF327" s="7"/>
      <c r="BG327" s="7"/>
      <c r="BH327" s="8"/>
      <c r="BI327" s="9">
        <f t="shared" si="1153"/>
        <v>535</v>
      </c>
      <c r="BJ327" s="30"/>
      <c r="BK327" s="7"/>
      <c r="BL327" s="7"/>
      <c r="BM327" s="8"/>
      <c r="BN327" s="9">
        <f t="shared" si="1154"/>
        <v>0</v>
      </c>
      <c r="BO327" s="65">
        <f t="shared" ref="BO327:BO339" si="1259">SUM(G327,L327,Q327,V327,AA327,AF327,AK327,AP327,AU327,AZ327,BE327,BJ327)</f>
        <v>6709</v>
      </c>
      <c r="BP327" s="7">
        <f t="shared" ref="BP327:BP339" si="1260">SUM(H327,M327,R327,W327,AB327,AG327,AL327,AQ327,AV327,BA327,BF327,BK327)</f>
        <v>0</v>
      </c>
      <c r="BQ327" s="7">
        <f t="shared" ref="BQ327:BQ339" si="1261">SUM(I327,N327,S327,X327,AC327,AH327,AM327,AR327,AW327,BB327,BG327,BL327)</f>
        <v>0</v>
      </c>
      <c r="BR327" s="8">
        <f t="shared" ref="BR327:BR339" si="1262">SUM(J327,O327,T327,Y327,AD327,AI327,AN327,AS327,AX327,BC327,BH327,BM327)</f>
        <v>0</v>
      </c>
      <c r="BS327" s="31">
        <f t="shared" si="1016"/>
        <v>6709</v>
      </c>
    </row>
    <row r="328" spans="2:71" x14ac:dyDescent="0.3">
      <c r="B328" s="264"/>
      <c r="C328" s="223"/>
      <c r="D328" s="224"/>
      <c r="E328" s="211"/>
      <c r="F328" s="142" t="s">
        <v>97</v>
      </c>
      <c r="G328" s="32">
        <v>781</v>
      </c>
      <c r="H328" s="13"/>
      <c r="I328" s="13"/>
      <c r="J328" s="14"/>
      <c r="K328" s="15">
        <f t="shared" si="1015"/>
        <v>781</v>
      </c>
      <c r="L328" s="32">
        <v>488</v>
      </c>
      <c r="M328" s="13"/>
      <c r="N328" s="13"/>
      <c r="O328" s="14"/>
      <c r="P328" s="15">
        <f t="shared" si="1144"/>
        <v>488</v>
      </c>
      <c r="Q328" s="32"/>
      <c r="R328" s="13"/>
      <c r="S328" s="13"/>
      <c r="T328" s="14"/>
      <c r="U328" s="15">
        <f t="shared" si="1145"/>
        <v>0</v>
      </c>
      <c r="V328" s="32"/>
      <c r="W328" s="13"/>
      <c r="X328" s="13"/>
      <c r="Y328" s="14"/>
      <c r="Z328" s="15">
        <f t="shared" si="1146"/>
        <v>0</v>
      </c>
      <c r="AA328" s="32"/>
      <c r="AB328" s="13"/>
      <c r="AC328" s="13"/>
      <c r="AD328" s="14"/>
      <c r="AE328" s="15">
        <f t="shared" si="1147"/>
        <v>0</v>
      </c>
      <c r="AF328" s="32"/>
      <c r="AG328" s="13"/>
      <c r="AH328" s="13"/>
      <c r="AI328" s="14"/>
      <c r="AJ328" s="15">
        <f t="shared" si="1148"/>
        <v>0</v>
      </c>
      <c r="AK328" s="32"/>
      <c r="AL328" s="13"/>
      <c r="AM328" s="13"/>
      <c r="AN328" s="14"/>
      <c r="AO328" s="15">
        <f t="shared" si="1149"/>
        <v>0</v>
      </c>
      <c r="AP328" s="32"/>
      <c r="AQ328" s="13"/>
      <c r="AR328" s="13"/>
      <c r="AS328" s="14"/>
      <c r="AT328" s="15">
        <f t="shared" si="1150"/>
        <v>0</v>
      </c>
      <c r="AU328" s="32"/>
      <c r="AV328" s="13"/>
      <c r="AW328" s="13"/>
      <c r="AX328" s="14"/>
      <c r="AY328" s="15">
        <f t="shared" si="1151"/>
        <v>0</v>
      </c>
      <c r="AZ328" s="32"/>
      <c r="BA328" s="13"/>
      <c r="BB328" s="13"/>
      <c r="BC328" s="14"/>
      <c r="BD328" s="15">
        <f t="shared" si="1152"/>
        <v>0</v>
      </c>
      <c r="BE328" s="32"/>
      <c r="BF328" s="13"/>
      <c r="BG328" s="13"/>
      <c r="BH328" s="14"/>
      <c r="BI328" s="15">
        <f t="shared" si="1153"/>
        <v>0</v>
      </c>
      <c r="BJ328" s="32">
        <v>1137</v>
      </c>
      <c r="BK328" s="13"/>
      <c r="BL328" s="13"/>
      <c r="BM328" s="14"/>
      <c r="BN328" s="15">
        <f t="shared" si="1154"/>
        <v>1137</v>
      </c>
      <c r="BO328" s="66">
        <f t="shared" si="1259"/>
        <v>2406</v>
      </c>
      <c r="BP328" s="13">
        <f t="shared" si="1260"/>
        <v>0</v>
      </c>
      <c r="BQ328" s="13">
        <f t="shared" si="1261"/>
        <v>0</v>
      </c>
      <c r="BR328" s="14">
        <f t="shared" si="1262"/>
        <v>0</v>
      </c>
      <c r="BS328" s="33">
        <f t="shared" si="1016"/>
        <v>2406</v>
      </c>
    </row>
    <row r="329" spans="2:71" x14ac:dyDescent="0.3">
      <c r="B329" s="264"/>
      <c r="C329" s="223"/>
      <c r="D329" s="224"/>
      <c r="E329" s="211"/>
      <c r="F329" s="142" t="s">
        <v>189</v>
      </c>
      <c r="G329" s="32">
        <v>2</v>
      </c>
      <c r="H329" s="13"/>
      <c r="I329" s="13"/>
      <c r="J329" s="14"/>
      <c r="K329" s="15">
        <f t="shared" si="1015"/>
        <v>2</v>
      </c>
      <c r="L329" s="32"/>
      <c r="M329" s="13"/>
      <c r="N329" s="13"/>
      <c r="O329" s="14"/>
      <c r="P329" s="15">
        <f t="shared" ref="P329" si="1263">SUM(L329:O329)</f>
        <v>0</v>
      </c>
      <c r="Q329" s="32"/>
      <c r="R329" s="13"/>
      <c r="S329" s="13"/>
      <c r="T329" s="14"/>
      <c r="U329" s="15">
        <f t="shared" ref="U329" si="1264">SUM(Q329:T329)</f>
        <v>0</v>
      </c>
      <c r="V329" s="32">
        <v>3</v>
      </c>
      <c r="W329" s="13"/>
      <c r="X329" s="13"/>
      <c r="Y329" s="14"/>
      <c r="Z329" s="15">
        <f t="shared" ref="Z329" si="1265">SUM(V329:Y329)</f>
        <v>3</v>
      </c>
      <c r="AA329" s="32"/>
      <c r="AB329" s="13"/>
      <c r="AC329" s="13"/>
      <c r="AD329" s="14"/>
      <c r="AE329" s="15">
        <f t="shared" ref="AE329" si="1266">SUM(AA329:AD329)</f>
        <v>0</v>
      </c>
      <c r="AF329" s="32"/>
      <c r="AG329" s="13"/>
      <c r="AH329" s="13"/>
      <c r="AI329" s="14"/>
      <c r="AJ329" s="15">
        <f t="shared" ref="AJ329" si="1267">SUM(AF329:AI329)</f>
        <v>0</v>
      </c>
      <c r="AK329" s="32"/>
      <c r="AL329" s="13"/>
      <c r="AM329" s="13"/>
      <c r="AN329" s="14"/>
      <c r="AO329" s="15">
        <f t="shared" ref="AO329" si="1268">SUM(AK329:AN329)</f>
        <v>0</v>
      </c>
      <c r="AP329" s="32">
        <v>2</v>
      </c>
      <c r="AQ329" s="13"/>
      <c r="AR329" s="13"/>
      <c r="AS329" s="14"/>
      <c r="AT329" s="15">
        <f t="shared" ref="AT329" si="1269">SUM(AP329:AS329)</f>
        <v>2</v>
      </c>
      <c r="AU329" s="32">
        <v>5</v>
      </c>
      <c r="AV329" s="13"/>
      <c r="AW329" s="13"/>
      <c r="AX329" s="14"/>
      <c r="AY329" s="15">
        <f t="shared" ref="AY329" si="1270">SUM(AU329:AX329)</f>
        <v>5</v>
      </c>
      <c r="AZ329" s="32">
        <v>2</v>
      </c>
      <c r="BA329" s="13"/>
      <c r="BB329" s="13"/>
      <c r="BC329" s="14"/>
      <c r="BD329" s="15">
        <f t="shared" ref="BD329" si="1271">SUM(AZ329:BC329)</f>
        <v>2</v>
      </c>
      <c r="BE329" s="32">
        <v>2</v>
      </c>
      <c r="BF329" s="13"/>
      <c r="BG329" s="13"/>
      <c r="BH329" s="14"/>
      <c r="BI329" s="15">
        <f t="shared" ref="BI329" si="1272">SUM(BE329:BH329)</f>
        <v>2</v>
      </c>
      <c r="BJ329" s="32"/>
      <c r="BK329" s="13"/>
      <c r="BL329" s="13"/>
      <c r="BM329" s="14"/>
      <c r="BN329" s="15">
        <f t="shared" ref="BN329" si="1273">SUM(BJ329:BM329)</f>
        <v>0</v>
      </c>
      <c r="BO329" s="66">
        <f t="shared" si="1259"/>
        <v>16</v>
      </c>
      <c r="BP329" s="13">
        <f t="shared" si="1260"/>
        <v>0</v>
      </c>
      <c r="BQ329" s="13">
        <f t="shared" si="1261"/>
        <v>0</v>
      </c>
      <c r="BR329" s="14">
        <f t="shared" si="1262"/>
        <v>0</v>
      </c>
      <c r="BS329" s="33">
        <f t="shared" si="1016"/>
        <v>16</v>
      </c>
    </row>
    <row r="330" spans="2:71" x14ac:dyDescent="0.3">
      <c r="B330" s="264"/>
      <c r="C330" s="223"/>
      <c r="D330" s="224"/>
      <c r="E330" s="211"/>
      <c r="F330" s="142" t="s">
        <v>398</v>
      </c>
      <c r="G330" s="32"/>
      <c r="H330" s="13"/>
      <c r="I330" s="13"/>
      <c r="J330" s="14"/>
      <c r="K330" s="15">
        <f t="shared" ref="K330" si="1274">SUM(G330:J330)</f>
        <v>0</v>
      </c>
      <c r="L330" s="32"/>
      <c r="M330" s="13"/>
      <c r="N330" s="13"/>
      <c r="O330" s="14"/>
      <c r="P330" s="15">
        <f t="shared" si="1144"/>
        <v>0</v>
      </c>
      <c r="Q330" s="32"/>
      <c r="R330" s="13"/>
      <c r="S330" s="13"/>
      <c r="T330" s="14"/>
      <c r="U330" s="15">
        <f t="shared" si="1145"/>
        <v>0</v>
      </c>
      <c r="V330" s="32"/>
      <c r="W330" s="13"/>
      <c r="X330" s="13"/>
      <c r="Y330" s="14"/>
      <c r="Z330" s="15">
        <f t="shared" si="1146"/>
        <v>0</v>
      </c>
      <c r="AA330" s="32"/>
      <c r="AB330" s="13"/>
      <c r="AC330" s="13"/>
      <c r="AD330" s="14"/>
      <c r="AE330" s="15">
        <f t="shared" si="1147"/>
        <v>0</v>
      </c>
      <c r="AF330" s="32"/>
      <c r="AG330" s="13"/>
      <c r="AH330" s="13"/>
      <c r="AI330" s="14"/>
      <c r="AJ330" s="15">
        <f t="shared" si="1148"/>
        <v>0</v>
      </c>
      <c r="AK330" s="32"/>
      <c r="AL330" s="13"/>
      <c r="AM330" s="13"/>
      <c r="AN330" s="14"/>
      <c r="AO330" s="15">
        <f t="shared" si="1149"/>
        <v>0</v>
      </c>
      <c r="AP330" s="32"/>
      <c r="AQ330" s="13"/>
      <c r="AR330" s="13"/>
      <c r="AS330" s="14"/>
      <c r="AT330" s="15">
        <f t="shared" si="1150"/>
        <v>0</v>
      </c>
      <c r="AU330" s="32"/>
      <c r="AV330" s="13"/>
      <c r="AW330" s="13"/>
      <c r="AX330" s="14"/>
      <c r="AY330" s="15">
        <f t="shared" si="1151"/>
        <v>0</v>
      </c>
      <c r="AZ330" s="32">
        <v>27</v>
      </c>
      <c r="BA330" s="13"/>
      <c r="BB330" s="13"/>
      <c r="BC330" s="14"/>
      <c r="BD330" s="15">
        <f t="shared" si="1152"/>
        <v>27</v>
      </c>
      <c r="BE330" s="32"/>
      <c r="BF330" s="13"/>
      <c r="BG330" s="13"/>
      <c r="BH330" s="14"/>
      <c r="BI330" s="15">
        <f t="shared" si="1153"/>
        <v>0</v>
      </c>
      <c r="BJ330" s="32"/>
      <c r="BK330" s="13"/>
      <c r="BL330" s="13"/>
      <c r="BM330" s="14"/>
      <c r="BN330" s="15">
        <f t="shared" si="1154"/>
        <v>0</v>
      </c>
      <c r="BO330" s="66">
        <f t="shared" si="1259"/>
        <v>27</v>
      </c>
      <c r="BP330" s="13">
        <f t="shared" si="1260"/>
        <v>0</v>
      </c>
      <c r="BQ330" s="13">
        <f t="shared" si="1261"/>
        <v>0</v>
      </c>
      <c r="BR330" s="14">
        <f t="shared" si="1262"/>
        <v>0</v>
      </c>
      <c r="BS330" s="33">
        <f t="shared" ref="BS330" si="1275">SUM(BO330:BR330)</f>
        <v>27</v>
      </c>
    </row>
    <row r="331" spans="2:71" x14ac:dyDescent="0.3">
      <c r="B331" s="264"/>
      <c r="C331" s="223"/>
      <c r="D331" s="224"/>
      <c r="E331" s="210" t="s">
        <v>99</v>
      </c>
      <c r="F331" s="141" t="s">
        <v>98</v>
      </c>
      <c r="G331" s="30">
        <v>260</v>
      </c>
      <c r="H331" s="7">
        <v>25</v>
      </c>
      <c r="I331" s="7">
        <v>79</v>
      </c>
      <c r="J331" s="8"/>
      <c r="K331" s="9">
        <f t="shared" si="1015"/>
        <v>364</v>
      </c>
      <c r="L331" s="30">
        <v>84</v>
      </c>
      <c r="M331" s="7">
        <v>3</v>
      </c>
      <c r="N331" s="7">
        <v>32</v>
      </c>
      <c r="O331" s="8"/>
      <c r="P331" s="9">
        <f t="shared" si="1144"/>
        <v>119</v>
      </c>
      <c r="Q331" s="30">
        <v>192</v>
      </c>
      <c r="R331" s="7">
        <v>4</v>
      </c>
      <c r="S331" s="7">
        <v>59</v>
      </c>
      <c r="T331" s="8"/>
      <c r="U331" s="9">
        <f t="shared" si="1145"/>
        <v>255</v>
      </c>
      <c r="V331" s="30">
        <v>417</v>
      </c>
      <c r="W331" s="7">
        <v>30</v>
      </c>
      <c r="X331" s="7">
        <v>171</v>
      </c>
      <c r="Y331" s="8"/>
      <c r="Z331" s="9">
        <f t="shared" si="1146"/>
        <v>618</v>
      </c>
      <c r="AA331" s="30">
        <v>269</v>
      </c>
      <c r="AB331" s="7">
        <v>12</v>
      </c>
      <c r="AC331" s="7">
        <v>88</v>
      </c>
      <c r="AD331" s="8"/>
      <c r="AE331" s="9">
        <f t="shared" si="1147"/>
        <v>369</v>
      </c>
      <c r="AF331" s="30">
        <v>394</v>
      </c>
      <c r="AG331" s="7">
        <v>30</v>
      </c>
      <c r="AH331" s="7">
        <v>130</v>
      </c>
      <c r="AI331" s="8"/>
      <c r="AJ331" s="9">
        <f t="shared" si="1148"/>
        <v>554</v>
      </c>
      <c r="AK331" s="30">
        <v>347</v>
      </c>
      <c r="AL331" s="7">
        <v>40</v>
      </c>
      <c r="AM331" s="7">
        <v>139</v>
      </c>
      <c r="AN331" s="8"/>
      <c r="AO331" s="9">
        <f t="shared" si="1149"/>
        <v>526</v>
      </c>
      <c r="AP331" s="30">
        <v>350</v>
      </c>
      <c r="AQ331" s="7">
        <v>38</v>
      </c>
      <c r="AR331" s="7">
        <v>130</v>
      </c>
      <c r="AS331" s="8"/>
      <c r="AT331" s="9">
        <f t="shared" si="1150"/>
        <v>518</v>
      </c>
      <c r="AU331" s="30">
        <v>576</v>
      </c>
      <c r="AV331" s="7">
        <v>18</v>
      </c>
      <c r="AW331" s="7">
        <v>120</v>
      </c>
      <c r="AX331" s="8"/>
      <c r="AY331" s="9">
        <f t="shared" si="1151"/>
        <v>714</v>
      </c>
      <c r="AZ331" s="30">
        <v>462</v>
      </c>
      <c r="BA331" s="7">
        <v>16</v>
      </c>
      <c r="BB331" s="7">
        <v>169</v>
      </c>
      <c r="BC331" s="8"/>
      <c r="BD331" s="9">
        <f t="shared" si="1152"/>
        <v>647</v>
      </c>
      <c r="BE331" s="30">
        <v>150</v>
      </c>
      <c r="BF331" s="7">
        <v>12</v>
      </c>
      <c r="BG331" s="7">
        <v>43</v>
      </c>
      <c r="BH331" s="8"/>
      <c r="BI331" s="9">
        <f t="shared" si="1153"/>
        <v>205</v>
      </c>
      <c r="BJ331" s="30">
        <v>172</v>
      </c>
      <c r="BK331" s="7">
        <v>11</v>
      </c>
      <c r="BL331" s="7">
        <v>59</v>
      </c>
      <c r="BM331" s="8"/>
      <c r="BN331" s="9">
        <f t="shared" si="1154"/>
        <v>242</v>
      </c>
      <c r="BO331" s="65">
        <f t="shared" si="1259"/>
        <v>3673</v>
      </c>
      <c r="BP331" s="7">
        <f t="shared" si="1260"/>
        <v>239</v>
      </c>
      <c r="BQ331" s="7">
        <f t="shared" si="1261"/>
        <v>1219</v>
      </c>
      <c r="BR331" s="8">
        <f t="shared" si="1262"/>
        <v>0</v>
      </c>
      <c r="BS331" s="31">
        <f t="shared" si="1016"/>
        <v>5131</v>
      </c>
    </row>
    <row r="332" spans="2:71" x14ac:dyDescent="0.3">
      <c r="B332" s="264"/>
      <c r="C332" s="223"/>
      <c r="D332" s="224"/>
      <c r="E332" s="211"/>
      <c r="F332" s="142" t="s">
        <v>40</v>
      </c>
      <c r="G332" s="32">
        <v>63</v>
      </c>
      <c r="H332" s="13">
        <v>1</v>
      </c>
      <c r="I332" s="13">
        <v>12</v>
      </c>
      <c r="J332" s="14"/>
      <c r="K332" s="15">
        <f t="shared" si="1015"/>
        <v>76</v>
      </c>
      <c r="L332" s="32">
        <v>52</v>
      </c>
      <c r="M332" s="13">
        <v>3</v>
      </c>
      <c r="N332" s="13">
        <v>11</v>
      </c>
      <c r="O332" s="14"/>
      <c r="P332" s="15">
        <f t="shared" si="1144"/>
        <v>66</v>
      </c>
      <c r="Q332" s="32">
        <v>66</v>
      </c>
      <c r="R332" s="13">
        <v>3</v>
      </c>
      <c r="S332" s="13">
        <v>14</v>
      </c>
      <c r="T332" s="14"/>
      <c r="U332" s="15">
        <f t="shared" si="1145"/>
        <v>83</v>
      </c>
      <c r="V332" s="32">
        <v>185</v>
      </c>
      <c r="W332" s="13">
        <v>10</v>
      </c>
      <c r="X332" s="13">
        <v>36</v>
      </c>
      <c r="Y332" s="14"/>
      <c r="Z332" s="15">
        <f t="shared" si="1146"/>
        <v>231</v>
      </c>
      <c r="AA332" s="32">
        <v>157</v>
      </c>
      <c r="AB332" s="13">
        <v>14</v>
      </c>
      <c r="AC332" s="13">
        <v>28</v>
      </c>
      <c r="AD332" s="14"/>
      <c r="AE332" s="15">
        <f t="shared" si="1147"/>
        <v>199</v>
      </c>
      <c r="AF332" s="32">
        <v>228</v>
      </c>
      <c r="AG332" s="13">
        <v>18</v>
      </c>
      <c r="AH332" s="13">
        <v>77</v>
      </c>
      <c r="AI332" s="14"/>
      <c r="AJ332" s="15">
        <f t="shared" si="1148"/>
        <v>323</v>
      </c>
      <c r="AK332" s="32">
        <v>179</v>
      </c>
      <c r="AL332" s="13">
        <v>18</v>
      </c>
      <c r="AM332" s="13">
        <v>60</v>
      </c>
      <c r="AN332" s="14"/>
      <c r="AO332" s="15">
        <f t="shared" si="1149"/>
        <v>257</v>
      </c>
      <c r="AP332" s="32">
        <v>207</v>
      </c>
      <c r="AQ332" s="13">
        <v>16</v>
      </c>
      <c r="AR332" s="13">
        <v>63</v>
      </c>
      <c r="AS332" s="14"/>
      <c r="AT332" s="15">
        <f t="shared" si="1150"/>
        <v>286</v>
      </c>
      <c r="AU332" s="32">
        <v>338</v>
      </c>
      <c r="AV332" s="13">
        <v>2</v>
      </c>
      <c r="AW332" s="13">
        <v>54</v>
      </c>
      <c r="AX332" s="14"/>
      <c r="AY332" s="15">
        <f t="shared" si="1151"/>
        <v>394</v>
      </c>
      <c r="AZ332" s="32">
        <v>182</v>
      </c>
      <c r="BA332" s="13">
        <v>9</v>
      </c>
      <c r="BB332" s="13">
        <v>42</v>
      </c>
      <c r="BC332" s="14"/>
      <c r="BD332" s="15">
        <f t="shared" si="1152"/>
        <v>233</v>
      </c>
      <c r="BE332" s="32">
        <v>42</v>
      </c>
      <c r="BF332" s="13">
        <v>2</v>
      </c>
      <c r="BG332" s="13">
        <v>7</v>
      </c>
      <c r="BH332" s="14"/>
      <c r="BI332" s="15">
        <f t="shared" si="1153"/>
        <v>51</v>
      </c>
      <c r="BJ332" s="32">
        <v>52</v>
      </c>
      <c r="BK332" s="13">
        <v>3</v>
      </c>
      <c r="BL332" s="13">
        <v>12</v>
      </c>
      <c r="BM332" s="14"/>
      <c r="BN332" s="15">
        <f t="shared" si="1154"/>
        <v>67</v>
      </c>
      <c r="BO332" s="66">
        <f t="shared" si="1259"/>
        <v>1751</v>
      </c>
      <c r="BP332" s="13">
        <f t="shared" si="1260"/>
        <v>99</v>
      </c>
      <c r="BQ332" s="13">
        <f t="shared" si="1261"/>
        <v>416</v>
      </c>
      <c r="BR332" s="14">
        <f t="shared" si="1262"/>
        <v>0</v>
      </c>
      <c r="BS332" s="33">
        <f t="shared" si="1016"/>
        <v>2266</v>
      </c>
    </row>
    <row r="333" spans="2:71" x14ac:dyDescent="0.3">
      <c r="B333" s="264"/>
      <c r="C333" s="223"/>
      <c r="D333" s="224"/>
      <c r="E333" s="210" t="s">
        <v>102</v>
      </c>
      <c r="F333" s="141" t="s">
        <v>100</v>
      </c>
      <c r="G333" s="30">
        <v>688</v>
      </c>
      <c r="H333" s="7"/>
      <c r="I333" s="7"/>
      <c r="J333" s="8"/>
      <c r="K333" s="9">
        <f t="shared" si="1015"/>
        <v>688</v>
      </c>
      <c r="L333" s="30">
        <v>777</v>
      </c>
      <c r="M333" s="7"/>
      <c r="N333" s="7"/>
      <c r="O333" s="8"/>
      <c r="P333" s="9">
        <f t="shared" si="1144"/>
        <v>777</v>
      </c>
      <c r="Q333" s="30">
        <v>401</v>
      </c>
      <c r="R333" s="7"/>
      <c r="S333" s="7"/>
      <c r="T333" s="8"/>
      <c r="U333" s="9">
        <f t="shared" si="1145"/>
        <v>401</v>
      </c>
      <c r="V333" s="30">
        <v>721</v>
      </c>
      <c r="W333" s="7"/>
      <c r="X333" s="7"/>
      <c r="Y333" s="8"/>
      <c r="Z333" s="9">
        <f t="shared" si="1146"/>
        <v>721</v>
      </c>
      <c r="AA333" s="30">
        <v>525</v>
      </c>
      <c r="AB333" s="7"/>
      <c r="AC333" s="7"/>
      <c r="AD333" s="8"/>
      <c r="AE333" s="9">
        <f t="shared" si="1147"/>
        <v>525</v>
      </c>
      <c r="AF333" s="30">
        <v>1028</v>
      </c>
      <c r="AG333" s="7"/>
      <c r="AH333" s="7"/>
      <c r="AI333" s="8"/>
      <c r="AJ333" s="9">
        <f t="shared" si="1148"/>
        <v>1028</v>
      </c>
      <c r="AK333" s="30">
        <v>237</v>
      </c>
      <c r="AL333" s="7"/>
      <c r="AM333" s="7"/>
      <c r="AN333" s="8"/>
      <c r="AO333" s="9">
        <f t="shared" si="1149"/>
        <v>237</v>
      </c>
      <c r="AP333" s="30">
        <v>549</v>
      </c>
      <c r="AQ333" s="7"/>
      <c r="AR333" s="7"/>
      <c r="AS333" s="8"/>
      <c r="AT333" s="9">
        <f t="shared" si="1150"/>
        <v>549</v>
      </c>
      <c r="AU333" s="30">
        <v>883</v>
      </c>
      <c r="AV333" s="7"/>
      <c r="AW333" s="7"/>
      <c r="AX333" s="8"/>
      <c r="AY333" s="9">
        <f t="shared" si="1151"/>
        <v>883</v>
      </c>
      <c r="AZ333" s="30">
        <v>900</v>
      </c>
      <c r="BA333" s="7"/>
      <c r="BB333" s="7"/>
      <c r="BC333" s="8"/>
      <c r="BD333" s="9">
        <f t="shared" si="1152"/>
        <v>900</v>
      </c>
      <c r="BE333" s="30">
        <v>273</v>
      </c>
      <c r="BF333" s="7"/>
      <c r="BG333" s="7"/>
      <c r="BH333" s="8"/>
      <c r="BI333" s="9">
        <f t="shared" si="1153"/>
        <v>273</v>
      </c>
      <c r="BJ333" s="30">
        <v>346</v>
      </c>
      <c r="BK333" s="7"/>
      <c r="BL333" s="7"/>
      <c r="BM333" s="8"/>
      <c r="BN333" s="9">
        <f t="shared" si="1154"/>
        <v>346</v>
      </c>
      <c r="BO333" s="65">
        <f t="shared" si="1259"/>
        <v>7328</v>
      </c>
      <c r="BP333" s="7">
        <f t="shared" si="1260"/>
        <v>0</v>
      </c>
      <c r="BQ333" s="7">
        <f t="shared" si="1261"/>
        <v>0</v>
      </c>
      <c r="BR333" s="8">
        <f t="shared" si="1262"/>
        <v>0</v>
      </c>
      <c r="BS333" s="31">
        <f t="shared" si="1016"/>
        <v>7328</v>
      </c>
    </row>
    <row r="334" spans="2:71" x14ac:dyDescent="0.3">
      <c r="B334" s="264"/>
      <c r="C334" s="223"/>
      <c r="D334" s="224"/>
      <c r="E334" s="211"/>
      <c r="F334" s="142" t="s">
        <v>101</v>
      </c>
      <c r="G334" s="32">
        <v>115</v>
      </c>
      <c r="H334" s="13"/>
      <c r="I334" s="13"/>
      <c r="J334" s="14"/>
      <c r="K334" s="15">
        <f t="shared" si="1015"/>
        <v>115</v>
      </c>
      <c r="L334" s="32">
        <v>93</v>
      </c>
      <c r="M334" s="13"/>
      <c r="N334" s="13"/>
      <c r="O334" s="14"/>
      <c r="P334" s="15">
        <f t="shared" si="1144"/>
        <v>93</v>
      </c>
      <c r="Q334" s="32">
        <v>50</v>
      </c>
      <c r="R334" s="13"/>
      <c r="S334" s="13"/>
      <c r="T334" s="14"/>
      <c r="U334" s="15">
        <f t="shared" si="1145"/>
        <v>50</v>
      </c>
      <c r="V334" s="32">
        <v>96</v>
      </c>
      <c r="W334" s="13"/>
      <c r="X334" s="13"/>
      <c r="Y334" s="14"/>
      <c r="Z334" s="15">
        <f t="shared" si="1146"/>
        <v>96</v>
      </c>
      <c r="AA334" s="32">
        <v>107</v>
      </c>
      <c r="AB334" s="13"/>
      <c r="AC334" s="13"/>
      <c r="AD334" s="14"/>
      <c r="AE334" s="15">
        <f t="shared" si="1147"/>
        <v>107</v>
      </c>
      <c r="AF334" s="32">
        <v>263</v>
      </c>
      <c r="AG334" s="13"/>
      <c r="AH334" s="13"/>
      <c r="AI334" s="14"/>
      <c r="AJ334" s="15">
        <f t="shared" si="1148"/>
        <v>263</v>
      </c>
      <c r="AK334" s="32">
        <v>145</v>
      </c>
      <c r="AL334" s="13"/>
      <c r="AM334" s="13"/>
      <c r="AN334" s="14"/>
      <c r="AO334" s="15">
        <f t="shared" si="1149"/>
        <v>145</v>
      </c>
      <c r="AP334" s="32">
        <v>343</v>
      </c>
      <c r="AQ334" s="13"/>
      <c r="AR334" s="13"/>
      <c r="AS334" s="14"/>
      <c r="AT334" s="15">
        <f t="shared" si="1150"/>
        <v>343</v>
      </c>
      <c r="AU334" s="32">
        <v>238</v>
      </c>
      <c r="AV334" s="13"/>
      <c r="AW334" s="13"/>
      <c r="AX334" s="14"/>
      <c r="AY334" s="15">
        <f t="shared" si="1151"/>
        <v>238</v>
      </c>
      <c r="AZ334" s="32">
        <v>231</v>
      </c>
      <c r="BA334" s="13"/>
      <c r="BB334" s="13"/>
      <c r="BC334" s="14"/>
      <c r="BD334" s="15">
        <f t="shared" si="1152"/>
        <v>231</v>
      </c>
      <c r="BE334" s="32">
        <v>45</v>
      </c>
      <c r="BF334" s="13"/>
      <c r="BG334" s="13"/>
      <c r="BH334" s="14"/>
      <c r="BI334" s="15">
        <f t="shared" si="1153"/>
        <v>45</v>
      </c>
      <c r="BJ334" s="32">
        <v>53</v>
      </c>
      <c r="BK334" s="13"/>
      <c r="BL334" s="13"/>
      <c r="BM334" s="14"/>
      <c r="BN334" s="15">
        <f t="shared" si="1154"/>
        <v>53</v>
      </c>
      <c r="BO334" s="66">
        <f t="shared" si="1259"/>
        <v>1779</v>
      </c>
      <c r="BP334" s="13">
        <f t="shared" si="1260"/>
        <v>0</v>
      </c>
      <c r="BQ334" s="13">
        <f t="shared" si="1261"/>
        <v>0</v>
      </c>
      <c r="BR334" s="14">
        <f t="shared" si="1262"/>
        <v>0</v>
      </c>
      <c r="BS334" s="33">
        <f t="shared" si="1016"/>
        <v>1779</v>
      </c>
    </row>
    <row r="335" spans="2:71" x14ac:dyDescent="0.3">
      <c r="B335" s="264"/>
      <c r="C335" s="223"/>
      <c r="D335" s="224"/>
      <c r="E335" s="211"/>
      <c r="F335" s="149" t="s">
        <v>119</v>
      </c>
      <c r="G335" s="34">
        <v>24</v>
      </c>
      <c r="H335" s="16"/>
      <c r="I335" s="16"/>
      <c r="J335" s="17"/>
      <c r="K335" s="18">
        <f t="shared" ref="K335" si="1276">SUM(G335:J335)</f>
        <v>24</v>
      </c>
      <c r="L335" s="34">
        <v>13</v>
      </c>
      <c r="M335" s="16"/>
      <c r="N335" s="16"/>
      <c r="O335" s="17"/>
      <c r="P335" s="18">
        <f t="shared" si="1144"/>
        <v>13</v>
      </c>
      <c r="Q335" s="34">
        <v>43</v>
      </c>
      <c r="R335" s="16"/>
      <c r="S335" s="16"/>
      <c r="T335" s="17"/>
      <c r="U335" s="18">
        <f t="shared" si="1145"/>
        <v>43</v>
      </c>
      <c r="V335" s="34">
        <v>86</v>
      </c>
      <c r="W335" s="16"/>
      <c r="X335" s="16"/>
      <c r="Y335" s="17"/>
      <c r="Z335" s="18">
        <f t="shared" si="1146"/>
        <v>86</v>
      </c>
      <c r="AA335" s="34">
        <v>44</v>
      </c>
      <c r="AB335" s="16"/>
      <c r="AC335" s="16"/>
      <c r="AD335" s="17"/>
      <c r="AE335" s="18">
        <f t="shared" si="1147"/>
        <v>44</v>
      </c>
      <c r="AF335" s="34">
        <v>42</v>
      </c>
      <c r="AG335" s="16"/>
      <c r="AH335" s="16"/>
      <c r="AI335" s="17"/>
      <c r="AJ335" s="18">
        <f t="shared" si="1148"/>
        <v>42</v>
      </c>
      <c r="AK335" s="34">
        <v>69</v>
      </c>
      <c r="AL335" s="16"/>
      <c r="AM335" s="16"/>
      <c r="AN335" s="17"/>
      <c r="AO335" s="18">
        <f t="shared" si="1149"/>
        <v>69</v>
      </c>
      <c r="AP335" s="34">
        <v>41</v>
      </c>
      <c r="AQ335" s="16"/>
      <c r="AR335" s="16"/>
      <c r="AS335" s="17"/>
      <c r="AT335" s="18">
        <f t="shared" si="1150"/>
        <v>41</v>
      </c>
      <c r="AU335" s="34">
        <v>32</v>
      </c>
      <c r="AV335" s="16"/>
      <c r="AW335" s="16"/>
      <c r="AX335" s="17"/>
      <c r="AY335" s="18">
        <f t="shared" si="1151"/>
        <v>32</v>
      </c>
      <c r="AZ335" s="34">
        <v>58</v>
      </c>
      <c r="BA335" s="16"/>
      <c r="BB335" s="16"/>
      <c r="BC335" s="17"/>
      <c r="BD335" s="18">
        <f t="shared" si="1152"/>
        <v>58</v>
      </c>
      <c r="BE335" s="34">
        <v>6</v>
      </c>
      <c r="BF335" s="16"/>
      <c r="BG335" s="16"/>
      <c r="BH335" s="17"/>
      <c r="BI335" s="18">
        <f t="shared" si="1153"/>
        <v>6</v>
      </c>
      <c r="BJ335" s="34">
        <v>27</v>
      </c>
      <c r="BK335" s="16"/>
      <c r="BL335" s="16"/>
      <c r="BM335" s="17"/>
      <c r="BN335" s="18">
        <f t="shared" si="1154"/>
        <v>27</v>
      </c>
      <c r="BO335" s="70">
        <f t="shared" si="1259"/>
        <v>485</v>
      </c>
      <c r="BP335" s="16">
        <f t="shared" si="1260"/>
        <v>0</v>
      </c>
      <c r="BQ335" s="16">
        <f t="shared" si="1261"/>
        <v>0</v>
      </c>
      <c r="BR335" s="17">
        <f t="shared" si="1262"/>
        <v>0</v>
      </c>
      <c r="BS335" s="35">
        <f t="shared" ref="BS335" si="1277">SUM(BO335:BR335)</f>
        <v>485</v>
      </c>
    </row>
    <row r="336" spans="2:71" x14ac:dyDescent="0.3">
      <c r="B336" s="264"/>
      <c r="C336" s="223"/>
      <c r="D336" s="224"/>
      <c r="E336" s="210" t="s">
        <v>89</v>
      </c>
      <c r="F336" s="141" t="s">
        <v>103</v>
      </c>
      <c r="G336" s="30">
        <v>111</v>
      </c>
      <c r="H336" s="7"/>
      <c r="I336" s="7"/>
      <c r="J336" s="8"/>
      <c r="K336" s="9">
        <f t="shared" ref="K336:K394" si="1278">SUM(G336:J336)</f>
        <v>111</v>
      </c>
      <c r="L336" s="30">
        <v>60</v>
      </c>
      <c r="M336" s="7"/>
      <c r="N336" s="7"/>
      <c r="O336" s="8"/>
      <c r="P336" s="9">
        <f t="shared" si="1144"/>
        <v>60</v>
      </c>
      <c r="Q336" s="30">
        <v>91</v>
      </c>
      <c r="R336" s="7"/>
      <c r="S336" s="7"/>
      <c r="T336" s="8"/>
      <c r="U336" s="9">
        <f t="shared" si="1145"/>
        <v>91</v>
      </c>
      <c r="V336" s="30">
        <v>529</v>
      </c>
      <c r="W336" s="7"/>
      <c r="X336" s="7"/>
      <c r="Y336" s="8"/>
      <c r="Z336" s="9">
        <f t="shared" si="1146"/>
        <v>529</v>
      </c>
      <c r="AA336" s="30">
        <v>911</v>
      </c>
      <c r="AB336" s="7"/>
      <c r="AC336" s="7"/>
      <c r="AD336" s="8"/>
      <c r="AE336" s="9">
        <f t="shared" si="1147"/>
        <v>911</v>
      </c>
      <c r="AF336" s="30">
        <v>117</v>
      </c>
      <c r="AG336" s="7"/>
      <c r="AH336" s="7"/>
      <c r="AI336" s="8"/>
      <c r="AJ336" s="9">
        <f t="shared" si="1148"/>
        <v>117</v>
      </c>
      <c r="AK336" s="30">
        <v>325</v>
      </c>
      <c r="AL336" s="7"/>
      <c r="AM336" s="7"/>
      <c r="AN336" s="8"/>
      <c r="AO336" s="9">
        <f t="shared" si="1149"/>
        <v>325</v>
      </c>
      <c r="AP336" s="30">
        <v>74</v>
      </c>
      <c r="AQ336" s="7"/>
      <c r="AR336" s="7"/>
      <c r="AS336" s="8"/>
      <c r="AT336" s="9">
        <f t="shared" si="1150"/>
        <v>74</v>
      </c>
      <c r="AU336" s="30">
        <v>304</v>
      </c>
      <c r="AV336" s="7"/>
      <c r="AW336" s="7"/>
      <c r="AX336" s="8"/>
      <c r="AY336" s="9">
        <f t="shared" si="1151"/>
        <v>304</v>
      </c>
      <c r="AZ336" s="30">
        <v>421</v>
      </c>
      <c r="BA336" s="7"/>
      <c r="BB336" s="7"/>
      <c r="BC336" s="8"/>
      <c r="BD336" s="9">
        <f t="shared" si="1152"/>
        <v>421</v>
      </c>
      <c r="BE336" s="30">
        <v>101</v>
      </c>
      <c r="BF336" s="7"/>
      <c r="BG336" s="7"/>
      <c r="BH336" s="8"/>
      <c r="BI336" s="9">
        <f t="shared" si="1153"/>
        <v>101</v>
      </c>
      <c r="BJ336" s="30"/>
      <c r="BK336" s="7"/>
      <c r="BL336" s="7"/>
      <c r="BM336" s="8"/>
      <c r="BN336" s="9">
        <f t="shared" si="1154"/>
        <v>0</v>
      </c>
      <c r="BO336" s="65">
        <f t="shared" si="1259"/>
        <v>3044</v>
      </c>
      <c r="BP336" s="7">
        <f t="shared" si="1260"/>
        <v>0</v>
      </c>
      <c r="BQ336" s="7">
        <f t="shared" si="1261"/>
        <v>0</v>
      </c>
      <c r="BR336" s="8">
        <f t="shared" si="1262"/>
        <v>0</v>
      </c>
      <c r="BS336" s="31">
        <f t="shared" ref="BS336:BS394" si="1279">SUM(BO336:BR336)</f>
        <v>3044</v>
      </c>
    </row>
    <row r="337" spans="2:71" x14ac:dyDescent="0.3">
      <c r="B337" s="264"/>
      <c r="C337" s="223"/>
      <c r="D337" s="224"/>
      <c r="E337" s="211"/>
      <c r="F337" s="142" t="s">
        <v>334</v>
      </c>
      <c r="G337" s="34"/>
      <c r="H337" s="16"/>
      <c r="I337" s="16"/>
      <c r="J337" s="17"/>
      <c r="K337" s="18">
        <f t="shared" si="1278"/>
        <v>0</v>
      </c>
      <c r="L337" s="34"/>
      <c r="M337" s="16"/>
      <c r="N337" s="16"/>
      <c r="O337" s="17"/>
      <c r="P337" s="18">
        <f t="shared" ref="P337" si="1280">SUM(L337:O337)</f>
        <v>0</v>
      </c>
      <c r="Q337" s="34"/>
      <c r="R337" s="16"/>
      <c r="S337" s="16"/>
      <c r="T337" s="17"/>
      <c r="U337" s="18">
        <f t="shared" ref="U337" si="1281">SUM(Q337:T337)</f>
        <v>0</v>
      </c>
      <c r="V337" s="34"/>
      <c r="W337" s="16"/>
      <c r="X337" s="16"/>
      <c r="Y337" s="17"/>
      <c r="Z337" s="18">
        <f t="shared" ref="Z337" si="1282">SUM(V337:Y337)</f>
        <v>0</v>
      </c>
      <c r="AA337" s="34">
        <v>436</v>
      </c>
      <c r="AB337" s="16"/>
      <c r="AC337" s="16"/>
      <c r="AD337" s="17"/>
      <c r="AE337" s="18">
        <f t="shared" ref="AE337" si="1283">SUM(AA337:AD337)</f>
        <v>436</v>
      </c>
      <c r="AF337" s="34"/>
      <c r="AG337" s="16"/>
      <c r="AH337" s="16"/>
      <c r="AI337" s="17"/>
      <c r="AJ337" s="18">
        <f t="shared" ref="AJ337" si="1284">SUM(AF337:AI337)</f>
        <v>0</v>
      </c>
      <c r="AK337" s="34"/>
      <c r="AL337" s="16"/>
      <c r="AM337" s="16"/>
      <c r="AN337" s="17"/>
      <c r="AO337" s="18">
        <f t="shared" ref="AO337" si="1285">SUM(AK337:AN337)</f>
        <v>0</v>
      </c>
      <c r="AP337" s="34"/>
      <c r="AQ337" s="16"/>
      <c r="AR337" s="16"/>
      <c r="AS337" s="17"/>
      <c r="AT337" s="18">
        <f t="shared" ref="AT337" si="1286">SUM(AP337:AS337)</f>
        <v>0</v>
      </c>
      <c r="AU337" s="34"/>
      <c r="AV337" s="16"/>
      <c r="AW337" s="16"/>
      <c r="AX337" s="17"/>
      <c r="AY337" s="18">
        <f t="shared" ref="AY337" si="1287">SUM(AU337:AX337)</f>
        <v>0</v>
      </c>
      <c r="AZ337" s="34"/>
      <c r="BA337" s="16"/>
      <c r="BB337" s="16"/>
      <c r="BC337" s="17"/>
      <c r="BD337" s="18">
        <f t="shared" ref="BD337" si="1288">SUM(AZ337:BC337)</f>
        <v>0</v>
      </c>
      <c r="BE337" s="34"/>
      <c r="BF337" s="16"/>
      <c r="BG337" s="16"/>
      <c r="BH337" s="17"/>
      <c r="BI337" s="18">
        <f t="shared" ref="BI337" si="1289">SUM(BE337:BH337)</f>
        <v>0</v>
      </c>
      <c r="BJ337" s="34"/>
      <c r="BK337" s="16"/>
      <c r="BL337" s="16"/>
      <c r="BM337" s="17"/>
      <c r="BN337" s="18">
        <f t="shared" ref="BN337" si="1290">SUM(BJ337:BM337)</f>
        <v>0</v>
      </c>
      <c r="BO337" s="70">
        <f t="shared" si="1259"/>
        <v>436</v>
      </c>
      <c r="BP337" s="16">
        <f t="shared" si="1260"/>
        <v>0</v>
      </c>
      <c r="BQ337" s="16">
        <f t="shared" si="1261"/>
        <v>0</v>
      </c>
      <c r="BR337" s="17">
        <f t="shared" si="1262"/>
        <v>0</v>
      </c>
      <c r="BS337" s="35">
        <f t="shared" si="1279"/>
        <v>436</v>
      </c>
    </row>
    <row r="338" spans="2:71" x14ac:dyDescent="0.3">
      <c r="B338" s="264"/>
      <c r="C338" s="223"/>
      <c r="D338" s="224"/>
      <c r="E338" s="211"/>
      <c r="F338" s="142" t="s">
        <v>144</v>
      </c>
      <c r="G338" s="34">
        <v>19</v>
      </c>
      <c r="H338" s="16"/>
      <c r="I338" s="16">
        <v>7</v>
      </c>
      <c r="J338" s="17"/>
      <c r="K338" s="18">
        <f t="shared" ref="K338" si="1291">SUM(G338:J338)</f>
        <v>26</v>
      </c>
      <c r="L338" s="34">
        <v>7</v>
      </c>
      <c r="M338" s="16"/>
      <c r="N338" s="16"/>
      <c r="O338" s="17"/>
      <c r="P338" s="18">
        <f t="shared" si="1144"/>
        <v>7</v>
      </c>
      <c r="Q338" s="34">
        <v>8</v>
      </c>
      <c r="R338" s="16"/>
      <c r="S338" s="16"/>
      <c r="T338" s="17"/>
      <c r="U338" s="18">
        <f t="shared" si="1145"/>
        <v>8</v>
      </c>
      <c r="V338" s="34"/>
      <c r="W338" s="16"/>
      <c r="X338" s="16"/>
      <c r="Y338" s="17"/>
      <c r="Z338" s="18">
        <f t="shared" si="1146"/>
        <v>0</v>
      </c>
      <c r="AA338" s="34"/>
      <c r="AB338" s="16"/>
      <c r="AC338" s="16"/>
      <c r="AD338" s="17"/>
      <c r="AE338" s="18">
        <f t="shared" si="1147"/>
        <v>0</v>
      </c>
      <c r="AF338" s="34"/>
      <c r="AG338" s="16"/>
      <c r="AH338" s="16"/>
      <c r="AI338" s="17"/>
      <c r="AJ338" s="18">
        <f t="shared" si="1148"/>
        <v>0</v>
      </c>
      <c r="AK338" s="34"/>
      <c r="AL338" s="16"/>
      <c r="AM338" s="16"/>
      <c r="AN338" s="17"/>
      <c r="AO338" s="18">
        <f t="shared" si="1149"/>
        <v>0</v>
      </c>
      <c r="AP338" s="34"/>
      <c r="AQ338" s="16"/>
      <c r="AR338" s="16"/>
      <c r="AS338" s="17"/>
      <c r="AT338" s="18">
        <f t="shared" si="1150"/>
        <v>0</v>
      </c>
      <c r="AU338" s="34"/>
      <c r="AV338" s="16"/>
      <c r="AW338" s="16"/>
      <c r="AX338" s="17"/>
      <c r="AY338" s="18">
        <f t="shared" si="1151"/>
        <v>0</v>
      </c>
      <c r="AZ338" s="34"/>
      <c r="BA338" s="16"/>
      <c r="BB338" s="16"/>
      <c r="BC338" s="17"/>
      <c r="BD338" s="18">
        <f t="shared" si="1152"/>
        <v>0</v>
      </c>
      <c r="BE338" s="34"/>
      <c r="BF338" s="16"/>
      <c r="BG338" s="16"/>
      <c r="BH338" s="17"/>
      <c r="BI338" s="18">
        <f t="shared" si="1153"/>
        <v>0</v>
      </c>
      <c r="BJ338" s="34"/>
      <c r="BK338" s="16"/>
      <c r="BL338" s="16"/>
      <c r="BM338" s="17"/>
      <c r="BN338" s="18">
        <f t="shared" si="1154"/>
        <v>0</v>
      </c>
      <c r="BO338" s="70">
        <f t="shared" si="1259"/>
        <v>34</v>
      </c>
      <c r="BP338" s="16">
        <f t="shared" si="1260"/>
        <v>0</v>
      </c>
      <c r="BQ338" s="16">
        <f t="shared" si="1261"/>
        <v>7</v>
      </c>
      <c r="BR338" s="17">
        <f t="shared" si="1262"/>
        <v>0</v>
      </c>
      <c r="BS338" s="35">
        <f t="shared" ref="BS338" si="1292">SUM(BO338:BR338)</f>
        <v>41</v>
      </c>
    </row>
    <row r="339" spans="2:71" x14ac:dyDescent="0.3">
      <c r="B339" s="264"/>
      <c r="C339" s="223"/>
      <c r="D339" s="224"/>
      <c r="E339" s="212"/>
      <c r="F339" s="144" t="s">
        <v>143</v>
      </c>
      <c r="G339" s="36"/>
      <c r="H339" s="10">
        <v>1</v>
      </c>
      <c r="I339" s="10"/>
      <c r="J339" s="11"/>
      <c r="K339" s="12">
        <f t="shared" si="1278"/>
        <v>1</v>
      </c>
      <c r="L339" s="36"/>
      <c r="M339" s="10"/>
      <c r="N339" s="10"/>
      <c r="O339" s="11"/>
      <c r="P339" s="12">
        <f t="shared" si="1144"/>
        <v>0</v>
      </c>
      <c r="Q339" s="36"/>
      <c r="R339" s="10"/>
      <c r="S339" s="10"/>
      <c r="T339" s="11"/>
      <c r="U339" s="12">
        <f t="shared" si="1145"/>
        <v>0</v>
      </c>
      <c r="V339" s="36"/>
      <c r="W339" s="10"/>
      <c r="X339" s="10"/>
      <c r="Y339" s="11"/>
      <c r="Z339" s="12">
        <f t="shared" si="1146"/>
        <v>0</v>
      </c>
      <c r="AA339" s="36"/>
      <c r="AB339" s="10"/>
      <c r="AC339" s="10"/>
      <c r="AD339" s="11"/>
      <c r="AE339" s="12">
        <f t="shared" si="1147"/>
        <v>0</v>
      </c>
      <c r="AF339" s="36"/>
      <c r="AG339" s="10"/>
      <c r="AH339" s="10"/>
      <c r="AI339" s="11"/>
      <c r="AJ339" s="12">
        <f t="shared" si="1148"/>
        <v>0</v>
      </c>
      <c r="AK339" s="36"/>
      <c r="AL339" s="10"/>
      <c r="AM339" s="10"/>
      <c r="AN339" s="11"/>
      <c r="AO339" s="12">
        <f t="shared" si="1149"/>
        <v>0</v>
      </c>
      <c r="AP339" s="36"/>
      <c r="AQ339" s="10"/>
      <c r="AR339" s="10"/>
      <c r="AS339" s="11"/>
      <c r="AT339" s="12">
        <f t="shared" si="1150"/>
        <v>0</v>
      </c>
      <c r="AU339" s="36"/>
      <c r="AV339" s="10"/>
      <c r="AW339" s="10"/>
      <c r="AX339" s="11"/>
      <c r="AY339" s="12">
        <f t="shared" si="1151"/>
        <v>0</v>
      </c>
      <c r="AZ339" s="36"/>
      <c r="BA339" s="10"/>
      <c r="BB339" s="10"/>
      <c r="BC339" s="11"/>
      <c r="BD339" s="12">
        <f t="shared" si="1152"/>
        <v>0</v>
      </c>
      <c r="BE339" s="36"/>
      <c r="BF339" s="10"/>
      <c r="BG339" s="10"/>
      <c r="BH339" s="11"/>
      <c r="BI339" s="12">
        <f t="shared" si="1153"/>
        <v>0</v>
      </c>
      <c r="BJ339" s="36"/>
      <c r="BK339" s="10"/>
      <c r="BL339" s="10"/>
      <c r="BM339" s="11"/>
      <c r="BN339" s="12">
        <f t="shared" si="1154"/>
        <v>0</v>
      </c>
      <c r="BO339" s="71">
        <f t="shared" si="1259"/>
        <v>0</v>
      </c>
      <c r="BP339" s="10">
        <f t="shared" si="1260"/>
        <v>1</v>
      </c>
      <c r="BQ339" s="10">
        <f t="shared" si="1261"/>
        <v>0</v>
      </c>
      <c r="BR339" s="11">
        <f t="shared" si="1262"/>
        <v>0</v>
      </c>
      <c r="BS339" s="37">
        <f t="shared" si="1279"/>
        <v>1</v>
      </c>
    </row>
    <row r="340" spans="2:71" x14ac:dyDescent="0.3">
      <c r="B340" s="264"/>
      <c r="C340" s="225"/>
      <c r="D340" s="226"/>
      <c r="E340" s="115"/>
      <c r="F340" s="115" t="s">
        <v>57</v>
      </c>
      <c r="G340" s="159">
        <f>SUM(G327:G339)</f>
        <v>2063</v>
      </c>
      <c r="H340" s="160">
        <f>SUM(H327:H339)</f>
        <v>27</v>
      </c>
      <c r="I340" s="160">
        <f>SUM(I327:I339)</f>
        <v>98</v>
      </c>
      <c r="J340" s="161">
        <f>SUM(J327:J339)</f>
        <v>0</v>
      </c>
      <c r="K340" s="162">
        <f t="shared" si="1278"/>
        <v>2188</v>
      </c>
      <c r="L340" s="159">
        <f>SUM(L327:L339)</f>
        <v>1574</v>
      </c>
      <c r="M340" s="160">
        <f>SUM(M327:M339)</f>
        <v>6</v>
      </c>
      <c r="N340" s="160">
        <f>SUM(N327:N339)</f>
        <v>43</v>
      </c>
      <c r="O340" s="161">
        <f>SUM(O327:O339)</f>
        <v>0</v>
      </c>
      <c r="P340" s="162">
        <f t="shared" si="1144"/>
        <v>1623</v>
      </c>
      <c r="Q340" s="159">
        <f>SUM(Q327:Q339)</f>
        <v>1476</v>
      </c>
      <c r="R340" s="160">
        <f>SUM(R327:R339)</f>
        <v>7</v>
      </c>
      <c r="S340" s="160">
        <f>SUM(S327:S339)</f>
        <v>73</v>
      </c>
      <c r="T340" s="161">
        <f>SUM(T327:T339)</f>
        <v>0</v>
      </c>
      <c r="U340" s="162">
        <f t="shared" si="1145"/>
        <v>1556</v>
      </c>
      <c r="V340" s="159">
        <f>SUM(V327:V339)</f>
        <v>3031</v>
      </c>
      <c r="W340" s="160">
        <f>SUM(W327:W339)</f>
        <v>40</v>
      </c>
      <c r="X340" s="160">
        <f>SUM(X327:X339)</f>
        <v>207</v>
      </c>
      <c r="Y340" s="161">
        <f>SUM(Y327:Y339)</f>
        <v>0</v>
      </c>
      <c r="Z340" s="162">
        <f t="shared" si="1146"/>
        <v>3278</v>
      </c>
      <c r="AA340" s="159">
        <f>SUM(AA327:AA339)</f>
        <v>3086</v>
      </c>
      <c r="AB340" s="160">
        <f>SUM(AB327:AB339)</f>
        <v>26</v>
      </c>
      <c r="AC340" s="160">
        <f>SUM(AC327:AC339)</f>
        <v>116</v>
      </c>
      <c r="AD340" s="161">
        <f>SUM(AD327:AD339)</f>
        <v>0</v>
      </c>
      <c r="AE340" s="162">
        <f t="shared" si="1147"/>
        <v>3228</v>
      </c>
      <c r="AF340" s="159">
        <f>SUM(AF327:AF339)</f>
        <v>2724</v>
      </c>
      <c r="AG340" s="160">
        <f>SUM(AG327:AG339)</f>
        <v>48</v>
      </c>
      <c r="AH340" s="160">
        <f>SUM(AH327:AH339)</f>
        <v>207</v>
      </c>
      <c r="AI340" s="161">
        <f>SUM(AI327:AI339)</f>
        <v>0</v>
      </c>
      <c r="AJ340" s="162">
        <f t="shared" si="1148"/>
        <v>2979</v>
      </c>
      <c r="AK340" s="159">
        <f>SUM(AK327:AK339)</f>
        <v>2003</v>
      </c>
      <c r="AL340" s="160">
        <f>SUM(AL327:AL339)</f>
        <v>58</v>
      </c>
      <c r="AM340" s="160">
        <f>SUM(AM327:AM339)</f>
        <v>199</v>
      </c>
      <c r="AN340" s="161">
        <f>SUM(AN327:AN339)</f>
        <v>0</v>
      </c>
      <c r="AO340" s="162">
        <f t="shared" si="1149"/>
        <v>2260</v>
      </c>
      <c r="AP340" s="159">
        <f>SUM(AP327:AP339)</f>
        <v>2454</v>
      </c>
      <c r="AQ340" s="160">
        <f>SUM(AQ327:AQ339)</f>
        <v>54</v>
      </c>
      <c r="AR340" s="160">
        <f>SUM(AR327:AR339)</f>
        <v>193</v>
      </c>
      <c r="AS340" s="161">
        <f>SUM(AS327:AS339)</f>
        <v>0</v>
      </c>
      <c r="AT340" s="162">
        <f t="shared" si="1150"/>
        <v>2701</v>
      </c>
      <c r="AU340" s="159">
        <f>SUM(AU327:AU339)</f>
        <v>3044</v>
      </c>
      <c r="AV340" s="160">
        <f>SUM(AV327:AV339)</f>
        <v>20</v>
      </c>
      <c r="AW340" s="160">
        <f>SUM(AW327:AW339)</f>
        <v>174</v>
      </c>
      <c r="AX340" s="161">
        <f>SUM(AX327:AX339)</f>
        <v>0</v>
      </c>
      <c r="AY340" s="162">
        <f t="shared" si="1151"/>
        <v>3238</v>
      </c>
      <c r="AZ340" s="159">
        <f>SUM(AZ327:AZ339)</f>
        <v>3292</v>
      </c>
      <c r="BA340" s="160">
        <f>SUM(BA327:BA339)</f>
        <v>25</v>
      </c>
      <c r="BB340" s="160">
        <f>SUM(BB327:BB339)</f>
        <v>211</v>
      </c>
      <c r="BC340" s="161">
        <f>SUM(BC327:BC339)</f>
        <v>0</v>
      </c>
      <c r="BD340" s="162">
        <f t="shared" si="1152"/>
        <v>3528</v>
      </c>
      <c r="BE340" s="159">
        <f>SUM(BE327:BE339)</f>
        <v>1154</v>
      </c>
      <c r="BF340" s="160">
        <f>SUM(BF327:BF339)</f>
        <v>14</v>
      </c>
      <c r="BG340" s="160">
        <f>SUM(BG327:BG339)</f>
        <v>50</v>
      </c>
      <c r="BH340" s="161">
        <f>SUM(BH327:BH339)</f>
        <v>0</v>
      </c>
      <c r="BI340" s="162">
        <f t="shared" si="1153"/>
        <v>1218</v>
      </c>
      <c r="BJ340" s="159">
        <f>SUM(BJ327:BJ339)</f>
        <v>1787</v>
      </c>
      <c r="BK340" s="160">
        <f>SUM(BK327:BK339)</f>
        <v>14</v>
      </c>
      <c r="BL340" s="160">
        <f>SUM(BL327:BL339)</f>
        <v>71</v>
      </c>
      <c r="BM340" s="161">
        <f>SUM(BM327:BM339)</f>
        <v>0</v>
      </c>
      <c r="BN340" s="162">
        <f t="shared" si="1154"/>
        <v>1872</v>
      </c>
      <c r="BO340" s="164">
        <f>SUM(BO327:BO339)</f>
        <v>27688</v>
      </c>
      <c r="BP340" s="160">
        <f>SUM(BP327:BP339)</f>
        <v>339</v>
      </c>
      <c r="BQ340" s="160">
        <f>SUM(BQ327:BQ339)</f>
        <v>1642</v>
      </c>
      <c r="BR340" s="161">
        <f>SUM(BR327:BR339)</f>
        <v>0</v>
      </c>
      <c r="BS340" s="163">
        <f t="shared" si="1279"/>
        <v>29669</v>
      </c>
    </row>
    <row r="341" spans="2:71" x14ac:dyDescent="0.3">
      <c r="B341" s="264"/>
      <c r="C341" s="227" t="s">
        <v>18</v>
      </c>
      <c r="D341" s="228"/>
      <c r="E341" s="228"/>
      <c r="F341" s="120" t="s">
        <v>104</v>
      </c>
      <c r="G341" s="147"/>
      <c r="H341" s="7"/>
      <c r="I341" s="7"/>
      <c r="J341" s="8">
        <v>1737</v>
      </c>
      <c r="K341" s="9">
        <f t="shared" si="1278"/>
        <v>1737</v>
      </c>
      <c r="L341" s="147"/>
      <c r="M341" s="7"/>
      <c r="N341" s="7"/>
      <c r="O341" s="8">
        <v>3952</v>
      </c>
      <c r="P341" s="9">
        <f t="shared" si="1144"/>
        <v>3952</v>
      </c>
      <c r="Q341" s="147"/>
      <c r="R341" s="7"/>
      <c r="S341" s="7"/>
      <c r="T341" s="8">
        <v>194</v>
      </c>
      <c r="U341" s="9">
        <f t="shared" si="1145"/>
        <v>194</v>
      </c>
      <c r="V341" s="147"/>
      <c r="W341" s="7"/>
      <c r="X341" s="7"/>
      <c r="Y341" s="8"/>
      <c r="Z341" s="9">
        <f t="shared" si="1146"/>
        <v>0</v>
      </c>
      <c r="AA341" s="147"/>
      <c r="AB341" s="7"/>
      <c r="AC341" s="7"/>
      <c r="AD341" s="8"/>
      <c r="AE341" s="9">
        <f t="shared" si="1147"/>
        <v>0</v>
      </c>
      <c r="AF341" s="147"/>
      <c r="AG341" s="7"/>
      <c r="AH341" s="7"/>
      <c r="AI341" s="8"/>
      <c r="AJ341" s="9">
        <f t="shared" si="1148"/>
        <v>0</v>
      </c>
      <c r="AK341" s="147"/>
      <c r="AL341" s="7"/>
      <c r="AM341" s="7"/>
      <c r="AN341" s="8"/>
      <c r="AO341" s="9">
        <f t="shared" si="1149"/>
        <v>0</v>
      </c>
      <c r="AP341" s="147"/>
      <c r="AQ341" s="7"/>
      <c r="AR341" s="7"/>
      <c r="AS341" s="8"/>
      <c r="AT341" s="9">
        <f t="shared" si="1150"/>
        <v>0</v>
      </c>
      <c r="AU341" s="147"/>
      <c r="AV341" s="7"/>
      <c r="AW341" s="7"/>
      <c r="AX341" s="8"/>
      <c r="AY341" s="9">
        <f t="shared" si="1151"/>
        <v>0</v>
      </c>
      <c r="AZ341" s="147"/>
      <c r="BA341" s="7"/>
      <c r="BB341" s="7"/>
      <c r="BC341" s="8"/>
      <c r="BD341" s="9">
        <f t="shared" si="1152"/>
        <v>0</v>
      </c>
      <c r="BE341" s="147"/>
      <c r="BF341" s="7"/>
      <c r="BG341" s="7"/>
      <c r="BH341" s="8"/>
      <c r="BI341" s="9">
        <f t="shared" si="1153"/>
        <v>0</v>
      </c>
      <c r="BJ341" s="147"/>
      <c r="BK341" s="7"/>
      <c r="BL341" s="7"/>
      <c r="BM341" s="8"/>
      <c r="BN341" s="9">
        <f t="shared" si="1154"/>
        <v>0</v>
      </c>
      <c r="BO341" s="65">
        <f t="shared" ref="BO341:BR347" si="1293">SUM(G341,L341,Q341,V341,AA341,AF341,AK341,AP341,AU341,AZ341,BE341,BJ341)</f>
        <v>0</v>
      </c>
      <c r="BP341" s="7">
        <f t="shared" si="1293"/>
        <v>0</v>
      </c>
      <c r="BQ341" s="7">
        <f t="shared" si="1293"/>
        <v>0</v>
      </c>
      <c r="BR341" s="8">
        <f t="shared" si="1293"/>
        <v>5883</v>
      </c>
      <c r="BS341" s="31">
        <f t="shared" si="1279"/>
        <v>5883</v>
      </c>
    </row>
    <row r="342" spans="2:71" x14ac:dyDescent="0.3">
      <c r="B342" s="264"/>
      <c r="C342" s="223"/>
      <c r="D342" s="224"/>
      <c r="E342" s="224"/>
      <c r="F342" s="123" t="s">
        <v>105</v>
      </c>
      <c r="G342" s="34"/>
      <c r="H342" s="16"/>
      <c r="I342" s="16"/>
      <c r="J342" s="17">
        <v>77</v>
      </c>
      <c r="K342" s="18">
        <f t="shared" si="1278"/>
        <v>77</v>
      </c>
      <c r="L342" s="34"/>
      <c r="M342" s="16"/>
      <c r="N342" s="16"/>
      <c r="O342" s="17">
        <v>216</v>
      </c>
      <c r="P342" s="18">
        <f t="shared" ref="P342:P429" si="1294">SUM(L342:O342)</f>
        <v>216</v>
      </c>
      <c r="Q342" s="34"/>
      <c r="R342" s="16"/>
      <c r="S342" s="16"/>
      <c r="T342" s="17">
        <v>11</v>
      </c>
      <c r="U342" s="18">
        <f t="shared" ref="U342:U429" si="1295">SUM(Q342:T342)</f>
        <v>11</v>
      </c>
      <c r="V342" s="34"/>
      <c r="W342" s="16"/>
      <c r="X342" s="16"/>
      <c r="Y342" s="17"/>
      <c r="Z342" s="18">
        <f t="shared" ref="Z342:Z429" si="1296">SUM(V342:Y342)</f>
        <v>0</v>
      </c>
      <c r="AA342" s="34"/>
      <c r="AB342" s="16"/>
      <c r="AC342" s="16"/>
      <c r="AD342" s="17"/>
      <c r="AE342" s="18">
        <f t="shared" ref="AE342:AE429" si="1297">SUM(AA342:AD342)</f>
        <v>0</v>
      </c>
      <c r="AF342" s="34"/>
      <c r="AG342" s="16"/>
      <c r="AH342" s="16"/>
      <c r="AI342" s="17"/>
      <c r="AJ342" s="18">
        <f t="shared" ref="AJ342:AJ429" si="1298">SUM(AF342:AI342)</f>
        <v>0</v>
      </c>
      <c r="AK342" s="34"/>
      <c r="AL342" s="16"/>
      <c r="AM342" s="16"/>
      <c r="AN342" s="17"/>
      <c r="AO342" s="18">
        <f t="shared" ref="AO342:AO429" si="1299">SUM(AK342:AN342)</f>
        <v>0</v>
      </c>
      <c r="AP342" s="34"/>
      <c r="AQ342" s="16"/>
      <c r="AR342" s="16"/>
      <c r="AS342" s="51"/>
      <c r="AT342" s="18">
        <f t="shared" ref="AT342:AT429" si="1300">SUM(AP342:AS342)</f>
        <v>0</v>
      </c>
      <c r="AU342" s="34"/>
      <c r="AV342" s="16"/>
      <c r="AW342" s="16"/>
      <c r="AX342" s="17"/>
      <c r="AY342" s="18">
        <f t="shared" ref="AY342:AY429" si="1301">SUM(AU342:AX342)</f>
        <v>0</v>
      </c>
      <c r="AZ342" s="34"/>
      <c r="BA342" s="16"/>
      <c r="BB342" s="16"/>
      <c r="BC342" s="17"/>
      <c r="BD342" s="18">
        <f t="shared" ref="BD342:BD429" si="1302">SUM(AZ342:BC342)</f>
        <v>0</v>
      </c>
      <c r="BE342" s="34"/>
      <c r="BF342" s="16"/>
      <c r="BG342" s="16"/>
      <c r="BH342" s="17"/>
      <c r="BI342" s="18">
        <f t="shared" ref="BI342:BI429" si="1303">SUM(BE342:BH342)</f>
        <v>0</v>
      </c>
      <c r="BJ342" s="34"/>
      <c r="BK342" s="16"/>
      <c r="BL342" s="16"/>
      <c r="BM342" s="17"/>
      <c r="BN342" s="18">
        <f t="shared" ref="BN342:BN429" si="1304">SUM(BJ342:BM342)</f>
        <v>0</v>
      </c>
      <c r="BO342" s="70">
        <f t="shared" si="1293"/>
        <v>0</v>
      </c>
      <c r="BP342" s="16">
        <f t="shared" si="1293"/>
        <v>0</v>
      </c>
      <c r="BQ342" s="16">
        <f t="shared" si="1293"/>
        <v>0</v>
      </c>
      <c r="BR342" s="17">
        <f t="shared" si="1293"/>
        <v>304</v>
      </c>
      <c r="BS342" s="35">
        <f t="shared" si="1279"/>
        <v>304</v>
      </c>
    </row>
    <row r="343" spans="2:71" x14ac:dyDescent="0.3">
      <c r="B343" s="264"/>
      <c r="C343" s="223"/>
      <c r="D343" s="224"/>
      <c r="E343" s="224"/>
      <c r="F343" s="123" t="s">
        <v>269</v>
      </c>
      <c r="G343" s="170"/>
      <c r="H343" s="16"/>
      <c r="I343" s="16"/>
      <c r="J343" s="17"/>
      <c r="K343" s="18">
        <f t="shared" ref="K343:K344" si="1305">SUM(G343:J343)</f>
        <v>0</v>
      </c>
      <c r="L343" s="170"/>
      <c r="M343" s="16"/>
      <c r="N343" s="16"/>
      <c r="O343" s="17"/>
      <c r="P343" s="18">
        <f t="shared" si="1294"/>
        <v>0</v>
      </c>
      <c r="Q343" s="170"/>
      <c r="R343" s="16"/>
      <c r="S343" s="16"/>
      <c r="T343" s="17">
        <v>2084</v>
      </c>
      <c r="U343" s="18">
        <f t="shared" si="1295"/>
        <v>2084</v>
      </c>
      <c r="V343" s="170"/>
      <c r="W343" s="16"/>
      <c r="X343" s="16"/>
      <c r="Y343" s="17">
        <v>3329</v>
      </c>
      <c r="Z343" s="18">
        <f t="shared" si="1296"/>
        <v>3329</v>
      </c>
      <c r="AA343" s="170"/>
      <c r="AB343" s="16"/>
      <c r="AC343" s="16"/>
      <c r="AD343" s="17">
        <v>3225</v>
      </c>
      <c r="AE343" s="18">
        <f t="shared" si="1297"/>
        <v>3225</v>
      </c>
      <c r="AF343" s="170"/>
      <c r="AG343" s="16"/>
      <c r="AH343" s="16"/>
      <c r="AI343" s="17">
        <v>3076</v>
      </c>
      <c r="AJ343" s="18">
        <f t="shared" si="1298"/>
        <v>3076</v>
      </c>
      <c r="AK343" s="170"/>
      <c r="AL343" s="16"/>
      <c r="AM343" s="16"/>
      <c r="AN343" s="17">
        <v>1206</v>
      </c>
      <c r="AO343" s="18">
        <f t="shared" si="1299"/>
        <v>1206</v>
      </c>
      <c r="AP343" s="170"/>
      <c r="AQ343" s="16"/>
      <c r="AR343" s="16"/>
      <c r="AS343" s="17">
        <f>2060+26</f>
        <v>2086</v>
      </c>
      <c r="AT343" s="18">
        <f t="shared" si="1300"/>
        <v>2086</v>
      </c>
      <c r="AU343" s="170"/>
      <c r="AV343" s="16"/>
      <c r="AW343" s="16"/>
      <c r="AX343" s="17">
        <v>3286</v>
      </c>
      <c r="AY343" s="18">
        <f t="shared" si="1301"/>
        <v>3286</v>
      </c>
      <c r="AZ343" s="170"/>
      <c r="BA343" s="16"/>
      <c r="BB343" s="16"/>
      <c r="BC343" s="17">
        <v>5507</v>
      </c>
      <c r="BD343" s="18">
        <f t="shared" si="1302"/>
        <v>5507</v>
      </c>
      <c r="BE343" s="170"/>
      <c r="BF343" s="16"/>
      <c r="BG343" s="16"/>
      <c r="BH343" s="17">
        <v>1215</v>
      </c>
      <c r="BI343" s="18">
        <f t="shared" si="1303"/>
        <v>1215</v>
      </c>
      <c r="BJ343" s="170"/>
      <c r="BK343" s="16"/>
      <c r="BL343" s="16"/>
      <c r="BM343" s="17">
        <v>924</v>
      </c>
      <c r="BN343" s="18">
        <f t="shared" si="1304"/>
        <v>924</v>
      </c>
      <c r="BO343" s="70">
        <f t="shared" si="1293"/>
        <v>0</v>
      </c>
      <c r="BP343" s="16">
        <f t="shared" si="1293"/>
        <v>0</v>
      </c>
      <c r="BQ343" s="16">
        <f t="shared" si="1293"/>
        <v>0</v>
      </c>
      <c r="BR343" s="17">
        <f t="shared" si="1293"/>
        <v>25938</v>
      </c>
      <c r="BS343" s="35">
        <f t="shared" ref="BS343:BS344" si="1306">SUM(BO343:BR343)</f>
        <v>25938</v>
      </c>
    </row>
    <row r="344" spans="2:71" x14ac:dyDescent="0.3">
      <c r="B344" s="264"/>
      <c r="C344" s="223"/>
      <c r="D344" s="224"/>
      <c r="E344" s="224"/>
      <c r="F344" s="121" t="s">
        <v>270</v>
      </c>
      <c r="G344" s="32"/>
      <c r="H344" s="13"/>
      <c r="I344" s="13"/>
      <c r="J344" s="14"/>
      <c r="K344" s="15">
        <f t="shared" si="1305"/>
        <v>0</v>
      </c>
      <c r="L344" s="32"/>
      <c r="M344" s="13"/>
      <c r="N344" s="13"/>
      <c r="O344" s="14"/>
      <c r="P344" s="15">
        <f t="shared" ref="P344" si="1307">SUM(L344:O344)</f>
        <v>0</v>
      </c>
      <c r="Q344" s="32"/>
      <c r="R344" s="13"/>
      <c r="S344" s="13"/>
      <c r="T344" s="14">
        <v>266</v>
      </c>
      <c r="U344" s="15">
        <f t="shared" ref="U344" si="1308">SUM(Q344:T344)</f>
        <v>266</v>
      </c>
      <c r="V344" s="32"/>
      <c r="W344" s="13"/>
      <c r="X344" s="13"/>
      <c r="Y344" s="14">
        <v>577</v>
      </c>
      <c r="Z344" s="15">
        <f t="shared" ref="Z344" si="1309">SUM(V344:Y344)</f>
        <v>577</v>
      </c>
      <c r="AA344" s="32"/>
      <c r="AB344" s="13"/>
      <c r="AC344" s="13"/>
      <c r="AD344" s="14">
        <v>528</v>
      </c>
      <c r="AE344" s="15">
        <f t="shared" ref="AE344" si="1310">SUM(AA344:AD344)</f>
        <v>528</v>
      </c>
      <c r="AF344" s="32"/>
      <c r="AG344" s="13"/>
      <c r="AH344" s="13"/>
      <c r="AI344" s="14">
        <v>908</v>
      </c>
      <c r="AJ344" s="15">
        <f t="shared" ref="AJ344" si="1311">SUM(AF344:AI344)</f>
        <v>908</v>
      </c>
      <c r="AK344" s="32"/>
      <c r="AL344" s="13"/>
      <c r="AM344" s="13"/>
      <c r="AN344" s="14">
        <v>532</v>
      </c>
      <c r="AO344" s="15">
        <f t="shared" ref="AO344" si="1312">SUM(AK344:AN344)</f>
        <v>532</v>
      </c>
      <c r="AP344" s="32"/>
      <c r="AQ344" s="13"/>
      <c r="AR344" s="13"/>
      <c r="AS344" s="17">
        <f>1095+8</f>
        <v>1103</v>
      </c>
      <c r="AT344" s="15">
        <f t="shared" ref="AT344" si="1313">SUM(AP344:AS344)</f>
        <v>1103</v>
      </c>
      <c r="AU344" s="32"/>
      <c r="AV344" s="13"/>
      <c r="AW344" s="13"/>
      <c r="AX344" s="14">
        <v>849</v>
      </c>
      <c r="AY344" s="15">
        <f t="shared" ref="AY344" si="1314">SUM(AU344:AX344)</f>
        <v>849</v>
      </c>
      <c r="AZ344" s="32"/>
      <c r="BA344" s="13"/>
      <c r="BB344" s="13"/>
      <c r="BC344" s="14">
        <v>1009</v>
      </c>
      <c r="BD344" s="15">
        <f t="shared" ref="BD344" si="1315">SUM(AZ344:BC344)</f>
        <v>1009</v>
      </c>
      <c r="BE344" s="32"/>
      <c r="BF344" s="13"/>
      <c r="BG344" s="13"/>
      <c r="BH344" s="14">
        <v>239</v>
      </c>
      <c r="BI344" s="15">
        <f t="shared" ref="BI344" si="1316">SUM(BE344:BH344)</f>
        <v>239</v>
      </c>
      <c r="BJ344" s="32"/>
      <c r="BK344" s="13"/>
      <c r="BL344" s="13"/>
      <c r="BM344" s="14">
        <v>129</v>
      </c>
      <c r="BN344" s="15">
        <f t="shared" ref="BN344" si="1317">SUM(BJ344:BM344)</f>
        <v>129</v>
      </c>
      <c r="BO344" s="66">
        <f t="shared" si="1293"/>
        <v>0</v>
      </c>
      <c r="BP344" s="13">
        <f t="shared" si="1293"/>
        <v>0</v>
      </c>
      <c r="BQ344" s="13">
        <f t="shared" si="1293"/>
        <v>0</v>
      </c>
      <c r="BR344" s="14">
        <f t="shared" si="1293"/>
        <v>6140</v>
      </c>
      <c r="BS344" s="33">
        <f t="shared" si="1306"/>
        <v>6140</v>
      </c>
    </row>
    <row r="345" spans="2:71" x14ac:dyDescent="0.3">
      <c r="B345" s="264"/>
      <c r="C345" s="223"/>
      <c r="D345" s="224"/>
      <c r="E345" s="224"/>
      <c r="F345" s="121" t="s">
        <v>106</v>
      </c>
      <c r="G345" s="32"/>
      <c r="H345" s="13"/>
      <c r="I345" s="13"/>
      <c r="J345" s="14">
        <v>32</v>
      </c>
      <c r="K345" s="15">
        <f t="shared" si="1278"/>
        <v>32</v>
      </c>
      <c r="L345" s="32"/>
      <c r="M345" s="13"/>
      <c r="N345" s="13"/>
      <c r="O345" s="14">
        <v>96</v>
      </c>
      <c r="P345" s="15">
        <f t="shared" si="1294"/>
        <v>96</v>
      </c>
      <c r="Q345" s="32"/>
      <c r="R345" s="13"/>
      <c r="S345" s="13"/>
      <c r="T345" s="14">
        <v>56</v>
      </c>
      <c r="U345" s="15">
        <f t="shared" si="1295"/>
        <v>56</v>
      </c>
      <c r="V345" s="32"/>
      <c r="W345" s="13"/>
      <c r="X345" s="13"/>
      <c r="Y345" s="14">
        <v>117</v>
      </c>
      <c r="Z345" s="15">
        <f t="shared" si="1296"/>
        <v>117</v>
      </c>
      <c r="AA345" s="32"/>
      <c r="AB345" s="13"/>
      <c r="AC345" s="13"/>
      <c r="AD345" s="14">
        <v>177</v>
      </c>
      <c r="AE345" s="15">
        <f t="shared" si="1297"/>
        <v>177</v>
      </c>
      <c r="AF345" s="32"/>
      <c r="AG345" s="13"/>
      <c r="AH345" s="13"/>
      <c r="AI345" s="14">
        <v>124</v>
      </c>
      <c r="AJ345" s="15">
        <f t="shared" si="1298"/>
        <v>124</v>
      </c>
      <c r="AK345" s="32"/>
      <c r="AL345" s="13"/>
      <c r="AM345" s="13"/>
      <c r="AN345" s="14">
        <v>55</v>
      </c>
      <c r="AO345" s="15">
        <f t="shared" si="1299"/>
        <v>55</v>
      </c>
      <c r="AP345" s="32"/>
      <c r="AQ345" s="13"/>
      <c r="AR345" s="13"/>
      <c r="AS345" s="14">
        <v>81</v>
      </c>
      <c r="AT345" s="15">
        <f t="shared" si="1300"/>
        <v>81</v>
      </c>
      <c r="AU345" s="32"/>
      <c r="AV345" s="13"/>
      <c r="AW345" s="13"/>
      <c r="AX345" s="14">
        <v>191</v>
      </c>
      <c r="AY345" s="15">
        <f t="shared" si="1301"/>
        <v>191</v>
      </c>
      <c r="AZ345" s="32"/>
      <c r="BA345" s="13"/>
      <c r="BB345" s="13"/>
      <c r="BC345" s="14">
        <v>294</v>
      </c>
      <c r="BD345" s="15">
        <f t="shared" si="1302"/>
        <v>294</v>
      </c>
      <c r="BE345" s="32"/>
      <c r="BF345" s="13"/>
      <c r="BG345" s="13"/>
      <c r="BH345" s="14">
        <v>129</v>
      </c>
      <c r="BI345" s="15">
        <f t="shared" si="1303"/>
        <v>129</v>
      </c>
      <c r="BJ345" s="32"/>
      <c r="BK345" s="13"/>
      <c r="BL345" s="13"/>
      <c r="BM345" s="14">
        <v>56</v>
      </c>
      <c r="BN345" s="15">
        <f t="shared" si="1304"/>
        <v>56</v>
      </c>
      <c r="BO345" s="66">
        <f t="shared" si="1293"/>
        <v>0</v>
      </c>
      <c r="BP345" s="13">
        <f t="shared" si="1293"/>
        <v>0</v>
      </c>
      <c r="BQ345" s="13">
        <f t="shared" si="1293"/>
        <v>0</v>
      </c>
      <c r="BR345" s="14">
        <f t="shared" si="1293"/>
        <v>1408</v>
      </c>
      <c r="BS345" s="33">
        <f t="shared" si="1279"/>
        <v>1408</v>
      </c>
    </row>
    <row r="346" spans="2:71" x14ac:dyDescent="0.3">
      <c r="B346" s="264"/>
      <c r="C346" s="223"/>
      <c r="D346" s="224"/>
      <c r="E346" s="224"/>
      <c r="F346" s="121" t="s">
        <v>415</v>
      </c>
      <c r="G346" s="32"/>
      <c r="H346" s="13"/>
      <c r="I346" s="13"/>
      <c r="J346" s="14"/>
      <c r="K346" s="15">
        <f t="shared" ref="K346" si="1318">SUM(G346:J346)</f>
        <v>0</v>
      </c>
      <c r="L346" s="32"/>
      <c r="M346" s="13"/>
      <c r="N346" s="13"/>
      <c r="O346" s="14"/>
      <c r="P346" s="15">
        <f t="shared" ref="P346" si="1319">SUM(L346:O346)</f>
        <v>0</v>
      </c>
      <c r="Q346" s="32"/>
      <c r="R346" s="13"/>
      <c r="S346" s="13"/>
      <c r="T346" s="14"/>
      <c r="U346" s="15">
        <f t="shared" ref="U346" si="1320">SUM(Q346:T346)</f>
        <v>0</v>
      </c>
      <c r="V346" s="32"/>
      <c r="W346" s="13"/>
      <c r="X346" s="13"/>
      <c r="Y346" s="14"/>
      <c r="Z346" s="15">
        <f t="shared" ref="Z346" si="1321">SUM(V346:Y346)</f>
        <v>0</v>
      </c>
      <c r="AA346" s="32"/>
      <c r="AB346" s="13"/>
      <c r="AC346" s="13"/>
      <c r="AD346" s="14"/>
      <c r="AE346" s="15">
        <f t="shared" ref="AE346" si="1322">SUM(AA346:AD346)</f>
        <v>0</v>
      </c>
      <c r="AF346" s="32"/>
      <c r="AG346" s="13"/>
      <c r="AH346" s="13"/>
      <c r="AI346" s="14"/>
      <c r="AJ346" s="15">
        <f t="shared" ref="AJ346" si="1323">SUM(AF346:AI346)</f>
        <v>0</v>
      </c>
      <c r="AK346" s="32"/>
      <c r="AL346" s="13"/>
      <c r="AM346" s="13"/>
      <c r="AN346" s="14"/>
      <c r="AO346" s="15">
        <f t="shared" ref="AO346" si="1324">SUM(AK346:AN346)</f>
        <v>0</v>
      </c>
      <c r="AP346" s="32"/>
      <c r="AQ346" s="13"/>
      <c r="AR346" s="13"/>
      <c r="AS346" s="14"/>
      <c r="AT346" s="15">
        <f t="shared" ref="AT346" si="1325">SUM(AP346:AS346)</f>
        <v>0</v>
      </c>
      <c r="AU346" s="32"/>
      <c r="AV346" s="13"/>
      <c r="AW346" s="13"/>
      <c r="AX346" s="14"/>
      <c r="AY346" s="15">
        <f t="shared" ref="AY346" si="1326">SUM(AU346:AX346)</f>
        <v>0</v>
      </c>
      <c r="AZ346" s="32"/>
      <c r="BA346" s="13"/>
      <c r="BB346" s="13"/>
      <c r="BC346" s="14"/>
      <c r="BD346" s="15">
        <f t="shared" ref="BD346" si="1327">SUM(AZ346:BC346)</f>
        <v>0</v>
      </c>
      <c r="BE346" s="32"/>
      <c r="BF346" s="13"/>
      <c r="BG346" s="13"/>
      <c r="BH346" s="14"/>
      <c r="BI346" s="15">
        <f t="shared" ref="BI346" si="1328">SUM(BE346:BH346)</f>
        <v>0</v>
      </c>
      <c r="BJ346" s="32"/>
      <c r="BK346" s="13"/>
      <c r="BL346" s="13"/>
      <c r="BM346" s="14">
        <v>766</v>
      </c>
      <c r="BN346" s="15">
        <f t="shared" ref="BN346" si="1329">SUM(BJ346:BM346)</f>
        <v>766</v>
      </c>
      <c r="BO346" s="66">
        <f t="shared" si="1293"/>
        <v>0</v>
      </c>
      <c r="BP346" s="13">
        <f t="shared" si="1293"/>
        <v>0</v>
      </c>
      <c r="BQ346" s="13">
        <f t="shared" si="1293"/>
        <v>0</v>
      </c>
      <c r="BR346" s="14">
        <f t="shared" si="1293"/>
        <v>766</v>
      </c>
      <c r="BS346" s="33">
        <f t="shared" ref="BS346" si="1330">SUM(BO346:BR346)</f>
        <v>766</v>
      </c>
    </row>
    <row r="347" spans="2:71" x14ac:dyDescent="0.3">
      <c r="B347" s="264"/>
      <c r="C347" s="223"/>
      <c r="D347" s="224"/>
      <c r="E347" s="224"/>
      <c r="F347" s="121" t="s">
        <v>120</v>
      </c>
      <c r="G347" s="32"/>
      <c r="H347" s="13"/>
      <c r="I347" s="13"/>
      <c r="J347" s="14"/>
      <c r="K347" s="15">
        <f t="shared" si="1278"/>
        <v>0</v>
      </c>
      <c r="L347" s="32"/>
      <c r="M347" s="13"/>
      <c r="N347" s="13"/>
      <c r="O347" s="14">
        <v>4</v>
      </c>
      <c r="P347" s="15">
        <f t="shared" si="1294"/>
        <v>4</v>
      </c>
      <c r="Q347" s="32"/>
      <c r="R347" s="13"/>
      <c r="S347" s="13"/>
      <c r="T347" s="14"/>
      <c r="U347" s="15">
        <f t="shared" si="1295"/>
        <v>0</v>
      </c>
      <c r="V347" s="32"/>
      <c r="W347" s="13"/>
      <c r="X347" s="13"/>
      <c r="Y347" s="14"/>
      <c r="Z347" s="15">
        <f t="shared" si="1296"/>
        <v>0</v>
      </c>
      <c r="AA347" s="32"/>
      <c r="AB347" s="13"/>
      <c r="AC347" s="13"/>
      <c r="AD347" s="14"/>
      <c r="AE347" s="15">
        <f t="shared" si="1297"/>
        <v>0</v>
      </c>
      <c r="AF347" s="32"/>
      <c r="AG347" s="13"/>
      <c r="AH347" s="13"/>
      <c r="AI347" s="14"/>
      <c r="AJ347" s="15">
        <f t="shared" si="1298"/>
        <v>0</v>
      </c>
      <c r="AK347" s="32"/>
      <c r="AL347" s="13"/>
      <c r="AM347" s="13"/>
      <c r="AN347" s="14"/>
      <c r="AO347" s="15">
        <f t="shared" si="1299"/>
        <v>0</v>
      </c>
      <c r="AP347" s="32"/>
      <c r="AQ347" s="13"/>
      <c r="AR347" s="13"/>
      <c r="AS347" s="14"/>
      <c r="AT347" s="15">
        <f t="shared" si="1300"/>
        <v>0</v>
      </c>
      <c r="AU347" s="32"/>
      <c r="AV347" s="13"/>
      <c r="AW347" s="13"/>
      <c r="AX347" s="14"/>
      <c r="AY347" s="15">
        <f t="shared" si="1301"/>
        <v>0</v>
      </c>
      <c r="AZ347" s="32"/>
      <c r="BA347" s="13"/>
      <c r="BB347" s="13"/>
      <c r="BC347" s="14"/>
      <c r="BD347" s="15">
        <f t="shared" si="1302"/>
        <v>0</v>
      </c>
      <c r="BE347" s="32"/>
      <c r="BF347" s="13"/>
      <c r="BG347" s="13"/>
      <c r="BH347" s="14"/>
      <c r="BI347" s="15">
        <f t="shared" si="1303"/>
        <v>0</v>
      </c>
      <c r="BJ347" s="32"/>
      <c r="BK347" s="13"/>
      <c r="BL347" s="13"/>
      <c r="BM347" s="14"/>
      <c r="BN347" s="15">
        <f t="shared" si="1304"/>
        <v>0</v>
      </c>
      <c r="BO347" s="66">
        <f t="shared" si="1293"/>
        <v>0</v>
      </c>
      <c r="BP347" s="13">
        <f t="shared" si="1293"/>
        <v>0</v>
      </c>
      <c r="BQ347" s="13">
        <f t="shared" si="1293"/>
        <v>0</v>
      </c>
      <c r="BR347" s="14">
        <f t="shared" si="1293"/>
        <v>4</v>
      </c>
      <c r="BS347" s="33">
        <f t="shared" si="1279"/>
        <v>4</v>
      </c>
    </row>
    <row r="348" spans="2:71" x14ac:dyDescent="0.3">
      <c r="B348" s="264"/>
      <c r="C348" s="225"/>
      <c r="D348" s="226"/>
      <c r="E348" s="226"/>
      <c r="F348" s="116" t="s">
        <v>57</v>
      </c>
      <c r="G348" s="54">
        <f>SUM(G341:G347)</f>
        <v>0</v>
      </c>
      <c r="H348" s="55">
        <f>SUM(H341:H347)</f>
        <v>0</v>
      </c>
      <c r="I348" s="55">
        <f>SUM(I341:I347)</f>
        <v>0</v>
      </c>
      <c r="J348" s="56">
        <f>SUM(J341:J347)</f>
        <v>1846</v>
      </c>
      <c r="K348" s="57">
        <f t="shared" si="1278"/>
        <v>1846</v>
      </c>
      <c r="L348" s="54">
        <f>SUM(L341:L347)</f>
        <v>0</v>
      </c>
      <c r="M348" s="55">
        <f>SUM(M341:M347)</f>
        <v>0</v>
      </c>
      <c r="N348" s="55">
        <f>SUM(N341:N347)</f>
        <v>0</v>
      </c>
      <c r="O348" s="56">
        <f>SUM(O341:O347)</f>
        <v>4268</v>
      </c>
      <c r="P348" s="57">
        <f t="shared" si="1294"/>
        <v>4268</v>
      </c>
      <c r="Q348" s="54">
        <f>SUM(Q341:Q347)</f>
        <v>0</v>
      </c>
      <c r="R348" s="55">
        <f>SUM(R341:R347)</f>
        <v>0</v>
      </c>
      <c r="S348" s="55">
        <f>SUM(S341:S347)</f>
        <v>0</v>
      </c>
      <c r="T348" s="56">
        <f>SUM(T341:T347)</f>
        <v>2611</v>
      </c>
      <c r="U348" s="57">
        <f t="shared" si="1295"/>
        <v>2611</v>
      </c>
      <c r="V348" s="54">
        <f>SUM(V341:V347)</f>
        <v>0</v>
      </c>
      <c r="W348" s="55">
        <f>SUM(W341:W347)</f>
        <v>0</v>
      </c>
      <c r="X348" s="55">
        <f>SUM(X341:X347)</f>
        <v>0</v>
      </c>
      <c r="Y348" s="56">
        <f>SUM(Y341:Y347)</f>
        <v>4023</v>
      </c>
      <c r="Z348" s="57">
        <f t="shared" si="1296"/>
        <v>4023</v>
      </c>
      <c r="AA348" s="54">
        <f>SUM(AA341:AA347)</f>
        <v>0</v>
      </c>
      <c r="AB348" s="55">
        <f>SUM(AB341:AB347)</f>
        <v>0</v>
      </c>
      <c r="AC348" s="55">
        <f>SUM(AC341:AC347)</f>
        <v>0</v>
      </c>
      <c r="AD348" s="56">
        <f>SUM(AD341:AD347)</f>
        <v>3930</v>
      </c>
      <c r="AE348" s="57">
        <f t="shared" si="1297"/>
        <v>3930</v>
      </c>
      <c r="AF348" s="54">
        <f>SUM(AF341:AF347)</f>
        <v>0</v>
      </c>
      <c r="AG348" s="55">
        <f>SUM(AG341:AG347)</f>
        <v>0</v>
      </c>
      <c r="AH348" s="55">
        <f>SUM(AH341:AH347)</f>
        <v>0</v>
      </c>
      <c r="AI348" s="56">
        <f>SUM(AI341:AI347)</f>
        <v>4108</v>
      </c>
      <c r="AJ348" s="57">
        <f t="shared" si="1298"/>
        <v>4108</v>
      </c>
      <c r="AK348" s="54">
        <f>SUM(AK341:AK347)</f>
        <v>0</v>
      </c>
      <c r="AL348" s="55">
        <f>SUM(AL341:AL347)</f>
        <v>0</v>
      </c>
      <c r="AM348" s="55">
        <f>SUM(AM341:AM347)</f>
        <v>0</v>
      </c>
      <c r="AN348" s="56">
        <f>SUM(AN341:AN347)</f>
        <v>1793</v>
      </c>
      <c r="AO348" s="57">
        <f t="shared" si="1299"/>
        <v>1793</v>
      </c>
      <c r="AP348" s="54">
        <f>SUM(AP341:AP347)</f>
        <v>0</v>
      </c>
      <c r="AQ348" s="55">
        <f>SUM(AQ341:AQ347)</f>
        <v>0</v>
      </c>
      <c r="AR348" s="55">
        <f>SUM(AR341:AR347)</f>
        <v>0</v>
      </c>
      <c r="AS348" s="56">
        <f>SUM(AS341:AS347)</f>
        <v>3270</v>
      </c>
      <c r="AT348" s="57">
        <f t="shared" si="1300"/>
        <v>3270</v>
      </c>
      <c r="AU348" s="54">
        <f>SUM(AU341:AU347)</f>
        <v>0</v>
      </c>
      <c r="AV348" s="55">
        <f>SUM(AV341:AV347)</f>
        <v>0</v>
      </c>
      <c r="AW348" s="55">
        <f>SUM(AW341:AW347)</f>
        <v>0</v>
      </c>
      <c r="AX348" s="56">
        <f>SUM(AX341:AX347)</f>
        <v>4326</v>
      </c>
      <c r="AY348" s="57">
        <f t="shared" si="1301"/>
        <v>4326</v>
      </c>
      <c r="AZ348" s="54">
        <f>SUM(AZ341:AZ347)</f>
        <v>0</v>
      </c>
      <c r="BA348" s="55">
        <f>SUM(BA341:BA347)</f>
        <v>0</v>
      </c>
      <c r="BB348" s="55">
        <f>SUM(BB341:BB347)</f>
        <v>0</v>
      </c>
      <c r="BC348" s="56">
        <f>SUM(BC341:BC347)</f>
        <v>6810</v>
      </c>
      <c r="BD348" s="57">
        <f t="shared" si="1302"/>
        <v>6810</v>
      </c>
      <c r="BE348" s="54">
        <f>SUM(BE341:BE347)</f>
        <v>0</v>
      </c>
      <c r="BF348" s="55">
        <f>SUM(BF341:BF347)</f>
        <v>0</v>
      </c>
      <c r="BG348" s="55">
        <f>SUM(BG341:BG347)</f>
        <v>0</v>
      </c>
      <c r="BH348" s="56">
        <f>SUM(BH341:BH347)</f>
        <v>1583</v>
      </c>
      <c r="BI348" s="57">
        <f t="shared" si="1303"/>
        <v>1583</v>
      </c>
      <c r="BJ348" s="54">
        <f>SUM(BJ341:BJ347)</f>
        <v>0</v>
      </c>
      <c r="BK348" s="55">
        <f>SUM(BK341:BK347)</f>
        <v>0</v>
      </c>
      <c r="BL348" s="55">
        <f>SUM(BL341:BL347)</f>
        <v>0</v>
      </c>
      <c r="BM348" s="56">
        <f>SUM(BM341:BM347)</f>
        <v>1875</v>
      </c>
      <c r="BN348" s="57">
        <f t="shared" si="1304"/>
        <v>1875</v>
      </c>
      <c r="BO348" s="72">
        <f>SUM(BO341:BO347)</f>
        <v>0</v>
      </c>
      <c r="BP348" s="55">
        <f>SUM(BP341:BP347)</f>
        <v>0</v>
      </c>
      <c r="BQ348" s="55">
        <f>SUM(BQ341:BQ347)</f>
        <v>0</v>
      </c>
      <c r="BR348" s="56">
        <f>SUM(BR341:BR347)</f>
        <v>40443</v>
      </c>
      <c r="BS348" s="58">
        <f t="shared" si="1279"/>
        <v>40443</v>
      </c>
    </row>
    <row r="349" spans="2:71" s="75" customFormat="1" ht="22.5" customHeight="1" thickBot="1" x14ac:dyDescent="0.35">
      <c r="B349" s="265"/>
      <c r="C349" s="261" t="s">
        <v>22</v>
      </c>
      <c r="D349" s="261"/>
      <c r="E349" s="261"/>
      <c r="F349" s="262"/>
      <c r="G349" s="81">
        <f>SUM(G300,G315,G326,G340,G348)</f>
        <v>2552</v>
      </c>
      <c r="H349" s="82">
        <f>SUM(H300,H315,H326,H340,H348)</f>
        <v>34</v>
      </c>
      <c r="I349" s="82">
        <f>SUM(I300,I315,I326,I340,I348)</f>
        <v>160</v>
      </c>
      <c r="J349" s="83">
        <f>SUM(J300,J315,J326,J340,J348)</f>
        <v>16412</v>
      </c>
      <c r="K349" s="84">
        <f t="shared" si="1278"/>
        <v>19158</v>
      </c>
      <c r="L349" s="81">
        <f>SUM(L300,L315,L326,L340,L348)</f>
        <v>3332</v>
      </c>
      <c r="M349" s="82">
        <f>SUM(M300,M315,M326,M340,M348)</f>
        <v>6</v>
      </c>
      <c r="N349" s="82">
        <f>SUM(N300,N315,N326,N340,N348)</f>
        <v>255</v>
      </c>
      <c r="O349" s="83">
        <f>SUM(O300,O315,O326,O340,O348)</f>
        <v>25806</v>
      </c>
      <c r="P349" s="84">
        <f t="shared" si="1294"/>
        <v>29399</v>
      </c>
      <c r="Q349" s="81">
        <f>SUM(Q300,Q315,Q326,Q340,Q348)</f>
        <v>1656</v>
      </c>
      <c r="R349" s="82">
        <f>SUM(R300,R315,R326,R340,R348)</f>
        <v>119</v>
      </c>
      <c r="S349" s="82">
        <f>SUM(S300,S315,S326,S340,S348)</f>
        <v>365</v>
      </c>
      <c r="T349" s="83">
        <f>SUM(T300,T315,T326,T340,T348)</f>
        <v>5763</v>
      </c>
      <c r="U349" s="84">
        <f t="shared" si="1295"/>
        <v>7903</v>
      </c>
      <c r="V349" s="81">
        <f>SUM(V300,V315,V326,V340,V348)</f>
        <v>3456</v>
      </c>
      <c r="W349" s="82">
        <f>SUM(W300,W315,W326,W340,W348)</f>
        <v>9402</v>
      </c>
      <c r="X349" s="82">
        <f>SUM(X300,X315,X326,X340,X348)</f>
        <v>12445</v>
      </c>
      <c r="Y349" s="83">
        <f>SUM(Y300,Y315,Y326,Y340,Y348)</f>
        <v>15260</v>
      </c>
      <c r="Z349" s="84">
        <f t="shared" si="1296"/>
        <v>40563</v>
      </c>
      <c r="AA349" s="81">
        <f>SUM(AA300,AA315,AA326,AA340,AA348)</f>
        <v>3631</v>
      </c>
      <c r="AB349" s="82">
        <f>SUM(AB300,AB315,AB326,AB340,AB348)</f>
        <v>32675</v>
      </c>
      <c r="AC349" s="82">
        <f>SUM(AC300,AC315,AC326,AC340,AC348)</f>
        <v>14319</v>
      </c>
      <c r="AD349" s="83">
        <f>SUM(AD300,AD315,AD326,AD340,AD348)</f>
        <v>16563</v>
      </c>
      <c r="AE349" s="84">
        <f t="shared" si="1297"/>
        <v>67188</v>
      </c>
      <c r="AF349" s="81">
        <f>SUM(AF300,AF315,AF326,AF340,AF348)</f>
        <v>3525</v>
      </c>
      <c r="AG349" s="82">
        <f>SUM(AG300,AG315,AG326,AG340,AG348)</f>
        <v>7077</v>
      </c>
      <c r="AH349" s="82">
        <f>SUM(AH300,AH315,AH326,AH340,AH348)</f>
        <v>2808</v>
      </c>
      <c r="AI349" s="83">
        <f>SUM(AI300,AI315,AI326,AI340,AI348)</f>
        <v>9525</v>
      </c>
      <c r="AJ349" s="84">
        <f t="shared" si="1298"/>
        <v>22935</v>
      </c>
      <c r="AK349" s="81">
        <f>SUM(AK300,AK315,AK326,AK340,AK348)</f>
        <v>2345</v>
      </c>
      <c r="AL349" s="82">
        <f>SUM(AL300,AL315,AL326,AL340,AL348)</f>
        <v>1120</v>
      </c>
      <c r="AM349" s="82">
        <f>SUM(AM300,AM315,AM326,AM340,AM348)</f>
        <v>476</v>
      </c>
      <c r="AN349" s="83">
        <f>SUM(AN300,AN315,AN326,AN340,AN348)</f>
        <v>2844</v>
      </c>
      <c r="AO349" s="84">
        <f t="shared" si="1299"/>
        <v>6785</v>
      </c>
      <c r="AP349" s="81">
        <f>SUM(AP300,AP315,AP326,AP340,AP348)</f>
        <v>2830</v>
      </c>
      <c r="AQ349" s="82">
        <f>SUM(AQ300,AQ315,AQ326,AQ340,AQ348)</f>
        <v>54</v>
      </c>
      <c r="AR349" s="82">
        <f>SUM(AR300,AR315,AR326,AR340,AR348)</f>
        <v>254</v>
      </c>
      <c r="AS349" s="83">
        <f>SUM(AS300,AS315,AS326,AS340,AS348)</f>
        <v>4324</v>
      </c>
      <c r="AT349" s="84">
        <f t="shared" si="1300"/>
        <v>7462</v>
      </c>
      <c r="AU349" s="81">
        <f>SUM(AU300,AU315,AU326,AU340,AU348)</f>
        <v>5074</v>
      </c>
      <c r="AV349" s="82">
        <f>SUM(AV300,AV315,AV326,AV340,AV348)</f>
        <v>8457</v>
      </c>
      <c r="AW349" s="82">
        <f>SUM(AW300,AW315,AW326,AW340,AW348)</f>
        <v>3409</v>
      </c>
      <c r="AX349" s="83">
        <f>SUM(AX300,AX315,AX326,AX340,AX348)</f>
        <v>12289</v>
      </c>
      <c r="AY349" s="84">
        <f t="shared" si="1301"/>
        <v>29229</v>
      </c>
      <c r="AZ349" s="81">
        <f>SUM(AZ300,AZ315,AZ326,AZ340,AZ348)</f>
        <v>4486</v>
      </c>
      <c r="BA349" s="82">
        <f>SUM(BA300,BA315,BA326,BA340,BA348)</f>
        <v>36262</v>
      </c>
      <c r="BB349" s="82">
        <f>SUM(BB300,BB315,BB326,BB340,BB348)</f>
        <v>6599</v>
      </c>
      <c r="BC349" s="83">
        <f>SUM(BC300,BC315,BC326,BC340,BC348)</f>
        <v>25966</v>
      </c>
      <c r="BD349" s="84">
        <f t="shared" si="1302"/>
        <v>73313</v>
      </c>
      <c r="BE349" s="81">
        <f>SUM(BE300,BE315,BE326,BE340,BE348)</f>
        <v>2038</v>
      </c>
      <c r="BF349" s="82">
        <f>SUM(BF300,BF315,BF326,BF340,BF348)</f>
        <v>7755</v>
      </c>
      <c r="BG349" s="82">
        <f>SUM(BG300,BG315,BG326,BG340,BG348)</f>
        <v>1669</v>
      </c>
      <c r="BH349" s="83">
        <f>SUM(BH300,BH315,BH326,BH340,BH348)</f>
        <v>11530</v>
      </c>
      <c r="BI349" s="84">
        <f t="shared" si="1303"/>
        <v>22992</v>
      </c>
      <c r="BJ349" s="81">
        <f>SUM(BJ300,BJ315,BJ326,BJ340,BJ348)</f>
        <v>2402</v>
      </c>
      <c r="BK349" s="82">
        <f>SUM(BK300,BK315,BK326,BK340,BK348)</f>
        <v>1381</v>
      </c>
      <c r="BL349" s="82">
        <f>SUM(BL300,BL315,BL326,BL340,BL348)</f>
        <v>212</v>
      </c>
      <c r="BM349" s="83">
        <f>SUM(BM300,BM315,BM326,BM340,BM348)</f>
        <v>5554</v>
      </c>
      <c r="BN349" s="84">
        <f t="shared" si="1304"/>
        <v>9549</v>
      </c>
      <c r="BO349" s="105">
        <f>SUM(BO300,BO315,BO326,BO340,BO348)</f>
        <v>37327</v>
      </c>
      <c r="BP349" s="82">
        <f>SUM(BP300,BP315,BP326,BP340,BP348)</f>
        <v>104342</v>
      </c>
      <c r="BQ349" s="82">
        <f>SUM(BQ300,BQ315,BQ326,BQ340,BQ348)</f>
        <v>42971</v>
      </c>
      <c r="BR349" s="83">
        <f>SUM(BR300,BR315,BR326,BR340,BR348)</f>
        <v>151836</v>
      </c>
      <c r="BS349" s="85">
        <f t="shared" si="1279"/>
        <v>336476</v>
      </c>
    </row>
    <row r="350" spans="2:71" x14ac:dyDescent="0.3">
      <c r="B350" s="253" t="s">
        <v>24</v>
      </c>
      <c r="C350" s="208" t="s">
        <v>19</v>
      </c>
      <c r="D350" s="209"/>
      <c r="E350" s="119"/>
      <c r="F350" s="134" t="s">
        <v>335</v>
      </c>
      <c r="G350" s="110"/>
      <c r="H350" s="107"/>
      <c r="I350" s="107"/>
      <c r="J350" s="108"/>
      <c r="K350" s="111">
        <f t="shared" si="1278"/>
        <v>0</v>
      </c>
      <c r="L350" s="110"/>
      <c r="M350" s="107"/>
      <c r="N350" s="107"/>
      <c r="O350" s="108"/>
      <c r="P350" s="111">
        <f t="shared" si="1294"/>
        <v>0</v>
      </c>
      <c r="Q350" s="110">
        <v>41</v>
      </c>
      <c r="R350" s="107"/>
      <c r="S350" s="107"/>
      <c r="T350" s="108"/>
      <c r="U350" s="111">
        <f t="shared" si="1295"/>
        <v>41</v>
      </c>
      <c r="V350" s="110">
        <v>311</v>
      </c>
      <c r="W350" s="107"/>
      <c r="X350" s="107"/>
      <c r="Y350" s="108"/>
      <c r="Z350" s="111">
        <f t="shared" si="1296"/>
        <v>311</v>
      </c>
      <c r="AA350" s="110">
        <v>770</v>
      </c>
      <c r="AB350" s="107"/>
      <c r="AC350" s="107"/>
      <c r="AD350" s="108"/>
      <c r="AE350" s="111">
        <f t="shared" si="1297"/>
        <v>770</v>
      </c>
      <c r="AF350" s="110">
        <v>48</v>
      </c>
      <c r="AG350" s="107"/>
      <c r="AH350" s="107"/>
      <c r="AI350" s="108"/>
      <c r="AJ350" s="111">
        <f t="shared" si="1298"/>
        <v>48</v>
      </c>
      <c r="AK350" s="110"/>
      <c r="AL350" s="107"/>
      <c r="AM350" s="107"/>
      <c r="AN350" s="108"/>
      <c r="AO350" s="111">
        <f t="shared" si="1299"/>
        <v>0</v>
      </c>
      <c r="AP350" s="110"/>
      <c r="AQ350" s="107"/>
      <c r="AR350" s="107"/>
      <c r="AS350" s="108"/>
      <c r="AT350" s="111">
        <f t="shared" si="1300"/>
        <v>0</v>
      </c>
      <c r="AU350" s="110">
        <v>66</v>
      </c>
      <c r="AV350" s="107"/>
      <c r="AW350" s="107"/>
      <c r="AX350" s="108"/>
      <c r="AY350" s="111">
        <f t="shared" si="1301"/>
        <v>66</v>
      </c>
      <c r="AZ350" s="110">
        <v>1231</v>
      </c>
      <c r="BA350" s="107"/>
      <c r="BB350" s="107"/>
      <c r="BC350" s="108"/>
      <c r="BD350" s="111">
        <f t="shared" si="1302"/>
        <v>1231</v>
      </c>
      <c r="BE350" s="110">
        <v>162</v>
      </c>
      <c r="BF350" s="107"/>
      <c r="BG350" s="107"/>
      <c r="BH350" s="108"/>
      <c r="BI350" s="111">
        <f t="shared" si="1303"/>
        <v>162</v>
      </c>
      <c r="BJ350" s="110"/>
      <c r="BK350" s="107"/>
      <c r="BL350" s="107"/>
      <c r="BM350" s="108"/>
      <c r="BN350" s="111">
        <f t="shared" si="1304"/>
        <v>0</v>
      </c>
      <c r="BO350" s="112">
        <f t="shared" ref="BO350:BR352" si="1331">SUM(G350,L350,Q350,V350,AA350,AF350,AK350,AP350,AU350,AZ350,BE350,BJ350)</f>
        <v>2629</v>
      </c>
      <c r="BP350" s="107">
        <f t="shared" si="1331"/>
        <v>0</v>
      </c>
      <c r="BQ350" s="107">
        <f t="shared" si="1331"/>
        <v>0</v>
      </c>
      <c r="BR350" s="108">
        <f t="shared" si="1331"/>
        <v>0</v>
      </c>
      <c r="BS350" s="109">
        <f t="shared" si="1279"/>
        <v>2629</v>
      </c>
    </row>
    <row r="351" spans="2:71" x14ac:dyDescent="0.3">
      <c r="B351" s="254"/>
      <c r="C351" s="204"/>
      <c r="D351" s="205"/>
      <c r="E351" s="119"/>
      <c r="F351" s="123" t="s">
        <v>336</v>
      </c>
      <c r="G351" s="34"/>
      <c r="H351" s="16"/>
      <c r="I351" s="16"/>
      <c r="J351" s="17"/>
      <c r="K351" s="18">
        <f t="shared" ref="K351" si="1332">SUM(G351:J351)</f>
        <v>0</v>
      </c>
      <c r="L351" s="34"/>
      <c r="M351" s="16"/>
      <c r="N351" s="16"/>
      <c r="O351" s="17"/>
      <c r="P351" s="18">
        <f t="shared" ref="P351" si="1333">SUM(L351:O351)</f>
        <v>0</v>
      </c>
      <c r="Q351" s="34"/>
      <c r="R351" s="16"/>
      <c r="S351" s="16"/>
      <c r="T351" s="17"/>
      <c r="U351" s="18">
        <f t="shared" ref="U351" si="1334">SUM(Q351:T351)</f>
        <v>0</v>
      </c>
      <c r="V351" s="34"/>
      <c r="W351" s="16"/>
      <c r="X351" s="16"/>
      <c r="Y351" s="17"/>
      <c r="Z351" s="18">
        <f t="shared" ref="Z351" si="1335">SUM(V351:Y351)</f>
        <v>0</v>
      </c>
      <c r="AA351" s="34">
        <v>1000</v>
      </c>
      <c r="AB351" s="16"/>
      <c r="AC351" s="16"/>
      <c r="AD351" s="17"/>
      <c r="AE351" s="18">
        <f t="shared" ref="AE351" si="1336">SUM(AA351:AD351)</f>
        <v>1000</v>
      </c>
      <c r="AF351" s="34"/>
      <c r="AG351" s="16"/>
      <c r="AH351" s="16"/>
      <c r="AI351" s="17"/>
      <c r="AJ351" s="18">
        <f t="shared" ref="AJ351" si="1337">SUM(AF351:AI351)</f>
        <v>0</v>
      </c>
      <c r="AK351" s="34"/>
      <c r="AL351" s="16"/>
      <c r="AM351" s="16"/>
      <c r="AN351" s="17"/>
      <c r="AO351" s="18">
        <f t="shared" ref="AO351" si="1338">SUM(AK351:AN351)</f>
        <v>0</v>
      </c>
      <c r="AP351" s="34"/>
      <c r="AQ351" s="16"/>
      <c r="AR351" s="16"/>
      <c r="AS351" s="17"/>
      <c r="AT351" s="18">
        <f t="shared" ref="AT351" si="1339">SUM(AP351:AS351)</f>
        <v>0</v>
      </c>
      <c r="AU351" s="34">
        <v>6500</v>
      </c>
      <c r="AV351" s="16"/>
      <c r="AW351" s="16"/>
      <c r="AX351" s="17"/>
      <c r="AY351" s="18">
        <f t="shared" ref="AY351" si="1340">SUM(AU351:AX351)</f>
        <v>6500</v>
      </c>
      <c r="AZ351" s="34">
        <f>608+700+2350</f>
        <v>3658</v>
      </c>
      <c r="BA351" s="16"/>
      <c r="BB351" s="16"/>
      <c r="BC351" s="17"/>
      <c r="BD351" s="18">
        <f t="shared" ref="BD351" si="1341">SUM(AZ351:BC351)</f>
        <v>3658</v>
      </c>
      <c r="BE351" s="34">
        <v>1270</v>
      </c>
      <c r="BF351" s="16"/>
      <c r="BG351" s="16"/>
      <c r="BH351" s="17"/>
      <c r="BI351" s="18">
        <f t="shared" ref="BI351" si="1342">SUM(BE351:BH351)</f>
        <v>1270</v>
      </c>
      <c r="BJ351" s="34"/>
      <c r="BK351" s="16"/>
      <c r="BL351" s="16"/>
      <c r="BM351" s="17"/>
      <c r="BN351" s="18">
        <f t="shared" ref="BN351" si="1343">SUM(BJ351:BM351)</f>
        <v>0</v>
      </c>
      <c r="BO351" s="70">
        <f t="shared" si="1331"/>
        <v>12428</v>
      </c>
      <c r="BP351" s="16">
        <f t="shared" si="1331"/>
        <v>0</v>
      </c>
      <c r="BQ351" s="16">
        <f t="shared" si="1331"/>
        <v>0</v>
      </c>
      <c r="BR351" s="17">
        <f t="shared" si="1331"/>
        <v>0</v>
      </c>
      <c r="BS351" s="35">
        <f t="shared" ref="BS351" si="1344">SUM(BO351:BR351)</f>
        <v>12428</v>
      </c>
    </row>
    <row r="352" spans="2:71" x14ac:dyDescent="0.3">
      <c r="B352" s="254"/>
      <c r="C352" s="204"/>
      <c r="D352" s="205"/>
      <c r="E352" s="119"/>
      <c r="F352" s="123" t="s">
        <v>355</v>
      </c>
      <c r="G352" s="34"/>
      <c r="H352" s="16"/>
      <c r="I352" s="16"/>
      <c r="J352" s="17"/>
      <c r="K352" s="18">
        <f t="shared" si="1278"/>
        <v>0</v>
      </c>
      <c r="L352" s="34"/>
      <c r="M352" s="16"/>
      <c r="N352" s="16"/>
      <c r="O352" s="17"/>
      <c r="P352" s="18">
        <f t="shared" si="1294"/>
        <v>0</v>
      </c>
      <c r="Q352" s="34"/>
      <c r="R352" s="16"/>
      <c r="S352" s="16"/>
      <c r="T352" s="17"/>
      <c r="U352" s="18">
        <f t="shared" si="1295"/>
        <v>0</v>
      </c>
      <c r="V352" s="34"/>
      <c r="W352" s="16"/>
      <c r="X352" s="16"/>
      <c r="Y352" s="17"/>
      <c r="Z352" s="18">
        <f t="shared" si="1296"/>
        <v>0</v>
      </c>
      <c r="AA352" s="34"/>
      <c r="AB352" s="16"/>
      <c r="AC352" s="16"/>
      <c r="AD352" s="17"/>
      <c r="AE352" s="18">
        <f t="shared" si="1297"/>
        <v>0</v>
      </c>
      <c r="AF352" s="34">
        <f>24061+1</f>
        <v>24062</v>
      </c>
      <c r="AG352" s="16"/>
      <c r="AH352" s="16"/>
      <c r="AI352" s="17"/>
      <c r="AJ352" s="18">
        <f t="shared" si="1298"/>
        <v>24062</v>
      </c>
      <c r="AK352" s="34"/>
      <c r="AL352" s="16"/>
      <c r="AM352" s="16"/>
      <c r="AN352" s="17"/>
      <c r="AO352" s="18">
        <f t="shared" si="1299"/>
        <v>0</v>
      </c>
      <c r="AP352" s="34">
        <v>5500</v>
      </c>
      <c r="AQ352" s="16"/>
      <c r="AR352" s="16"/>
      <c r="AS352" s="17"/>
      <c r="AT352" s="18">
        <f t="shared" si="1300"/>
        <v>5500</v>
      </c>
      <c r="AU352" s="34">
        <v>6875</v>
      </c>
      <c r="AV352" s="16"/>
      <c r="AW352" s="16"/>
      <c r="AX352" s="17"/>
      <c r="AY352" s="18">
        <f t="shared" si="1301"/>
        <v>6875</v>
      </c>
      <c r="AZ352" s="34"/>
      <c r="BA352" s="16"/>
      <c r="BB352" s="16"/>
      <c r="BC352" s="17"/>
      <c r="BD352" s="18">
        <f t="shared" si="1302"/>
        <v>0</v>
      </c>
      <c r="BE352" s="34"/>
      <c r="BF352" s="16"/>
      <c r="BG352" s="16"/>
      <c r="BH352" s="17"/>
      <c r="BI352" s="18">
        <f t="shared" si="1303"/>
        <v>0</v>
      </c>
      <c r="BJ352" s="34"/>
      <c r="BK352" s="16"/>
      <c r="BL352" s="16"/>
      <c r="BM352" s="17"/>
      <c r="BN352" s="18">
        <f t="shared" si="1304"/>
        <v>0</v>
      </c>
      <c r="BO352" s="70">
        <f t="shared" si="1331"/>
        <v>36437</v>
      </c>
      <c r="BP352" s="16">
        <f t="shared" si="1331"/>
        <v>0</v>
      </c>
      <c r="BQ352" s="16">
        <f t="shared" si="1331"/>
        <v>0</v>
      </c>
      <c r="BR352" s="17">
        <f t="shared" si="1331"/>
        <v>0</v>
      </c>
      <c r="BS352" s="35">
        <f t="shared" si="1279"/>
        <v>36437</v>
      </c>
    </row>
    <row r="353" spans="2:71" x14ac:dyDescent="0.3">
      <c r="B353" s="254"/>
      <c r="C353" s="206"/>
      <c r="D353" s="207"/>
      <c r="E353" s="117"/>
      <c r="F353" s="118" t="s">
        <v>57</v>
      </c>
      <c r="G353" s="59">
        <f>SUM(G350:G352)</f>
        <v>0</v>
      </c>
      <c r="H353" s="60">
        <f>SUM(H350:H352)</f>
        <v>0</v>
      </c>
      <c r="I353" s="60">
        <f>SUM(I350:I352)</f>
        <v>0</v>
      </c>
      <c r="J353" s="61">
        <f>SUM(J350:J352)</f>
        <v>0</v>
      </c>
      <c r="K353" s="62">
        <f t="shared" si="1278"/>
        <v>0</v>
      </c>
      <c r="L353" s="59">
        <f>SUM(L350:L352)</f>
        <v>0</v>
      </c>
      <c r="M353" s="60">
        <f>SUM(M350:M352)</f>
        <v>0</v>
      </c>
      <c r="N353" s="60">
        <f>SUM(N350:N352)</f>
        <v>0</v>
      </c>
      <c r="O353" s="61">
        <f>SUM(O350:O352)</f>
        <v>0</v>
      </c>
      <c r="P353" s="62">
        <f t="shared" ref="P353" si="1345">SUM(L353:O353)</f>
        <v>0</v>
      </c>
      <c r="Q353" s="59">
        <f>SUM(Q350:Q352)</f>
        <v>41</v>
      </c>
      <c r="R353" s="60">
        <f>SUM(R350:R352)</f>
        <v>0</v>
      </c>
      <c r="S353" s="60">
        <f>SUM(S350:S352)</f>
        <v>0</v>
      </c>
      <c r="T353" s="61">
        <f>SUM(T350:T352)</f>
        <v>0</v>
      </c>
      <c r="U353" s="62">
        <f t="shared" ref="U353" si="1346">SUM(Q353:T353)</f>
        <v>41</v>
      </c>
      <c r="V353" s="59">
        <f>SUM(V350:V352)</f>
        <v>311</v>
      </c>
      <c r="W353" s="60">
        <f>SUM(W350:W352)</f>
        <v>0</v>
      </c>
      <c r="X353" s="60">
        <f>SUM(X350:X352)</f>
        <v>0</v>
      </c>
      <c r="Y353" s="61">
        <f>SUM(Y350:Y352)</f>
        <v>0</v>
      </c>
      <c r="Z353" s="62">
        <f t="shared" ref="Z353" si="1347">SUM(V353:Y353)</f>
        <v>311</v>
      </c>
      <c r="AA353" s="59">
        <f>SUM(AA350:AA352)</f>
        <v>1770</v>
      </c>
      <c r="AB353" s="60">
        <f>SUM(AB350:AB352)</f>
        <v>0</v>
      </c>
      <c r="AC353" s="60">
        <f>SUM(AC350:AC352)</f>
        <v>0</v>
      </c>
      <c r="AD353" s="61">
        <f>SUM(AD350:AD352)</f>
        <v>0</v>
      </c>
      <c r="AE353" s="62">
        <f t="shared" ref="AE353" si="1348">SUM(AA353:AD353)</f>
        <v>1770</v>
      </c>
      <c r="AF353" s="59">
        <f>SUM(AF350:AF352)</f>
        <v>24110</v>
      </c>
      <c r="AG353" s="60">
        <f>SUM(AG350:AG352)</f>
        <v>0</v>
      </c>
      <c r="AH353" s="60">
        <f>SUM(AH350:AH352)</f>
        <v>0</v>
      </c>
      <c r="AI353" s="61">
        <f>SUM(AI350:AI352)</f>
        <v>0</v>
      </c>
      <c r="AJ353" s="62">
        <f t="shared" ref="AJ353" si="1349">SUM(AF353:AI353)</f>
        <v>24110</v>
      </c>
      <c r="AK353" s="59">
        <f>SUM(AK350:AK352)</f>
        <v>0</v>
      </c>
      <c r="AL353" s="60">
        <f>SUM(AL350:AL352)</f>
        <v>0</v>
      </c>
      <c r="AM353" s="60">
        <f>SUM(AM350:AM352)</f>
        <v>0</v>
      </c>
      <c r="AN353" s="61">
        <f>SUM(AN350:AN352)</f>
        <v>0</v>
      </c>
      <c r="AO353" s="62">
        <f t="shared" ref="AO353" si="1350">SUM(AK353:AN353)</f>
        <v>0</v>
      </c>
      <c r="AP353" s="59">
        <f>SUM(AP350:AP352)</f>
        <v>5500</v>
      </c>
      <c r="AQ353" s="60">
        <f>SUM(AQ350:AQ352)</f>
        <v>0</v>
      </c>
      <c r="AR353" s="60">
        <f>SUM(AR350:AR352)</f>
        <v>0</v>
      </c>
      <c r="AS353" s="61">
        <f>SUM(AS350:AS352)</f>
        <v>0</v>
      </c>
      <c r="AT353" s="62">
        <f t="shared" ref="AT353" si="1351">SUM(AP353:AS353)</f>
        <v>5500</v>
      </c>
      <c r="AU353" s="59">
        <f>SUM(AU350:AU352)</f>
        <v>13441</v>
      </c>
      <c r="AV353" s="60">
        <f>SUM(AV350:AV352)</f>
        <v>0</v>
      </c>
      <c r="AW353" s="60">
        <f>SUM(AW350:AW352)</f>
        <v>0</v>
      </c>
      <c r="AX353" s="61">
        <f>SUM(AX350:AX352)</f>
        <v>0</v>
      </c>
      <c r="AY353" s="62">
        <f t="shared" ref="AY353" si="1352">SUM(AU353:AX353)</f>
        <v>13441</v>
      </c>
      <c r="AZ353" s="59">
        <f>SUM(AZ350:AZ352)</f>
        <v>4889</v>
      </c>
      <c r="BA353" s="60">
        <f>SUM(BA350:BA352)</f>
        <v>0</v>
      </c>
      <c r="BB353" s="60">
        <f>SUM(BB350:BB352)</f>
        <v>0</v>
      </c>
      <c r="BC353" s="61">
        <f>SUM(BC350:BC352)</f>
        <v>0</v>
      </c>
      <c r="BD353" s="62">
        <f t="shared" ref="BD353" si="1353">SUM(AZ353:BC353)</f>
        <v>4889</v>
      </c>
      <c r="BE353" s="59">
        <f>SUM(BE350:BE352)</f>
        <v>1432</v>
      </c>
      <c r="BF353" s="60">
        <f>SUM(BF350:BF352)</f>
        <v>0</v>
      </c>
      <c r="BG353" s="60">
        <f>SUM(BG350:BG352)</f>
        <v>0</v>
      </c>
      <c r="BH353" s="61">
        <f>SUM(BH350:BH352)</f>
        <v>0</v>
      </c>
      <c r="BI353" s="62">
        <f t="shared" ref="BI353" si="1354">SUM(BE353:BH353)</f>
        <v>1432</v>
      </c>
      <c r="BJ353" s="59">
        <f>SUM(BJ350:BJ352)</f>
        <v>0</v>
      </c>
      <c r="BK353" s="60">
        <f>SUM(BK350:BK352)</f>
        <v>0</v>
      </c>
      <c r="BL353" s="60">
        <f>SUM(BL350:BL352)</f>
        <v>0</v>
      </c>
      <c r="BM353" s="61">
        <f>SUM(BM350:BM352)</f>
        <v>0</v>
      </c>
      <c r="BN353" s="62">
        <f t="shared" ref="BN353" si="1355">SUM(BJ353:BM353)</f>
        <v>0</v>
      </c>
      <c r="BO353" s="73">
        <f>SUM(BO350:BO352)</f>
        <v>51494</v>
      </c>
      <c r="BP353" s="60">
        <f>SUM(BP350:BP352)</f>
        <v>0</v>
      </c>
      <c r="BQ353" s="60">
        <f>SUM(BQ350:BQ352)</f>
        <v>0</v>
      </c>
      <c r="BR353" s="61">
        <f>SUM(BR350:BR352)</f>
        <v>0</v>
      </c>
      <c r="BS353" s="63">
        <f t="shared" si="1279"/>
        <v>51494</v>
      </c>
    </row>
    <row r="354" spans="2:71" ht="16.5" customHeight="1" x14ac:dyDescent="0.3">
      <c r="B354" s="254"/>
      <c r="C354" s="271" t="s">
        <v>37</v>
      </c>
      <c r="D354" s="198" t="s">
        <v>108</v>
      </c>
      <c r="E354" s="199"/>
      <c r="F354" s="123" t="s">
        <v>228</v>
      </c>
      <c r="G354" s="34">
        <v>52</v>
      </c>
      <c r="H354" s="16"/>
      <c r="I354" s="16"/>
      <c r="J354" s="17"/>
      <c r="K354" s="18">
        <f t="shared" si="1278"/>
        <v>52</v>
      </c>
      <c r="L354" s="30">
        <v>53</v>
      </c>
      <c r="M354" s="7"/>
      <c r="N354" s="7"/>
      <c r="O354" s="8"/>
      <c r="P354" s="9">
        <f t="shared" si="1294"/>
        <v>53</v>
      </c>
      <c r="Q354" s="30"/>
      <c r="R354" s="7"/>
      <c r="S354" s="7"/>
      <c r="T354" s="8"/>
      <c r="U354" s="9">
        <f t="shared" si="1295"/>
        <v>0</v>
      </c>
      <c r="V354" s="30"/>
      <c r="W354" s="7"/>
      <c r="X354" s="7"/>
      <c r="Y354" s="8"/>
      <c r="Z354" s="9">
        <f t="shared" si="1296"/>
        <v>0</v>
      </c>
      <c r="AA354" s="30"/>
      <c r="AB354" s="7"/>
      <c r="AC354" s="7"/>
      <c r="AD354" s="8"/>
      <c r="AE354" s="9">
        <f t="shared" si="1297"/>
        <v>0</v>
      </c>
      <c r="AF354" s="30"/>
      <c r="AG354" s="7"/>
      <c r="AH354" s="7"/>
      <c r="AI354" s="8"/>
      <c r="AJ354" s="9">
        <f t="shared" si="1298"/>
        <v>0</v>
      </c>
      <c r="AK354" s="30"/>
      <c r="AL354" s="7"/>
      <c r="AM354" s="7"/>
      <c r="AN354" s="8"/>
      <c r="AO354" s="9">
        <f t="shared" si="1299"/>
        <v>0</v>
      </c>
      <c r="AP354" s="30"/>
      <c r="AQ354" s="7"/>
      <c r="AR354" s="7"/>
      <c r="AS354" s="8"/>
      <c r="AT354" s="9">
        <f t="shared" si="1300"/>
        <v>0</v>
      </c>
      <c r="AU354" s="30"/>
      <c r="AV354" s="7"/>
      <c r="AW354" s="7"/>
      <c r="AX354" s="8"/>
      <c r="AY354" s="9">
        <f t="shared" si="1301"/>
        <v>0</v>
      </c>
      <c r="AZ354" s="30"/>
      <c r="BA354" s="7"/>
      <c r="BB354" s="7"/>
      <c r="BC354" s="8"/>
      <c r="BD354" s="9">
        <f t="shared" si="1302"/>
        <v>0</v>
      </c>
      <c r="BE354" s="30"/>
      <c r="BF354" s="7"/>
      <c r="BG354" s="7"/>
      <c r="BH354" s="8"/>
      <c r="BI354" s="9">
        <f t="shared" si="1303"/>
        <v>0</v>
      </c>
      <c r="BJ354" s="30"/>
      <c r="BK354" s="7"/>
      <c r="BL354" s="7"/>
      <c r="BM354" s="8"/>
      <c r="BN354" s="9">
        <f t="shared" si="1304"/>
        <v>0</v>
      </c>
      <c r="BO354" s="65">
        <f t="shared" ref="BO354:BO388" si="1356">SUM(G354,L354,Q354,V354,AA354,AF354,AK354,AP354,AU354,AZ354,BE354,BJ354)</f>
        <v>105</v>
      </c>
      <c r="BP354" s="7">
        <f t="shared" ref="BP354:BP388" si="1357">SUM(H354,M354,R354,W354,AB354,AG354,AL354,AQ354,AV354,BA354,BF354,BK354)</f>
        <v>0</v>
      </c>
      <c r="BQ354" s="7">
        <f t="shared" ref="BQ354:BQ388" si="1358">SUM(I354,N354,S354,X354,AC354,AH354,AM354,AR354,AW354,BB354,BG354,BL354)</f>
        <v>0</v>
      </c>
      <c r="BR354" s="8">
        <f t="shared" ref="BR354:BR388" si="1359">SUM(J354,O354,T354,Y354,AD354,AI354,AN354,AS354,AX354,BC354,BH354,BM354)</f>
        <v>0</v>
      </c>
      <c r="BS354" s="31">
        <f t="shared" si="1279"/>
        <v>105</v>
      </c>
    </row>
    <row r="355" spans="2:71" x14ac:dyDescent="0.3">
      <c r="B355" s="254"/>
      <c r="C355" s="272"/>
      <c r="D355" s="200"/>
      <c r="E355" s="201"/>
      <c r="F355" s="123" t="s">
        <v>229</v>
      </c>
      <c r="G355" s="34">
        <v>24</v>
      </c>
      <c r="H355" s="16"/>
      <c r="I355" s="16"/>
      <c r="J355" s="17"/>
      <c r="K355" s="18">
        <f t="shared" si="1278"/>
        <v>24</v>
      </c>
      <c r="L355" s="34">
        <v>9</v>
      </c>
      <c r="M355" s="16"/>
      <c r="N355" s="16"/>
      <c r="O355" s="17"/>
      <c r="P355" s="18">
        <f t="shared" si="1294"/>
        <v>9</v>
      </c>
      <c r="Q355" s="34"/>
      <c r="R355" s="16"/>
      <c r="S355" s="16"/>
      <c r="T355" s="17"/>
      <c r="U355" s="18">
        <f t="shared" si="1295"/>
        <v>0</v>
      </c>
      <c r="V355" s="34"/>
      <c r="W355" s="16"/>
      <c r="X355" s="16"/>
      <c r="Y355" s="17"/>
      <c r="Z355" s="18">
        <f t="shared" si="1296"/>
        <v>0</v>
      </c>
      <c r="AA355" s="34"/>
      <c r="AB355" s="16"/>
      <c r="AC355" s="16"/>
      <c r="AD355" s="17"/>
      <c r="AE355" s="18">
        <f t="shared" si="1297"/>
        <v>0</v>
      </c>
      <c r="AF355" s="34"/>
      <c r="AG355" s="16"/>
      <c r="AH355" s="16"/>
      <c r="AI355" s="17"/>
      <c r="AJ355" s="18">
        <f t="shared" si="1298"/>
        <v>0</v>
      </c>
      <c r="AK355" s="34"/>
      <c r="AL355" s="16"/>
      <c r="AM355" s="16"/>
      <c r="AN355" s="17"/>
      <c r="AO355" s="18">
        <f t="shared" si="1299"/>
        <v>0</v>
      </c>
      <c r="AP355" s="34"/>
      <c r="AQ355" s="16"/>
      <c r="AR355" s="16"/>
      <c r="AS355" s="17"/>
      <c r="AT355" s="18">
        <f t="shared" si="1300"/>
        <v>0</v>
      </c>
      <c r="AU355" s="34"/>
      <c r="AV355" s="16"/>
      <c r="AW355" s="16"/>
      <c r="AX355" s="17"/>
      <c r="AY355" s="18">
        <f t="shared" si="1301"/>
        <v>0</v>
      </c>
      <c r="AZ355" s="34"/>
      <c r="BA355" s="16"/>
      <c r="BB355" s="16"/>
      <c r="BC355" s="17"/>
      <c r="BD355" s="18">
        <f t="shared" si="1302"/>
        <v>0</v>
      </c>
      <c r="BE355" s="34"/>
      <c r="BF355" s="16"/>
      <c r="BG355" s="16"/>
      <c r="BH355" s="17"/>
      <c r="BI355" s="18">
        <f t="shared" si="1303"/>
        <v>0</v>
      </c>
      <c r="BJ355" s="34"/>
      <c r="BK355" s="16"/>
      <c r="BL355" s="16"/>
      <c r="BM355" s="17"/>
      <c r="BN355" s="18">
        <f t="shared" si="1304"/>
        <v>0</v>
      </c>
      <c r="BO355" s="70">
        <f t="shared" si="1356"/>
        <v>33</v>
      </c>
      <c r="BP355" s="16">
        <f t="shared" si="1357"/>
        <v>0</v>
      </c>
      <c r="BQ355" s="16">
        <f t="shared" si="1358"/>
        <v>0</v>
      </c>
      <c r="BR355" s="17">
        <f t="shared" si="1359"/>
        <v>0</v>
      </c>
      <c r="BS355" s="35">
        <f t="shared" ref="BS355" si="1360">SUM(BO355:BR355)</f>
        <v>33</v>
      </c>
    </row>
    <row r="356" spans="2:71" x14ac:dyDescent="0.3">
      <c r="B356" s="254"/>
      <c r="C356" s="272"/>
      <c r="D356" s="200"/>
      <c r="E356" s="201"/>
      <c r="F356" s="123" t="s">
        <v>230</v>
      </c>
      <c r="G356" s="34">
        <v>6</v>
      </c>
      <c r="H356" s="16"/>
      <c r="I356" s="16"/>
      <c r="J356" s="17"/>
      <c r="K356" s="18">
        <f t="shared" si="1278"/>
        <v>6</v>
      </c>
      <c r="L356" s="34">
        <v>3</v>
      </c>
      <c r="M356" s="16"/>
      <c r="N356" s="16"/>
      <c r="O356" s="17"/>
      <c r="P356" s="18">
        <f t="shared" si="1294"/>
        <v>3</v>
      </c>
      <c r="Q356" s="34"/>
      <c r="R356" s="16"/>
      <c r="S356" s="16"/>
      <c r="T356" s="17"/>
      <c r="U356" s="18">
        <f t="shared" si="1295"/>
        <v>0</v>
      </c>
      <c r="V356" s="34"/>
      <c r="W356" s="16"/>
      <c r="X356" s="16"/>
      <c r="Y356" s="17"/>
      <c r="Z356" s="18">
        <f t="shared" si="1296"/>
        <v>0</v>
      </c>
      <c r="AA356" s="34"/>
      <c r="AB356" s="16"/>
      <c r="AC356" s="16"/>
      <c r="AD356" s="17"/>
      <c r="AE356" s="18">
        <f t="shared" si="1297"/>
        <v>0</v>
      </c>
      <c r="AF356" s="34"/>
      <c r="AG356" s="16"/>
      <c r="AH356" s="16"/>
      <c r="AI356" s="17"/>
      <c r="AJ356" s="18">
        <f t="shared" si="1298"/>
        <v>0</v>
      </c>
      <c r="AK356" s="34"/>
      <c r="AL356" s="16"/>
      <c r="AM356" s="16"/>
      <c r="AN356" s="17"/>
      <c r="AO356" s="18">
        <f t="shared" si="1299"/>
        <v>0</v>
      </c>
      <c r="AP356" s="34"/>
      <c r="AQ356" s="16"/>
      <c r="AR356" s="16"/>
      <c r="AS356" s="17"/>
      <c r="AT356" s="18">
        <f t="shared" si="1300"/>
        <v>0</v>
      </c>
      <c r="AU356" s="34"/>
      <c r="AV356" s="16"/>
      <c r="AW356" s="16"/>
      <c r="AX356" s="17"/>
      <c r="AY356" s="18">
        <f t="shared" si="1301"/>
        <v>0</v>
      </c>
      <c r="AZ356" s="34"/>
      <c r="BA356" s="16"/>
      <c r="BB356" s="16"/>
      <c r="BC356" s="17"/>
      <c r="BD356" s="18">
        <f t="shared" si="1302"/>
        <v>0</v>
      </c>
      <c r="BE356" s="34"/>
      <c r="BF356" s="16"/>
      <c r="BG356" s="16"/>
      <c r="BH356" s="17"/>
      <c r="BI356" s="18">
        <f t="shared" si="1303"/>
        <v>0</v>
      </c>
      <c r="BJ356" s="34"/>
      <c r="BK356" s="16"/>
      <c r="BL356" s="16"/>
      <c r="BM356" s="17"/>
      <c r="BN356" s="18">
        <f t="shared" si="1304"/>
        <v>0</v>
      </c>
      <c r="BO356" s="70">
        <f t="shared" si="1356"/>
        <v>9</v>
      </c>
      <c r="BP356" s="16">
        <f t="shared" si="1357"/>
        <v>0</v>
      </c>
      <c r="BQ356" s="16">
        <f t="shared" si="1358"/>
        <v>0</v>
      </c>
      <c r="BR356" s="17">
        <f t="shared" si="1359"/>
        <v>0</v>
      </c>
      <c r="BS356" s="35">
        <f t="shared" si="1279"/>
        <v>9</v>
      </c>
    </row>
    <row r="357" spans="2:71" x14ac:dyDescent="0.3">
      <c r="B357" s="254"/>
      <c r="C357" s="272"/>
      <c r="D357" s="200"/>
      <c r="E357" s="201"/>
      <c r="F357" s="123" t="s">
        <v>231</v>
      </c>
      <c r="G357" s="34">
        <v>108</v>
      </c>
      <c r="H357" s="16"/>
      <c r="I357" s="16"/>
      <c r="J357" s="17"/>
      <c r="K357" s="18">
        <f t="shared" si="1278"/>
        <v>108</v>
      </c>
      <c r="L357" s="34">
        <v>100</v>
      </c>
      <c r="M357" s="16"/>
      <c r="N357" s="16"/>
      <c r="O357" s="17"/>
      <c r="P357" s="18">
        <f t="shared" si="1294"/>
        <v>100</v>
      </c>
      <c r="Q357" s="34"/>
      <c r="R357" s="16"/>
      <c r="S357" s="16"/>
      <c r="T357" s="17"/>
      <c r="U357" s="18">
        <f t="shared" si="1295"/>
        <v>0</v>
      </c>
      <c r="V357" s="34"/>
      <c r="W357" s="16"/>
      <c r="X357" s="16"/>
      <c r="Y357" s="17"/>
      <c r="Z357" s="18">
        <f t="shared" si="1296"/>
        <v>0</v>
      </c>
      <c r="AA357" s="34">
        <v>400</v>
      </c>
      <c r="AB357" s="16"/>
      <c r="AC357" s="16"/>
      <c r="AD357" s="17"/>
      <c r="AE357" s="18">
        <f t="shared" si="1297"/>
        <v>400</v>
      </c>
      <c r="AF357" s="34">
        <v>942</v>
      </c>
      <c r="AG357" s="16"/>
      <c r="AH357" s="16"/>
      <c r="AI357" s="17"/>
      <c r="AJ357" s="18">
        <f t="shared" si="1298"/>
        <v>942</v>
      </c>
      <c r="AK357" s="34">
        <v>12</v>
      </c>
      <c r="AL357" s="16"/>
      <c r="AM357" s="16"/>
      <c r="AN357" s="17"/>
      <c r="AO357" s="18">
        <f t="shared" si="1299"/>
        <v>12</v>
      </c>
      <c r="AP357" s="34">
        <v>640</v>
      </c>
      <c r="AQ357" s="16"/>
      <c r="AR357" s="16"/>
      <c r="AS357" s="17"/>
      <c r="AT357" s="18">
        <f t="shared" si="1300"/>
        <v>640</v>
      </c>
      <c r="AU357" s="34">
        <v>34</v>
      </c>
      <c r="AV357" s="16"/>
      <c r="AW357" s="16"/>
      <c r="AX357" s="17"/>
      <c r="AY357" s="18">
        <f t="shared" si="1301"/>
        <v>34</v>
      </c>
      <c r="AZ357" s="34"/>
      <c r="BA357" s="16"/>
      <c r="BB357" s="16"/>
      <c r="BC357" s="17"/>
      <c r="BD357" s="18">
        <f t="shared" si="1302"/>
        <v>0</v>
      </c>
      <c r="BE357" s="34">
        <v>300</v>
      </c>
      <c r="BF357" s="16"/>
      <c r="BG357" s="16"/>
      <c r="BH357" s="17"/>
      <c r="BI357" s="18">
        <f t="shared" si="1303"/>
        <v>300</v>
      </c>
      <c r="BJ357" s="34">
        <v>848</v>
      </c>
      <c r="BK357" s="16"/>
      <c r="BL357" s="16"/>
      <c r="BM357" s="17"/>
      <c r="BN357" s="18">
        <f t="shared" si="1304"/>
        <v>848</v>
      </c>
      <c r="BO357" s="70">
        <f t="shared" si="1356"/>
        <v>3384</v>
      </c>
      <c r="BP357" s="16">
        <f t="shared" si="1357"/>
        <v>0</v>
      </c>
      <c r="BQ357" s="16">
        <f t="shared" si="1358"/>
        <v>0</v>
      </c>
      <c r="BR357" s="17">
        <f t="shared" si="1359"/>
        <v>0</v>
      </c>
      <c r="BS357" s="35">
        <f t="shared" si="1279"/>
        <v>3384</v>
      </c>
    </row>
    <row r="358" spans="2:71" x14ac:dyDescent="0.3">
      <c r="B358" s="254"/>
      <c r="C358" s="204"/>
      <c r="D358" s="200"/>
      <c r="E358" s="201"/>
      <c r="F358" s="123" t="s">
        <v>232</v>
      </c>
      <c r="G358" s="34"/>
      <c r="H358" s="16"/>
      <c r="I358" s="16"/>
      <c r="J358" s="17"/>
      <c r="K358" s="18">
        <f t="shared" si="1278"/>
        <v>0</v>
      </c>
      <c r="L358" s="34"/>
      <c r="M358" s="16"/>
      <c r="N358" s="16"/>
      <c r="O358" s="17"/>
      <c r="P358" s="18">
        <f t="shared" si="1294"/>
        <v>0</v>
      </c>
      <c r="Q358" s="34"/>
      <c r="R358" s="16"/>
      <c r="S358" s="16"/>
      <c r="T358" s="17"/>
      <c r="U358" s="18">
        <f t="shared" si="1295"/>
        <v>0</v>
      </c>
      <c r="V358" s="34"/>
      <c r="W358" s="16"/>
      <c r="X358" s="16"/>
      <c r="Y358" s="17"/>
      <c r="Z358" s="18">
        <f t="shared" si="1296"/>
        <v>0</v>
      </c>
      <c r="AA358" s="34"/>
      <c r="AB358" s="16"/>
      <c r="AC358" s="16"/>
      <c r="AD358" s="17"/>
      <c r="AE358" s="18">
        <f t="shared" si="1297"/>
        <v>0</v>
      </c>
      <c r="AF358" s="34"/>
      <c r="AG358" s="16"/>
      <c r="AH358" s="16"/>
      <c r="AI358" s="17"/>
      <c r="AJ358" s="18">
        <f t="shared" si="1298"/>
        <v>0</v>
      </c>
      <c r="AK358" s="34"/>
      <c r="AL358" s="16"/>
      <c r="AM358" s="16"/>
      <c r="AN358" s="17"/>
      <c r="AO358" s="18">
        <f t="shared" si="1299"/>
        <v>0</v>
      </c>
      <c r="AP358" s="34"/>
      <c r="AQ358" s="16"/>
      <c r="AR358" s="16"/>
      <c r="AS358" s="17"/>
      <c r="AT358" s="18">
        <f t="shared" si="1300"/>
        <v>0</v>
      </c>
      <c r="AU358" s="34"/>
      <c r="AV358" s="16"/>
      <c r="AW358" s="16"/>
      <c r="AX358" s="17"/>
      <c r="AY358" s="18">
        <f t="shared" si="1301"/>
        <v>0</v>
      </c>
      <c r="AZ358" s="34"/>
      <c r="BA358" s="16"/>
      <c r="BB358" s="16"/>
      <c r="BC358" s="17"/>
      <c r="BD358" s="18">
        <f t="shared" si="1302"/>
        <v>0</v>
      </c>
      <c r="BE358" s="34">
        <v>104</v>
      </c>
      <c r="BF358" s="16"/>
      <c r="BG358" s="16"/>
      <c r="BH358" s="17"/>
      <c r="BI358" s="18">
        <f t="shared" si="1303"/>
        <v>104</v>
      </c>
      <c r="BJ358" s="34"/>
      <c r="BK358" s="16"/>
      <c r="BL358" s="16"/>
      <c r="BM358" s="17"/>
      <c r="BN358" s="18">
        <f t="shared" si="1304"/>
        <v>0</v>
      </c>
      <c r="BO358" s="70">
        <f t="shared" si="1356"/>
        <v>104</v>
      </c>
      <c r="BP358" s="16">
        <f t="shared" si="1357"/>
        <v>0</v>
      </c>
      <c r="BQ358" s="16">
        <f t="shared" si="1358"/>
        <v>0</v>
      </c>
      <c r="BR358" s="17">
        <f t="shared" si="1359"/>
        <v>0</v>
      </c>
      <c r="BS358" s="35">
        <f t="shared" si="1279"/>
        <v>104</v>
      </c>
    </row>
    <row r="359" spans="2:71" x14ac:dyDescent="0.3">
      <c r="B359" s="254"/>
      <c r="C359" s="204"/>
      <c r="D359" s="200"/>
      <c r="E359" s="201"/>
      <c r="F359" s="123" t="s">
        <v>233</v>
      </c>
      <c r="G359" s="34"/>
      <c r="H359" s="16"/>
      <c r="I359" s="16"/>
      <c r="J359" s="17"/>
      <c r="K359" s="18">
        <f t="shared" si="1278"/>
        <v>0</v>
      </c>
      <c r="L359" s="34"/>
      <c r="M359" s="16"/>
      <c r="N359" s="16"/>
      <c r="O359" s="17"/>
      <c r="P359" s="18">
        <f t="shared" si="1294"/>
        <v>0</v>
      </c>
      <c r="Q359" s="34"/>
      <c r="R359" s="16"/>
      <c r="S359" s="16"/>
      <c r="T359" s="17"/>
      <c r="U359" s="18">
        <f t="shared" si="1295"/>
        <v>0</v>
      </c>
      <c r="V359" s="34"/>
      <c r="W359" s="16"/>
      <c r="X359" s="16"/>
      <c r="Y359" s="17"/>
      <c r="Z359" s="18">
        <f t="shared" si="1296"/>
        <v>0</v>
      </c>
      <c r="AA359" s="34"/>
      <c r="AB359" s="16"/>
      <c r="AC359" s="16"/>
      <c r="AD359" s="17"/>
      <c r="AE359" s="18">
        <f t="shared" si="1297"/>
        <v>0</v>
      </c>
      <c r="AF359" s="34"/>
      <c r="AG359" s="16"/>
      <c r="AH359" s="16"/>
      <c r="AI359" s="17"/>
      <c r="AJ359" s="18">
        <f t="shared" si="1298"/>
        <v>0</v>
      </c>
      <c r="AK359" s="34">
        <v>20</v>
      </c>
      <c r="AL359" s="16"/>
      <c r="AM359" s="16"/>
      <c r="AN359" s="17"/>
      <c r="AO359" s="18">
        <f t="shared" si="1299"/>
        <v>20</v>
      </c>
      <c r="AP359" s="34"/>
      <c r="AQ359" s="16"/>
      <c r="AR359" s="16"/>
      <c r="AS359" s="17"/>
      <c r="AT359" s="18">
        <f t="shared" si="1300"/>
        <v>0</v>
      </c>
      <c r="AU359" s="34">
        <v>1200</v>
      </c>
      <c r="AV359" s="16"/>
      <c r="AW359" s="16"/>
      <c r="AX359" s="17"/>
      <c r="AY359" s="18">
        <f t="shared" si="1301"/>
        <v>1200</v>
      </c>
      <c r="AZ359" s="34"/>
      <c r="BA359" s="16"/>
      <c r="BB359" s="16"/>
      <c r="BC359" s="17"/>
      <c r="BD359" s="18">
        <f t="shared" si="1302"/>
        <v>0</v>
      </c>
      <c r="BE359" s="34"/>
      <c r="BF359" s="16"/>
      <c r="BG359" s="16"/>
      <c r="BH359" s="17"/>
      <c r="BI359" s="18">
        <f t="shared" si="1303"/>
        <v>0</v>
      </c>
      <c r="BJ359" s="34">
        <v>100</v>
      </c>
      <c r="BK359" s="16"/>
      <c r="BL359" s="16"/>
      <c r="BM359" s="17"/>
      <c r="BN359" s="18">
        <f t="shared" si="1304"/>
        <v>100</v>
      </c>
      <c r="BO359" s="70">
        <f t="shared" si="1356"/>
        <v>1320</v>
      </c>
      <c r="BP359" s="16">
        <f t="shared" si="1357"/>
        <v>0</v>
      </c>
      <c r="BQ359" s="16">
        <f t="shared" si="1358"/>
        <v>0</v>
      </c>
      <c r="BR359" s="17">
        <f t="shared" si="1359"/>
        <v>0</v>
      </c>
      <c r="BS359" s="35">
        <f t="shared" ref="BS359" si="1361">SUM(BO359:BR359)</f>
        <v>1320</v>
      </c>
    </row>
    <row r="360" spans="2:71" x14ac:dyDescent="0.3">
      <c r="B360" s="254"/>
      <c r="C360" s="204"/>
      <c r="D360" s="200"/>
      <c r="E360" s="201"/>
      <c r="F360" s="123" t="s">
        <v>234</v>
      </c>
      <c r="G360" s="34"/>
      <c r="H360" s="16"/>
      <c r="I360" s="16"/>
      <c r="J360" s="17"/>
      <c r="K360" s="18">
        <f t="shared" si="1278"/>
        <v>0</v>
      </c>
      <c r="L360" s="34"/>
      <c r="M360" s="16"/>
      <c r="N360" s="16"/>
      <c r="O360" s="17"/>
      <c r="P360" s="18">
        <f t="shared" si="1294"/>
        <v>0</v>
      </c>
      <c r="Q360" s="34"/>
      <c r="R360" s="16"/>
      <c r="S360" s="16"/>
      <c r="T360" s="17"/>
      <c r="U360" s="18">
        <f t="shared" si="1295"/>
        <v>0</v>
      </c>
      <c r="V360" s="34"/>
      <c r="W360" s="16"/>
      <c r="X360" s="16"/>
      <c r="Y360" s="17"/>
      <c r="Z360" s="18">
        <f t="shared" si="1296"/>
        <v>0</v>
      </c>
      <c r="AA360" s="34"/>
      <c r="AB360" s="16"/>
      <c r="AC360" s="16"/>
      <c r="AD360" s="17"/>
      <c r="AE360" s="18">
        <f t="shared" si="1297"/>
        <v>0</v>
      </c>
      <c r="AF360" s="34"/>
      <c r="AG360" s="16"/>
      <c r="AH360" s="16"/>
      <c r="AI360" s="17"/>
      <c r="AJ360" s="18">
        <f t="shared" si="1298"/>
        <v>0</v>
      </c>
      <c r="AK360" s="34"/>
      <c r="AL360" s="16"/>
      <c r="AM360" s="16"/>
      <c r="AN360" s="17"/>
      <c r="AO360" s="18">
        <f t="shared" si="1299"/>
        <v>0</v>
      </c>
      <c r="AP360" s="34"/>
      <c r="AQ360" s="16"/>
      <c r="AR360" s="16"/>
      <c r="AS360" s="17"/>
      <c r="AT360" s="18">
        <f t="shared" si="1300"/>
        <v>0</v>
      </c>
      <c r="AU360" s="34"/>
      <c r="AV360" s="16"/>
      <c r="AW360" s="16"/>
      <c r="AX360" s="17"/>
      <c r="AY360" s="18">
        <f t="shared" si="1301"/>
        <v>0</v>
      </c>
      <c r="AZ360" s="34">
        <v>100</v>
      </c>
      <c r="BA360" s="16"/>
      <c r="BB360" s="16"/>
      <c r="BC360" s="17"/>
      <c r="BD360" s="18">
        <f t="shared" si="1302"/>
        <v>100</v>
      </c>
      <c r="BE360" s="34"/>
      <c r="BF360" s="16"/>
      <c r="BG360" s="16"/>
      <c r="BH360" s="17"/>
      <c r="BI360" s="18">
        <f t="shared" si="1303"/>
        <v>0</v>
      </c>
      <c r="BJ360" s="34"/>
      <c r="BK360" s="16"/>
      <c r="BL360" s="16"/>
      <c r="BM360" s="17"/>
      <c r="BN360" s="18">
        <f t="shared" si="1304"/>
        <v>0</v>
      </c>
      <c r="BO360" s="70">
        <f t="shared" si="1356"/>
        <v>100</v>
      </c>
      <c r="BP360" s="16">
        <f t="shared" si="1357"/>
        <v>0</v>
      </c>
      <c r="BQ360" s="16">
        <f t="shared" si="1358"/>
        <v>0</v>
      </c>
      <c r="BR360" s="17">
        <f t="shared" si="1359"/>
        <v>0</v>
      </c>
      <c r="BS360" s="35">
        <f t="shared" ref="BS360:BS361" si="1362">SUM(BO360:BR360)</f>
        <v>100</v>
      </c>
    </row>
    <row r="361" spans="2:71" x14ac:dyDescent="0.3">
      <c r="B361" s="254"/>
      <c r="C361" s="204"/>
      <c r="D361" s="200"/>
      <c r="E361" s="201"/>
      <c r="F361" s="123" t="s">
        <v>235</v>
      </c>
      <c r="G361" s="34"/>
      <c r="H361" s="16"/>
      <c r="I361" s="16"/>
      <c r="J361" s="17"/>
      <c r="K361" s="18">
        <f t="shared" si="1278"/>
        <v>0</v>
      </c>
      <c r="L361" s="34"/>
      <c r="M361" s="16"/>
      <c r="N361" s="16"/>
      <c r="O361" s="17"/>
      <c r="P361" s="18">
        <f t="shared" si="1294"/>
        <v>0</v>
      </c>
      <c r="Q361" s="34"/>
      <c r="R361" s="16"/>
      <c r="S361" s="16"/>
      <c r="T361" s="17"/>
      <c r="U361" s="18">
        <f t="shared" si="1295"/>
        <v>0</v>
      </c>
      <c r="V361" s="34"/>
      <c r="W361" s="16"/>
      <c r="X361" s="16"/>
      <c r="Y361" s="17"/>
      <c r="Z361" s="18">
        <f t="shared" si="1296"/>
        <v>0</v>
      </c>
      <c r="AA361" s="34"/>
      <c r="AB361" s="16"/>
      <c r="AC361" s="16"/>
      <c r="AD361" s="17"/>
      <c r="AE361" s="18">
        <f t="shared" si="1297"/>
        <v>0</v>
      </c>
      <c r="AF361" s="34"/>
      <c r="AG361" s="16"/>
      <c r="AH361" s="16"/>
      <c r="AI361" s="17"/>
      <c r="AJ361" s="18">
        <f t="shared" si="1298"/>
        <v>0</v>
      </c>
      <c r="AK361" s="34"/>
      <c r="AL361" s="16"/>
      <c r="AM361" s="16"/>
      <c r="AN361" s="17"/>
      <c r="AO361" s="18">
        <f t="shared" si="1299"/>
        <v>0</v>
      </c>
      <c r="AP361" s="34"/>
      <c r="AQ361" s="16"/>
      <c r="AR361" s="16"/>
      <c r="AS361" s="17"/>
      <c r="AT361" s="18">
        <f t="shared" si="1300"/>
        <v>0</v>
      </c>
      <c r="AU361" s="34"/>
      <c r="AV361" s="16"/>
      <c r="AW361" s="16"/>
      <c r="AX361" s="17"/>
      <c r="AY361" s="18">
        <f t="shared" si="1301"/>
        <v>0</v>
      </c>
      <c r="AZ361" s="34"/>
      <c r="BA361" s="16"/>
      <c r="BB361" s="16"/>
      <c r="BC361" s="17"/>
      <c r="BD361" s="18">
        <f t="shared" si="1302"/>
        <v>0</v>
      </c>
      <c r="BE361" s="34">
        <v>5</v>
      </c>
      <c r="BF361" s="16"/>
      <c r="BG361" s="16"/>
      <c r="BH361" s="17"/>
      <c r="BI361" s="18">
        <f t="shared" si="1303"/>
        <v>5</v>
      </c>
      <c r="BJ361" s="34"/>
      <c r="BK361" s="16"/>
      <c r="BL361" s="16"/>
      <c r="BM361" s="17"/>
      <c r="BN361" s="18">
        <f t="shared" si="1304"/>
        <v>0</v>
      </c>
      <c r="BO361" s="70">
        <f t="shared" si="1356"/>
        <v>5</v>
      </c>
      <c r="BP361" s="16">
        <f t="shared" si="1357"/>
        <v>0</v>
      </c>
      <c r="BQ361" s="16">
        <f t="shared" si="1358"/>
        <v>0</v>
      </c>
      <c r="BR361" s="17">
        <f t="shared" si="1359"/>
        <v>0</v>
      </c>
      <c r="BS361" s="35">
        <f t="shared" si="1362"/>
        <v>5</v>
      </c>
    </row>
    <row r="362" spans="2:71" x14ac:dyDescent="0.3">
      <c r="B362" s="254"/>
      <c r="C362" s="204"/>
      <c r="D362" s="200"/>
      <c r="E362" s="201"/>
      <c r="F362" s="123" t="s">
        <v>236</v>
      </c>
      <c r="G362" s="34">
        <v>1557</v>
      </c>
      <c r="H362" s="16"/>
      <c r="I362" s="16"/>
      <c r="J362" s="17"/>
      <c r="K362" s="18">
        <f t="shared" si="1278"/>
        <v>1557</v>
      </c>
      <c r="L362" s="34">
        <v>2256</v>
      </c>
      <c r="M362" s="16"/>
      <c r="N362" s="16"/>
      <c r="O362" s="17"/>
      <c r="P362" s="18">
        <f t="shared" si="1294"/>
        <v>2256</v>
      </c>
      <c r="Q362" s="34">
        <v>258</v>
      </c>
      <c r="R362" s="16"/>
      <c r="S362" s="16"/>
      <c r="T362" s="17"/>
      <c r="U362" s="18">
        <f t="shared" si="1295"/>
        <v>258</v>
      </c>
      <c r="V362" s="34">
        <v>108</v>
      </c>
      <c r="W362" s="16"/>
      <c r="X362" s="16"/>
      <c r="Y362" s="17"/>
      <c r="Z362" s="18">
        <f t="shared" si="1296"/>
        <v>108</v>
      </c>
      <c r="AA362" s="34">
        <v>80</v>
      </c>
      <c r="AB362" s="16"/>
      <c r="AC362" s="16"/>
      <c r="AD362" s="17"/>
      <c r="AE362" s="18">
        <f t="shared" si="1297"/>
        <v>80</v>
      </c>
      <c r="AF362" s="34"/>
      <c r="AG362" s="16"/>
      <c r="AH362" s="16"/>
      <c r="AI362" s="17"/>
      <c r="AJ362" s="18">
        <f t="shared" si="1298"/>
        <v>0</v>
      </c>
      <c r="AK362" s="34"/>
      <c r="AL362" s="16"/>
      <c r="AM362" s="16"/>
      <c r="AN362" s="17"/>
      <c r="AO362" s="18">
        <f t="shared" si="1299"/>
        <v>0</v>
      </c>
      <c r="AP362" s="34"/>
      <c r="AQ362" s="16"/>
      <c r="AR362" s="16"/>
      <c r="AS362" s="17"/>
      <c r="AT362" s="18">
        <f t="shared" si="1300"/>
        <v>0</v>
      </c>
      <c r="AU362" s="34"/>
      <c r="AV362" s="16"/>
      <c r="AW362" s="16"/>
      <c r="AX362" s="17"/>
      <c r="AY362" s="18">
        <f t="shared" si="1301"/>
        <v>0</v>
      </c>
      <c r="AZ362" s="34"/>
      <c r="BA362" s="16"/>
      <c r="BB362" s="16"/>
      <c r="BC362" s="17"/>
      <c r="BD362" s="18">
        <f t="shared" si="1302"/>
        <v>0</v>
      </c>
      <c r="BE362" s="34"/>
      <c r="BF362" s="16"/>
      <c r="BG362" s="16"/>
      <c r="BH362" s="17"/>
      <c r="BI362" s="18">
        <f t="shared" si="1303"/>
        <v>0</v>
      </c>
      <c r="BJ362" s="34"/>
      <c r="BK362" s="16"/>
      <c r="BL362" s="16"/>
      <c r="BM362" s="17"/>
      <c r="BN362" s="18">
        <f t="shared" si="1304"/>
        <v>0</v>
      </c>
      <c r="BO362" s="70">
        <f t="shared" si="1356"/>
        <v>4259</v>
      </c>
      <c r="BP362" s="16">
        <f t="shared" si="1357"/>
        <v>0</v>
      </c>
      <c r="BQ362" s="16">
        <f t="shared" si="1358"/>
        <v>0</v>
      </c>
      <c r="BR362" s="17">
        <f t="shared" si="1359"/>
        <v>0</v>
      </c>
      <c r="BS362" s="35">
        <f t="shared" ref="BS362:BS375" si="1363">SUM(BO362:BR362)</f>
        <v>4259</v>
      </c>
    </row>
    <row r="363" spans="2:71" x14ac:dyDescent="0.3">
      <c r="B363" s="254"/>
      <c r="C363" s="204"/>
      <c r="D363" s="200"/>
      <c r="E363" s="201"/>
      <c r="F363" s="123" t="s">
        <v>237</v>
      </c>
      <c r="G363" s="34">
        <v>686</v>
      </c>
      <c r="H363" s="16"/>
      <c r="I363" s="16"/>
      <c r="J363" s="17"/>
      <c r="K363" s="18">
        <f t="shared" ref="K363:K364" si="1364">SUM(G363:J363)</f>
        <v>686</v>
      </c>
      <c r="L363" s="34">
        <v>852</v>
      </c>
      <c r="M363" s="16"/>
      <c r="N363" s="16"/>
      <c r="O363" s="17"/>
      <c r="P363" s="18">
        <f t="shared" si="1294"/>
        <v>852</v>
      </c>
      <c r="Q363" s="34">
        <v>53</v>
      </c>
      <c r="R363" s="16"/>
      <c r="S363" s="16"/>
      <c r="T363" s="17"/>
      <c r="U363" s="18">
        <f t="shared" si="1295"/>
        <v>53</v>
      </c>
      <c r="V363" s="34">
        <v>41</v>
      </c>
      <c r="W363" s="16"/>
      <c r="X363" s="16"/>
      <c r="Y363" s="17"/>
      <c r="Z363" s="18">
        <f t="shared" si="1296"/>
        <v>41</v>
      </c>
      <c r="AA363" s="34">
        <v>21</v>
      </c>
      <c r="AB363" s="16"/>
      <c r="AC363" s="16"/>
      <c r="AD363" s="17"/>
      <c r="AE363" s="18">
        <f t="shared" si="1297"/>
        <v>21</v>
      </c>
      <c r="AF363" s="34"/>
      <c r="AG363" s="16"/>
      <c r="AH363" s="16"/>
      <c r="AI363" s="17"/>
      <c r="AJ363" s="18">
        <f t="shared" si="1298"/>
        <v>0</v>
      </c>
      <c r="AK363" s="34"/>
      <c r="AL363" s="16"/>
      <c r="AM363" s="16"/>
      <c r="AN363" s="17"/>
      <c r="AO363" s="18">
        <f t="shared" si="1299"/>
        <v>0</v>
      </c>
      <c r="AP363" s="34"/>
      <c r="AQ363" s="16"/>
      <c r="AR363" s="16"/>
      <c r="AS363" s="17"/>
      <c r="AT363" s="18">
        <f t="shared" si="1300"/>
        <v>0</v>
      </c>
      <c r="AU363" s="34"/>
      <c r="AV363" s="16"/>
      <c r="AW363" s="16"/>
      <c r="AX363" s="17"/>
      <c r="AY363" s="18">
        <f t="shared" si="1301"/>
        <v>0</v>
      </c>
      <c r="AZ363" s="34"/>
      <c r="BA363" s="16"/>
      <c r="BB363" s="16"/>
      <c r="BC363" s="17"/>
      <c r="BD363" s="18">
        <f t="shared" si="1302"/>
        <v>0</v>
      </c>
      <c r="BE363" s="34"/>
      <c r="BF363" s="16"/>
      <c r="BG363" s="16"/>
      <c r="BH363" s="17"/>
      <c r="BI363" s="18">
        <f t="shared" si="1303"/>
        <v>0</v>
      </c>
      <c r="BJ363" s="34"/>
      <c r="BK363" s="16"/>
      <c r="BL363" s="16"/>
      <c r="BM363" s="17"/>
      <c r="BN363" s="18">
        <f t="shared" si="1304"/>
        <v>0</v>
      </c>
      <c r="BO363" s="70">
        <f t="shared" si="1356"/>
        <v>1653</v>
      </c>
      <c r="BP363" s="16">
        <f t="shared" si="1357"/>
        <v>0</v>
      </c>
      <c r="BQ363" s="16">
        <f t="shared" si="1358"/>
        <v>0</v>
      </c>
      <c r="BR363" s="17">
        <f t="shared" si="1359"/>
        <v>0</v>
      </c>
      <c r="BS363" s="35">
        <f t="shared" ref="BS363:BS364" si="1365">SUM(BO363:BR363)</f>
        <v>1653</v>
      </c>
    </row>
    <row r="364" spans="2:71" x14ac:dyDescent="0.3">
      <c r="B364" s="254"/>
      <c r="C364" s="204"/>
      <c r="D364" s="200"/>
      <c r="E364" s="201"/>
      <c r="F364" s="123" t="s">
        <v>250</v>
      </c>
      <c r="G364" s="34"/>
      <c r="H364" s="16"/>
      <c r="I364" s="16"/>
      <c r="J364" s="17"/>
      <c r="K364" s="18">
        <f t="shared" si="1364"/>
        <v>0</v>
      </c>
      <c r="L364" s="34">
        <v>2</v>
      </c>
      <c r="M364" s="16"/>
      <c r="N364" s="16"/>
      <c r="O364" s="17"/>
      <c r="P364" s="18">
        <f t="shared" ref="P364:P366" si="1366">SUM(L364:O364)</f>
        <v>2</v>
      </c>
      <c r="Q364" s="34">
        <v>1209</v>
      </c>
      <c r="R364" s="16"/>
      <c r="S364" s="16"/>
      <c r="T364" s="17"/>
      <c r="U364" s="18">
        <f t="shared" ref="U364:U366" si="1367">SUM(Q364:T364)</f>
        <v>1209</v>
      </c>
      <c r="V364" s="34">
        <v>2342</v>
      </c>
      <c r="W364" s="16"/>
      <c r="X364" s="16"/>
      <c r="Y364" s="17"/>
      <c r="Z364" s="18">
        <f t="shared" ref="Z364:Z366" si="1368">SUM(V364:Y364)</f>
        <v>2342</v>
      </c>
      <c r="AA364" s="34">
        <f>130+1675</f>
        <v>1805</v>
      </c>
      <c r="AB364" s="16"/>
      <c r="AC364" s="16"/>
      <c r="AD364" s="17"/>
      <c r="AE364" s="18">
        <f t="shared" ref="AE364:AE366" si="1369">SUM(AA364:AD364)</f>
        <v>1805</v>
      </c>
      <c r="AF364" s="34">
        <v>965</v>
      </c>
      <c r="AG364" s="16"/>
      <c r="AH364" s="16"/>
      <c r="AI364" s="17"/>
      <c r="AJ364" s="18">
        <f t="shared" ref="AJ364:AJ366" si="1370">SUM(AF364:AI364)</f>
        <v>965</v>
      </c>
      <c r="AK364" s="34">
        <v>148</v>
      </c>
      <c r="AL364" s="16"/>
      <c r="AM364" s="16"/>
      <c r="AN364" s="17"/>
      <c r="AO364" s="18">
        <f t="shared" ref="AO364:AO366" si="1371">SUM(AK364:AN364)</f>
        <v>148</v>
      </c>
      <c r="AP364" s="34">
        <v>145</v>
      </c>
      <c r="AQ364" s="16"/>
      <c r="AR364" s="16"/>
      <c r="AS364" s="17"/>
      <c r="AT364" s="18">
        <f t="shared" ref="AT364:AT366" si="1372">SUM(AP364:AS364)</f>
        <v>145</v>
      </c>
      <c r="AU364" s="34"/>
      <c r="AV364" s="16"/>
      <c r="AW364" s="16"/>
      <c r="AX364" s="17"/>
      <c r="AY364" s="18">
        <f t="shared" ref="AY364:AY366" si="1373">SUM(AU364:AX364)</f>
        <v>0</v>
      </c>
      <c r="AZ364" s="34"/>
      <c r="BA364" s="16"/>
      <c r="BB364" s="16"/>
      <c r="BC364" s="17"/>
      <c r="BD364" s="18">
        <f t="shared" ref="BD364:BD366" si="1374">SUM(AZ364:BC364)</f>
        <v>0</v>
      </c>
      <c r="BE364" s="34"/>
      <c r="BF364" s="16"/>
      <c r="BG364" s="16"/>
      <c r="BH364" s="17"/>
      <c r="BI364" s="18">
        <f t="shared" ref="BI364:BI366" si="1375">SUM(BE364:BH364)</f>
        <v>0</v>
      </c>
      <c r="BJ364" s="34"/>
      <c r="BK364" s="16"/>
      <c r="BL364" s="16"/>
      <c r="BM364" s="17"/>
      <c r="BN364" s="18">
        <f t="shared" ref="BN364:BN366" si="1376">SUM(BJ364:BM364)</f>
        <v>0</v>
      </c>
      <c r="BO364" s="70">
        <f t="shared" si="1356"/>
        <v>6616</v>
      </c>
      <c r="BP364" s="16">
        <f t="shared" si="1357"/>
        <v>0</v>
      </c>
      <c r="BQ364" s="16">
        <f t="shared" si="1358"/>
        <v>0</v>
      </c>
      <c r="BR364" s="17">
        <f t="shared" si="1359"/>
        <v>0</v>
      </c>
      <c r="BS364" s="35">
        <f t="shared" si="1365"/>
        <v>6616</v>
      </c>
    </row>
    <row r="365" spans="2:71" x14ac:dyDescent="0.3">
      <c r="B365" s="254"/>
      <c r="C365" s="204"/>
      <c r="D365" s="200"/>
      <c r="E365" s="201"/>
      <c r="F365" s="123" t="s">
        <v>251</v>
      </c>
      <c r="G365" s="34"/>
      <c r="H365" s="16"/>
      <c r="I365" s="16"/>
      <c r="J365" s="17"/>
      <c r="K365" s="18">
        <f t="shared" ref="K365:K366" si="1377">SUM(G365:J365)</f>
        <v>0</v>
      </c>
      <c r="L365" s="34">
        <v>6</v>
      </c>
      <c r="M365" s="16"/>
      <c r="N365" s="16"/>
      <c r="O365" s="17"/>
      <c r="P365" s="18">
        <f t="shared" si="1366"/>
        <v>6</v>
      </c>
      <c r="Q365" s="34">
        <v>324</v>
      </c>
      <c r="R365" s="16"/>
      <c r="S365" s="16"/>
      <c r="T365" s="17"/>
      <c r="U365" s="18">
        <f t="shared" si="1367"/>
        <v>324</v>
      </c>
      <c r="V365" s="34">
        <v>706</v>
      </c>
      <c r="W365" s="16"/>
      <c r="X365" s="16"/>
      <c r="Y365" s="17"/>
      <c r="Z365" s="18">
        <f t="shared" si="1368"/>
        <v>706</v>
      </c>
      <c r="AA365" s="34">
        <v>964</v>
      </c>
      <c r="AB365" s="16"/>
      <c r="AC365" s="16"/>
      <c r="AD365" s="17"/>
      <c r="AE365" s="18">
        <f t="shared" si="1369"/>
        <v>964</v>
      </c>
      <c r="AF365" s="34">
        <v>158</v>
      </c>
      <c r="AG365" s="16"/>
      <c r="AH365" s="16"/>
      <c r="AI365" s="17"/>
      <c r="AJ365" s="18">
        <f t="shared" si="1370"/>
        <v>158</v>
      </c>
      <c r="AK365" s="34">
        <v>23</v>
      </c>
      <c r="AL365" s="16"/>
      <c r="AM365" s="16"/>
      <c r="AN365" s="17"/>
      <c r="AO365" s="18">
        <f t="shared" si="1371"/>
        <v>23</v>
      </c>
      <c r="AP365" s="34">
        <v>9</v>
      </c>
      <c r="AQ365" s="16"/>
      <c r="AR365" s="16"/>
      <c r="AS365" s="17"/>
      <c r="AT365" s="18">
        <f t="shared" si="1372"/>
        <v>9</v>
      </c>
      <c r="AU365" s="34"/>
      <c r="AV365" s="16"/>
      <c r="AW365" s="16"/>
      <c r="AX365" s="17"/>
      <c r="AY365" s="18">
        <f t="shared" si="1373"/>
        <v>0</v>
      </c>
      <c r="AZ365" s="34"/>
      <c r="BA365" s="16"/>
      <c r="BB365" s="16"/>
      <c r="BC365" s="17"/>
      <c r="BD365" s="18">
        <f t="shared" si="1374"/>
        <v>0</v>
      </c>
      <c r="BE365" s="34"/>
      <c r="BF365" s="16"/>
      <c r="BG365" s="16"/>
      <c r="BH365" s="17"/>
      <c r="BI365" s="18">
        <f t="shared" si="1375"/>
        <v>0</v>
      </c>
      <c r="BJ365" s="34"/>
      <c r="BK365" s="16"/>
      <c r="BL365" s="16"/>
      <c r="BM365" s="17"/>
      <c r="BN365" s="18">
        <f t="shared" si="1376"/>
        <v>0</v>
      </c>
      <c r="BO365" s="70">
        <f t="shared" si="1356"/>
        <v>2190</v>
      </c>
      <c r="BP365" s="16">
        <f t="shared" si="1357"/>
        <v>0</v>
      </c>
      <c r="BQ365" s="16">
        <f t="shared" si="1358"/>
        <v>0</v>
      </c>
      <c r="BR365" s="17">
        <f t="shared" si="1359"/>
        <v>0</v>
      </c>
      <c r="BS365" s="35">
        <f t="shared" ref="BS365:BS366" si="1378">SUM(BO365:BR365)</f>
        <v>2190</v>
      </c>
    </row>
    <row r="366" spans="2:71" x14ac:dyDescent="0.3">
      <c r="B366" s="254"/>
      <c r="C366" s="204"/>
      <c r="D366" s="200"/>
      <c r="E366" s="201"/>
      <c r="F366" s="123" t="s">
        <v>253</v>
      </c>
      <c r="G366" s="34"/>
      <c r="H366" s="16"/>
      <c r="I366" s="16"/>
      <c r="J366" s="17"/>
      <c r="K366" s="18">
        <f t="shared" si="1377"/>
        <v>0</v>
      </c>
      <c r="L366" s="34"/>
      <c r="M366" s="16"/>
      <c r="N366" s="16"/>
      <c r="O366" s="17"/>
      <c r="P366" s="18">
        <f t="shared" si="1366"/>
        <v>0</v>
      </c>
      <c r="Q366" s="34">
        <v>863</v>
      </c>
      <c r="R366" s="16"/>
      <c r="S366" s="16"/>
      <c r="T366" s="17"/>
      <c r="U366" s="18">
        <f t="shared" si="1367"/>
        <v>863</v>
      </c>
      <c r="V366" s="34">
        <v>1127</v>
      </c>
      <c r="W366" s="16"/>
      <c r="X366" s="16"/>
      <c r="Y366" s="17"/>
      <c r="Z366" s="18">
        <f t="shared" si="1368"/>
        <v>1127</v>
      </c>
      <c r="AA366" s="34">
        <v>957</v>
      </c>
      <c r="AB366" s="16"/>
      <c r="AC366" s="16"/>
      <c r="AD366" s="17"/>
      <c r="AE366" s="18">
        <f t="shared" si="1369"/>
        <v>957</v>
      </c>
      <c r="AF366" s="34">
        <v>206</v>
      </c>
      <c r="AG366" s="16"/>
      <c r="AH366" s="16"/>
      <c r="AI366" s="17"/>
      <c r="AJ366" s="18">
        <f t="shared" si="1370"/>
        <v>206</v>
      </c>
      <c r="AK366" s="34">
        <v>57</v>
      </c>
      <c r="AL366" s="16"/>
      <c r="AM366" s="16"/>
      <c r="AN366" s="17"/>
      <c r="AO366" s="18">
        <f t="shared" si="1371"/>
        <v>57</v>
      </c>
      <c r="AP366" s="34">
        <v>70</v>
      </c>
      <c r="AQ366" s="16"/>
      <c r="AR366" s="16"/>
      <c r="AS366" s="17"/>
      <c r="AT366" s="18">
        <f t="shared" si="1372"/>
        <v>70</v>
      </c>
      <c r="AU366" s="34"/>
      <c r="AV366" s="16"/>
      <c r="AW366" s="16"/>
      <c r="AX366" s="17"/>
      <c r="AY366" s="18">
        <f t="shared" si="1373"/>
        <v>0</v>
      </c>
      <c r="AZ366" s="34"/>
      <c r="BA366" s="16"/>
      <c r="BB366" s="16"/>
      <c r="BC366" s="17"/>
      <c r="BD366" s="18">
        <f t="shared" si="1374"/>
        <v>0</v>
      </c>
      <c r="BE366" s="34"/>
      <c r="BF366" s="16"/>
      <c r="BG366" s="16"/>
      <c r="BH366" s="17"/>
      <c r="BI366" s="18">
        <f t="shared" si="1375"/>
        <v>0</v>
      </c>
      <c r="BJ366" s="34"/>
      <c r="BK366" s="16"/>
      <c r="BL366" s="16"/>
      <c r="BM366" s="17"/>
      <c r="BN366" s="18">
        <f t="shared" si="1376"/>
        <v>0</v>
      </c>
      <c r="BO366" s="70">
        <f t="shared" si="1356"/>
        <v>3280</v>
      </c>
      <c r="BP366" s="16">
        <f t="shared" si="1357"/>
        <v>0</v>
      </c>
      <c r="BQ366" s="16">
        <f t="shared" si="1358"/>
        <v>0</v>
      </c>
      <c r="BR366" s="17">
        <f t="shared" si="1359"/>
        <v>0</v>
      </c>
      <c r="BS366" s="35">
        <f t="shared" si="1378"/>
        <v>3280</v>
      </c>
    </row>
    <row r="367" spans="2:71" x14ac:dyDescent="0.3">
      <c r="B367" s="254"/>
      <c r="C367" s="204"/>
      <c r="D367" s="200"/>
      <c r="E367" s="201"/>
      <c r="F367" s="123" t="s">
        <v>252</v>
      </c>
      <c r="G367" s="34"/>
      <c r="H367" s="16"/>
      <c r="I367" s="16"/>
      <c r="J367" s="17"/>
      <c r="K367" s="18">
        <f t="shared" ref="K367:K375" si="1379">SUM(G367:J367)</f>
        <v>0</v>
      </c>
      <c r="L367" s="34">
        <v>3</v>
      </c>
      <c r="M367" s="16"/>
      <c r="N367" s="16"/>
      <c r="O367" s="17"/>
      <c r="P367" s="18">
        <f t="shared" si="1294"/>
        <v>3</v>
      </c>
      <c r="Q367" s="34">
        <v>282</v>
      </c>
      <c r="R367" s="16"/>
      <c r="S367" s="16"/>
      <c r="T367" s="17"/>
      <c r="U367" s="18">
        <f t="shared" si="1295"/>
        <v>282</v>
      </c>
      <c r="V367" s="34">
        <v>549</v>
      </c>
      <c r="W367" s="16"/>
      <c r="X367" s="16"/>
      <c r="Y367" s="17"/>
      <c r="Z367" s="18">
        <f t="shared" si="1296"/>
        <v>549</v>
      </c>
      <c r="AA367" s="34">
        <v>481</v>
      </c>
      <c r="AB367" s="16"/>
      <c r="AC367" s="16"/>
      <c r="AD367" s="17"/>
      <c r="AE367" s="18">
        <f t="shared" si="1297"/>
        <v>481</v>
      </c>
      <c r="AF367" s="34">
        <v>80</v>
      </c>
      <c r="AG367" s="16"/>
      <c r="AH367" s="16"/>
      <c r="AI367" s="17"/>
      <c r="AJ367" s="18">
        <f t="shared" si="1298"/>
        <v>80</v>
      </c>
      <c r="AK367" s="34">
        <v>26</v>
      </c>
      <c r="AL367" s="16"/>
      <c r="AM367" s="16"/>
      <c r="AN367" s="17"/>
      <c r="AO367" s="18">
        <f t="shared" si="1299"/>
        <v>26</v>
      </c>
      <c r="AP367" s="34">
        <v>24</v>
      </c>
      <c r="AQ367" s="16"/>
      <c r="AR367" s="16"/>
      <c r="AS367" s="17"/>
      <c r="AT367" s="18">
        <f t="shared" si="1300"/>
        <v>24</v>
      </c>
      <c r="AU367" s="34"/>
      <c r="AV367" s="16"/>
      <c r="AW367" s="16"/>
      <c r="AX367" s="17"/>
      <c r="AY367" s="18">
        <f t="shared" si="1301"/>
        <v>0</v>
      </c>
      <c r="AZ367" s="34"/>
      <c r="BA367" s="16"/>
      <c r="BB367" s="16"/>
      <c r="BC367" s="17"/>
      <c r="BD367" s="18">
        <f t="shared" si="1302"/>
        <v>0</v>
      </c>
      <c r="BE367" s="34"/>
      <c r="BF367" s="16"/>
      <c r="BG367" s="16"/>
      <c r="BH367" s="17"/>
      <c r="BI367" s="18">
        <f t="shared" si="1303"/>
        <v>0</v>
      </c>
      <c r="BJ367" s="34"/>
      <c r="BK367" s="16"/>
      <c r="BL367" s="16"/>
      <c r="BM367" s="17"/>
      <c r="BN367" s="18">
        <f t="shared" si="1304"/>
        <v>0</v>
      </c>
      <c r="BO367" s="70">
        <f t="shared" si="1356"/>
        <v>1445</v>
      </c>
      <c r="BP367" s="16">
        <f t="shared" si="1357"/>
        <v>0</v>
      </c>
      <c r="BQ367" s="16">
        <f t="shared" si="1358"/>
        <v>0</v>
      </c>
      <c r="BR367" s="17">
        <f t="shared" si="1359"/>
        <v>0</v>
      </c>
      <c r="BS367" s="35">
        <f t="shared" si="1363"/>
        <v>1445</v>
      </c>
    </row>
    <row r="368" spans="2:71" x14ac:dyDescent="0.3">
      <c r="B368" s="254"/>
      <c r="C368" s="204"/>
      <c r="D368" s="200"/>
      <c r="E368" s="201"/>
      <c r="F368" s="123" t="s">
        <v>307</v>
      </c>
      <c r="G368" s="34"/>
      <c r="H368" s="16"/>
      <c r="I368" s="16"/>
      <c r="J368" s="17"/>
      <c r="K368" s="18">
        <f t="shared" si="1379"/>
        <v>0</v>
      </c>
      <c r="L368" s="34"/>
      <c r="M368" s="16"/>
      <c r="N368" s="16"/>
      <c r="O368" s="17"/>
      <c r="P368" s="18">
        <f t="shared" si="1294"/>
        <v>0</v>
      </c>
      <c r="Q368" s="34"/>
      <c r="R368" s="16"/>
      <c r="S368" s="16"/>
      <c r="T368" s="17"/>
      <c r="U368" s="18">
        <f t="shared" si="1295"/>
        <v>0</v>
      </c>
      <c r="V368" s="34">
        <v>166</v>
      </c>
      <c r="W368" s="16"/>
      <c r="X368" s="16"/>
      <c r="Y368" s="17"/>
      <c r="Z368" s="18">
        <f t="shared" si="1296"/>
        <v>166</v>
      </c>
      <c r="AA368" s="34">
        <v>429</v>
      </c>
      <c r="AB368" s="16"/>
      <c r="AC368" s="16"/>
      <c r="AD368" s="17"/>
      <c r="AE368" s="18">
        <f t="shared" si="1297"/>
        <v>429</v>
      </c>
      <c r="AF368" s="34">
        <v>43</v>
      </c>
      <c r="AG368" s="16"/>
      <c r="AH368" s="16"/>
      <c r="AI368" s="17"/>
      <c r="AJ368" s="18">
        <f t="shared" si="1298"/>
        <v>43</v>
      </c>
      <c r="AK368" s="34"/>
      <c r="AL368" s="16"/>
      <c r="AM368" s="16"/>
      <c r="AN368" s="17"/>
      <c r="AO368" s="18">
        <f t="shared" si="1299"/>
        <v>0</v>
      </c>
      <c r="AP368" s="34"/>
      <c r="AQ368" s="16"/>
      <c r="AR368" s="16"/>
      <c r="AS368" s="17"/>
      <c r="AT368" s="18">
        <f t="shared" si="1300"/>
        <v>0</v>
      </c>
      <c r="AU368" s="34"/>
      <c r="AV368" s="16"/>
      <c r="AW368" s="16"/>
      <c r="AX368" s="17"/>
      <c r="AY368" s="18">
        <f t="shared" si="1301"/>
        <v>0</v>
      </c>
      <c r="AZ368" s="34"/>
      <c r="BA368" s="16"/>
      <c r="BB368" s="16"/>
      <c r="BC368" s="17"/>
      <c r="BD368" s="18">
        <f t="shared" si="1302"/>
        <v>0</v>
      </c>
      <c r="BE368" s="34"/>
      <c r="BF368" s="16"/>
      <c r="BG368" s="16"/>
      <c r="BH368" s="17"/>
      <c r="BI368" s="18">
        <f t="shared" si="1303"/>
        <v>0</v>
      </c>
      <c r="BJ368" s="34"/>
      <c r="BK368" s="16"/>
      <c r="BL368" s="16"/>
      <c r="BM368" s="17"/>
      <c r="BN368" s="18">
        <f t="shared" si="1304"/>
        <v>0</v>
      </c>
      <c r="BO368" s="70">
        <f t="shared" si="1356"/>
        <v>638</v>
      </c>
      <c r="BP368" s="16">
        <f t="shared" si="1357"/>
        <v>0</v>
      </c>
      <c r="BQ368" s="16">
        <f t="shared" si="1358"/>
        <v>0</v>
      </c>
      <c r="BR368" s="17">
        <f t="shared" si="1359"/>
        <v>0</v>
      </c>
      <c r="BS368" s="35">
        <f t="shared" si="1363"/>
        <v>638</v>
      </c>
    </row>
    <row r="369" spans="2:71" x14ac:dyDescent="0.3">
      <c r="B369" s="254"/>
      <c r="C369" s="204"/>
      <c r="D369" s="200"/>
      <c r="E369" s="201"/>
      <c r="F369" s="123" t="s">
        <v>308</v>
      </c>
      <c r="G369" s="34"/>
      <c r="H369" s="16"/>
      <c r="I369" s="16"/>
      <c r="J369" s="17"/>
      <c r="K369" s="18">
        <f t="shared" si="1379"/>
        <v>0</v>
      </c>
      <c r="L369" s="34"/>
      <c r="M369" s="16"/>
      <c r="N369" s="16"/>
      <c r="O369" s="17"/>
      <c r="P369" s="18">
        <f t="shared" si="1294"/>
        <v>0</v>
      </c>
      <c r="Q369" s="34"/>
      <c r="R369" s="16"/>
      <c r="S369" s="16"/>
      <c r="T369" s="17"/>
      <c r="U369" s="18">
        <f t="shared" si="1295"/>
        <v>0</v>
      </c>
      <c r="V369" s="34">
        <v>80</v>
      </c>
      <c r="W369" s="16"/>
      <c r="X369" s="16"/>
      <c r="Y369" s="17"/>
      <c r="Z369" s="18">
        <f t="shared" si="1296"/>
        <v>80</v>
      </c>
      <c r="AA369" s="34">
        <v>95</v>
      </c>
      <c r="AB369" s="16"/>
      <c r="AC369" s="16"/>
      <c r="AD369" s="17"/>
      <c r="AE369" s="18">
        <f t="shared" si="1297"/>
        <v>95</v>
      </c>
      <c r="AF369" s="34">
        <v>2</v>
      </c>
      <c r="AG369" s="16"/>
      <c r="AH369" s="16"/>
      <c r="AI369" s="17"/>
      <c r="AJ369" s="18">
        <f t="shared" si="1298"/>
        <v>2</v>
      </c>
      <c r="AK369" s="34"/>
      <c r="AL369" s="16"/>
      <c r="AM369" s="16"/>
      <c r="AN369" s="17"/>
      <c r="AO369" s="18">
        <f t="shared" si="1299"/>
        <v>0</v>
      </c>
      <c r="AP369" s="34"/>
      <c r="AQ369" s="16"/>
      <c r="AR369" s="16"/>
      <c r="AS369" s="17"/>
      <c r="AT369" s="18">
        <f t="shared" si="1300"/>
        <v>0</v>
      </c>
      <c r="AU369" s="34"/>
      <c r="AV369" s="16"/>
      <c r="AW369" s="16"/>
      <c r="AX369" s="17"/>
      <c r="AY369" s="18">
        <f t="shared" si="1301"/>
        <v>0</v>
      </c>
      <c r="AZ369" s="34"/>
      <c r="BA369" s="16"/>
      <c r="BB369" s="16"/>
      <c r="BC369" s="17"/>
      <c r="BD369" s="18">
        <f t="shared" si="1302"/>
        <v>0</v>
      </c>
      <c r="BE369" s="34"/>
      <c r="BF369" s="16"/>
      <c r="BG369" s="16"/>
      <c r="BH369" s="17"/>
      <c r="BI369" s="18">
        <f t="shared" si="1303"/>
        <v>0</v>
      </c>
      <c r="BJ369" s="34"/>
      <c r="BK369" s="16"/>
      <c r="BL369" s="16"/>
      <c r="BM369" s="17"/>
      <c r="BN369" s="18">
        <f t="shared" si="1304"/>
        <v>0</v>
      </c>
      <c r="BO369" s="70">
        <f t="shared" si="1356"/>
        <v>177</v>
      </c>
      <c r="BP369" s="16">
        <f t="shared" si="1357"/>
        <v>0</v>
      </c>
      <c r="BQ369" s="16">
        <f t="shared" si="1358"/>
        <v>0</v>
      </c>
      <c r="BR369" s="17">
        <f t="shared" si="1359"/>
        <v>0</v>
      </c>
      <c r="BS369" s="35">
        <f t="shared" si="1363"/>
        <v>177</v>
      </c>
    </row>
    <row r="370" spans="2:71" x14ac:dyDescent="0.3">
      <c r="B370" s="254"/>
      <c r="C370" s="204"/>
      <c r="D370" s="200"/>
      <c r="E370" s="201"/>
      <c r="F370" s="123" t="s">
        <v>309</v>
      </c>
      <c r="G370" s="34"/>
      <c r="H370" s="16"/>
      <c r="I370" s="16"/>
      <c r="J370" s="17"/>
      <c r="K370" s="18">
        <f t="shared" si="1379"/>
        <v>0</v>
      </c>
      <c r="L370" s="34"/>
      <c r="M370" s="16"/>
      <c r="N370" s="16"/>
      <c r="O370" s="17"/>
      <c r="P370" s="18">
        <f t="shared" si="1294"/>
        <v>0</v>
      </c>
      <c r="Q370" s="34"/>
      <c r="R370" s="16"/>
      <c r="S370" s="16"/>
      <c r="T370" s="17"/>
      <c r="U370" s="18">
        <f t="shared" si="1295"/>
        <v>0</v>
      </c>
      <c r="V370" s="34">
        <v>20</v>
      </c>
      <c r="W370" s="16"/>
      <c r="X370" s="16"/>
      <c r="Y370" s="17"/>
      <c r="Z370" s="18">
        <f t="shared" si="1296"/>
        <v>20</v>
      </c>
      <c r="AA370" s="34">
        <v>58</v>
      </c>
      <c r="AB370" s="16"/>
      <c r="AC370" s="16"/>
      <c r="AD370" s="17"/>
      <c r="AE370" s="18">
        <f t="shared" si="1297"/>
        <v>58</v>
      </c>
      <c r="AF370" s="34">
        <v>7</v>
      </c>
      <c r="AG370" s="16"/>
      <c r="AH370" s="16"/>
      <c r="AI370" s="17"/>
      <c r="AJ370" s="18">
        <f t="shared" si="1298"/>
        <v>7</v>
      </c>
      <c r="AK370" s="34"/>
      <c r="AL370" s="16"/>
      <c r="AM370" s="16"/>
      <c r="AN370" s="17"/>
      <c r="AO370" s="18">
        <f t="shared" si="1299"/>
        <v>0</v>
      </c>
      <c r="AP370" s="34"/>
      <c r="AQ370" s="16"/>
      <c r="AR370" s="16"/>
      <c r="AS370" s="17"/>
      <c r="AT370" s="18">
        <f t="shared" si="1300"/>
        <v>0</v>
      </c>
      <c r="AU370" s="34"/>
      <c r="AV370" s="16"/>
      <c r="AW370" s="16"/>
      <c r="AX370" s="17"/>
      <c r="AY370" s="18">
        <f t="shared" si="1301"/>
        <v>0</v>
      </c>
      <c r="AZ370" s="34"/>
      <c r="BA370" s="16"/>
      <c r="BB370" s="16"/>
      <c r="BC370" s="17"/>
      <c r="BD370" s="18">
        <f t="shared" si="1302"/>
        <v>0</v>
      </c>
      <c r="BE370" s="34"/>
      <c r="BF370" s="16"/>
      <c r="BG370" s="16"/>
      <c r="BH370" s="17"/>
      <c r="BI370" s="18">
        <f t="shared" si="1303"/>
        <v>0</v>
      </c>
      <c r="BJ370" s="34"/>
      <c r="BK370" s="16"/>
      <c r="BL370" s="16"/>
      <c r="BM370" s="17"/>
      <c r="BN370" s="18">
        <f t="shared" si="1304"/>
        <v>0</v>
      </c>
      <c r="BO370" s="70">
        <f t="shared" si="1356"/>
        <v>85</v>
      </c>
      <c r="BP370" s="16">
        <f t="shared" si="1357"/>
        <v>0</v>
      </c>
      <c r="BQ370" s="16">
        <f t="shared" si="1358"/>
        <v>0</v>
      </c>
      <c r="BR370" s="17">
        <f t="shared" si="1359"/>
        <v>0</v>
      </c>
      <c r="BS370" s="35">
        <f t="shared" si="1363"/>
        <v>85</v>
      </c>
    </row>
    <row r="371" spans="2:71" x14ac:dyDescent="0.3">
      <c r="B371" s="254"/>
      <c r="C371" s="204"/>
      <c r="D371" s="200"/>
      <c r="E371" s="201"/>
      <c r="F371" s="123" t="s">
        <v>310</v>
      </c>
      <c r="G371" s="34"/>
      <c r="H371" s="16"/>
      <c r="I371" s="16"/>
      <c r="J371" s="17"/>
      <c r="K371" s="18">
        <f t="shared" ref="K371" si="1380">SUM(G371:J371)</f>
        <v>0</v>
      </c>
      <c r="L371" s="34"/>
      <c r="M371" s="16"/>
      <c r="N371" s="16"/>
      <c r="O371" s="17"/>
      <c r="P371" s="18">
        <f t="shared" ref="P371" si="1381">SUM(L371:O371)</f>
        <v>0</v>
      </c>
      <c r="Q371" s="34"/>
      <c r="R371" s="16"/>
      <c r="S371" s="16"/>
      <c r="T371" s="17"/>
      <c r="U371" s="18">
        <f t="shared" ref="U371" si="1382">SUM(Q371:T371)</f>
        <v>0</v>
      </c>
      <c r="V371" s="34">
        <v>26</v>
      </c>
      <c r="W371" s="16"/>
      <c r="X371" s="16"/>
      <c r="Y371" s="17"/>
      <c r="Z371" s="18">
        <f t="shared" ref="Z371" si="1383">SUM(V371:Y371)</f>
        <v>26</v>
      </c>
      <c r="AA371" s="34">
        <v>15</v>
      </c>
      <c r="AB371" s="16"/>
      <c r="AC371" s="16"/>
      <c r="AD371" s="17"/>
      <c r="AE371" s="18">
        <f t="shared" ref="AE371" si="1384">SUM(AA371:AD371)</f>
        <v>15</v>
      </c>
      <c r="AF371" s="34"/>
      <c r="AG371" s="16"/>
      <c r="AH371" s="16"/>
      <c r="AI371" s="17"/>
      <c r="AJ371" s="18">
        <f t="shared" ref="AJ371" si="1385">SUM(AF371:AI371)</f>
        <v>0</v>
      </c>
      <c r="AK371" s="34"/>
      <c r="AL371" s="16"/>
      <c r="AM371" s="16"/>
      <c r="AN371" s="17"/>
      <c r="AO371" s="18">
        <f t="shared" ref="AO371" si="1386">SUM(AK371:AN371)</f>
        <v>0</v>
      </c>
      <c r="AP371" s="34"/>
      <c r="AQ371" s="16"/>
      <c r="AR371" s="16"/>
      <c r="AS371" s="17"/>
      <c r="AT371" s="18">
        <f t="shared" ref="AT371" si="1387">SUM(AP371:AS371)</f>
        <v>0</v>
      </c>
      <c r="AU371" s="34"/>
      <c r="AV371" s="16"/>
      <c r="AW371" s="16"/>
      <c r="AX371" s="17"/>
      <c r="AY371" s="18">
        <f t="shared" ref="AY371" si="1388">SUM(AU371:AX371)</f>
        <v>0</v>
      </c>
      <c r="AZ371" s="34"/>
      <c r="BA371" s="16"/>
      <c r="BB371" s="16"/>
      <c r="BC371" s="17"/>
      <c r="BD371" s="18">
        <f t="shared" ref="BD371" si="1389">SUM(AZ371:BC371)</f>
        <v>0</v>
      </c>
      <c r="BE371" s="34"/>
      <c r="BF371" s="16"/>
      <c r="BG371" s="16"/>
      <c r="BH371" s="17"/>
      <c r="BI371" s="18">
        <f t="shared" ref="BI371" si="1390">SUM(BE371:BH371)</f>
        <v>0</v>
      </c>
      <c r="BJ371" s="34"/>
      <c r="BK371" s="16"/>
      <c r="BL371" s="16"/>
      <c r="BM371" s="17"/>
      <c r="BN371" s="18">
        <f t="shared" ref="BN371" si="1391">SUM(BJ371:BM371)</f>
        <v>0</v>
      </c>
      <c r="BO371" s="70">
        <f t="shared" si="1356"/>
        <v>41</v>
      </c>
      <c r="BP371" s="16">
        <f t="shared" si="1357"/>
        <v>0</v>
      </c>
      <c r="BQ371" s="16">
        <f t="shared" si="1358"/>
        <v>0</v>
      </c>
      <c r="BR371" s="17">
        <f t="shared" si="1359"/>
        <v>0</v>
      </c>
      <c r="BS371" s="35">
        <f t="shared" ref="BS371" si="1392">SUM(BO371:BR371)</f>
        <v>41</v>
      </c>
    </row>
    <row r="372" spans="2:71" x14ac:dyDescent="0.3">
      <c r="B372" s="254"/>
      <c r="C372" s="204"/>
      <c r="D372" s="200"/>
      <c r="E372" s="201"/>
      <c r="F372" s="123" t="s">
        <v>271</v>
      </c>
      <c r="G372" s="34"/>
      <c r="H372" s="16"/>
      <c r="I372" s="16"/>
      <c r="J372" s="17"/>
      <c r="K372" s="18">
        <f t="shared" si="1379"/>
        <v>0</v>
      </c>
      <c r="L372" s="34"/>
      <c r="M372" s="16"/>
      <c r="N372" s="16"/>
      <c r="O372" s="17"/>
      <c r="P372" s="18">
        <f t="shared" si="1294"/>
        <v>0</v>
      </c>
      <c r="Q372" s="34">
        <v>106</v>
      </c>
      <c r="R372" s="16"/>
      <c r="S372" s="16"/>
      <c r="T372" s="17"/>
      <c r="U372" s="18">
        <f t="shared" si="1295"/>
        <v>106</v>
      </c>
      <c r="V372" s="34">
        <v>2906</v>
      </c>
      <c r="W372" s="16"/>
      <c r="X372" s="16"/>
      <c r="Y372" s="17"/>
      <c r="Z372" s="18">
        <f t="shared" si="1296"/>
        <v>2906</v>
      </c>
      <c r="AA372" s="34">
        <v>657</v>
      </c>
      <c r="AB372" s="16"/>
      <c r="AC372" s="16"/>
      <c r="AD372" s="17"/>
      <c r="AE372" s="18">
        <f t="shared" si="1297"/>
        <v>657</v>
      </c>
      <c r="AF372" s="34"/>
      <c r="AG372" s="16"/>
      <c r="AH372" s="16"/>
      <c r="AI372" s="17"/>
      <c r="AJ372" s="18">
        <f t="shared" si="1298"/>
        <v>0</v>
      </c>
      <c r="AK372" s="34">
        <v>391</v>
      </c>
      <c r="AL372" s="16"/>
      <c r="AM372" s="16"/>
      <c r="AN372" s="17"/>
      <c r="AO372" s="18">
        <f t="shared" si="1299"/>
        <v>391</v>
      </c>
      <c r="AP372" s="34"/>
      <c r="AQ372" s="16"/>
      <c r="AR372" s="16"/>
      <c r="AS372" s="17"/>
      <c r="AT372" s="18">
        <f t="shared" si="1300"/>
        <v>0</v>
      </c>
      <c r="AU372" s="34">
        <v>1862</v>
      </c>
      <c r="AV372" s="16"/>
      <c r="AW372" s="16"/>
      <c r="AX372" s="17"/>
      <c r="AY372" s="18">
        <f t="shared" si="1301"/>
        <v>1862</v>
      </c>
      <c r="AZ372" s="34"/>
      <c r="BA372" s="16"/>
      <c r="BB372" s="16"/>
      <c r="BC372" s="17"/>
      <c r="BD372" s="18">
        <f t="shared" si="1302"/>
        <v>0</v>
      </c>
      <c r="BE372" s="34"/>
      <c r="BF372" s="16"/>
      <c r="BG372" s="16"/>
      <c r="BH372" s="17"/>
      <c r="BI372" s="18">
        <f t="shared" si="1303"/>
        <v>0</v>
      </c>
      <c r="BJ372" s="34"/>
      <c r="BK372" s="16"/>
      <c r="BL372" s="16"/>
      <c r="BM372" s="17"/>
      <c r="BN372" s="18">
        <f t="shared" si="1304"/>
        <v>0</v>
      </c>
      <c r="BO372" s="70">
        <f t="shared" si="1356"/>
        <v>5922</v>
      </c>
      <c r="BP372" s="16">
        <f t="shared" si="1357"/>
        <v>0</v>
      </c>
      <c r="BQ372" s="16">
        <f t="shared" si="1358"/>
        <v>0</v>
      </c>
      <c r="BR372" s="17">
        <f t="shared" si="1359"/>
        <v>0</v>
      </c>
      <c r="BS372" s="35">
        <f t="shared" si="1363"/>
        <v>5922</v>
      </c>
    </row>
    <row r="373" spans="2:71" x14ac:dyDescent="0.3">
      <c r="B373" s="254"/>
      <c r="C373" s="204"/>
      <c r="D373" s="200"/>
      <c r="E373" s="201"/>
      <c r="F373" s="123" t="s">
        <v>337</v>
      </c>
      <c r="G373" s="34"/>
      <c r="H373" s="16"/>
      <c r="I373" s="16"/>
      <c r="J373" s="17"/>
      <c r="K373" s="18">
        <f t="shared" si="1379"/>
        <v>0</v>
      </c>
      <c r="L373" s="34"/>
      <c r="M373" s="16"/>
      <c r="N373" s="16"/>
      <c r="O373" s="17"/>
      <c r="P373" s="18">
        <f t="shared" si="1294"/>
        <v>0</v>
      </c>
      <c r="Q373" s="34"/>
      <c r="R373" s="16"/>
      <c r="S373" s="16"/>
      <c r="T373" s="17"/>
      <c r="U373" s="18">
        <f t="shared" si="1295"/>
        <v>0</v>
      </c>
      <c r="V373" s="34"/>
      <c r="W373" s="16"/>
      <c r="X373" s="16"/>
      <c r="Y373" s="17"/>
      <c r="Z373" s="18">
        <f t="shared" si="1296"/>
        <v>0</v>
      </c>
      <c r="AA373" s="34">
        <v>4</v>
      </c>
      <c r="AB373" s="16"/>
      <c r="AC373" s="16"/>
      <c r="AD373" s="17"/>
      <c r="AE373" s="18">
        <f t="shared" si="1297"/>
        <v>4</v>
      </c>
      <c r="AF373" s="34">
        <v>813</v>
      </c>
      <c r="AG373" s="16"/>
      <c r="AH373" s="16"/>
      <c r="AI373" s="17"/>
      <c r="AJ373" s="18">
        <f t="shared" si="1298"/>
        <v>813</v>
      </c>
      <c r="AK373" s="34">
        <v>472</v>
      </c>
      <c r="AL373" s="16"/>
      <c r="AM373" s="16"/>
      <c r="AN373" s="17"/>
      <c r="AO373" s="18">
        <f t="shared" si="1299"/>
        <v>472</v>
      </c>
      <c r="AP373" s="34">
        <v>765</v>
      </c>
      <c r="AQ373" s="16"/>
      <c r="AR373" s="16"/>
      <c r="AS373" s="17"/>
      <c r="AT373" s="18">
        <f t="shared" si="1300"/>
        <v>765</v>
      </c>
      <c r="AU373" s="34">
        <v>131</v>
      </c>
      <c r="AV373" s="16"/>
      <c r="AW373" s="16"/>
      <c r="AX373" s="17"/>
      <c r="AY373" s="18">
        <f t="shared" si="1301"/>
        <v>131</v>
      </c>
      <c r="AZ373" s="34">
        <v>221</v>
      </c>
      <c r="BA373" s="16"/>
      <c r="BB373" s="16"/>
      <c r="BC373" s="17"/>
      <c r="BD373" s="18">
        <f t="shared" si="1302"/>
        <v>221</v>
      </c>
      <c r="BE373" s="34">
        <v>58</v>
      </c>
      <c r="BF373" s="16"/>
      <c r="BG373" s="16"/>
      <c r="BH373" s="17"/>
      <c r="BI373" s="18">
        <f t="shared" si="1303"/>
        <v>58</v>
      </c>
      <c r="BJ373" s="34"/>
      <c r="BK373" s="16"/>
      <c r="BL373" s="16"/>
      <c r="BM373" s="17"/>
      <c r="BN373" s="18">
        <f t="shared" si="1304"/>
        <v>0</v>
      </c>
      <c r="BO373" s="70">
        <f t="shared" si="1356"/>
        <v>2464</v>
      </c>
      <c r="BP373" s="16">
        <f t="shared" si="1357"/>
        <v>0</v>
      </c>
      <c r="BQ373" s="16">
        <f t="shared" si="1358"/>
        <v>0</v>
      </c>
      <c r="BR373" s="17">
        <f t="shared" si="1359"/>
        <v>0</v>
      </c>
      <c r="BS373" s="35">
        <f t="shared" si="1363"/>
        <v>2464</v>
      </c>
    </row>
    <row r="374" spans="2:71" x14ac:dyDescent="0.3">
      <c r="B374" s="254"/>
      <c r="C374" s="204"/>
      <c r="D374" s="200"/>
      <c r="E374" s="201"/>
      <c r="F374" s="123" t="s">
        <v>338</v>
      </c>
      <c r="G374" s="34"/>
      <c r="H374" s="16"/>
      <c r="I374" s="16"/>
      <c r="J374" s="17"/>
      <c r="K374" s="18">
        <f t="shared" si="1379"/>
        <v>0</v>
      </c>
      <c r="L374" s="34"/>
      <c r="M374" s="16"/>
      <c r="N374" s="16"/>
      <c r="O374" s="17"/>
      <c r="P374" s="18">
        <f t="shared" si="1294"/>
        <v>0</v>
      </c>
      <c r="Q374" s="34"/>
      <c r="R374" s="16"/>
      <c r="S374" s="16"/>
      <c r="T374" s="17"/>
      <c r="U374" s="18">
        <f t="shared" si="1295"/>
        <v>0</v>
      </c>
      <c r="V374" s="34"/>
      <c r="W374" s="16"/>
      <c r="X374" s="16"/>
      <c r="Y374" s="17"/>
      <c r="Z374" s="18">
        <f t="shared" si="1296"/>
        <v>0</v>
      </c>
      <c r="AA374" s="34">
        <v>5</v>
      </c>
      <c r="AB374" s="16"/>
      <c r="AC374" s="16"/>
      <c r="AD374" s="17"/>
      <c r="AE374" s="18">
        <f t="shared" si="1297"/>
        <v>5</v>
      </c>
      <c r="AF374" s="34">
        <v>449</v>
      </c>
      <c r="AG374" s="16"/>
      <c r="AH374" s="16"/>
      <c r="AI374" s="17"/>
      <c r="AJ374" s="18">
        <f t="shared" si="1298"/>
        <v>449</v>
      </c>
      <c r="AK374" s="34">
        <v>315</v>
      </c>
      <c r="AL374" s="16"/>
      <c r="AM374" s="16"/>
      <c r="AN374" s="17"/>
      <c r="AO374" s="18">
        <f t="shared" si="1299"/>
        <v>315</v>
      </c>
      <c r="AP374" s="34">
        <v>452</v>
      </c>
      <c r="AQ374" s="16"/>
      <c r="AR374" s="16"/>
      <c r="AS374" s="17"/>
      <c r="AT374" s="18">
        <f t="shared" si="1300"/>
        <v>452</v>
      </c>
      <c r="AU374" s="34">
        <v>17</v>
      </c>
      <c r="AV374" s="16"/>
      <c r="AW374" s="16"/>
      <c r="AX374" s="17"/>
      <c r="AY374" s="18">
        <f t="shared" si="1301"/>
        <v>17</v>
      </c>
      <c r="AZ374" s="34">
        <v>54</v>
      </c>
      <c r="BA374" s="16"/>
      <c r="BB374" s="16"/>
      <c r="BC374" s="17"/>
      <c r="BD374" s="18">
        <f t="shared" si="1302"/>
        <v>54</v>
      </c>
      <c r="BE374" s="34">
        <v>20</v>
      </c>
      <c r="BF374" s="16"/>
      <c r="BG374" s="16"/>
      <c r="BH374" s="17"/>
      <c r="BI374" s="18">
        <f t="shared" si="1303"/>
        <v>20</v>
      </c>
      <c r="BJ374" s="34"/>
      <c r="BK374" s="16"/>
      <c r="BL374" s="16"/>
      <c r="BM374" s="17"/>
      <c r="BN374" s="18">
        <f t="shared" si="1304"/>
        <v>0</v>
      </c>
      <c r="BO374" s="70">
        <f t="shared" si="1356"/>
        <v>1312</v>
      </c>
      <c r="BP374" s="16">
        <f t="shared" si="1357"/>
        <v>0</v>
      </c>
      <c r="BQ374" s="16">
        <f t="shared" si="1358"/>
        <v>0</v>
      </c>
      <c r="BR374" s="17">
        <f t="shared" si="1359"/>
        <v>0</v>
      </c>
      <c r="BS374" s="35">
        <f t="shared" si="1363"/>
        <v>1312</v>
      </c>
    </row>
    <row r="375" spans="2:71" x14ac:dyDescent="0.3">
      <c r="B375" s="254"/>
      <c r="C375" s="204"/>
      <c r="D375" s="200"/>
      <c r="E375" s="201"/>
      <c r="F375" s="123" t="s">
        <v>339</v>
      </c>
      <c r="G375" s="34"/>
      <c r="H375" s="16"/>
      <c r="I375" s="16"/>
      <c r="J375" s="17"/>
      <c r="K375" s="18">
        <f t="shared" si="1379"/>
        <v>0</v>
      </c>
      <c r="L375" s="34"/>
      <c r="M375" s="16"/>
      <c r="N375" s="16"/>
      <c r="O375" s="17"/>
      <c r="P375" s="18">
        <f t="shared" si="1294"/>
        <v>0</v>
      </c>
      <c r="Q375" s="34"/>
      <c r="R375" s="16"/>
      <c r="S375" s="16"/>
      <c r="T375" s="17"/>
      <c r="U375" s="18">
        <f t="shared" si="1295"/>
        <v>0</v>
      </c>
      <c r="V375" s="34"/>
      <c r="W375" s="16"/>
      <c r="X375" s="16"/>
      <c r="Y375" s="17"/>
      <c r="Z375" s="18">
        <f t="shared" si="1296"/>
        <v>0</v>
      </c>
      <c r="AA375" s="34">
        <v>4</v>
      </c>
      <c r="AB375" s="16"/>
      <c r="AC375" s="16"/>
      <c r="AD375" s="17"/>
      <c r="AE375" s="18">
        <f t="shared" si="1297"/>
        <v>4</v>
      </c>
      <c r="AF375" s="34">
        <v>929</v>
      </c>
      <c r="AG375" s="16"/>
      <c r="AH375" s="16"/>
      <c r="AI375" s="17"/>
      <c r="AJ375" s="18">
        <f t="shared" si="1298"/>
        <v>929</v>
      </c>
      <c r="AK375" s="34">
        <v>448</v>
      </c>
      <c r="AL375" s="16"/>
      <c r="AM375" s="16"/>
      <c r="AN375" s="17"/>
      <c r="AO375" s="18">
        <f t="shared" si="1299"/>
        <v>448</v>
      </c>
      <c r="AP375" s="34">
        <v>913</v>
      </c>
      <c r="AQ375" s="16"/>
      <c r="AR375" s="16"/>
      <c r="AS375" s="17"/>
      <c r="AT375" s="18">
        <f t="shared" si="1300"/>
        <v>913</v>
      </c>
      <c r="AU375" s="34">
        <v>142</v>
      </c>
      <c r="AV375" s="16"/>
      <c r="AW375" s="16"/>
      <c r="AX375" s="17"/>
      <c r="AY375" s="18">
        <f t="shared" si="1301"/>
        <v>142</v>
      </c>
      <c r="AZ375" s="34">
        <v>57</v>
      </c>
      <c r="BA375" s="16"/>
      <c r="BB375" s="16"/>
      <c r="BC375" s="17"/>
      <c r="BD375" s="18">
        <f t="shared" si="1302"/>
        <v>57</v>
      </c>
      <c r="BE375" s="34">
        <v>19</v>
      </c>
      <c r="BF375" s="16"/>
      <c r="BG375" s="16"/>
      <c r="BH375" s="17"/>
      <c r="BI375" s="18">
        <f t="shared" si="1303"/>
        <v>19</v>
      </c>
      <c r="BJ375" s="34"/>
      <c r="BK375" s="16"/>
      <c r="BL375" s="16"/>
      <c r="BM375" s="17"/>
      <c r="BN375" s="18">
        <f t="shared" si="1304"/>
        <v>0</v>
      </c>
      <c r="BO375" s="70">
        <f t="shared" si="1356"/>
        <v>2512</v>
      </c>
      <c r="BP375" s="16">
        <f t="shared" si="1357"/>
        <v>0</v>
      </c>
      <c r="BQ375" s="16">
        <f t="shared" si="1358"/>
        <v>0</v>
      </c>
      <c r="BR375" s="17">
        <f t="shared" si="1359"/>
        <v>0</v>
      </c>
      <c r="BS375" s="35">
        <f t="shared" si="1363"/>
        <v>2512</v>
      </c>
    </row>
    <row r="376" spans="2:71" x14ac:dyDescent="0.3">
      <c r="B376" s="254"/>
      <c r="C376" s="204"/>
      <c r="D376" s="200"/>
      <c r="E376" s="201"/>
      <c r="F376" s="123" t="s">
        <v>373</v>
      </c>
      <c r="G376" s="34"/>
      <c r="H376" s="16"/>
      <c r="I376" s="16"/>
      <c r="J376" s="17"/>
      <c r="K376" s="18">
        <f t="shared" ref="K376:K387" si="1393">SUM(G376:J376)</f>
        <v>0</v>
      </c>
      <c r="L376" s="34"/>
      <c r="M376" s="16"/>
      <c r="N376" s="16"/>
      <c r="O376" s="17"/>
      <c r="P376" s="18">
        <f t="shared" ref="P376:P387" si="1394">SUM(L376:O376)</f>
        <v>0</v>
      </c>
      <c r="Q376" s="34"/>
      <c r="R376" s="16"/>
      <c r="S376" s="16"/>
      <c r="T376" s="17"/>
      <c r="U376" s="18">
        <f t="shared" ref="U376:U387" si="1395">SUM(Q376:T376)</f>
        <v>0</v>
      </c>
      <c r="V376" s="34"/>
      <c r="W376" s="16"/>
      <c r="X376" s="16"/>
      <c r="Y376" s="17"/>
      <c r="Z376" s="18">
        <f t="shared" ref="Z376:Z387" si="1396">SUM(V376:Y376)</f>
        <v>0</v>
      </c>
      <c r="AA376" s="34">
        <v>1</v>
      </c>
      <c r="AB376" s="16"/>
      <c r="AC376" s="16"/>
      <c r="AD376" s="17"/>
      <c r="AE376" s="18">
        <f t="shared" ref="AE376:AE387" si="1397">SUM(AA376:AD376)</f>
        <v>1</v>
      </c>
      <c r="AF376" s="34">
        <v>284</v>
      </c>
      <c r="AG376" s="16"/>
      <c r="AH376" s="16"/>
      <c r="AI376" s="17"/>
      <c r="AJ376" s="18">
        <f t="shared" ref="AJ376:AJ387" si="1398">SUM(AF376:AI376)</f>
        <v>284</v>
      </c>
      <c r="AK376" s="34">
        <v>206</v>
      </c>
      <c r="AL376" s="16"/>
      <c r="AM376" s="16"/>
      <c r="AN376" s="17"/>
      <c r="AO376" s="18">
        <f t="shared" ref="AO376:AO387" si="1399">SUM(AK376:AN376)</f>
        <v>206</v>
      </c>
      <c r="AP376" s="34">
        <v>417</v>
      </c>
      <c r="AQ376" s="16"/>
      <c r="AR376" s="16"/>
      <c r="AS376" s="17"/>
      <c r="AT376" s="18">
        <f t="shared" ref="AT376:AT387" si="1400">SUM(AP376:AS376)</f>
        <v>417</v>
      </c>
      <c r="AU376" s="34">
        <v>28</v>
      </c>
      <c r="AV376" s="16"/>
      <c r="AW376" s="16"/>
      <c r="AX376" s="17"/>
      <c r="AY376" s="18">
        <f t="shared" ref="AY376:AY387" si="1401">SUM(AU376:AX376)</f>
        <v>28</v>
      </c>
      <c r="AZ376" s="34">
        <v>13</v>
      </c>
      <c r="BA376" s="16"/>
      <c r="BB376" s="16"/>
      <c r="BC376" s="17"/>
      <c r="BD376" s="18">
        <f t="shared" ref="BD376:BD387" si="1402">SUM(AZ376:BC376)</f>
        <v>13</v>
      </c>
      <c r="BE376" s="34"/>
      <c r="BF376" s="16"/>
      <c r="BG376" s="16"/>
      <c r="BH376" s="17"/>
      <c r="BI376" s="18">
        <f t="shared" ref="BI376:BI387" si="1403">SUM(BE376:BH376)</f>
        <v>0</v>
      </c>
      <c r="BJ376" s="34"/>
      <c r="BK376" s="16"/>
      <c r="BL376" s="16"/>
      <c r="BM376" s="17"/>
      <c r="BN376" s="18">
        <f t="shared" ref="BN376:BN387" si="1404">SUM(BJ376:BM376)</f>
        <v>0</v>
      </c>
      <c r="BO376" s="70">
        <f t="shared" si="1356"/>
        <v>949</v>
      </c>
      <c r="BP376" s="16">
        <f t="shared" si="1357"/>
        <v>0</v>
      </c>
      <c r="BQ376" s="16">
        <f t="shared" si="1358"/>
        <v>0</v>
      </c>
      <c r="BR376" s="17">
        <f t="shared" si="1359"/>
        <v>0</v>
      </c>
      <c r="BS376" s="35">
        <f t="shared" ref="BS376:BS387" si="1405">SUM(BO376:BR376)</f>
        <v>949</v>
      </c>
    </row>
    <row r="377" spans="2:71" x14ac:dyDescent="0.3">
      <c r="B377" s="254"/>
      <c r="C377" s="204"/>
      <c r="D377" s="200"/>
      <c r="E377" s="201"/>
      <c r="F377" s="123" t="s">
        <v>340</v>
      </c>
      <c r="G377" s="34"/>
      <c r="H377" s="16"/>
      <c r="I377" s="16"/>
      <c r="J377" s="17"/>
      <c r="K377" s="18">
        <f t="shared" ref="K377" si="1406">SUM(G377:J377)</f>
        <v>0</v>
      </c>
      <c r="L377" s="34"/>
      <c r="M377" s="16"/>
      <c r="N377" s="16"/>
      <c r="O377" s="17"/>
      <c r="P377" s="18">
        <f t="shared" ref="P377" si="1407">SUM(L377:O377)</f>
        <v>0</v>
      </c>
      <c r="Q377" s="34"/>
      <c r="R377" s="16"/>
      <c r="S377" s="16"/>
      <c r="T377" s="17"/>
      <c r="U377" s="18">
        <f t="shared" ref="U377" si="1408">SUM(Q377:T377)</f>
        <v>0</v>
      </c>
      <c r="V377" s="34"/>
      <c r="W377" s="16"/>
      <c r="X377" s="16"/>
      <c r="Y377" s="17"/>
      <c r="Z377" s="18">
        <f t="shared" ref="Z377" si="1409">SUM(V377:Y377)</f>
        <v>0</v>
      </c>
      <c r="AA377" s="34">
        <v>2</v>
      </c>
      <c r="AB377" s="16"/>
      <c r="AC377" s="16"/>
      <c r="AD377" s="17"/>
      <c r="AE377" s="18">
        <f t="shared" ref="AE377" si="1410">SUM(AA377:AD377)</f>
        <v>2</v>
      </c>
      <c r="AF377" s="34">
        <v>4723</v>
      </c>
      <c r="AG377" s="16"/>
      <c r="AH377" s="16"/>
      <c r="AI377" s="17"/>
      <c r="AJ377" s="18">
        <f t="shared" ref="AJ377" si="1411">SUM(AF377:AI377)</f>
        <v>4723</v>
      </c>
      <c r="AK377" s="34">
        <v>1301</v>
      </c>
      <c r="AL377" s="16"/>
      <c r="AM377" s="16"/>
      <c r="AN377" s="17"/>
      <c r="AO377" s="18">
        <f t="shared" ref="AO377" si="1412">SUM(AK377:AN377)</f>
        <v>1301</v>
      </c>
      <c r="AP377" s="34"/>
      <c r="AQ377" s="16"/>
      <c r="AR377" s="16"/>
      <c r="AS377" s="17"/>
      <c r="AT377" s="18">
        <f t="shared" ref="AT377" si="1413">SUM(AP377:AS377)</f>
        <v>0</v>
      </c>
      <c r="AU377" s="34"/>
      <c r="AV377" s="16"/>
      <c r="AW377" s="16"/>
      <c r="AX377" s="17"/>
      <c r="AY377" s="18">
        <f t="shared" ref="AY377" si="1414">SUM(AU377:AX377)</f>
        <v>0</v>
      </c>
      <c r="AZ377" s="34"/>
      <c r="BA377" s="16"/>
      <c r="BB377" s="16"/>
      <c r="BC377" s="17"/>
      <c r="BD377" s="18">
        <f t="shared" ref="BD377" si="1415">SUM(AZ377:BC377)</f>
        <v>0</v>
      </c>
      <c r="BE377" s="34"/>
      <c r="BF377" s="16"/>
      <c r="BG377" s="16"/>
      <c r="BH377" s="17"/>
      <c r="BI377" s="18">
        <f t="shared" ref="BI377" si="1416">SUM(BE377:BH377)</f>
        <v>0</v>
      </c>
      <c r="BJ377" s="34"/>
      <c r="BK377" s="16"/>
      <c r="BL377" s="16"/>
      <c r="BM377" s="17"/>
      <c r="BN377" s="18">
        <f t="shared" ref="BN377" si="1417">SUM(BJ377:BM377)</f>
        <v>0</v>
      </c>
      <c r="BO377" s="70">
        <f t="shared" si="1356"/>
        <v>6026</v>
      </c>
      <c r="BP377" s="16">
        <f t="shared" si="1357"/>
        <v>0</v>
      </c>
      <c r="BQ377" s="16">
        <f t="shared" si="1358"/>
        <v>0</v>
      </c>
      <c r="BR377" s="17">
        <f t="shared" si="1359"/>
        <v>0</v>
      </c>
      <c r="BS377" s="35">
        <f t="shared" ref="BS377" si="1418">SUM(BO377:BR377)</f>
        <v>6026</v>
      </c>
    </row>
    <row r="378" spans="2:71" x14ac:dyDescent="0.3">
      <c r="B378" s="254"/>
      <c r="C378" s="204"/>
      <c r="D378" s="200"/>
      <c r="E378" s="201"/>
      <c r="F378" s="123" t="s">
        <v>393</v>
      </c>
      <c r="G378" s="34"/>
      <c r="H378" s="16"/>
      <c r="I378" s="16"/>
      <c r="J378" s="17"/>
      <c r="K378" s="18">
        <f t="shared" si="1393"/>
        <v>0</v>
      </c>
      <c r="L378" s="34"/>
      <c r="M378" s="16"/>
      <c r="N378" s="16"/>
      <c r="O378" s="17"/>
      <c r="P378" s="18">
        <f t="shared" si="1394"/>
        <v>0</v>
      </c>
      <c r="Q378" s="34"/>
      <c r="R378" s="16"/>
      <c r="S378" s="16"/>
      <c r="T378" s="17"/>
      <c r="U378" s="18">
        <f t="shared" si="1395"/>
        <v>0</v>
      </c>
      <c r="V378" s="34"/>
      <c r="W378" s="16"/>
      <c r="X378" s="16"/>
      <c r="Y378" s="17"/>
      <c r="Z378" s="18">
        <f t="shared" si="1396"/>
        <v>0</v>
      </c>
      <c r="AA378" s="34"/>
      <c r="AB378" s="16"/>
      <c r="AC378" s="16"/>
      <c r="AD378" s="17"/>
      <c r="AE378" s="18">
        <f t="shared" si="1397"/>
        <v>0</v>
      </c>
      <c r="AF378" s="34"/>
      <c r="AG378" s="16"/>
      <c r="AH378" s="16"/>
      <c r="AI378" s="17"/>
      <c r="AJ378" s="18">
        <f t="shared" si="1398"/>
        <v>0</v>
      </c>
      <c r="AK378" s="34"/>
      <c r="AL378" s="16"/>
      <c r="AM378" s="16"/>
      <c r="AN378" s="17"/>
      <c r="AO378" s="18">
        <f t="shared" si="1399"/>
        <v>0</v>
      </c>
      <c r="AP378" s="34"/>
      <c r="AQ378" s="16"/>
      <c r="AR378" s="16"/>
      <c r="AS378" s="17"/>
      <c r="AT378" s="18">
        <f t="shared" si="1400"/>
        <v>0</v>
      </c>
      <c r="AU378" s="194">
        <v>410</v>
      </c>
      <c r="AV378" s="16"/>
      <c r="AW378" s="16"/>
      <c r="AX378" s="17"/>
      <c r="AY378" s="18">
        <f t="shared" si="1401"/>
        <v>410</v>
      </c>
      <c r="AZ378" s="34">
        <v>899</v>
      </c>
      <c r="BA378" s="16"/>
      <c r="BB378" s="16"/>
      <c r="BC378" s="17"/>
      <c r="BD378" s="18">
        <f t="shared" si="1402"/>
        <v>899</v>
      </c>
      <c r="BE378" s="34">
        <v>2</v>
      </c>
      <c r="BF378" s="16"/>
      <c r="BG378" s="16"/>
      <c r="BH378" s="17"/>
      <c r="BI378" s="18">
        <f t="shared" si="1403"/>
        <v>2</v>
      </c>
      <c r="BJ378" s="34"/>
      <c r="BK378" s="16"/>
      <c r="BL378" s="16"/>
      <c r="BM378" s="17"/>
      <c r="BN378" s="18">
        <f t="shared" si="1404"/>
        <v>0</v>
      </c>
      <c r="BO378" s="70">
        <f t="shared" si="1356"/>
        <v>1311</v>
      </c>
      <c r="BP378" s="16">
        <f t="shared" si="1357"/>
        <v>0</v>
      </c>
      <c r="BQ378" s="16">
        <f t="shared" si="1358"/>
        <v>0</v>
      </c>
      <c r="BR378" s="17">
        <f t="shared" si="1359"/>
        <v>0</v>
      </c>
      <c r="BS378" s="35">
        <f t="shared" si="1405"/>
        <v>1311</v>
      </c>
    </row>
    <row r="379" spans="2:71" x14ac:dyDescent="0.3">
      <c r="B379" s="254"/>
      <c r="C379" s="204"/>
      <c r="D379" s="200"/>
      <c r="E379" s="201"/>
      <c r="F379" s="123" t="s">
        <v>356</v>
      </c>
      <c r="G379" s="34"/>
      <c r="H379" s="16"/>
      <c r="I379" s="16"/>
      <c r="J379" s="17"/>
      <c r="K379" s="18">
        <f t="shared" si="1393"/>
        <v>0</v>
      </c>
      <c r="L379" s="34"/>
      <c r="M379" s="16"/>
      <c r="N379" s="16"/>
      <c r="O379" s="17"/>
      <c r="P379" s="18">
        <f t="shared" si="1394"/>
        <v>0</v>
      </c>
      <c r="Q379" s="34"/>
      <c r="R379" s="16"/>
      <c r="S379" s="16"/>
      <c r="T379" s="17"/>
      <c r="U379" s="18">
        <f t="shared" si="1395"/>
        <v>0</v>
      </c>
      <c r="V379" s="34"/>
      <c r="W379" s="16"/>
      <c r="X379" s="16"/>
      <c r="Y379" s="17"/>
      <c r="Z379" s="18">
        <f t="shared" si="1396"/>
        <v>0</v>
      </c>
      <c r="AA379" s="34"/>
      <c r="AB379" s="16"/>
      <c r="AC379" s="16"/>
      <c r="AD379" s="17"/>
      <c r="AE379" s="18">
        <f t="shared" si="1397"/>
        <v>0</v>
      </c>
      <c r="AF379" s="34">
        <v>4</v>
      </c>
      <c r="AG379" s="16"/>
      <c r="AH379" s="16">
        <v>1</v>
      </c>
      <c r="AI379" s="17"/>
      <c r="AJ379" s="18">
        <f t="shared" si="1398"/>
        <v>5</v>
      </c>
      <c r="AK379" s="34">
        <v>2</v>
      </c>
      <c r="AL379" s="16">
        <v>4</v>
      </c>
      <c r="AM379" s="16"/>
      <c r="AN379" s="17"/>
      <c r="AO379" s="18">
        <f t="shared" si="1399"/>
        <v>6</v>
      </c>
      <c r="AP379" s="34"/>
      <c r="AQ379" s="16"/>
      <c r="AR379" s="16"/>
      <c r="AS379" s="17"/>
      <c r="AT379" s="18">
        <f t="shared" si="1400"/>
        <v>0</v>
      </c>
      <c r="AU379" s="34"/>
      <c r="AV379" s="16"/>
      <c r="AW379" s="16"/>
      <c r="AX379" s="17"/>
      <c r="AY379" s="18">
        <f t="shared" si="1401"/>
        <v>0</v>
      </c>
      <c r="AZ379" s="34"/>
      <c r="BA379" s="16"/>
      <c r="BB379" s="16"/>
      <c r="BC379" s="17"/>
      <c r="BD379" s="18">
        <f t="shared" si="1402"/>
        <v>0</v>
      </c>
      <c r="BE379" s="34">
        <v>5</v>
      </c>
      <c r="BF379" s="16"/>
      <c r="BG379" s="16">
        <v>2</v>
      </c>
      <c r="BH379" s="17"/>
      <c r="BI379" s="18">
        <f t="shared" si="1403"/>
        <v>7</v>
      </c>
      <c r="BJ379" s="34"/>
      <c r="BK379" s="16"/>
      <c r="BL379" s="16"/>
      <c r="BM379" s="17"/>
      <c r="BN379" s="18">
        <f t="shared" si="1404"/>
        <v>0</v>
      </c>
      <c r="BO379" s="70">
        <f t="shared" si="1356"/>
        <v>11</v>
      </c>
      <c r="BP379" s="16">
        <f t="shared" si="1357"/>
        <v>4</v>
      </c>
      <c r="BQ379" s="16">
        <f t="shared" si="1358"/>
        <v>3</v>
      </c>
      <c r="BR379" s="17">
        <f t="shared" si="1359"/>
        <v>0</v>
      </c>
      <c r="BS379" s="35">
        <f t="shared" si="1405"/>
        <v>18</v>
      </c>
    </row>
    <row r="380" spans="2:71" x14ac:dyDescent="0.3">
      <c r="B380" s="254"/>
      <c r="C380" s="204"/>
      <c r="D380" s="200"/>
      <c r="E380" s="201"/>
      <c r="F380" s="123" t="s">
        <v>361</v>
      </c>
      <c r="G380" s="34"/>
      <c r="H380" s="16"/>
      <c r="I380" s="16"/>
      <c r="J380" s="17"/>
      <c r="K380" s="18">
        <f t="shared" ref="K380:K384" si="1419">SUM(G380:J380)</f>
        <v>0</v>
      </c>
      <c r="L380" s="34"/>
      <c r="M380" s="16"/>
      <c r="N380" s="16"/>
      <c r="O380" s="17"/>
      <c r="P380" s="18">
        <f t="shared" ref="P380:P384" si="1420">SUM(L380:O380)</f>
        <v>0</v>
      </c>
      <c r="Q380" s="34"/>
      <c r="R380" s="16"/>
      <c r="S380" s="16"/>
      <c r="T380" s="17"/>
      <c r="U380" s="18">
        <f t="shared" ref="U380:U384" si="1421">SUM(Q380:T380)</f>
        <v>0</v>
      </c>
      <c r="V380" s="34"/>
      <c r="W380" s="16"/>
      <c r="X380" s="16"/>
      <c r="Y380" s="17"/>
      <c r="Z380" s="18">
        <f t="shared" ref="Z380:Z384" si="1422">SUM(V380:Y380)</f>
        <v>0</v>
      </c>
      <c r="AA380" s="34"/>
      <c r="AB380" s="16"/>
      <c r="AC380" s="16"/>
      <c r="AD380" s="17"/>
      <c r="AE380" s="18">
        <f t="shared" ref="AE380:AE384" si="1423">SUM(AA380:AD380)</f>
        <v>0</v>
      </c>
      <c r="AF380" s="34">
        <v>22</v>
      </c>
      <c r="AG380" s="16"/>
      <c r="AH380" s="16"/>
      <c r="AI380" s="17"/>
      <c r="AJ380" s="18">
        <f t="shared" ref="AJ380:AJ384" si="1424">SUM(AF380:AI380)</f>
        <v>22</v>
      </c>
      <c r="AK380" s="34">
        <v>62</v>
      </c>
      <c r="AL380" s="16"/>
      <c r="AM380" s="16"/>
      <c r="AN380" s="17"/>
      <c r="AO380" s="18">
        <f t="shared" ref="AO380:AO384" si="1425">SUM(AK380:AN380)</f>
        <v>62</v>
      </c>
      <c r="AP380" s="34">
        <v>33</v>
      </c>
      <c r="AQ380" s="16"/>
      <c r="AR380" s="16"/>
      <c r="AS380" s="17"/>
      <c r="AT380" s="18">
        <f t="shared" ref="AT380:AT384" si="1426">SUM(AP380:AS380)</f>
        <v>33</v>
      </c>
      <c r="AU380" s="34"/>
      <c r="AV380" s="16"/>
      <c r="AW380" s="16"/>
      <c r="AX380" s="17"/>
      <c r="AY380" s="18">
        <f t="shared" ref="AY380:AY384" si="1427">SUM(AU380:AX380)</f>
        <v>0</v>
      </c>
      <c r="AZ380" s="34"/>
      <c r="BA380" s="16"/>
      <c r="BB380" s="16"/>
      <c r="BC380" s="17"/>
      <c r="BD380" s="18">
        <f t="shared" ref="BD380:BD384" si="1428">SUM(AZ380:BC380)</f>
        <v>0</v>
      </c>
      <c r="BE380" s="34"/>
      <c r="BF380" s="16"/>
      <c r="BG380" s="16"/>
      <c r="BH380" s="17"/>
      <c r="BI380" s="18">
        <f t="shared" ref="BI380:BI384" si="1429">SUM(BE380:BH380)</f>
        <v>0</v>
      </c>
      <c r="BJ380" s="34"/>
      <c r="BK380" s="16"/>
      <c r="BL380" s="16"/>
      <c r="BM380" s="17"/>
      <c r="BN380" s="18">
        <f t="shared" ref="BN380:BN384" si="1430">SUM(BJ380:BM380)</f>
        <v>0</v>
      </c>
      <c r="BO380" s="70">
        <f t="shared" si="1356"/>
        <v>117</v>
      </c>
      <c r="BP380" s="16">
        <f t="shared" si="1357"/>
        <v>0</v>
      </c>
      <c r="BQ380" s="16">
        <f t="shared" si="1358"/>
        <v>0</v>
      </c>
      <c r="BR380" s="17">
        <f t="shared" si="1359"/>
        <v>0</v>
      </c>
      <c r="BS380" s="35">
        <f t="shared" ref="BS380:BS384" si="1431">SUM(BO380:BR380)</f>
        <v>117</v>
      </c>
    </row>
    <row r="381" spans="2:71" x14ac:dyDescent="0.3">
      <c r="B381" s="254"/>
      <c r="C381" s="204"/>
      <c r="D381" s="200"/>
      <c r="E381" s="201"/>
      <c r="F381" s="123" t="s">
        <v>371</v>
      </c>
      <c r="G381" s="34"/>
      <c r="H381" s="16"/>
      <c r="I381" s="16"/>
      <c r="J381" s="17"/>
      <c r="K381" s="18">
        <f t="shared" si="1419"/>
        <v>0</v>
      </c>
      <c r="L381" s="34"/>
      <c r="M381" s="16"/>
      <c r="N381" s="16"/>
      <c r="O381" s="17"/>
      <c r="P381" s="18">
        <f t="shared" si="1420"/>
        <v>0</v>
      </c>
      <c r="Q381" s="34"/>
      <c r="R381" s="16"/>
      <c r="S381" s="16"/>
      <c r="T381" s="17"/>
      <c r="U381" s="18">
        <f t="shared" si="1421"/>
        <v>0</v>
      </c>
      <c r="V381" s="34"/>
      <c r="W381" s="16"/>
      <c r="X381" s="16"/>
      <c r="Y381" s="17"/>
      <c r="Z381" s="18">
        <f t="shared" si="1422"/>
        <v>0</v>
      </c>
      <c r="AA381" s="34"/>
      <c r="AB381" s="16"/>
      <c r="AC381" s="16"/>
      <c r="AD381" s="17"/>
      <c r="AE381" s="18">
        <f t="shared" si="1423"/>
        <v>0</v>
      </c>
      <c r="AF381" s="34"/>
      <c r="AG381" s="16"/>
      <c r="AH381" s="16"/>
      <c r="AI381" s="17"/>
      <c r="AJ381" s="18">
        <f t="shared" si="1424"/>
        <v>0</v>
      </c>
      <c r="AK381" s="34"/>
      <c r="AL381" s="16"/>
      <c r="AM381" s="16"/>
      <c r="AN381" s="17"/>
      <c r="AO381" s="18">
        <f t="shared" si="1425"/>
        <v>0</v>
      </c>
      <c r="AP381" s="34"/>
      <c r="AQ381" s="16"/>
      <c r="AR381" s="16"/>
      <c r="AS381" s="17"/>
      <c r="AT381" s="18">
        <f t="shared" si="1426"/>
        <v>0</v>
      </c>
      <c r="AU381" s="34">
        <v>1732</v>
      </c>
      <c r="AV381" s="16"/>
      <c r="AW381" s="16"/>
      <c r="AX381" s="17"/>
      <c r="AY381" s="18">
        <f t="shared" si="1427"/>
        <v>1732</v>
      </c>
      <c r="AZ381" s="34">
        <v>2818</v>
      </c>
      <c r="BA381" s="16"/>
      <c r="BB381" s="16"/>
      <c r="BC381" s="17"/>
      <c r="BD381" s="18">
        <f t="shared" si="1428"/>
        <v>2818</v>
      </c>
      <c r="BE381" s="34">
        <v>641</v>
      </c>
      <c r="BF381" s="16"/>
      <c r="BG381" s="16"/>
      <c r="BH381" s="17"/>
      <c r="BI381" s="18">
        <f t="shared" si="1429"/>
        <v>641</v>
      </c>
      <c r="BJ381" s="34">
        <v>86</v>
      </c>
      <c r="BK381" s="16"/>
      <c r="BL381" s="16"/>
      <c r="BM381" s="17"/>
      <c r="BN381" s="18">
        <f t="shared" si="1430"/>
        <v>86</v>
      </c>
      <c r="BO381" s="70">
        <f t="shared" si="1356"/>
        <v>5277</v>
      </c>
      <c r="BP381" s="16">
        <f t="shared" si="1357"/>
        <v>0</v>
      </c>
      <c r="BQ381" s="16">
        <f t="shared" si="1358"/>
        <v>0</v>
      </c>
      <c r="BR381" s="17">
        <f t="shared" si="1359"/>
        <v>0</v>
      </c>
      <c r="BS381" s="35">
        <f t="shared" si="1431"/>
        <v>5277</v>
      </c>
    </row>
    <row r="382" spans="2:71" x14ac:dyDescent="0.3">
      <c r="B382" s="254"/>
      <c r="C382" s="204"/>
      <c r="D382" s="200"/>
      <c r="E382" s="201"/>
      <c r="F382" s="123" t="s">
        <v>374</v>
      </c>
      <c r="G382" s="34"/>
      <c r="H382" s="16"/>
      <c r="I382" s="16"/>
      <c r="J382" s="17"/>
      <c r="K382" s="18">
        <f t="shared" si="1419"/>
        <v>0</v>
      </c>
      <c r="L382" s="34"/>
      <c r="M382" s="16"/>
      <c r="N382" s="16"/>
      <c r="O382" s="17"/>
      <c r="P382" s="18">
        <f t="shared" si="1420"/>
        <v>0</v>
      </c>
      <c r="Q382" s="34"/>
      <c r="R382" s="16"/>
      <c r="S382" s="16"/>
      <c r="T382" s="17"/>
      <c r="U382" s="18">
        <f t="shared" si="1421"/>
        <v>0</v>
      </c>
      <c r="V382" s="34"/>
      <c r="W382" s="16"/>
      <c r="X382" s="16"/>
      <c r="Y382" s="17"/>
      <c r="Z382" s="18">
        <f t="shared" si="1422"/>
        <v>0</v>
      </c>
      <c r="AA382" s="34"/>
      <c r="AB382" s="16"/>
      <c r="AC382" s="16"/>
      <c r="AD382" s="17"/>
      <c r="AE382" s="18">
        <f t="shared" si="1423"/>
        <v>0</v>
      </c>
      <c r="AF382" s="34"/>
      <c r="AG382" s="16"/>
      <c r="AH382" s="16"/>
      <c r="AI382" s="17"/>
      <c r="AJ382" s="18">
        <f t="shared" si="1424"/>
        <v>0</v>
      </c>
      <c r="AK382" s="34"/>
      <c r="AL382" s="16"/>
      <c r="AM382" s="16"/>
      <c r="AN382" s="17"/>
      <c r="AO382" s="18">
        <f t="shared" si="1425"/>
        <v>0</v>
      </c>
      <c r="AP382" s="34">
        <v>3</v>
      </c>
      <c r="AQ382" s="16"/>
      <c r="AR382" s="16"/>
      <c r="AS382" s="17"/>
      <c r="AT382" s="18">
        <f t="shared" si="1426"/>
        <v>3</v>
      </c>
      <c r="AU382" s="34">
        <v>391</v>
      </c>
      <c r="AV382" s="16"/>
      <c r="AW382" s="16"/>
      <c r="AX382" s="17"/>
      <c r="AY382" s="18">
        <f t="shared" si="1427"/>
        <v>391</v>
      </c>
      <c r="AZ382" s="34">
        <v>699</v>
      </c>
      <c r="BA382" s="16"/>
      <c r="BB382" s="16"/>
      <c r="BC382" s="17"/>
      <c r="BD382" s="18">
        <f t="shared" si="1428"/>
        <v>699</v>
      </c>
      <c r="BE382" s="34">
        <v>374</v>
      </c>
      <c r="BF382" s="16"/>
      <c r="BG382" s="16"/>
      <c r="BH382" s="17"/>
      <c r="BI382" s="18">
        <f t="shared" si="1429"/>
        <v>374</v>
      </c>
      <c r="BJ382" s="34">
        <v>20</v>
      </c>
      <c r="BK382" s="16"/>
      <c r="BL382" s="16"/>
      <c r="BM382" s="17"/>
      <c r="BN382" s="18">
        <f t="shared" si="1430"/>
        <v>20</v>
      </c>
      <c r="BO382" s="70">
        <f t="shared" si="1356"/>
        <v>1487</v>
      </c>
      <c r="BP382" s="16">
        <f t="shared" si="1357"/>
        <v>0</v>
      </c>
      <c r="BQ382" s="16">
        <f t="shared" si="1358"/>
        <v>0</v>
      </c>
      <c r="BR382" s="17">
        <f t="shared" si="1359"/>
        <v>0</v>
      </c>
      <c r="BS382" s="35">
        <f t="shared" si="1431"/>
        <v>1487</v>
      </c>
    </row>
    <row r="383" spans="2:71" x14ac:dyDescent="0.3">
      <c r="B383" s="254"/>
      <c r="C383" s="204"/>
      <c r="D383" s="200"/>
      <c r="E383" s="201"/>
      <c r="F383" s="123" t="s">
        <v>372</v>
      </c>
      <c r="G383" s="34"/>
      <c r="H383" s="16"/>
      <c r="I383" s="16"/>
      <c r="J383" s="17"/>
      <c r="K383" s="18">
        <f t="shared" si="1419"/>
        <v>0</v>
      </c>
      <c r="L383" s="34"/>
      <c r="M383" s="16"/>
      <c r="N383" s="16"/>
      <c r="O383" s="17"/>
      <c r="P383" s="18">
        <f t="shared" si="1420"/>
        <v>0</v>
      </c>
      <c r="Q383" s="34"/>
      <c r="R383" s="16"/>
      <c r="S383" s="16"/>
      <c r="T383" s="17"/>
      <c r="U383" s="18">
        <f t="shared" si="1421"/>
        <v>0</v>
      </c>
      <c r="V383" s="34"/>
      <c r="W383" s="16"/>
      <c r="X383" s="16"/>
      <c r="Y383" s="17"/>
      <c r="Z383" s="18">
        <f t="shared" si="1422"/>
        <v>0</v>
      </c>
      <c r="AA383" s="34"/>
      <c r="AB383" s="16"/>
      <c r="AC383" s="16"/>
      <c r="AD383" s="17"/>
      <c r="AE383" s="18">
        <f t="shared" si="1423"/>
        <v>0</v>
      </c>
      <c r="AF383" s="34"/>
      <c r="AG383" s="16"/>
      <c r="AH383" s="16"/>
      <c r="AI383" s="17"/>
      <c r="AJ383" s="18">
        <f t="shared" si="1424"/>
        <v>0</v>
      </c>
      <c r="AK383" s="34"/>
      <c r="AL383" s="16"/>
      <c r="AM383" s="16"/>
      <c r="AN383" s="17"/>
      <c r="AO383" s="18">
        <f t="shared" si="1425"/>
        <v>0</v>
      </c>
      <c r="AP383" s="34">
        <v>4</v>
      </c>
      <c r="AQ383" s="16"/>
      <c r="AR383" s="16"/>
      <c r="AS383" s="17"/>
      <c r="AT383" s="18">
        <f t="shared" si="1426"/>
        <v>4</v>
      </c>
      <c r="AU383" s="34">
        <v>957</v>
      </c>
      <c r="AV383" s="16"/>
      <c r="AW383" s="16"/>
      <c r="AX383" s="17"/>
      <c r="AY383" s="18">
        <f t="shared" si="1427"/>
        <v>957</v>
      </c>
      <c r="AZ383" s="34">
        <v>1393</v>
      </c>
      <c r="BA383" s="16"/>
      <c r="BB383" s="16"/>
      <c r="BC383" s="17"/>
      <c r="BD383" s="18">
        <f t="shared" si="1428"/>
        <v>1393</v>
      </c>
      <c r="BE383" s="34">
        <v>309</v>
      </c>
      <c r="BF383" s="16"/>
      <c r="BG383" s="16"/>
      <c r="BH383" s="17"/>
      <c r="BI383" s="18">
        <f t="shared" si="1429"/>
        <v>309</v>
      </c>
      <c r="BJ383" s="34">
        <v>29</v>
      </c>
      <c r="BK383" s="16"/>
      <c r="BL383" s="16"/>
      <c r="BM383" s="17"/>
      <c r="BN383" s="18">
        <f t="shared" si="1430"/>
        <v>29</v>
      </c>
      <c r="BO383" s="70">
        <f t="shared" si="1356"/>
        <v>2692</v>
      </c>
      <c r="BP383" s="16">
        <f t="shared" si="1357"/>
        <v>0</v>
      </c>
      <c r="BQ383" s="16">
        <f t="shared" si="1358"/>
        <v>0</v>
      </c>
      <c r="BR383" s="17">
        <f t="shared" si="1359"/>
        <v>0</v>
      </c>
      <c r="BS383" s="35">
        <f t="shared" si="1431"/>
        <v>2692</v>
      </c>
    </row>
    <row r="384" spans="2:71" x14ac:dyDescent="0.3">
      <c r="B384" s="254"/>
      <c r="C384" s="204"/>
      <c r="D384" s="200"/>
      <c r="E384" s="201"/>
      <c r="F384" s="123" t="s">
        <v>375</v>
      </c>
      <c r="G384" s="34"/>
      <c r="H384" s="16"/>
      <c r="I384" s="16"/>
      <c r="J384" s="17"/>
      <c r="K384" s="18">
        <f t="shared" si="1419"/>
        <v>0</v>
      </c>
      <c r="L384" s="34"/>
      <c r="M384" s="16"/>
      <c r="N384" s="16"/>
      <c r="O384" s="17"/>
      <c r="P384" s="18">
        <f t="shared" si="1420"/>
        <v>0</v>
      </c>
      <c r="Q384" s="34"/>
      <c r="R384" s="16"/>
      <c r="S384" s="16"/>
      <c r="T384" s="17"/>
      <c r="U384" s="18">
        <f t="shared" si="1421"/>
        <v>0</v>
      </c>
      <c r="V384" s="34"/>
      <c r="W384" s="16"/>
      <c r="X384" s="16"/>
      <c r="Y384" s="17"/>
      <c r="Z384" s="18">
        <f t="shared" si="1422"/>
        <v>0</v>
      </c>
      <c r="AA384" s="34"/>
      <c r="AB384" s="16"/>
      <c r="AC384" s="16"/>
      <c r="AD384" s="17"/>
      <c r="AE384" s="18">
        <f t="shared" si="1423"/>
        <v>0</v>
      </c>
      <c r="AF384" s="34"/>
      <c r="AG384" s="16"/>
      <c r="AH384" s="16"/>
      <c r="AI384" s="17"/>
      <c r="AJ384" s="18">
        <f t="shared" si="1424"/>
        <v>0</v>
      </c>
      <c r="AK384" s="34"/>
      <c r="AL384" s="16"/>
      <c r="AM384" s="16"/>
      <c r="AN384" s="17"/>
      <c r="AO384" s="18">
        <f t="shared" si="1425"/>
        <v>0</v>
      </c>
      <c r="AP384" s="194">
        <f>4-1</f>
        <v>3</v>
      </c>
      <c r="AQ384" s="16"/>
      <c r="AR384" s="16"/>
      <c r="AS384" s="17"/>
      <c r="AT384" s="18">
        <f t="shared" si="1426"/>
        <v>3</v>
      </c>
      <c r="AU384" s="34">
        <v>726</v>
      </c>
      <c r="AV384" s="16"/>
      <c r="AW384" s="16"/>
      <c r="AX384" s="17"/>
      <c r="AY384" s="18">
        <f t="shared" si="1427"/>
        <v>726</v>
      </c>
      <c r="AZ384" s="34">
        <v>719</v>
      </c>
      <c r="BA384" s="16"/>
      <c r="BB384" s="16"/>
      <c r="BC384" s="17"/>
      <c r="BD384" s="18">
        <f t="shared" si="1428"/>
        <v>719</v>
      </c>
      <c r="BE384" s="34">
        <v>124</v>
      </c>
      <c r="BF384" s="16"/>
      <c r="BG384" s="16"/>
      <c r="BH384" s="17"/>
      <c r="BI384" s="18">
        <f t="shared" si="1429"/>
        <v>124</v>
      </c>
      <c r="BJ384" s="34">
        <v>6</v>
      </c>
      <c r="BK384" s="16"/>
      <c r="BL384" s="16"/>
      <c r="BM384" s="17"/>
      <c r="BN384" s="18">
        <f t="shared" si="1430"/>
        <v>6</v>
      </c>
      <c r="BO384" s="70">
        <f t="shared" si="1356"/>
        <v>1578</v>
      </c>
      <c r="BP384" s="16">
        <f t="shared" si="1357"/>
        <v>0</v>
      </c>
      <c r="BQ384" s="16">
        <f t="shared" si="1358"/>
        <v>0</v>
      </c>
      <c r="BR384" s="17">
        <f t="shared" si="1359"/>
        <v>0</v>
      </c>
      <c r="BS384" s="35">
        <f t="shared" si="1431"/>
        <v>1578</v>
      </c>
    </row>
    <row r="385" spans="2:71" x14ac:dyDescent="0.3">
      <c r="B385" s="254"/>
      <c r="C385" s="204"/>
      <c r="D385" s="200"/>
      <c r="E385" s="201"/>
      <c r="F385" s="123" t="s">
        <v>399</v>
      </c>
      <c r="G385" s="34"/>
      <c r="H385" s="16"/>
      <c r="I385" s="16"/>
      <c r="J385" s="17"/>
      <c r="K385" s="18">
        <f t="shared" si="1393"/>
        <v>0</v>
      </c>
      <c r="L385" s="34"/>
      <c r="M385" s="16"/>
      <c r="N385" s="16"/>
      <c r="O385" s="17"/>
      <c r="P385" s="18">
        <f t="shared" si="1394"/>
        <v>0</v>
      </c>
      <c r="Q385" s="34"/>
      <c r="R385" s="16"/>
      <c r="S385" s="16"/>
      <c r="T385" s="17"/>
      <c r="U385" s="18">
        <f t="shared" si="1395"/>
        <v>0</v>
      </c>
      <c r="V385" s="34"/>
      <c r="W385" s="16"/>
      <c r="X385" s="16"/>
      <c r="Y385" s="17"/>
      <c r="Z385" s="18">
        <f t="shared" si="1396"/>
        <v>0</v>
      </c>
      <c r="AA385" s="34"/>
      <c r="AB385" s="16"/>
      <c r="AC385" s="16"/>
      <c r="AD385" s="17"/>
      <c r="AE385" s="18">
        <f t="shared" si="1397"/>
        <v>0</v>
      </c>
      <c r="AF385" s="34"/>
      <c r="AG385" s="16"/>
      <c r="AH385" s="16"/>
      <c r="AI385" s="17"/>
      <c r="AJ385" s="18">
        <f t="shared" si="1398"/>
        <v>0</v>
      </c>
      <c r="AK385" s="34"/>
      <c r="AL385" s="16"/>
      <c r="AM385" s="16"/>
      <c r="AN385" s="17"/>
      <c r="AO385" s="18">
        <f t="shared" si="1399"/>
        <v>0</v>
      </c>
      <c r="AP385" s="34"/>
      <c r="AQ385" s="16"/>
      <c r="AR385" s="16"/>
      <c r="AS385" s="17"/>
      <c r="AT385" s="18">
        <f t="shared" si="1400"/>
        <v>0</v>
      </c>
      <c r="AU385" s="34"/>
      <c r="AV385" s="16"/>
      <c r="AW385" s="16"/>
      <c r="AX385" s="17"/>
      <c r="AY385" s="18">
        <f t="shared" si="1401"/>
        <v>0</v>
      </c>
      <c r="AZ385" s="34">
        <v>8</v>
      </c>
      <c r="BA385" s="16"/>
      <c r="BB385" s="16"/>
      <c r="BC385" s="17"/>
      <c r="BD385" s="18">
        <f t="shared" si="1402"/>
        <v>8</v>
      </c>
      <c r="BE385" s="34">
        <v>73</v>
      </c>
      <c r="BF385" s="16"/>
      <c r="BG385" s="16"/>
      <c r="BH385" s="17"/>
      <c r="BI385" s="18">
        <f t="shared" si="1403"/>
        <v>73</v>
      </c>
      <c r="BJ385" s="34">
        <v>43</v>
      </c>
      <c r="BK385" s="16"/>
      <c r="BL385" s="16"/>
      <c r="BM385" s="17"/>
      <c r="BN385" s="18">
        <f t="shared" si="1404"/>
        <v>43</v>
      </c>
      <c r="BO385" s="70">
        <f t="shared" si="1356"/>
        <v>124</v>
      </c>
      <c r="BP385" s="16">
        <f t="shared" si="1357"/>
        <v>0</v>
      </c>
      <c r="BQ385" s="16">
        <f t="shared" si="1358"/>
        <v>0</v>
      </c>
      <c r="BR385" s="17">
        <f t="shared" si="1359"/>
        <v>0</v>
      </c>
      <c r="BS385" s="35">
        <f t="shared" si="1405"/>
        <v>124</v>
      </c>
    </row>
    <row r="386" spans="2:71" x14ac:dyDescent="0.3">
      <c r="B386" s="254"/>
      <c r="C386" s="204"/>
      <c r="D386" s="200"/>
      <c r="E386" s="201"/>
      <c r="F386" s="123" t="s">
        <v>404</v>
      </c>
      <c r="G386" s="34"/>
      <c r="H386" s="16"/>
      <c r="I386" s="16"/>
      <c r="J386" s="17"/>
      <c r="K386" s="18">
        <f t="shared" si="1393"/>
        <v>0</v>
      </c>
      <c r="L386" s="34"/>
      <c r="M386" s="16"/>
      <c r="N386" s="16"/>
      <c r="O386" s="17"/>
      <c r="P386" s="18">
        <f t="shared" si="1394"/>
        <v>0</v>
      </c>
      <c r="Q386" s="34"/>
      <c r="R386" s="16"/>
      <c r="S386" s="16"/>
      <c r="T386" s="17"/>
      <c r="U386" s="18">
        <f t="shared" si="1395"/>
        <v>0</v>
      </c>
      <c r="V386" s="34"/>
      <c r="W386" s="16"/>
      <c r="X386" s="16"/>
      <c r="Y386" s="17"/>
      <c r="Z386" s="18">
        <f t="shared" si="1396"/>
        <v>0</v>
      </c>
      <c r="AA386" s="34"/>
      <c r="AB386" s="16"/>
      <c r="AC386" s="16"/>
      <c r="AD386" s="17"/>
      <c r="AE386" s="18">
        <f t="shared" si="1397"/>
        <v>0</v>
      </c>
      <c r="AF386" s="34"/>
      <c r="AG386" s="16"/>
      <c r="AH386" s="16"/>
      <c r="AI386" s="17"/>
      <c r="AJ386" s="18">
        <f t="shared" si="1398"/>
        <v>0</v>
      </c>
      <c r="AK386" s="34"/>
      <c r="AL386" s="16"/>
      <c r="AM386" s="16"/>
      <c r="AN386" s="17"/>
      <c r="AO386" s="18">
        <f t="shared" si="1399"/>
        <v>0</v>
      </c>
      <c r="AP386" s="34"/>
      <c r="AQ386" s="16"/>
      <c r="AR386" s="16"/>
      <c r="AS386" s="17"/>
      <c r="AT386" s="18">
        <f t="shared" si="1400"/>
        <v>0</v>
      </c>
      <c r="AU386" s="34"/>
      <c r="AV386" s="16"/>
      <c r="AW386" s="16"/>
      <c r="AX386" s="17"/>
      <c r="AY386" s="18">
        <f t="shared" si="1401"/>
        <v>0</v>
      </c>
      <c r="AZ386" s="34"/>
      <c r="BA386" s="16"/>
      <c r="BB386" s="16"/>
      <c r="BC386" s="17"/>
      <c r="BD386" s="18">
        <f t="shared" si="1402"/>
        <v>0</v>
      </c>
      <c r="BE386" s="34">
        <v>6</v>
      </c>
      <c r="BF386" s="16"/>
      <c r="BG386" s="16"/>
      <c r="BH386" s="17"/>
      <c r="BI386" s="18">
        <f t="shared" si="1403"/>
        <v>6</v>
      </c>
      <c r="BJ386" s="34">
        <v>665</v>
      </c>
      <c r="BK386" s="16"/>
      <c r="BL386" s="16"/>
      <c r="BM386" s="17"/>
      <c r="BN386" s="18">
        <f t="shared" si="1404"/>
        <v>665</v>
      </c>
      <c r="BO386" s="70">
        <f t="shared" si="1356"/>
        <v>671</v>
      </c>
      <c r="BP386" s="16">
        <f t="shared" si="1357"/>
        <v>0</v>
      </c>
      <c r="BQ386" s="16">
        <f t="shared" si="1358"/>
        <v>0</v>
      </c>
      <c r="BR386" s="17">
        <f t="shared" si="1359"/>
        <v>0</v>
      </c>
      <c r="BS386" s="35">
        <f t="shared" si="1405"/>
        <v>671</v>
      </c>
    </row>
    <row r="387" spans="2:71" x14ac:dyDescent="0.3">
      <c r="B387" s="254"/>
      <c r="C387" s="204"/>
      <c r="D387" s="200"/>
      <c r="E387" s="201"/>
      <c r="F387" s="123" t="s">
        <v>405</v>
      </c>
      <c r="G387" s="34"/>
      <c r="H387" s="16"/>
      <c r="I387" s="16"/>
      <c r="J387" s="17"/>
      <c r="K387" s="18">
        <f t="shared" si="1393"/>
        <v>0</v>
      </c>
      <c r="L387" s="34"/>
      <c r="M387" s="16"/>
      <c r="N387" s="16"/>
      <c r="O387" s="17"/>
      <c r="P387" s="18">
        <f t="shared" si="1394"/>
        <v>0</v>
      </c>
      <c r="Q387" s="34"/>
      <c r="R387" s="16"/>
      <c r="S387" s="16"/>
      <c r="T387" s="17"/>
      <c r="U387" s="18">
        <f t="shared" si="1395"/>
        <v>0</v>
      </c>
      <c r="V387" s="34"/>
      <c r="W387" s="16"/>
      <c r="X387" s="16"/>
      <c r="Y387" s="17"/>
      <c r="Z387" s="18">
        <f t="shared" si="1396"/>
        <v>0</v>
      </c>
      <c r="AA387" s="34"/>
      <c r="AB387" s="16"/>
      <c r="AC387" s="16"/>
      <c r="AD387" s="17"/>
      <c r="AE387" s="18">
        <f t="shared" si="1397"/>
        <v>0</v>
      </c>
      <c r="AF387" s="34"/>
      <c r="AG387" s="16"/>
      <c r="AH387" s="16"/>
      <c r="AI387" s="17"/>
      <c r="AJ387" s="18">
        <f t="shared" si="1398"/>
        <v>0</v>
      </c>
      <c r="AK387" s="34"/>
      <c r="AL387" s="16"/>
      <c r="AM387" s="16"/>
      <c r="AN387" s="17"/>
      <c r="AO387" s="18">
        <f t="shared" si="1399"/>
        <v>0</v>
      </c>
      <c r="AP387" s="34"/>
      <c r="AQ387" s="16"/>
      <c r="AR387" s="16"/>
      <c r="AS387" s="17"/>
      <c r="AT387" s="18">
        <f t="shared" si="1400"/>
        <v>0</v>
      </c>
      <c r="AU387" s="34"/>
      <c r="AV387" s="16"/>
      <c r="AW387" s="16"/>
      <c r="AX387" s="17"/>
      <c r="AY387" s="18">
        <f t="shared" si="1401"/>
        <v>0</v>
      </c>
      <c r="AZ387" s="34"/>
      <c r="BA387" s="16"/>
      <c r="BB387" s="16"/>
      <c r="BC387" s="17"/>
      <c r="BD387" s="18">
        <f t="shared" si="1402"/>
        <v>0</v>
      </c>
      <c r="BE387" s="34"/>
      <c r="BF387" s="16"/>
      <c r="BG387" s="16"/>
      <c r="BH387" s="17"/>
      <c r="BI387" s="18">
        <f t="shared" si="1403"/>
        <v>0</v>
      </c>
      <c r="BJ387" s="34">
        <v>301</v>
      </c>
      <c r="BK387" s="16"/>
      <c r="BL387" s="16"/>
      <c r="BM387" s="17"/>
      <c r="BN387" s="18">
        <f t="shared" si="1404"/>
        <v>301</v>
      </c>
      <c r="BO387" s="70">
        <f t="shared" si="1356"/>
        <v>301</v>
      </c>
      <c r="BP387" s="16">
        <f t="shared" si="1357"/>
        <v>0</v>
      </c>
      <c r="BQ387" s="16">
        <f t="shared" si="1358"/>
        <v>0</v>
      </c>
      <c r="BR387" s="17">
        <f t="shared" si="1359"/>
        <v>0</v>
      </c>
      <c r="BS387" s="35">
        <f t="shared" si="1405"/>
        <v>301</v>
      </c>
    </row>
    <row r="388" spans="2:71" x14ac:dyDescent="0.3">
      <c r="B388" s="254"/>
      <c r="C388" s="204"/>
      <c r="D388" s="200"/>
      <c r="E388" s="201"/>
      <c r="F388" s="123" t="s">
        <v>416</v>
      </c>
      <c r="G388" s="34"/>
      <c r="H388" s="16"/>
      <c r="I388" s="16"/>
      <c r="J388" s="17"/>
      <c r="K388" s="18">
        <f t="shared" ref="K388" si="1432">SUM(G388:J388)</f>
        <v>0</v>
      </c>
      <c r="L388" s="34"/>
      <c r="M388" s="16"/>
      <c r="N388" s="16"/>
      <c r="O388" s="17"/>
      <c r="P388" s="18">
        <f t="shared" ref="P388" si="1433">SUM(L388:O388)</f>
        <v>0</v>
      </c>
      <c r="Q388" s="34"/>
      <c r="R388" s="16"/>
      <c r="S388" s="16"/>
      <c r="T388" s="17"/>
      <c r="U388" s="18">
        <f t="shared" ref="U388" si="1434">SUM(Q388:T388)</f>
        <v>0</v>
      </c>
      <c r="V388" s="34"/>
      <c r="W388" s="16"/>
      <c r="X388" s="16"/>
      <c r="Y388" s="17"/>
      <c r="Z388" s="18">
        <f t="shared" ref="Z388" si="1435">SUM(V388:Y388)</f>
        <v>0</v>
      </c>
      <c r="AA388" s="34"/>
      <c r="AB388" s="16"/>
      <c r="AC388" s="16"/>
      <c r="AD388" s="17"/>
      <c r="AE388" s="18">
        <f t="shared" ref="AE388" si="1436">SUM(AA388:AD388)</f>
        <v>0</v>
      </c>
      <c r="AF388" s="34"/>
      <c r="AG388" s="16"/>
      <c r="AH388" s="16"/>
      <c r="AI388" s="17"/>
      <c r="AJ388" s="18">
        <f t="shared" ref="AJ388" si="1437">SUM(AF388:AI388)</f>
        <v>0</v>
      </c>
      <c r="AK388" s="34"/>
      <c r="AL388" s="16"/>
      <c r="AM388" s="16"/>
      <c r="AN388" s="17"/>
      <c r="AO388" s="18">
        <f t="shared" ref="AO388" si="1438">SUM(AK388:AN388)</f>
        <v>0</v>
      </c>
      <c r="AP388" s="34"/>
      <c r="AQ388" s="16"/>
      <c r="AR388" s="16"/>
      <c r="AS388" s="17"/>
      <c r="AT388" s="18">
        <f t="shared" ref="AT388" si="1439">SUM(AP388:AS388)</f>
        <v>0</v>
      </c>
      <c r="AU388" s="34"/>
      <c r="AV388" s="16"/>
      <c r="AW388" s="16"/>
      <c r="AX388" s="17"/>
      <c r="AY388" s="18">
        <f t="shared" ref="AY388" si="1440">SUM(AU388:AX388)</f>
        <v>0</v>
      </c>
      <c r="AZ388" s="34"/>
      <c r="BA388" s="16"/>
      <c r="BB388" s="16"/>
      <c r="BC388" s="17"/>
      <c r="BD388" s="18">
        <f t="shared" ref="BD388" si="1441">SUM(AZ388:BC388)</f>
        <v>0</v>
      </c>
      <c r="BE388" s="34"/>
      <c r="BF388" s="16"/>
      <c r="BG388" s="16"/>
      <c r="BH388" s="17"/>
      <c r="BI388" s="18">
        <f t="shared" ref="BI388" si="1442">SUM(BE388:BH388)</f>
        <v>0</v>
      </c>
      <c r="BJ388" s="34">
        <v>503</v>
      </c>
      <c r="BK388" s="16"/>
      <c r="BL388" s="16"/>
      <c r="BM388" s="17"/>
      <c r="BN388" s="18">
        <f t="shared" ref="BN388" si="1443">SUM(BJ388:BM388)</f>
        <v>503</v>
      </c>
      <c r="BO388" s="70">
        <f t="shared" si="1356"/>
        <v>503</v>
      </c>
      <c r="BP388" s="16">
        <f t="shared" si="1357"/>
        <v>0</v>
      </c>
      <c r="BQ388" s="16">
        <f t="shared" si="1358"/>
        <v>0</v>
      </c>
      <c r="BR388" s="17">
        <f t="shared" si="1359"/>
        <v>0</v>
      </c>
      <c r="BS388" s="35">
        <f t="shared" ref="BS388" si="1444">SUM(BO388:BR388)</f>
        <v>503</v>
      </c>
    </row>
    <row r="389" spans="2:71" s="97" customFormat="1" x14ac:dyDescent="0.3">
      <c r="B389" s="254"/>
      <c r="C389" s="204"/>
      <c r="D389" s="202"/>
      <c r="E389" s="203"/>
      <c r="F389" s="113" t="s">
        <v>54</v>
      </c>
      <c r="G389" s="98">
        <f>SUM(G354:G388)</f>
        <v>2433</v>
      </c>
      <c r="H389" s="99">
        <f>SUM(H354:H388)</f>
        <v>0</v>
      </c>
      <c r="I389" s="99">
        <f>SUM(I354:I388)</f>
        <v>0</v>
      </c>
      <c r="J389" s="100">
        <f>SUM(J354:J388)</f>
        <v>0</v>
      </c>
      <c r="K389" s="101">
        <f t="shared" si="1278"/>
        <v>2433</v>
      </c>
      <c r="L389" s="98">
        <f>SUM(L354:L388)</f>
        <v>3284</v>
      </c>
      <c r="M389" s="99">
        <f>SUM(M354:M388)</f>
        <v>0</v>
      </c>
      <c r="N389" s="99">
        <f>SUM(N354:N388)</f>
        <v>0</v>
      </c>
      <c r="O389" s="100">
        <f>SUM(O354:O388)</f>
        <v>0</v>
      </c>
      <c r="P389" s="101">
        <f t="shared" si="1294"/>
        <v>3284</v>
      </c>
      <c r="Q389" s="98">
        <f>SUM(Q354:Q388)</f>
        <v>3095</v>
      </c>
      <c r="R389" s="99">
        <f>SUM(R354:R388)</f>
        <v>0</v>
      </c>
      <c r="S389" s="99">
        <f>SUM(S354:S388)</f>
        <v>0</v>
      </c>
      <c r="T389" s="100">
        <f>SUM(T354:T388)</f>
        <v>0</v>
      </c>
      <c r="U389" s="101">
        <f t="shared" si="1295"/>
        <v>3095</v>
      </c>
      <c r="V389" s="98">
        <f>SUM(V354:V388)</f>
        <v>8071</v>
      </c>
      <c r="W389" s="99">
        <f>SUM(W354:W388)</f>
        <v>0</v>
      </c>
      <c r="X389" s="99">
        <f>SUM(X354:X388)</f>
        <v>0</v>
      </c>
      <c r="Y389" s="100">
        <f>SUM(Y354:Y388)</f>
        <v>0</v>
      </c>
      <c r="Z389" s="101">
        <f t="shared" si="1296"/>
        <v>8071</v>
      </c>
      <c r="AA389" s="98">
        <f>SUM(AA354:AA388)</f>
        <v>5978</v>
      </c>
      <c r="AB389" s="99">
        <f>SUM(AB354:AB388)</f>
        <v>0</v>
      </c>
      <c r="AC389" s="99">
        <f>SUM(AC354:AC388)</f>
        <v>0</v>
      </c>
      <c r="AD389" s="100">
        <f>SUM(AD354:AD388)</f>
        <v>0</v>
      </c>
      <c r="AE389" s="101">
        <f t="shared" si="1297"/>
        <v>5978</v>
      </c>
      <c r="AF389" s="98">
        <f>SUM(AF354:AF388)</f>
        <v>9627</v>
      </c>
      <c r="AG389" s="99">
        <f>SUM(AG354:AG388)</f>
        <v>0</v>
      </c>
      <c r="AH389" s="99">
        <f>SUM(AH354:AH388)</f>
        <v>1</v>
      </c>
      <c r="AI389" s="100">
        <f>SUM(AI354:AI388)</f>
        <v>0</v>
      </c>
      <c r="AJ389" s="101">
        <f t="shared" si="1298"/>
        <v>9628</v>
      </c>
      <c r="AK389" s="98">
        <f>SUM(AK354:AK388)</f>
        <v>3483</v>
      </c>
      <c r="AL389" s="99">
        <f>SUM(AL354:AL388)</f>
        <v>4</v>
      </c>
      <c r="AM389" s="99">
        <f>SUM(AM354:AM388)</f>
        <v>0</v>
      </c>
      <c r="AN389" s="100">
        <f>SUM(AN354:AN388)</f>
        <v>0</v>
      </c>
      <c r="AO389" s="101">
        <f t="shared" si="1299"/>
        <v>3487</v>
      </c>
      <c r="AP389" s="98">
        <f>SUM(AP354:AP388)</f>
        <v>3478</v>
      </c>
      <c r="AQ389" s="99">
        <f>SUM(AQ354:AQ388)</f>
        <v>0</v>
      </c>
      <c r="AR389" s="99">
        <f>SUM(AR354:AR388)</f>
        <v>0</v>
      </c>
      <c r="AS389" s="100">
        <f>SUM(AS354:AS388)</f>
        <v>0</v>
      </c>
      <c r="AT389" s="101">
        <f t="shared" si="1300"/>
        <v>3478</v>
      </c>
      <c r="AU389" s="98">
        <f>SUM(AU354:AU388)</f>
        <v>7630</v>
      </c>
      <c r="AV389" s="99">
        <f>SUM(AV354:AV388)</f>
        <v>0</v>
      </c>
      <c r="AW389" s="99">
        <f>SUM(AW354:AW388)</f>
        <v>0</v>
      </c>
      <c r="AX389" s="100">
        <f>SUM(AX354:AX388)</f>
        <v>0</v>
      </c>
      <c r="AY389" s="101">
        <f t="shared" si="1301"/>
        <v>7630</v>
      </c>
      <c r="AZ389" s="98">
        <f>SUM(AZ354:AZ388)</f>
        <v>6981</v>
      </c>
      <c r="BA389" s="99">
        <f>SUM(BA354:BA388)</f>
        <v>0</v>
      </c>
      <c r="BB389" s="99">
        <f>SUM(BB354:BB388)</f>
        <v>0</v>
      </c>
      <c r="BC389" s="100">
        <f>SUM(BC354:BC388)</f>
        <v>0</v>
      </c>
      <c r="BD389" s="101">
        <f t="shared" si="1302"/>
        <v>6981</v>
      </c>
      <c r="BE389" s="98">
        <f>SUM(BE354:BE388)</f>
        <v>2040</v>
      </c>
      <c r="BF389" s="99">
        <f>SUM(BF354:BF388)</f>
        <v>0</v>
      </c>
      <c r="BG389" s="99">
        <f>SUM(BG354:BG388)</f>
        <v>2</v>
      </c>
      <c r="BH389" s="100">
        <f>SUM(BH354:BH388)</f>
        <v>0</v>
      </c>
      <c r="BI389" s="101">
        <f t="shared" si="1303"/>
        <v>2042</v>
      </c>
      <c r="BJ389" s="98">
        <f>SUM(BJ354:BJ388)</f>
        <v>2601</v>
      </c>
      <c r="BK389" s="99">
        <f>SUM(BK354:BK388)</f>
        <v>0</v>
      </c>
      <c r="BL389" s="99">
        <f>SUM(BL354:BL388)</f>
        <v>0</v>
      </c>
      <c r="BM389" s="100">
        <f>SUM(BM354:BM388)</f>
        <v>0</v>
      </c>
      <c r="BN389" s="101">
        <f t="shared" si="1304"/>
        <v>2601</v>
      </c>
      <c r="BO389" s="103">
        <f>SUM(BO354:BO388)</f>
        <v>58701</v>
      </c>
      <c r="BP389" s="99">
        <f>SUM(BP354:BP388)</f>
        <v>4</v>
      </c>
      <c r="BQ389" s="99">
        <f>SUM(BQ354:BQ388)</f>
        <v>3</v>
      </c>
      <c r="BR389" s="100">
        <f>SUM(BR354:BR388)</f>
        <v>0</v>
      </c>
      <c r="BS389" s="102">
        <f t="shared" si="1279"/>
        <v>58708</v>
      </c>
    </row>
    <row r="390" spans="2:71" ht="16.5" customHeight="1" x14ac:dyDescent="0.3">
      <c r="B390" s="254"/>
      <c r="C390" s="204"/>
      <c r="D390" s="198" t="s">
        <v>38</v>
      </c>
      <c r="E390" s="199"/>
      <c r="F390" s="145" t="s">
        <v>238</v>
      </c>
      <c r="G390" s="30">
        <v>175</v>
      </c>
      <c r="H390" s="7"/>
      <c r="I390" s="7"/>
      <c r="J390" s="8"/>
      <c r="K390" s="9">
        <f t="shared" si="1278"/>
        <v>175</v>
      </c>
      <c r="L390" s="30">
        <v>133</v>
      </c>
      <c r="M390" s="7"/>
      <c r="N390" s="7"/>
      <c r="O390" s="8"/>
      <c r="P390" s="9">
        <f t="shared" si="1294"/>
        <v>133</v>
      </c>
      <c r="Q390" s="30"/>
      <c r="R390" s="7"/>
      <c r="S390" s="7"/>
      <c r="T390" s="8"/>
      <c r="U390" s="9">
        <f t="shared" si="1295"/>
        <v>0</v>
      </c>
      <c r="V390" s="30"/>
      <c r="W390" s="7"/>
      <c r="X390" s="7"/>
      <c r="Y390" s="8"/>
      <c r="Z390" s="9">
        <f t="shared" si="1296"/>
        <v>0</v>
      </c>
      <c r="AA390" s="30"/>
      <c r="AB390" s="7"/>
      <c r="AC390" s="7"/>
      <c r="AD390" s="8"/>
      <c r="AE390" s="9">
        <f t="shared" si="1297"/>
        <v>0</v>
      </c>
      <c r="AF390" s="30"/>
      <c r="AG390" s="7"/>
      <c r="AH390" s="7"/>
      <c r="AI390" s="8"/>
      <c r="AJ390" s="9">
        <f t="shared" si="1298"/>
        <v>0</v>
      </c>
      <c r="AK390" s="30"/>
      <c r="AL390" s="7"/>
      <c r="AM390" s="7"/>
      <c r="AN390" s="8"/>
      <c r="AO390" s="9">
        <f t="shared" si="1299"/>
        <v>0</v>
      </c>
      <c r="AP390" s="30"/>
      <c r="AQ390" s="7"/>
      <c r="AR390" s="7"/>
      <c r="AS390" s="8"/>
      <c r="AT390" s="9">
        <f t="shared" si="1300"/>
        <v>0</v>
      </c>
      <c r="AU390" s="30"/>
      <c r="AV390" s="7"/>
      <c r="AW390" s="7"/>
      <c r="AX390" s="8"/>
      <c r="AY390" s="9">
        <f t="shared" si="1301"/>
        <v>0</v>
      </c>
      <c r="AZ390" s="30"/>
      <c r="BA390" s="7"/>
      <c r="BB390" s="7"/>
      <c r="BC390" s="8"/>
      <c r="BD390" s="9">
        <f t="shared" si="1302"/>
        <v>0</v>
      </c>
      <c r="BE390" s="30"/>
      <c r="BF390" s="7"/>
      <c r="BG390" s="7"/>
      <c r="BH390" s="8"/>
      <c r="BI390" s="9">
        <f t="shared" si="1303"/>
        <v>0</v>
      </c>
      <c r="BJ390" s="30"/>
      <c r="BK390" s="7"/>
      <c r="BL390" s="7"/>
      <c r="BM390" s="8"/>
      <c r="BN390" s="9">
        <f t="shared" si="1304"/>
        <v>0</v>
      </c>
      <c r="BO390" s="65">
        <f t="shared" ref="BO390:BO427" si="1445">SUM(G390,L390,Q390,V390,AA390,AF390,AK390,AP390,AU390,AZ390,BE390,BJ390)</f>
        <v>308</v>
      </c>
      <c r="BP390" s="7">
        <f t="shared" ref="BP390:BP427" si="1446">SUM(H390,M390,R390,W390,AB390,AG390,AL390,AQ390,AV390,BA390,BF390,BK390)</f>
        <v>0</v>
      </c>
      <c r="BQ390" s="7">
        <f t="shared" ref="BQ390:BQ427" si="1447">SUM(I390,N390,S390,X390,AC390,AH390,AM390,AR390,AW390,BB390,BG390,BL390)</f>
        <v>0</v>
      </c>
      <c r="BR390" s="8">
        <f t="shared" ref="BR390:BR427" si="1448">SUM(J390,O390,T390,Y390,AD390,AI390,AN390,AS390,AX390,BC390,BH390,BM390)</f>
        <v>0</v>
      </c>
      <c r="BS390" s="31">
        <f t="shared" si="1279"/>
        <v>308</v>
      </c>
    </row>
    <row r="391" spans="2:71" x14ac:dyDescent="0.3">
      <c r="B391" s="254"/>
      <c r="C391" s="204"/>
      <c r="D391" s="200"/>
      <c r="E391" s="201"/>
      <c r="F391" s="121" t="s">
        <v>239</v>
      </c>
      <c r="G391" s="32">
        <v>61</v>
      </c>
      <c r="H391" s="13"/>
      <c r="I391" s="13"/>
      <c r="J391" s="14"/>
      <c r="K391" s="15">
        <f t="shared" si="1278"/>
        <v>61</v>
      </c>
      <c r="L391" s="32">
        <v>55</v>
      </c>
      <c r="M391" s="13"/>
      <c r="N391" s="13"/>
      <c r="O391" s="14"/>
      <c r="P391" s="15">
        <f t="shared" si="1294"/>
        <v>55</v>
      </c>
      <c r="Q391" s="32">
        <v>1</v>
      </c>
      <c r="R391" s="13"/>
      <c r="S391" s="13"/>
      <c r="T391" s="14"/>
      <c r="U391" s="15">
        <f t="shared" si="1295"/>
        <v>1</v>
      </c>
      <c r="V391" s="32"/>
      <c r="W391" s="13"/>
      <c r="X391" s="13"/>
      <c r="Y391" s="14"/>
      <c r="Z391" s="15">
        <f t="shared" si="1296"/>
        <v>0</v>
      </c>
      <c r="AA391" s="32"/>
      <c r="AB391" s="13"/>
      <c r="AC391" s="13"/>
      <c r="AD391" s="14"/>
      <c r="AE391" s="15">
        <f t="shared" si="1297"/>
        <v>0</v>
      </c>
      <c r="AF391" s="32"/>
      <c r="AG391" s="13"/>
      <c r="AH391" s="13"/>
      <c r="AI391" s="14"/>
      <c r="AJ391" s="15">
        <f t="shared" si="1298"/>
        <v>0</v>
      </c>
      <c r="AK391" s="32"/>
      <c r="AL391" s="13"/>
      <c r="AM391" s="13"/>
      <c r="AN391" s="14"/>
      <c r="AO391" s="15">
        <f t="shared" si="1299"/>
        <v>0</v>
      </c>
      <c r="AP391" s="32"/>
      <c r="AQ391" s="13"/>
      <c r="AR391" s="13"/>
      <c r="AS391" s="14"/>
      <c r="AT391" s="15">
        <f t="shared" si="1300"/>
        <v>0</v>
      </c>
      <c r="AU391" s="32"/>
      <c r="AV391" s="13"/>
      <c r="AW391" s="13"/>
      <c r="AX391" s="14"/>
      <c r="AY391" s="15">
        <f t="shared" si="1301"/>
        <v>0</v>
      </c>
      <c r="AZ391" s="32"/>
      <c r="BA391" s="13"/>
      <c r="BB391" s="13"/>
      <c r="BC391" s="14"/>
      <c r="BD391" s="15">
        <f t="shared" si="1302"/>
        <v>0</v>
      </c>
      <c r="BE391" s="32"/>
      <c r="BF391" s="13"/>
      <c r="BG391" s="13"/>
      <c r="BH391" s="14"/>
      <c r="BI391" s="15">
        <f t="shared" si="1303"/>
        <v>0</v>
      </c>
      <c r="BJ391" s="32"/>
      <c r="BK391" s="13"/>
      <c r="BL391" s="13"/>
      <c r="BM391" s="14"/>
      <c r="BN391" s="15">
        <f t="shared" si="1304"/>
        <v>0</v>
      </c>
      <c r="BO391" s="66">
        <f t="shared" si="1445"/>
        <v>117</v>
      </c>
      <c r="BP391" s="13">
        <f t="shared" si="1446"/>
        <v>0</v>
      </c>
      <c r="BQ391" s="13">
        <f t="shared" si="1447"/>
        <v>0</v>
      </c>
      <c r="BR391" s="14">
        <f t="shared" si="1448"/>
        <v>0</v>
      </c>
      <c r="BS391" s="33">
        <f t="shared" si="1279"/>
        <v>117</v>
      </c>
    </row>
    <row r="392" spans="2:71" x14ac:dyDescent="0.3">
      <c r="B392" s="254"/>
      <c r="C392" s="204"/>
      <c r="D392" s="200"/>
      <c r="E392" s="201"/>
      <c r="F392" s="121" t="s">
        <v>240</v>
      </c>
      <c r="G392" s="32">
        <v>39</v>
      </c>
      <c r="H392" s="13"/>
      <c r="I392" s="13"/>
      <c r="J392" s="14"/>
      <c r="K392" s="15">
        <f t="shared" si="1278"/>
        <v>39</v>
      </c>
      <c r="L392" s="32">
        <v>8</v>
      </c>
      <c r="M392" s="13"/>
      <c r="N392" s="13"/>
      <c r="O392" s="14"/>
      <c r="P392" s="15">
        <f t="shared" si="1294"/>
        <v>8</v>
      </c>
      <c r="Q392" s="32"/>
      <c r="R392" s="13"/>
      <c r="S392" s="13"/>
      <c r="T392" s="14"/>
      <c r="U392" s="15">
        <f t="shared" si="1295"/>
        <v>0</v>
      </c>
      <c r="V392" s="32"/>
      <c r="W392" s="13"/>
      <c r="X392" s="13"/>
      <c r="Y392" s="14"/>
      <c r="Z392" s="15">
        <f t="shared" si="1296"/>
        <v>0</v>
      </c>
      <c r="AA392" s="32"/>
      <c r="AB392" s="13"/>
      <c r="AC392" s="13"/>
      <c r="AD392" s="14"/>
      <c r="AE392" s="15">
        <f t="shared" si="1297"/>
        <v>0</v>
      </c>
      <c r="AF392" s="32"/>
      <c r="AG392" s="13"/>
      <c r="AH392" s="13"/>
      <c r="AI392" s="14"/>
      <c r="AJ392" s="15">
        <f t="shared" si="1298"/>
        <v>0</v>
      </c>
      <c r="AK392" s="32"/>
      <c r="AL392" s="13"/>
      <c r="AM392" s="13"/>
      <c r="AN392" s="14"/>
      <c r="AO392" s="15">
        <f t="shared" si="1299"/>
        <v>0</v>
      </c>
      <c r="AP392" s="32"/>
      <c r="AQ392" s="13"/>
      <c r="AR392" s="13"/>
      <c r="AS392" s="14"/>
      <c r="AT392" s="15">
        <f t="shared" si="1300"/>
        <v>0</v>
      </c>
      <c r="AU392" s="32"/>
      <c r="AV392" s="13"/>
      <c r="AW392" s="13"/>
      <c r="AX392" s="14"/>
      <c r="AY392" s="15">
        <f t="shared" si="1301"/>
        <v>0</v>
      </c>
      <c r="AZ392" s="32"/>
      <c r="BA392" s="13"/>
      <c r="BB392" s="13"/>
      <c r="BC392" s="14"/>
      <c r="BD392" s="15">
        <f t="shared" si="1302"/>
        <v>0</v>
      </c>
      <c r="BE392" s="32"/>
      <c r="BF392" s="13"/>
      <c r="BG392" s="13"/>
      <c r="BH392" s="14"/>
      <c r="BI392" s="15">
        <f t="shared" si="1303"/>
        <v>0</v>
      </c>
      <c r="BJ392" s="32"/>
      <c r="BK392" s="13"/>
      <c r="BL392" s="13"/>
      <c r="BM392" s="14"/>
      <c r="BN392" s="15">
        <f t="shared" si="1304"/>
        <v>0</v>
      </c>
      <c r="BO392" s="66">
        <f t="shared" si="1445"/>
        <v>47</v>
      </c>
      <c r="BP392" s="13">
        <f t="shared" si="1446"/>
        <v>0</v>
      </c>
      <c r="BQ392" s="13">
        <f t="shared" si="1447"/>
        <v>0</v>
      </c>
      <c r="BR392" s="14">
        <f t="shared" si="1448"/>
        <v>0</v>
      </c>
      <c r="BS392" s="33">
        <f t="shared" si="1279"/>
        <v>47</v>
      </c>
    </row>
    <row r="393" spans="2:71" x14ac:dyDescent="0.3">
      <c r="B393" s="254"/>
      <c r="C393" s="204"/>
      <c r="D393" s="200"/>
      <c r="E393" s="201"/>
      <c r="F393" s="121" t="s">
        <v>357</v>
      </c>
      <c r="G393" s="32">
        <v>78</v>
      </c>
      <c r="H393" s="13"/>
      <c r="I393" s="13"/>
      <c r="J393" s="14"/>
      <c r="K393" s="15">
        <f t="shared" si="1278"/>
        <v>78</v>
      </c>
      <c r="L393" s="32">
        <v>317</v>
      </c>
      <c r="M393" s="13"/>
      <c r="N393" s="13"/>
      <c r="O393" s="14"/>
      <c r="P393" s="15">
        <f t="shared" si="1294"/>
        <v>317</v>
      </c>
      <c r="Q393" s="32">
        <v>32</v>
      </c>
      <c r="R393" s="13"/>
      <c r="S393" s="13"/>
      <c r="T393" s="14"/>
      <c r="U393" s="15">
        <f t="shared" si="1295"/>
        <v>32</v>
      </c>
      <c r="V393" s="32">
        <v>100</v>
      </c>
      <c r="W393" s="13"/>
      <c r="X393" s="13"/>
      <c r="Y393" s="14"/>
      <c r="Z393" s="15">
        <f t="shared" si="1296"/>
        <v>100</v>
      </c>
      <c r="AA393" s="32">
        <v>295</v>
      </c>
      <c r="AB393" s="13"/>
      <c r="AC393" s="13"/>
      <c r="AD393" s="14"/>
      <c r="AE393" s="15">
        <f t="shared" si="1297"/>
        <v>295</v>
      </c>
      <c r="AF393" s="32">
        <v>212</v>
      </c>
      <c r="AG393" s="13"/>
      <c r="AH393" s="13"/>
      <c r="AI393" s="14"/>
      <c r="AJ393" s="15">
        <f t="shared" si="1298"/>
        <v>212</v>
      </c>
      <c r="AK393" s="32">
        <v>187</v>
      </c>
      <c r="AL393" s="13"/>
      <c r="AM393" s="13"/>
      <c r="AN393" s="14"/>
      <c r="AO393" s="15">
        <f t="shared" si="1299"/>
        <v>187</v>
      </c>
      <c r="AP393" s="32"/>
      <c r="AQ393" s="13"/>
      <c r="AR393" s="13"/>
      <c r="AS393" s="14"/>
      <c r="AT393" s="15">
        <f t="shared" si="1300"/>
        <v>0</v>
      </c>
      <c r="AU393" s="32"/>
      <c r="AV393" s="13"/>
      <c r="AW393" s="13"/>
      <c r="AX393" s="14"/>
      <c r="AY393" s="15">
        <f t="shared" si="1301"/>
        <v>0</v>
      </c>
      <c r="AZ393" s="32">
        <v>307</v>
      </c>
      <c r="BA393" s="13"/>
      <c r="BB393" s="13"/>
      <c r="BC393" s="14"/>
      <c r="BD393" s="15">
        <f t="shared" si="1302"/>
        <v>307</v>
      </c>
      <c r="BE393" s="32">
        <v>145</v>
      </c>
      <c r="BF393" s="13"/>
      <c r="BG393" s="13"/>
      <c r="BH393" s="14"/>
      <c r="BI393" s="15">
        <f t="shared" si="1303"/>
        <v>145</v>
      </c>
      <c r="BJ393" s="32">
        <v>103</v>
      </c>
      <c r="BK393" s="13"/>
      <c r="BL393" s="13"/>
      <c r="BM393" s="14"/>
      <c r="BN393" s="15">
        <f t="shared" si="1304"/>
        <v>103</v>
      </c>
      <c r="BO393" s="66">
        <f t="shared" si="1445"/>
        <v>1776</v>
      </c>
      <c r="BP393" s="13">
        <f t="shared" si="1446"/>
        <v>0</v>
      </c>
      <c r="BQ393" s="13">
        <f t="shared" si="1447"/>
        <v>0</v>
      </c>
      <c r="BR393" s="14">
        <f t="shared" si="1448"/>
        <v>0</v>
      </c>
      <c r="BS393" s="33">
        <f t="shared" si="1279"/>
        <v>1776</v>
      </c>
    </row>
    <row r="394" spans="2:71" x14ac:dyDescent="0.3">
      <c r="B394" s="254"/>
      <c r="C394" s="204"/>
      <c r="D394" s="200"/>
      <c r="E394" s="201"/>
      <c r="F394" s="121" t="s">
        <v>241</v>
      </c>
      <c r="G394" s="32">
        <v>4573</v>
      </c>
      <c r="H394" s="13"/>
      <c r="I394" s="13"/>
      <c r="J394" s="14"/>
      <c r="K394" s="15">
        <f t="shared" si="1278"/>
        <v>4573</v>
      </c>
      <c r="L394" s="32">
        <v>10011</v>
      </c>
      <c r="M394" s="13"/>
      <c r="N394" s="13"/>
      <c r="O394" s="14"/>
      <c r="P394" s="15">
        <f t="shared" si="1294"/>
        <v>10011</v>
      </c>
      <c r="Q394" s="32">
        <v>834</v>
      </c>
      <c r="R394" s="13"/>
      <c r="S394" s="13"/>
      <c r="T394" s="14"/>
      <c r="U394" s="15">
        <f t="shared" si="1295"/>
        <v>834</v>
      </c>
      <c r="V394" s="32">
        <v>374</v>
      </c>
      <c r="W394" s="13"/>
      <c r="X394" s="13"/>
      <c r="Y394" s="14"/>
      <c r="Z394" s="15">
        <f t="shared" si="1296"/>
        <v>374</v>
      </c>
      <c r="AA394" s="32">
        <v>131</v>
      </c>
      <c r="AB394" s="13"/>
      <c r="AC394" s="13"/>
      <c r="AD394" s="14"/>
      <c r="AE394" s="15">
        <f t="shared" si="1297"/>
        <v>131</v>
      </c>
      <c r="AF394" s="32">
        <v>6</v>
      </c>
      <c r="AG394" s="13"/>
      <c r="AH394" s="13"/>
      <c r="AI394" s="14"/>
      <c r="AJ394" s="15">
        <f t="shared" si="1298"/>
        <v>6</v>
      </c>
      <c r="AK394" s="32"/>
      <c r="AL394" s="13"/>
      <c r="AM394" s="13"/>
      <c r="AN394" s="14"/>
      <c r="AO394" s="15">
        <f t="shared" si="1299"/>
        <v>0</v>
      </c>
      <c r="AP394" s="32"/>
      <c r="AQ394" s="13"/>
      <c r="AR394" s="13"/>
      <c r="AS394" s="14"/>
      <c r="AT394" s="15">
        <f t="shared" si="1300"/>
        <v>0</v>
      </c>
      <c r="AU394" s="32"/>
      <c r="AV394" s="13"/>
      <c r="AW394" s="13"/>
      <c r="AX394" s="14"/>
      <c r="AY394" s="15">
        <f t="shared" si="1301"/>
        <v>0</v>
      </c>
      <c r="AZ394" s="32"/>
      <c r="BA394" s="13"/>
      <c r="BB394" s="13"/>
      <c r="BC394" s="14"/>
      <c r="BD394" s="15">
        <f t="shared" si="1302"/>
        <v>0</v>
      </c>
      <c r="BE394" s="32"/>
      <c r="BF394" s="13"/>
      <c r="BG394" s="13"/>
      <c r="BH394" s="14"/>
      <c r="BI394" s="15">
        <f t="shared" si="1303"/>
        <v>0</v>
      </c>
      <c r="BJ394" s="32"/>
      <c r="BK394" s="13"/>
      <c r="BL394" s="13"/>
      <c r="BM394" s="14"/>
      <c r="BN394" s="15">
        <f t="shared" si="1304"/>
        <v>0</v>
      </c>
      <c r="BO394" s="66">
        <f t="shared" si="1445"/>
        <v>15929</v>
      </c>
      <c r="BP394" s="13">
        <f t="shared" si="1446"/>
        <v>0</v>
      </c>
      <c r="BQ394" s="13">
        <f t="shared" si="1447"/>
        <v>0</v>
      </c>
      <c r="BR394" s="14">
        <f t="shared" si="1448"/>
        <v>0</v>
      </c>
      <c r="BS394" s="33">
        <f t="shared" si="1279"/>
        <v>15929</v>
      </c>
    </row>
    <row r="395" spans="2:71" x14ac:dyDescent="0.3">
      <c r="B395" s="254"/>
      <c r="C395" s="204"/>
      <c r="D395" s="200"/>
      <c r="E395" s="201"/>
      <c r="F395" s="121" t="s">
        <v>242</v>
      </c>
      <c r="G395" s="34">
        <v>2643</v>
      </c>
      <c r="H395" s="16"/>
      <c r="I395" s="16"/>
      <c r="J395" s="17"/>
      <c r="K395" s="18">
        <f t="shared" ref="K395:K436" si="1449">SUM(G395:J395)</f>
        <v>2643</v>
      </c>
      <c r="L395" s="34">
        <v>4271</v>
      </c>
      <c r="M395" s="16"/>
      <c r="N395" s="16"/>
      <c r="O395" s="17"/>
      <c r="P395" s="18">
        <f t="shared" si="1294"/>
        <v>4271</v>
      </c>
      <c r="Q395" s="34">
        <v>301</v>
      </c>
      <c r="R395" s="16"/>
      <c r="S395" s="16"/>
      <c r="T395" s="17"/>
      <c r="U395" s="18">
        <f t="shared" si="1295"/>
        <v>301</v>
      </c>
      <c r="V395" s="34">
        <v>154</v>
      </c>
      <c r="W395" s="16"/>
      <c r="X395" s="16"/>
      <c r="Y395" s="17"/>
      <c r="Z395" s="18">
        <f t="shared" si="1296"/>
        <v>154</v>
      </c>
      <c r="AA395" s="34">
        <v>62</v>
      </c>
      <c r="AB395" s="16"/>
      <c r="AC395" s="16"/>
      <c r="AD395" s="17"/>
      <c r="AE395" s="18">
        <f t="shared" si="1297"/>
        <v>62</v>
      </c>
      <c r="AF395" s="34">
        <v>1</v>
      </c>
      <c r="AG395" s="16"/>
      <c r="AH395" s="16"/>
      <c r="AI395" s="17"/>
      <c r="AJ395" s="18">
        <f t="shared" si="1298"/>
        <v>1</v>
      </c>
      <c r="AK395" s="34"/>
      <c r="AL395" s="16"/>
      <c r="AM395" s="16"/>
      <c r="AN395" s="17"/>
      <c r="AO395" s="18">
        <f t="shared" si="1299"/>
        <v>0</v>
      </c>
      <c r="AP395" s="34"/>
      <c r="AQ395" s="16"/>
      <c r="AR395" s="16"/>
      <c r="AS395" s="17"/>
      <c r="AT395" s="18">
        <f t="shared" si="1300"/>
        <v>0</v>
      </c>
      <c r="AU395" s="34"/>
      <c r="AV395" s="16"/>
      <c r="AW395" s="16"/>
      <c r="AX395" s="17"/>
      <c r="AY395" s="18">
        <f t="shared" si="1301"/>
        <v>0</v>
      </c>
      <c r="AZ395" s="34"/>
      <c r="BA395" s="16"/>
      <c r="BB395" s="16"/>
      <c r="BC395" s="17"/>
      <c r="BD395" s="18">
        <f t="shared" si="1302"/>
        <v>0</v>
      </c>
      <c r="BE395" s="34"/>
      <c r="BF395" s="16"/>
      <c r="BG395" s="16"/>
      <c r="BH395" s="17"/>
      <c r="BI395" s="18">
        <f t="shared" si="1303"/>
        <v>0</v>
      </c>
      <c r="BJ395" s="34"/>
      <c r="BK395" s="16"/>
      <c r="BL395" s="16"/>
      <c r="BM395" s="17"/>
      <c r="BN395" s="18">
        <f t="shared" si="1304"/>
        <v>0</v>
      </c>
      <c r="BO395" s="70">
        <f t="shared" si="1445"/>
        <v>7432</v>
      </c>
      <c r="BP395" s="16">
        <f t="shared" si="1446"/>
        <v>0</v>
      </c>
      <c r="BQ395" s="16">
        <f t="shared" si="1447"/>
        <v>0</v>
      </c>
      <c r="BR395" s="17">
        <f t="shared" si="1448"/>
        <v>0</v>
      </c>
      <c r="BS395" s="35">
        <f t="shared" ref="BS395:BS436" si="1450">SUM(BO395:BR395)</f>
        <v>7432</v>
      </c>
    </row>
    <row r="396" spans="2:71" x14ac:dyDescent="0.3">
      <c r="B396" s="254"/>
      <c r="C396" s="204"/>
      <c r="D396" s="200"/>
      <c r="E396" s="201"/>
      <c r="F396" s="123" t="s">
        <v>243</v>
      </c>
      <c r="G396" s="34">
        <v>243</v>
      </c>
      <c r="H396" s="16"/>
      <c r="I396" s="16"/>
      <c r="J396" s="17"/>
      <c r="K396" s="18">
        <f t="shared" ref="K396" si="1451">SUM(G396:J396)</f>
        <v>243</v>
      </c>
      <c r="L396" s="34">
        <v>361</v>
      </c>
      <c r="M396" s="16"/>
      <c r="N396" s="16"/>
      <c r="O396" s="17"/>
      <c r="P396" s="18">
        <f t="shared" si="1294"/>
        <v>361</v>
      </c>
      <c r="Q396" s="34"/>
      <c r="R396" s="16"/>
      <c r="S396" s="16"/>
      <c r="T396" s="17"/>
      <c r="U396" s="18">
        <f t="shared" si="1295"/>
        <v>0</v>
      </c>
      <c r="V396" s="34"/>
      <c r="W396" s="16"/>
      <c r="X396" s="16"/>
      <c r="Y396" s="17"/>
      <c r="Z396" s="18">
        <f t="shared" si="1296"/>
        <v>0</v>
      </c>
      <c r="AA396" s="34"/>
      <c r="AB396" s="16"/>
      <c r="AC396" s="16"/>
      <c r="AD396" s="17"/>
      <c r="AE396" s="18">
        <f t="shared" si="1297"/>
        <v>0</v>
      </c>
      <c r="AF396" s="34"/>
      <c r="AG396" s="16"/>
      <c r="AH396" s="16"/>
      <c r="AI396" s="17"/>
      <c r="AJ396" s="18">
        <f t="shared" si="1298"/>
        <v>0</v>
      </c>
      <c r="AK396" s="34"/>
      <c r="AL396" s="16"/>
      <c r="AM396" s="16"/>
      <c r="AN396" s="17"/>
      <c r="AO396" s="18">
        <f t="shared" si="1299"/>
        <v>0</v>
      </c>
      <c r="AP396" s="34"/>
      <c r="AQ396" s="16"/>
      <c r="AR396" s="16"/>
      <c r="AS396" s="17"/>
      <c r="AT396" s="18">
        <f t="shared" si="1300"/>
        <v>0</v>
      </c>
      <c r="AU396" s="34"/>
      <c r="AV396" s="16"/>
      <c r="AW396" s="16"/>
      <c r="AX396" s="17"/>
      <c r="AY396" s="18">
        <f t="shared" si="1301"/>
        <v>0</v>
      </c>
      <c r="AZ396" s="34"/>
      <c r="BA396" s="16"/>
      <c r="BB396" s="16"/>
      <c r="BC396" s="17"/>
      <c r="BD396" s="18">
        <f t="shared" si="1302"/>
        <v>0</v>
      </c>
      <c r="BE396" s="34"/>
      <c r="BF396" s="16"/>
      <c r="BG396" s="16"/>
      <c r="BH396" s="17"/>
      <c r="BI396" s="18">
        <f t="shared" si="1303"/>
        <v>0</v>
      </c>
      <c r="BJ396" s="34"/>
      <c r="BK396" s="16"/>
      <c r="BL396" s="16"/>
      <c r="BM396" s="17"/>
      <c r="BN396" s="18">
        <f t="shared" si="1304"/>
        <v>0</v>
      </c>
      <c r="BO396" s="70">
        <f t="shared" si="1445"/>
        <v>604</v>
      </c>
      <c r="BP396" s="16">
        <f t="shared" si="1446"/>
        <v>0</v>
      </c>
      <c r="BQ396" s="16">
        <f t="shared" si="1447"/>
        <v>0</v>
      </c>
      <c r="BR396" s="17">
        <f t="shared" si="1448"/>
        <v>0</v>
      </c>
      <c r="BS396" s="35">
        <f t="shared" ref="BS396" si="1452">SUM(BO396:BR396)</f>
        <v>604</v>
      </c>
    </row>
    <row r="397" spans="2:71" x14ac:dyDescent="0.3">
      <c r="B397" s="254"/>
      <c r="C397" s="204"/>
      <c r="D397" s="200"/>
      <c r="E397" s="201"/>
      <c r="F397" s="123" t="s">
        <v>244</v>
      </c>
      <c r="G397" s="34">
        <v>117</v>
      </c>
      <c r="H397" s="16"/>
      <c r="I397" s="16"/>
      <c r="J397" s="17"/>
      <c r="K397" s="18">
        <f t="shared" ref="K397:K401" si="1453">SUM(G397:J397)</f>
        <v>117</v>
      </c>
      <c r="L397" s="34">
        <v>179</v>
      </c>
      <c r="M397" s="16"/>
      <c r="N397" s="16"/>
      <c r="O397" s="17"/>
      <c r="P397" s="18">
        <f t="shared" si="1294"/>
        <v>179</v>
      </c>
      <c r="Q397" s="34"/>
      <c r="R397" s="16"/>
      <c r="S397" s="16"/>
      <c r="T397" s="17"/>
      <c r="U397" s="18">
        <f t="shared" si="1295"/>
        <v>0</v>
      </c>
      <c r="V397" s="34"/>
      <c r="W397" s="16"/>
      <c r="X397" s="16"/>
      <c r="Y397" s="17"/>
      <c r="Z397" s="18">
        <f t="shared" si="1296"/>
        <v>0</v>
      </c>
      <c r="AA397" s="34"/>
      <c r="AB397" s="16"/>
      <c r="AC397" s="16"/>
      <c r="AD397" s="17"/>
      <c r="AE397" s="18">
        <f t="shared" si="1297"/>
        <v>0</v>
      </c>
      <c r="AF397" s="34"/>
      <c r="AG397" s="16"/>
      <c r="AH397" s="16"/>
      <c r="AI397" s="17"/>
      <c r="AJ397" s="18">
        <f t="shared" si="1298"/>
        <v>0</v>
      </c>
      <c r="AK397" s="34"/>
      <c r="AL397" s="16"/>
      <c r="AM397" s="16"/>
      <c r="AN397" s="17"/>
      <c r="AO397" s="18">
        <f t="shared" si="1299"/>
        <v>0</v>
      </c>
      <c r="AP397" s="34"/>
      <c r="AQ397" s="16"/>
      <c r="AR397" s="16"/>
      <c r="AS397" s="17"/>
      <c r="AT397" s="18">
        <f t="shared" si="1300"/>
        <v>0</v>
      </c>
      <c r="AU397" s="34"/>
      <c r="AV397" s="16"/>
      <c r="AW397" s="16"/>
      <c r="AX397" s="17"/>
      <c r="AY397" s="18">
        <f t="shared" si="1301"/>
        <v>0</v>
      </c>
      <c r="AZ397" s="34"/>
      <c r="BA397" s="16"/>
      <c r="BB397" s="16"/>
      <c r="BC397" s="17"/>
      <c r="BD397" s="18">
        <f t="shared" si="1302"/>
        <v>0</v>
      </c>
      <c r="BE397" s="34"/>
      <c r="BF397" s="16"/>
      <c r="BG397" s="16"/>
      <c r="BH397" s="17"/>
      <c r="BI397" s="18">
        <f t="shared" si="1303"/>
        <v>0</v>
      </c>
      <c r="BJ397" s="34"/>
      <c r="BK397" s="16"/>
      <c r="BL397" s="16"/>
      <c r="BM397" s="17"/>
      <c r="BN397" s="18">
        <f t="shared" si="1304"/>
        <v>0</v>
      </c>
      <c r="BO397" s="70">
        <f t="shared" si="1445"/>
        <v>296</v>
      </c>
      <c r="BP397" s="16">
        <f t="shared" si="1446"/>
        <v>0</v>
      </c>
      <c r="BQ397" s="16">
        <f t="shared" si="1447"/>
        <v>0</v>
      </c>
      <c r="BR397" s="17">
        <f t="shared" si="1448"/>
        <v>0</v>
      </c>
      <c r="BS397" s="35">
        <f t="shared" ref="BS397:BS401" si="1454">SUM(BO397:BR397)</f>
        <v>296</v>
      </c>
    </row>
    <row r="398" spans="2:71" x14ac:dyDescent="0.3">
      <c r="B398" s="254"/>
      <c r="C398" s="204"/>
      <c r="D398" s="200"/>
      <c r="E398" s="201"/>
      <c r="F398" s="123" t="s">
        <v>245</v>
      </c>
      <c r="G398" s="34">
        <v>154</v>
      </c>
      <c r="H398" s="16"/>
      <c r="I398" s="16"/>
      <c r="J398" s="17"/>
      <c r="K398" s="18">
        <f t="shared" si="1453"/>
        <v>154</v>
      </c>
      <c r="L398" s="34">
        <v>823</v>
      </c>
      <c r="M398" s="16"/>
      <c r="N398" s="16"/>
      <c r="O398" s="17"/>
      <c r="P398" s="18">
        <f t="shared" si="1294"/>
        <v>823</v>
      </c>
      <c r="Q398" s="34">
        <v>801</v>
      </c>
      <c r="R398" s="16"/>
      <c r="S398" s="16"/>
      <c r="T398" s="17"/>
      <c r="U398" s="18">
        <f t="shared" si="1295"/>
        <v>801</v>
      </c>
      <c r="V398" s="34">
        <v>795</v>
      </c>
      <c r="W398" s="16"/>
      <c r="X398" s="16"/>
      <c r="Y398" s="17"/>
      <c r="Z398" s="18">
        <f t="shared" si="1296"/>
        <v>795</v>
      </c>
      <c r="AA398" s="34">
        <v>657</v>
      </c>
      <c r="AB398" s="16"/>
      <c r="AC398" s="16"/>
      <c r="AD398" s="17"/>
      <c r="AE398" s="18">
        <f t="shared" si="1297"/>
        <v>657</v>
      </c>
      <c r="AF398" s="34">
        <v>484</v>
      </c>
      <c r="AG398" s="16"/>
      <c r="AH398" s="16"/>
      <c r="AI398" s="17"/>
      <c r="AJ398" s="18">
        <f t="shared" si="1298"/>
        <v>484</v>
      </c>
      <c r="AK398" s="34">
        <v>352</v>
      </c>
      <c r="AL398" s="16"/>
      <c r="AM398" s="16"/>
      <c r="AN398" s="17"/>
      <c r="AO398" s="18">
        <f t="shared" si="1299"/>
        <v>352</v>
      </c>
      <c r="AP398" s="34">
        <v>194</v>
      </c>
      <c r="AQ398" s="16"/>
      <c r="AR398" s="16"/>
      <c r="AS398" s="17"/>
      <c r="AT398" s="18">
        <f t="shared" si="1300"/>
        <v>194</v>
      </c>
      <c r="AU398" s="34"/>
      <c r="AV398" s="16"/>
      <c r="AW398" s="16"/>
      <c r="AX398" s="17"/>
      <c r="AY398" s="18">
        <f t="shared" si="1301"/>
        <v>0</v>
      </c>
      <c r="AZ398" s="34"/>
      <c r="BA398" s="16"/>
      <c r="BB398" s="16"/>
      <c r="BC398" s="17"/>
      <c r="BD398" s="18">
        <f t="shared" si="1302"/>
        <v>0</v>
      </c>
      <c r="BE398" s="34"/>
      <c r="BF398" s="16"/>
      <c r="BG398" s="16"/>
      <c r="BH398" s="17"/>
      <c r="BI398" s="18">
        <f t="shared" si="1303"/>
        <v>0</v>
      </c>
      <c r="BJ398" s="34"/>
      <c r="BK398" s="16"/>
      <c r="BL398" s="16"/>
      <c r="BM398" s="17"/>
      <c r="BN398" s="18">
        <f t="shared" si="1304"/>
        <v>0</v>
      </c>
      <c r="BO398" s="70">
        <f t="shared" si="1445"/>
        <v>4260</v>
      </c>
      <c r="BP398" s="16">
        <f t="shared" si="1446"/>
        <v>0</v>
      </c>
      <c r="BQ398" s="16">
        <f t="shared" si="1447"/>
        <v>0</v>
      </c>
      <c r="BR398" s="17">
        <f t="shared" si="1448"/>
        <v>0</v>
      </c>
      <c r="BS398" s="35">
        <f t="shared" si="1454"/>
        <v>4260</v>
      </c>
    </row>
    <row r="399" spans="2:71" x14ac:dyDescent="0.3">
      <c r="B399" s="254"/>
      <c r="C399" s="204"/>
      <c r="D399" s="200"/>
      <c r="E399" s="201"/>
      <c r="F399" s="123" t="s">
        <v>254</v>
      </c>
      <c r="G399" s="34"/>
      <c r="H399" s="16"/>
      <c r="I399" s="16"/>
      <c r="J399" s="17"/>
      <c r="K399" s="18">
        <f t="shared" si="1453"/>
        <v>0</v>
      </c>
      <c r="L399" s="34">
        <v>279</v>
      </c>
      <c r="M399" s="16"/>
      <c r="N399" s="16"/>
      <c r="O399" s="17"/>
      <c r="P399" s="18">
        <f t="shared" ref="P399:P401" si="1455">SUM(L399:O399)</f>
        <v>279</v>
      </c>
      <c r="Q399" s="34">
        <v>5326</v>
      </c>
      <c r="R399" s="16"/>
      <c r="S399" s="16"/>
      <c r="T399" s="17"/>
      <c r="U399" s="18">
        <f t="shared" ref="U399:U401" si="1456">SUM(Q399:T399)</f>
        <v>5326</v>
      </c>
      <c r="V399" s="34">
        <v>10020</v>
      </c>
      <c r="W399" s="16"/>
      <c r="X399" s="16"/>
      <c r="Y399" s="17"/>
      <c r="Z399" s="18">
        <f t="shared" ref="Z399:Z401" si="1457">SUM(V399:Y399)</f>
        <v>10020</v>
      </c>
      <c r="AA399" s="34">
        <v>8492</v>
      </c>
      <c r="AB399" s="16"/>
      <c r="AC399" s="16"/>
      <c r="AD399" s="17"/>
      <c r="AE399" s="18">
        <f t="shared" ref="AE399:AE401" si="1458">SUM(AA399:AD399)</f>
        <v>8492</v>
      </c>
      <c r="AF399" s="34">
        <v>3056</v>
      </c>
      <c r="AG399" s="16"/>
      <c r="AH399" s="16"/>
      <c r="AI399" s="17"/>
      <c r="AJ399" s="18">
        <f t="shared" ref="AJ399:AJ401" si="1459">SUM(AF399:AI399)</f>
        <v>3056</v>
      </c>
      <c r="AK399" s="34">
        <v>1027</v>
      </c>
      <c r="AL399" s="16"/>
      <c r="AM399" s="16"/>
      <c r="AN399" s="17"/>
      <c r="AO399" s="18">
        <f t="shared" ref="AO399:AO401" si="1460">SUM(AK399:AN399)</f>
        <v>1027</v>
      </c>
      <c r="AP399" s="34">
        <v>361</v>
      </c>
      <c r="AQ399" s="16"/>
      <c r="AR399" s="16"/>
      <c r="AS399" s="17"/>
      <c r="AT399" s="18">
        <f t="shared" ref="AT399:AT401" si="1461">SUM(AP399:AS399)</f>
        <v>361</v>
      </c>
      <c r="AU399" s="34"/>
      <c r="AV399" s="16"/>
      <c r="AW399" s="16"/>
      <c r="AX399" s="17"/>
      <c r="AY399" s="18">
        <f t="shared" ref="AY399:AY401" si="1462">SUM(AU399:AX399)</f>
        <v>0</v>
      </c>
      <c r="AZ399" s="34"/>
      <c r="BA399" s="16"/>
      <c r="BB399" s="16"/>
      <c r="BC399" s="17"/>
      <c r="BD399" s="18">
        <f t="shared" ref="BD399:BD401" si="1463">SUM(AZ399:BC399)</f>
        <v>0</v>
      </c>
      <c r="BE399" s="34"/>
      <c r="BF399" s="16"/>
      <c r="BG399" s="16"/>
      <c r="BH399" s="17"/>
      <c r="BI399" s="18">
        <f t="shared" ref="BI399:BI401" si="1464">SUM(BE399:BH399)</f>
        <v>0</v>
      </c>
      <c r="BJ399" s="34"/>
      <c r="BK399" s="16"/>
      <c r="BL399" s="16"/>
      <c r="BM399" s="17"/>
      <c r="BN399" s="18">
        <f t="shared" ref="BN399:BN401" si="1465">SUM(BJ399:BM399)</f>
        <v>0</v>
      </c>
      <c r="BO399" s="70">
        <f t="shared" si="1445"/>
        <v>28561</v>
      </c>
      <c r="BP399" s="16">
        <f t="shared" si="1446"/>
        <v>0</v>
      </c>
      <c r="BQ399" s="16">
        <f t="shared" si="1447"/>
        <v>0</v>
      </c>
      <c r="BR399" s="17">
        <f t="shared" si="1448"/>
        <v>0</v>
      </c>
      <c r="BS399" s="35">
        <f t="shared" si="1454"/>
        <v>28561</v>
      </c>
    </row>
    <row r="400" spans="2:71" x14ac:dyDescent="0.3">
      <c r="B400" s="254"/>
      <c r="C400" s="204"/>
      <c r="D400" s="200"/>
      <c r="E400" s="201"/>
      <c r="F400" s="123" t="s">
        <v>255</v>
      </c>
      <c r="G400" s="34"/>
      <c r="H400" s="16"/>
      <c r="I400" s="16"/>
      <c r="J400" s="17"/>
      <c r="K400" s="18">
        <f t="shared" si="1453"/>
        <v>0</v>
      </c>
      <c r="L400" s="34">
        <v>370</v>
      </c>
      <c r="M400" s="16"/>
      <c r="N400" s="16"/>
      <c r="O400" s="17"/>
      <c r="P400" s="18">
        <f t="shared" si="1455"/>
        <v>370</v>
      </c>
      <c r="Q400" s="34">
        <v>1589</v>
      </c>
      <c r="R400" s="16"/>
      <c r="S400" s="16"/>
      <c r="T400" s="17"/>
      <c r="U400" s="18">
        <f t="shared" si="1456"/>
        <v>1589</v>
      </c>
      <c r="V400" s="34">
        <v>3870</v>
      </c>
      <c r="W400" s="16"/>
      <c r="X400" s="16"/>
      <c r="Y400" s="17"/>
      <c r="Z400" s="18">
        <f t="shared" si="1457"/>
        <v>3870</v>
      </c>
      <c r="AA400" s="34">
        <v>7010</v>
      </c>
      <c r="AB400" s="16"/>
      <c r="AC400" s="16"/>
      <c r="AD400" s="17"/>
      <c r="AE400" s="18">
        <f t="shared" si="1458"/>
        <v>7010</v>
      </c>
      <c r="AF400" s="34">
        <v>910</v>
      </c>
      <c r="AG400" s="16"/>
      <c r="AH400" s="16"/>
      <c r="AI400" s="17"/>
      <c r="AJ400" s="18">
        <f t="shared" si="1459"/>
        <v>910</v>
      </c>
      <c r="AK400" s="34">
        <v>202</v>
      </c>
      <c r="AL400" s="16"/>
      <c r="AM400" s="16"/>
      <c r="AN400" s="17"/>
      <c r="AO400" s="18">
        <f t="shared" si="1460"/>
        <v>202</v>
      </c>
      <c r="AP400" s="34">
        <v>61</v>
      </c>
      <c r="AQ400" s="16"/>
      <c r="AR400" s="16"/>
      <c r="AS400" s="17"/>
      <c r="AT400" s="18">
        <f t="shared" si="1461"/>
        <v>61</v>
      </c>
      <c r="AU400" s="34">
        <v>1</v>
      </c>
      <c r="AV400" s="16"/>
      <c r="AW400" s="16"/>
      <c r="AX400" s="17"/>
      <c r="AY400" s="18">
        <f t="shared" si="1462"/>
        <v>1</v>
      </c>
      <c r="AZ400" s="34"/>
      <c r="BA400" s="16"/>
      <c r="BB400" s="16"/>
      <c r="BC400" s="17"/>
      <c r="BD400" s="18">
        <f t="shared" si="1463"/>
        <v>0</v>
      </c>
      <c r="BE400" s="34"/>
      <c r="BF400" s="16"/>
      <c r="BG400" s="16"/>
      <c r="BH400" s="17"/>
      <c r="BI400" s="18">
        <f t="shared" si="1464"/>
        <v>0</v>
      </c>
      <c r="BJ400" s="34"/>
      <c r="BK400" s="16"/>
      <c r="BL400" s="16"/>
      <c r="BM400" s="17"/>
      <c r="BN400" s="18">
        <f t="shared" si="1465"/>
        <v>0</v>
      </c>
      <c r="BO400" s="70">
        <f t="shared" si="1445"/>
        <v>14013</v>
      </c>
      <c r="BP400" s="16">
        <f t="shared" si="1446"/>
        <v>0</v>
      </c>
      <c r="BQ400" s="16">
        <f t="shared" si="1447"/>
        <v>0</v>
      </c>
      <c r="BR400" s="17">
        <f t="shared" si="1448"/>
        <v>0</v>
      </c>
      <c r="BS400" s="35">
        <f t="shared" si="1454"/>
        <v>14013</v>
      </c>
    </row>
    <row r="401" spans="2:71" x14ac:dyDescent="0.3">
      <c r="B401" s="254"/>
      <c r="C401" s="204"/>
      <c r="D401" s="200"/>
      <c r="E401" s="201"/>
      <c r="F401" s="123" t="s">
        <v>256</v>
      </c>
      <c r="G401" s="34"/>
      <c r="H401" s="16"/>
      <c r="I401" s="16"/>
      <c r="J401" s="17"/>
      <c r="K401" s="18">
        <f t="shared" si="1453"/>
        <v>0</v>
      </c>
      <c r="L401" s="34">
        <v>199</v>
      </c>
      <c r="M401" s="16"/>
      <c r="N401" s="16"/>
      <c r="O401" s="17"/>
      <c r="P401" s="18">
        <f t="shared" si="1455"/>
        <v>199</v>
      </c>
      <c r="Q401" s="34">
        <v>3355</v>
      </c>
      <c r="R401" s="16"/>
      <c r="S401" s="16"/>
      <c r="T401" s="17"/>
      <c r="U401" s="18">
        <f t="shared" si="1456"/>
        <v>3355</v>
      </c>
      <c r="V401" s="34">
        <v>5309</v>
      </c>
      <c r="W401" s="16"/>
      <c r="X401" s="16"/>
      <c r="Y401" s="17"/>
      <c r="Z401" s="18">
        <f t="shared" si="1457"/>
        <v>5309</v>
      </c>
      <c r="AA401" s="34">
        <v>5706</v>
      </c>
      <c r="AB401" s="16"/>
      <c r="AC401" s="16"/>
      <c r="AD401" s="17"/>
      <c r="AE401" s="18">
        <f t="shared" si="1458"/>
        <v>5706</v>
      </c>
      <c r="AF401" s="34">
        <v>838</v>
      </c>
      <c r="AG401" s="16"/>
      <c r="AH401" s="16"/>
      <c r="AI401" s="17"/>
      <c r="AJ401" s="18">
        <f t="shared" si="1459"/>
        <v>838</v>
      </c>
      <c r="AK401" s="34">
        <v>213</v>
      </c>
      <c r="AL401" s="16"/>
      <c r="AM401" s="16"/>
      <c r="AN401" s="17"/>
      <c r="AO401" s="18">
        <f t="shared" si="1460"/>
        <v>213</v>
      </c>
      <c r="AP401" s="34">
        <v>68</v>
      </c>
      <c r="AQ401" s="16"/>
      <c r="AR401" s="16"/>
      <c r="AS401" s="17"/>
      <c r="AT401" s="18">
        <f t="shared" si="1461"/>
        <v>68</v>
      </c>
      <c r="AU401" s="34"/>
      <c r="AV401" s="16"/>
      <c r="AW401" s="16"/>
      <c r="AX401" s="17"/>
      <c r="AY401" s="18">
        <f t="shared" si="1462"/>
        <v>0</v>
      </c>
      <c r="AZ401" s="34"/>
      <c r="BA401" s="16"/>
      <c r="BB401" s="16"/>
      <c r="BC401" s="17"/>
      <c r="BD401" s="18">
        <f t="shared" si="1463"/>
        <v>0</v>
      </c>
      <c r="BE401" s="34"/>
      <c r="BF401" s="16"/>
      <c r="BG401" s="16"/>
      <c r="BH401" s="17"/>
      <c r="BI401" s="18">
        <f t="shared" si="1464"/>
        <v>0</v>
      </c>
      <c r="BJ401" s="34">
        <v>1</v>
      </c>
      <c r="BK401" s="16"/>
      <c r="BL401" s="16"/>
      <c r="BM401" s="17"/>
      <c r="BN401" s="18">
        <f t="shared" si="1465"/>
        <v>1</v>
      </c>
      <c r="BO401" s="70">
        <f t="shared" si="1445"/>
        <v>15689</v>
      </c>
      <c r="BP401" s="16">
        <f t="shared" si="1446"/>
        <v>0</v>
      </c>
      <c r="BQ401" s="16">
        <f t="shared" si="1447"/>
        <v>0</v>
      </c>
      <c r="BR401" s="17">
        <f t="shared" si="1448"/>
        <v>0</v>
      </c>
      <c r="BS401" s="35">
        <f t="shared" si="1454"/>
        <v>15689</v>
      </c>
    </row>
    <row r="402" spans="2:71" x14ac:dyDescent="0.3">
      <c r="B402" s="254"/>
      <c r="C402" s="204"/>
      <c r="D402" s="200"/>
      <c r="E402" s="201"/>
      <c r="F402" s="123" t="s">
        <v>257</v>
      </c>
      <c r="G402" s="34"/>
      <c r="H402" s="16"/>
      <c r="I402" s="16"/>
      <c r="J402" s="17"/>
      <c r="K402" s="18">
        <f t="shared" ref="K402:K425" si="1466">SUM(G402:J402)</f>
        <v>0</v>
      </c>
      <c r="L402" s="34">
        <v>32</v>
      </c>
      <c r="M402" s="16"/>
      <c r="N402" s="16"/>
      <c r="O402" s="17"/>
      <c r="P402" s="18">
        <f t="shared" si="1294"/>
        <v>32</v>
      </c>
      <c r="Q402" s="34">
        <v>1205</v>
      </c>
      <c r="R402" s="16"/>
      <c r="S402" s="16"/>
      <c r="T402" s="17"/>
      <c r="U402" s="18">
        <f t="shared" si="1295"/>
        <v>1205</v>
      </c>
      <c r="V402" s="34">
        <v>2543</v>
      </c>
      <c r="W402" s="16"/>
      <c r="X402" s="16"/>
      <c r="Y402" s="17"/>
      <c r="Z402" s="18">
        <f t="shared" si="1296"/>
        <v>2543</v>
      </c>
      <c r="AA402" s="34">
        <v>3106</v>
      </c>
      <c r="AB402" s="16"/>
      <c r="AC402" s="16"/>
      <c r="AD402" s="17"/>
      <c r="AE402" s="18">
        <f t="shared" si="1297"/>
        <v>3106</v>
      </c>
      <c r="AF402" s="34">
        <v>289</v>
      </c>
      <c r="AG402" s="16"/>
      <c r="AH402" s="16"/>
      <c r="AI402" s="17"/>
      <c r="AJ402" s="18">
        <f t="shared" si="1298"/>
        <v>289</v>
      </c>
      <c r="AK402" s="34">
        <v>81</v>
      </c>
      <c r="AL402" s="16"/>
      <c r="AM402" s="16"/>
      <c r="AN402" s="17"/>
      <c r="AO402" s="18">
        <f t="shared" si="1299"/>
        <v>81</v>
      </c>
      <c r="AP402" s="34">
        <v>59</v>
      </c>
      <c r="AQ402" s="16"/>
      <c r="AR402" s="16"/>
      <c r="AS402" s="17"/>
      <c r="AT402" s="18">
        <f t="shared" si="1300"/>
        <v>59</v>
      </c>
      <c r="AU402" s="34"/>
      <c r="AV402" s="16"/>
      <c r="AW402" s="16"/>
      <c r="AX402" s="17"/>
      <c r="AY402" s="18">
        <f t="shared" si="1301"/>
        <v>0</v>
      </c>
      <c r="AZ402" s="34">
        <v>1</v>
      </c>
      <c r="BA402" s="16"/>
      <c r="BB402" s="16"/>
      <c r="BC402" s="17"/>
      <c r="BD402" s="18">
        <f t="shared" si="1302"/>
        <v>1</v>
      </c>
      <c r="BE402" s="34"/>
      <c r="BF402" s="16"/>
      <c r="BG402" s="16"/>
      <c r="BH402" s="17"/>
      <c r="BI402" s="18">
        <f t="shared" si="1303"/>
        <v>0</v>
      </c>
      <c r="BJ402" s="34"/>
      <c r="BK402" s="16"/>
      <c r="BL402" s="16"/>
      <c r="BM402" s="17"/>
      <c r="BN402" s="18">
        <f t="shared" si="1304"/>
        <v>0</v>
      </c>
      <c r="BO402" s="70">
        <f t="shared" si="1445"/>
        <v>7316</v>
      </c>
      <c r="BP402" s="16">
        <f t="shared" si="1446"/>
        <v>0</v>
      </c>
      <c r="BQ402" s="16">
        <f t="shared" si="1447"/>
        <v>0</v>
      </c>
      <c r="BR402" s="17">
        <f t="shared" si="1448"/>
        <v>0</v>
      </c>
      <c r="BS402" s="35">
        <f t="shared" ref="BS402:BS425" si="1467">SUM(BO402:BR402)</f>
        <v>7316</v>
      </c>
    </row>
    <row r="403" spans="2:71" x14ac:dyDescent="0.3">
      <c r="B403" s="254"/>
      <c r="C403" s="204"/>
      <c r="D403" s="200"/>
      <c r="E403" s="201"/>
      <c r="F403" s="123" t="s">
        <v>272</v>
      </c>
      <c r="G403" s="34"/>
      <c r="H403" s="16"/>
      <c r="I403" s="16"/>
      <c r="J403" s="17"/>
      <c r="K403" s="18">
        <f t="shared" si="1466"/>
        <v>0</v>
      </c>
      <c r="L403" s="34"/>
      <c r="M403" s="16"/>
      <c r="N403" s="16"/>
      <c r="O403" s="17"/>
      <c r="P403" s="18">
        <f t="shared" si="1294"/>
        <v>0</v>
      </c>
      <c r="Q403" s="34">
        <v>296</v>
      </c>
      <c r="R403" s="16"/>
      <c r="S403" s="16"/>
      <c r="T403" s="17"/>
      <c r="U403" s="18">
        <f t="shared" si="1295"/>
        <v>296</v>
      </c>
      <c r="V403" s="34">
        <v>483</v>
      </c>
      <c r="W403" s="16"/>
      <c r="X403" s="16"/>
      <c r="Y403" s="17"/>
      <c r="Z403" s="18">
        <f t="shared" si="1296"/>
        <v>483</v>
      </c>
      <c r="AA403" s="34">
        <v>195</v>
      </c>
      <c r="AB403" s="16"/>
      <c r="AC403" s="16"/>
      <c r="AD403" s="17"/>
      <c r="AE403" s="18">
        <f t="shared" si="1297"/>
        <v>195</v>
      </c>
      <c r="AF403" s="34">
        <v>3</v>
      </c>
      <c r="AG403" s="16"/>
      <c r="AH403" s="16"/>
      <c r="AI403" s="17"/>
      <c r="AJ403" s="18">
        <f t="shared" si="1298"/>
        <v>3</v>
      </c>
      <c r="AK403" s="34"/>
      <c r="AL403" s="16"/>
      <c r="AM403" s="16"/>
      <c r="AN403" s="17"/>
      <c r="AO403" s="18">
        <f t="shared" si="1299"/>
        <v>0</v>
      </c>
      <c r="AP403" s="34"/>
      <c r="AQ403" s="16"/>
      <c r="AR403" s="16"/>
      <c r="AS403" s="17"/>
      <c r="AT403" s="18">
        <f t="shared" si="1300"/>
        <v>0</v>
      </c>
      <c r="AU403" s="34"/>
      <c r="AV403" s="16"/>
      <c r="AW403" s="16"/>
      <c r="AX403" s="17"/>
      <c r="AY403" s="18">
        <f t="shared" si="1301"/>
        <v>0</v>
      </c>
      <c r="AZ403" s="34"/>
      <c r="BA403" s="16"/>
      <c r="BB403" s="16"/>
      <c r="BC403" s="17"/>
      <c r="BD403" s="18">
        <f t="shared" si="1302"/>
        <v>0</v>
      </c>
      <c r="BE403" s="34"/>
      <c r="BF403" s="16"/>
      <c r="BG403" s="16"/>
      <c r="BH403" s="17"/>
      <c r="BI403" s="18">
        <f t="shared" si="1303"/>
        <v>0</v>
      </c>
      <c r="BJ403" s="34"/>
      <c r="BK403" s="16"/>
      <c r="BL403" s="16"/>
      <c r="BM403" s="17"/>
      <c r="BN403" s="18">
        <f t="shared" si="1304"/>
        <v>0</v>
      </c>
      <c r="BO403" s="70">
        <f t="shared" si="1445"/>
        <v>977</v>
      </c>
      <c r="BP403" s="16">
        <f t="shared" si="1446"/>
        <v>0</v>
      </c>
      <c r="BQ403" s="16">
        <f t="shared" si="1447"/>
        <v>0</v>
      </c>
      <c r="BR403" s="17">
        <f t="shared" si="1448"/>
        <v>0</v>
      </c>
      <c r="BS403" s="35">
        <f t="shared" si="1467"/>
        <v>977</v>
      </c>
    </row>
    <row r="404" spans="2:71" x14ac:dyDescent="0.3">
      <c r="B404" s="254"/>
      <c r="C404" s="204"/>
      <c r="D404" s="200"/>
      <c r="E404" s="201"/>
      <c r="F404" s="123" t="s">
        <v>273</v>
      </c>
      <c r="G404" s="34"/>
      <c r="H404" s="16"/>
      <c r="I404" s="16"/>
      <c r="J404" s="17"/>
      <c r="K404" s="18">
        <f t="shared" si="1466"/>
        <v>0</v>
      </c>
      <c r="L404" s="34"/>
      <c r="M404" s="16"/>
      <c r="N404" s="16"/>
      <c r="O404" s="17"/>
      <c r="P404" s="18">
        <f t="shared" si="1294"/>
        <v>0</v>
      </c>
      <c r="Q404" s="34">
        <v>15</v>
      </c>
      <c r="R404" s="16"/>
      <c r="S404" s="16"/>
      <c r="T404" s="17"/>
      <c r="U404" s="18">
        <f t="shared" si="1295"/>
        <v>15</v>
      </c>
      <c r="V404" s="34">
        <v>69</v>
      </c>
      <c r="W404" s="16"/>
      <c r="X404" s="16"/>
      <c r="Y404" s="17"/>
      <c r="Z404" s="18">
        <f t="shared" si="1296"/>
        <v>69</v>
      </c>
      <c r="AA404" s="34">
        <v>91</v>
      </c>
      <c r="AB404" s="16"/>
      <c r="AC404" s="16"/>
      <c r="AD404" s="17"/>
      <c r="AE404" s="18">
        <f t="shared" si="1297"/>
        <v>91</v>
      </c>
      <c r="AF404" s="34"/>
      <c r="AG404" s="16"/>
      <c r="AH404" s="16"/>
      <c r="AI404" s="17"/>
      <c r="AJ404" s="18">
        <f t="shared" si="1298"/>
        <v>0</v>
      </c>
      <c r="AK404" s="34"/>
      <c r="AL404" s="16"/>
      <c r="AM404" s="16"/>
      <c r="AN404" s="17"/>
      <c r="AO404" s="18">
        <f t="shared" si="1299"/>
        <v>0</v>
      </c>
      <c r="AP404" s="34"/>
      <c r="AQ404" s="16"/>
      <c r="AR404" s="16"/>
      <c r="AS404" s="17"/>
      <c r="AT404" s="18">
        <f t="shared" si="1300"/>
        <v>0</v>
      </c>
      <c r="AU404" s="34"/>
      <c r="AV404" s="16"/>
      <c r="AW404" s="16"/>
      <c r="AX404" s="17"/>
      <c r="AY404" s="18">
        <f t="shared" si="1301"/>
        <v>0</v>
      </c>
      <c r="AZ404" s="34"/>
      <c r="BA404" s="16"/>
      <c r="BB404" s="16"/>
      <c r="BC404" s="17"/>
      <c r="BD404" s="18">
        <f t="shared" si="1302"/>
        <v>0</v>
      </c>
      <c r="BE404" s="34"/>
      <c r="BF404" s="16"/>
      <c r="BG404" s="16"/>
      <c r="BH404" s="17"/>
      <c r="BI404" s="18">
        <f t="shared" si="1303"/>
        <v>0</v>
      </c>
      <c r="BJ404" s="34"/>
      <c r="BK404" s="16"/>
      <c r="BL404" s="16"/>
      <c r="BM404" s="17"/>
      <c r="BN404" s="18">
        <f t="shared" si="1304"/>
        <v>0</v>
      </c>
      <c r="BO404" s="70">
        <f t="shared" si="1445"/>
        <v>175</v>
      </c>
      <c r="BP404" s="16">
        <f t="shared" si="1446"/>
        <v>0</v>
      </c>
      <c r="BQ404" s="16">
        <f t="shared" si="1447"/>
        <v>0</v>
      </c>
      <c r="BR404" s="17">
        <f t="shared" si="1448"/>
        <v>0</v>
      </c>
      <c r="BS404" s="35">
        <f t="shared" si="1467"/>
        <v>175</v>
      </c>
    </row>
    <row r="405" spans="2:71" x14ac:dyDescent="0.3">
      <c r="B405" s="254"/>
      <c r="C405" s="204"/>
      <c r="D405" s="200"/>
      <c r="E405" s="201"/>
      <c r="F405" s="123" t="s">
        <v>274</v>
      </c>
      <c r="G405" s="34"/>
      <c r="H405" s="16"/>
      <c r="I405" s="16"/>
      <c r="J405" s="17"/>
      <c r="K405" s="18">
        <f t="shared" si="1466"/>
        <v>0</v>
      </c>
      <c r="L405" s="34"/>
      <c r="M405" s="16"/>
      <c r="N405" s="16"/>
      <c r="O405" s="17"/>
      <c r="P405" s="18">
        <f t="shared" si="1294"/>
        <v>0</v>
      </c>
      <c r="Q405" s="34">
        <v>149</v>
      </c>
      <c r="R405" s="16"/>
      <c r="S405" s="16"/>
      <c r="T405" s="17"/>
      <c r="U405" s="18">
        <f t="shared" si="1295"/>
        <v>149</v>
      </c>
      <c r="V405" s="34">
        <v>144</v>
      </c>
      <c r="W405" s="16"/>
      <c r="X405" s="16"/>
      <c r="Y405" s="17"/>
      <c r="Z405" s="18">
        <f t="shared" si="1296"/>
        <v>144</v>
      </c>
      <c r="AA405" s="34">
        <v>126</v>
      </c>
      <c r="AB405" s="16"/>
      <c r="AC405" s="16"/>
      <c r="AD405" s="17"/>
      <c r="AE405" s="18">
        <f t="shared" si="1297"/>
        <v>126</v>
      </c>
      <c r="AF405" s="34"/>
      <c r="AG405" s="16"/>
      <c r="AH405" s="16"/>
      <c r="AI405" s="17"/>
      <c r="AJ405" s="18">
        <f t="shared" si="1298"/>
        <v>0</v>
      </c>
      <c r="AK405" s="34"/>
      <c r="AL405" s="16"/>
      <c r="AM405" s="16"/>
      <c r="AN405" s="17"/>
      <c r="AO405" s="18">
        <f t="shared" si="1299"/>
        <v>0</v>
      </c>
      <c r="AP405" s="34"/>
      <c r="AQ405" s="16"/>
      <c r="AR405" s="16"/>
      <c r="AS405" s="17"/>
      <c r="AT405" s="18">
        <f t="shared" si="1300"/>
        <v>0</v>
      </c>
      <c r="AU405" s="34"/>
      <c r="AV405" s="16"/>
      <c r="AW405" s="16"/>
      <c r="AX405" s="17"/>
      <c r="AY405" s="18">
        <f t="shared" si="1301"/>
        <v>0</v>
      </c>
      <c r="AZ405" s="34"/>
      <c r="BA405" s="16"/>
      <c r="BB405" s="16"/>
      <c r="BC405" s="17"/>
      <c r="BD405" s="18">
        <f t="shared" si="1302"/>
        <v>0</v>
      </c>
      <c r="BE405" s="34"/>
      <c r="BF405" s="16"/>
      <c r="BG405" s="16"/>
      <c r="BH405" s="17"/>
      <c r="BI405" s="18">
        <f t="shared" si="1303"/>
        <v>0</v>
      </c>
      <c r="BJ405" s="34"/>
      <c r="BK405" s="16"/>
      <c r="BL405" s="16"/>
      <c r="BM405" s="17"/>
      <c r="BN405" s="18">
        <f t="shared" si="1304"/>
        <v>0</v>
      </c>
      <c r="BO405" s="70">
        <f t="shared" si="1445"/>
        <v>419</v>
      </c>
      <c r="BP405" s="16">
        <f t="shared" si="1446"/>
        <v>0</v>
      </c>
      <c r="BQ405" s="16">
        <f t="shared" si="1447"/>
        <v>0</v>
      </c>
      <c r="BR405" s="17">
        <f t="shared" si="1448"/>
        <v>0</v>
      </c>
      <c r="BS405" s="35">
        <f t="shared" si="1467"/>
        <v>419</v>
      </c>
    </row>
    <row r="406" spans="2:71" x14ac:dyDescent="0.3">
      <c r="B406" s="254"/>
      <c r="C406" s="204"/>
      <c r="D406" s="200"/>
      <c r="E406" s="201"/>
      <c r="F406" s="123" t="s">
        <v>275</v>
      </c>
      <c r="G406" s="34"/>
      <c r="H406" s="16"/>
      <c r="I406" s="16"/>
      <c r="J406" s="17"/>
      <c r="K406" s="18">
        <f t="shared" ref="K406:K410" si="1468">SUM(G406:J406)</f>
        <v>0</v>
      </c>
      <c r="L406" s="34"/>
      <c r="M406" s="16"/>
      <c r="N406" s="16"/>
      <c r="O406" s="17"/>
      <c r="P406" s="18">
        <f t="shared" ref="P406:P410" si="1469">SUM(L406:O406)</f>
        <v>0</v>
      </c>
      <c r="Q406" s="34">
        <v>33</v>
      </c>
      <c r="R406" s="16"/>
      <c r="S406" s="16"/>
      <c r="T406" s="17"/>
      <c r="U406" s="18">
        <f t="shared" ref="U406:U410" si="1470">SUM(Q406:T406)</f>
        <v>33</v>
      </c>
      <c r="V406" s="34">
        <v>78</v>
      </c>
      <c r="W406" s="16"/>
      <c r="X406" s="16"/>
      <c r="Y406" s="17"/>
      <c r="Z406" s="18">
        <f t="shared" ref="Z406:Z410" si="1471">SUM(V406:Y406)</f>
        <v>78</v>
      </c>
      <c r="AA406" s="34">
        <v>66</v>
      </c>
      <c r="AB406" s="16"/>
      <c r="AC406" s="16"/>
      <c r="AD406" s="17"/>
      <c r="AE406" s="18">
        <f t="shared" ref="AE406:AE410" si="1472">SUM(AA406:AD406)</f>
        <v>66</v>
      </c>
      <c r="AF406" s="34"/>
      <c r="AG406" s="16"/>
      <c r="AH406" s="16"/>
      <c r="AI406" s="17"/>
      <c r="AJ406" s="18">
        <f t="shared" ref="AJ406:AJ410" si="1473">SUM(AF406:AI406)</f>
        <v>0</v>
      </c>
      <c r="AK406" s="34"/>
      <c r="AL406" s="16"/>
      <c r="AM406" s="16"/>
      <c r="AN406" s="17"/>
      <c r="AO406" s="18">
        <f t="shared" ref="AO406:AO410" si="1474">SUM(AK406:AN406)</f>
        <v>0</v>
      </c>
      <c r="AP406" s="34"/>
      <c r="AQ406" s="16"/>
      <c r="AR406" s="16"/>
      <c r="AS406" s="17"/>
      <c r="AT406" s="18">
        <f t="shared" ref="AT406:AT410" si="1475">SUM(AP406:AS406)</f>
        <v>0</v>
      </c>
      <c r="AU406" s="34"/>
      <c r="AV406" s="16"/>
      <c r="AW406" s="16"/>
      <c r="AX406" s="17"/>
      <c r="AY406" s="18">
        <f t="shared" ref="AY406:AY410" si="1476">SUM(AU406:AX406)</f>
        <v>0</v>
      </c>
      <c r="AZ406" s="34"/>
      <c r="BA406" s="16"/>
      <c r="BB406" s="16"/>
      <c r="BC406" s="17"/>
      <c r="BD406" s="18">
        <f t="shared" ref="BD406:BD410" si="1477">SUM(AZ406:BC406)</f>
        <v>0</v>
      </c>
      <c r="BE406" s="34"/>
      <c r="BF406" s="16"/>
      <c r="BG406" s="16"/>
      <c r="BH406" s="17"/>
      <c r="BI406" s="18">
        <f t="shared" ref="BI406:BI410" si="1478">SUM(BE406:BH406)</f>
        <v>0</v>
      </c>
      <c r="BJ406" s="34"/>
      <c r="BK406" s="16"/>
      <c r="BL406" s="16"/>
      <c r="BM406" s="17"/>
      <c r="BN406" s="18">
        <f t="shared" ref="BN406:BN410" si="1479">SUM(BJ406:BM406)</f>
        <v>0</v>
      </c>
      <c r="BO406" s="70">
        <f t="shared" si="1445"/>
        <v>177</v>
      </c>
      <c r="BP406" s="16">
        <f t="shared" si="1446"/>
        <v>0</v>
      </c>
      <c r="BQ406" s="16">
        <f t="shared" si="1447"/>
        <v>0</v>
      </c>
      <c r="BR406" s="17">
        <f t="shared" si="1448"/>
        <v>0</v>
      </c>
      <c r="BS406" s="35">
        <f t="shared" ref="BS406:BS410" si="1480">SUM(BO406:BR406)</f>
        <v>177</v>
      </c>
    </row>
    <row r="407" spans="2:71" x14ac:dyDescent="0.3">
      <c r="B407" s="254"/>
      <c r="C407" s="204"/>
      <c r="D407" s="200"/>
      <c r="E407" s="201"/>
      <c r="F407" s="123" t="s">
        <v>341</v>
      </c>
      <c r="G407" s="34"/>
      <c r="H407" s="16"/>
      <c r="I407" s="16"/>
      <c r="J407" s="17"/>
      <c r="K407" s="18">
        <f t="shared" si="1468"/>
        <v>0</v>
      </c>
      <c r="L407" s="34"/>
      <c r="M407" s="16"/>
      <c r="N407" s="16"/>
      <c r="O407" s="17"/>
      <c r="P407" s="18">
        <f t="shared" si="1469"/>
        <v>0</v>
      </c>
      <c r="Q407" s="34"/>
      <c r="R407" s="16"/>
      <c r="S407" s="16"/>
      <c r="T407" s="17"/>
      <c r="U407" s="18">
        <f t="shared" si="1470"/>
        <v>0</v>
      </c>
      <c r="V407" s="34"/>
      <c r="W407" s="16"/>
      <c r="X407" s="16"/>
      <c r="Y407" s="17"/>
      <c r="Z407" s="18">
        <f t="shared" si="1471"/>
        <v>0</v>
      </c>
      <c r="AA407" s="34">
        <v>80</v>
      </c>
      <c r="AB407" s="16"/>
      <c r="AC407" s="16"/>
      <c r="AD407" s="17"/>
      <c r="AE407" s="18">
        <f t="shared" si="1472"/>
        <v>80</v>
      </c>
      <c r="AF407" s="34">
        <v>6812</v>
      </c>
      <c r="AG407" s="16"/>
      <c r="AH407" s="16"/>
      <c r="AI407" s="17"/>
      <c r="AJ407" s="18">
        <f t="shared" si="1473"/>
        <v>6812</v>
      </c>
      <c r="AK407" s="34">
        <v>2455</v>
      </c>
      <c r="AL407" s="16"/>
      <c r="AM407" s="16"/>
      <c r="AN407" s="17"/>
      <c r="AO407" s="18">
        <f t="shared" si="1474"/>
        <v>2455</v>
      </c>
      <c r="AP407" s="34">
        <v>5087</v>
      </c>
      <c r="AQ407" s="16"/>
      <c r="AR407" s="16"/>
      <c r="AS407" s="17"/>
      <c r="AT407" s="18">
        <f t="shared" si="1475"/>
        <v>5087</v>
      </c>
      <c r="AU407" s="34">
        <v>844</v>
      </c>
      <c r="AV407" s="16"/>
      <c r="AW407" s="16"/>
      <c r="AX407" s="17"/>
      <c r="AY407" s="18">
        <f t="shared" si="1476"/>
        <v>844</v>
      </c>
      <c r="AZ407" s="34">
        <v>525</v>
      </c>
      <c r="BA407" s="16"/>
      <c r="BB407" s="16"/>
      <c r="BC407" s="17"/>
      <c r="BD407" s="18">
        <f t="shared" si="1477"/>
        <v>525</v>
      </c>
      <c r="BE407" s="34">
        <v>110</v>
      </c>
      <c r="BF407" s="16"/>
      <c r="BG407" s="16"/>
      <c r="BH407" s="17"/>
      <c r="BI407" s="18">
        <f t="shared" si="1478"/>
        <v>110</v>
      </c>
      <c r="BJ407" s="34"/>
      <c r="BK407" s="16"/>
      <c r="BL407" s="16"/>
      <c r="BM407" s="17"/>
      <c r="BN407" s="18">
        <f t="shared" si="1479"/>
        <v>0</v>
      </c>
      <c r="BO407" s="70">
        <f t="shared" si="1445"/>
        <v>15913</v>
      </c>
      <c r="BP407" s="16">
        <f t="shared" si="1446"/>
        <v>0</v>
      </c>
      <c r="BQ407" s="16">
        <f t="shared" si="1447"/>
        <v>0</v>
      </c>
      <c r="BR407" s="17">
        <f t="shared" si="1448"/>
        <v>0</v>
      </c>
      <c r="BS407" s="35">
        <f t="shared" si="1480"/>
        <v>15913</v>
      </c>
    </row>
    <row r="408" spans="2:71" x14ac:dyDescent="0.3">
      <c r="B408" s="254"/>
      <c r="C408" s="204"/>
      <c r="D408" s="200"/>
      <c r="E408" s="201"/>
      <c r="F408" s="123" t="s">
        <v>342</v>
      </c>
      <c r="G408" s="34"/>
      <c r="H408" s="16"/>
      <c r="I408" s="16"/>
      <c r="J408" s="17"/>
      <c r="K408" s="18">
        <f t="shared" si="1468"/>
        <v>0</v>
      </c>
      <c r="L408" s="34"/>
      <c r="M408" s="16"/>
      <c r="N408" s="16"/>
      <c r="O408" s="17"/>
      <c r="P408" s="18">
        <f t="shared" si="1469"/>
        <v>0</v>
      </c>
      <c r="Q408" s="34"/>
      <c r="R408" s="16"/>
      <c r="S408" s="16"/>
      <c r="T408" s="17"/>
      <c r="U408" s="18">
        <f t="shared" si="1470"/>
        <v>0</v>
      </c>
      <c r="V408" s="34"/>
      <c r="W408" s="16"/>
      <c r="X408" s="16"/>
      <c r="Y408" s="17"/>
      <c r="Z408" s="18">
        <f t="shared" si="1471"/>
        <v>0</v>
      </c>
      <c r="AA408" s="34">
        <v>87</v>
      </c>
      <c r="AB408" s="16"/>
      <c r="AC408" s="16"/>
      <c r="AD408" s="17"/>
      <c r="AE408" s="18">
        <f t="shared" si="1472"/>
        <v>87</v>
      </c>
      <c r="AF408" s="34">
        <v>4077</v>
      </c>
      <c r="AG408" s="16"/>
      <c r="AH408" s="16"/>
      <c r="AI408" s="17"/>
      <c r="AJ408" s="18">
        <f t="shared" si="1473"/>
        <v>4077</v>
      </c>
      <c r="AK408" s="34">
        <v>2032</v>
      </c>
      <c r="AL408" s="16"/>
      <c r="AM408" s="16"/>
      <c r="AN408" s="17"/>
      <c r="AO408" s="18">
        <f t="shared" si="1474"/>
        <v>2032</v>
      </c>
      <c r="AP408" s="34">
        <v>3055</v>
      </c>
      <c r="AQ408" s="16"/>
      <c r="AR408" s="16"/>
      <c r="AS408" s="17"/>
      <c r="AT408" s="18">
        <f t="shared" si="1475"/>
        <v>3055</v>
      </c>
      <c r="AU408" s="34">
        <v>310</v>
      </c>
      <c r="AV408" s="16"/>
      <c r="AW408" s="16"/>
      <c r="AX408" s="17"/>
      <c r="AY408" s="18">
        <f t="shared" si="1476"/>
        <v>310</v>
      </c>
      <c r="AZ408" s="34">
        <v>162</v>
      </c>
      <c r="BA408" s="16"/>
      <c r="BB408" s="16"/>
      <c r="BC408" s="17"/>
      <c r="BD408" s="18">
        <f t="shared" si="1477"/>
        <v>162</v>
      </c>
      <c r="BE408" s="34">
        <v>32</v>
      </c>
      <c r="BF408" s="16"/>
      <c r="BG408" s="16"/>
      <c r="BH408" s="17"/>
      <c r="BI408" s="18">
        <f t="shared" si="1478"/>
        <v>32</v>
      </c>
      <c r="BJ408" s="34"/>
      <c r="BK408" s="16"/>
      <c r="BL408" s="16"/>
      <c r="BM408" s="17"/>
      <c r="BN408" s="18">
        <f t="shared" si="1479"/>
        <v>0</v>
      </c>
      <c r="BO408" s="70">
        <f t="shared" si="1445"/>
        <v>9755</v>
      </c>
      <c r="BP408" s="16">
        <f t="shared" si="1446"/>
        <v>0</v>
      </c>
      <c r="BQ408" s="16">
        <f t="shared" si="1447"/>
        <v>0</v>
      </c>
      <c r="BR408" s="17">
        <f t="shared" si="1448"/>
        <v>0</v>
      </c>
      <c r="BS408" s="35">
        <f t="shared" si="1480"/>
        <v>9755</v>
      </c>
    </row>
    <row r="409" spans="2:71" x14ac:dyDescent="0.3">
      <c r="B409" s="254"/>
      <c r="C409" s="204"/>
      <c r="D409" s="200"/>
      <c r="E409" s="201"/>
      <c r="F409" s="123" t="s">
        <v>344</v>
      </c>
      <c r="G409" s="34"/>
      <c r="H409" s="16"/>
      <c r="I409" s="16"/>
      <c r="J409" s="17"/>
      <c r="K409" s="18">
        <f t="shared" si="1468"/>
        <v>0</v>
      </c>
      <c r="L409" s="34"/>
      <c r="M409" s="16"/>
      <c r="N409" s="16"/>
      <c r="O409" s="17"/>
      <c r="P409" s="18">
        <f t="shared" si="1469"/>
        <v>0</v>
      </c>
      <c r="Q409" s="34"/>
      <c r="R409" s="16"/>
      <c r="S409" s="16"/>
      <c r="T409" s="17"/>
      <c r="U409" s="18">
        <f t="shared" si="1470"/>
        <v>0</v>
      </c>
      <c r="V409" s="34"/>
      <c r="W409" s="16"/>
      <c r="X409" s="16"/>
      <c r="Y409" s="17"/>
      <c r="Z409" s="18">
        <f t="shared" si="1471"/>
        <v>0</v>
      </c>
      <c r="AA409" s="34">
        <v>93</v>
      </c>
      <c r="AB409" s="16"/>
      <c r="AC409" s="16"/>
      <c r="AD409" s="17"/>
      <c r="AE409" s="18">
        <f t="shared" si="1472"/>
        <v>93</v>
      </c>
      <c r="AF409" s="34">
        <v>6683</v>
      </c>
      <c r="AG409" s="16"/>
      <c r="AH409" s="16"/>
      <c r="AI409" s="17"/>
      <c r="AJ409" s="18">
        <f t="shared" si="1473"/>
        <v>6683</v>
      </c>
      <c r="AK409" s="34">
        <v>3119</v>
      </c>
      <c r="AL409" s="16"/>
      <c r="AM409" s="16"/>
      <c r="AN409" s="17"/>
      <c r="AO409" s="18">
        <f t="shared" si="1474"/>
        <v>3119</v>
      </c>
      <c r="AP409" s="34">
        <v>7014</v>
      </c>
      <c r="AQ409" s="16"/>
      <c r="AR409" s="16"/>
      <c r="AS409" s="17"/>
      <c r="AT409" s="18">
        <f t="shared" si="1475"/>
        <v>7014</v>
      </c>
      <c r="AU409" s="34">
        <v>512</v>
      </c>
      <c r="AV409" s="16"/>
      <c r="AW409" s="16"/>
      <c r="AX409" s="17"/>
      <c r="AY409" s="18">
        <f t="shared" si="1476"/>
        <v>512</v>
      </c>
      <c r="AZ409" s="34">
        <v>280</v>
      </c>
      <c r="BA409" s="16"/>
      <c r="BB409" s="16"/>
      <c r="BC409" s="17"/>
      <c r="BD409" s="18">
        <f t="shared" si="1477"/>
        <v>280</v>
      </c>
      <c r="BE409" s="34">
        <v>53</v>
      </c>
      <c r="BF409" s="16"/>
      <c r="BG409" s="16"/>
      <c r="BH409" s="17"/>
      <c r="BI409" s="18">
        <f t="shared" si="1478"/>
        <v>53</v>
      </c>
      <c r="BJ409" s="34"/>
      <c r="BK409" s="16"/>
      <c r="BL409" s="16"/>
      <c r="BM409" s="17"/>
      <c r="BN409" s="18">
        <f t="shared" si="1479"/>
        <v>0</v>
      </c>
      <c r="BO409" s="70">
        <f t="shared" si="1445"/>
        <v>17754</v>
      </c>
      <c r="BP409" s="16">
        <f t="shared" si="1446"/>
        <v>0</v>
      </c>
      <c r="BQ409" s="16">
        <f t="shared" si="1447"/>
        <v>0</v>
      </c>
      <c r="BR409" s="17">
        <f t="shared" si="1448"/>
        <v>0</v>
      </c>
      <c r="BS409" s="35">
        <f t="shared" si="1480"/>
        <v>17754</v>
      </c>
    </row>
    <row r="410" spans="2:71" x14ac:dyDescent="0.3">
      <c r="B410" s="254"/>
      <c r="C410" s="204"/>
      <c r="D410" s="200"/>
      <c r="E410" s="201"/>
      <c r="F410" s="123" t="s">
        <v>343</v>
      </c>
      <c r="G410" s="34"/>
      <c r="H410" s="16"/>
      <c r="I410" s="16"/>
      <c r="J410" s="17"/>
      <c r="K410" s="18">
        <f t="shared" si="1468"/>
        <v>0</v>
      </c>
      <c r="L410" s="34"/>
      <c r="M410" s="16"/>
      <c r="N410" s="16"/>
      <c r="O410" s="17"/>
      <c r="P410" s="18">
        <f t="shared" si="1469"/>
        <v>0</v>
      </c>
      <c r="Q410" s="34"/>
      <c r="R410" s="16"/>
      <c r="S410" s="16"/>
      <c r="T410" s="17"/>
      <c r="U410" s="18">
        <f t="shared" si="1470"/>
        <v>0</v>
      </c>
      <c r="V410" s="34"/>
      <c r="W410" s="16"/>
      <c r="X410" s="16"/>
      <c r="Y410" s="17"/>
      <c r="Z410" s="18">
        <f t="shared" si="1471"/>
        <v>0</v>
      </c>
      <c r="AA410" s="34">
        <v>5</v>
      </c>
      <c r="AB410" s="16"/>
      <c r="AC410" s="16"/>
      <c r="AD410" s="17"/>
      <c r="AE410" s="18">
        <f t="shared" si="1472"/>
        <v>5</v>
      </c>
      <c r="AF410" s="34">
        <v>1214</v>
      </c>
      <c r="AG410" s="16"/>
      <c r="AH410" s="16"/>
      <c r="AI410" s="17"/>
      <c r="AJ410" s="18">
        <f t="shared" si="1473"/>
        <v>1214</v>
      </c>
      <c r="AK410" s="34">
        <v>986</v>
      </c>
      <c r="AL410" s="16"/>
      <c r="AM410" s="16"/>
      <c r="AN410" s="17"/>
      <c r="AO410" s="18">
        <f t="shared" si="1474"/>
        <v>986</v>
      </c>
      <c r="AP410" s="34">
        <f>2545</f>
        <v>2545</v>
      </c>
      <c r="AQ410" s="16"/>
      <c r="AR410" s="16"/>
      <c r="AS410" s="17"/>
      <c r="AT410" s="18">
        <f t="shared" si="1475"/>
        <v>2545</v>
      </c>
      <c r="AU410" s="34">
        <v>77</v>
      </c>
      <c r="AV410" s="16"/>
      <c r="AW410" s="16"/>
      <c r="AX410" s="17"/>
      <c r="AY410" s="18">
        <f t="shared" si="1476"/>
        <v>77</v>
      </c>
      <c r="AZ410" s="34">
        <v>50</v>
      </c>
      <c r="BA410" s="16"/>
      <c r="BB410" s="16"/>
      <c r="BC410" s="17"/>
      <c r="BD410" s="18">
        <f t="shared" si="1477"/>
        <v>50</v>
      </c>
      <c r="BE410" s="34">
        <v>6</v>
      </c>
      <c r="BF410" s="16"/>
      <c r="BG410" s="16"/>
      <c r="BH410" s="17"/>
      <c r="BI410" s="18">
        <f t="shared" si="1478"/>
        <v>6</v>
      </c>
      <c r="BJ410" s="34"/>
      <c r="BK410" s="16"/>
      <c r="BL410" s="16"/>
      <c r="BM410" s="17"/>
      <c r="BN410" s="18">
        <f t="shared" si="1479"/>
        <v>0</v>
      </c>
      <c r="BO410" s="70">
        <f t="shared" si="1445"/>
        <v>4883</v>
      </c>
      <c r="BP410" s="16">
        <f t="shared" si="1446"/>
        <v>0</v>
      </c>
      <c r="BQ410" s="16">
        <f t="shared" si="1447"/>
        <v>0</v>
      </c>
      <c r="BR410" s="17">
        <f t="shared" si="1448"/>
        <v>0</v>
      </c>
      <c r="BS410" s="35">
        <f t="shared" si="1480"/>
        <v>4883</v>
      </c>
    </row>
    <row r="411" spans="2:71" x14ac:dyDescent="0.3">
      <c r="B411" s="254"/>
      <c r="C411" s="204"/>
      <c r="D411" s="200"/>
      <c r="E411" s="201"/>
      <c r="F411" s="123" t="s">
        <v>358</v>
      </c>
      <c r="G411" s="34"/>
      <c r="H411" s="16"/>
      <c r="I411" s="16"/>
      <c r="J411" s="17"/>
      <c r="K411" s="18">
        <f t="shared" ref="K411:K413" si="1481">SUM(G411:J411)</f>
        <v>0</v>
      </c>
      <c r="L411" s="34"/>
      <c r="M411" s="16"/>
      <c r="N411" s="16"/>
      <c r="O411" s="17"/>
      <c r="P411" s="18">
        <f t="shared" ref="P411:P413" si="1482">SUM(L411:O411)</f>
        <v>0</v>
      </c>
      <c r="Q411" s="34"/>
      <c r="R411" s="16"/>
      <c r="S411" s="16"/>
      <c r="T411" s="17"/>
      <c r="U411" s="18">
        <f t="shared" ref="U411:U413" si="1483">SUM(Q411:T411)</f>
        <v>0</v>
      </c>
      <c r="V411" s="34"/>
      <c r="W411" s="16"/>
      <c r="X411" s="16"/>
      <c r="Y411" s="17"/>
      <c r="Z411" s="18">
        <f t="shared" ref="Z411:Z413" si="1484">SUM(V411:Y411)</f>
        <v>0</v>
      </c>
      <c r="AA411" s="34"/>
      <c r="AB411" s="16"/>
      <c r="AC411" s="16"/>
      <c r="AD411" s="17"/>
      <c r="AE411" s="18">
        <f t="shared" ref="AE411:AE413" si="1485">SUM(AA411:AD411)</f>
        <v>0</v>
      </c>
      <c r="AF411" s="34">
        <v>260</v>
      </c>
      <c r="AG411" s="16"/>
      <c r="AH411" s="16"/>
      <c r="AI411" s="17"/>
      <c r="AJ411" s="18">
        <f t="shared" ref="AJ411:AJ413" si="1486">SUM(AF411:AI411)</f>
        <v>260</v>
      </c>
      <c r="AK411" s="34">
        <v>72</v>
      </c>
      <c r="AL411" s="16"/>
      <c r="AM411" s="16"/>
      <c r="AN411" s="17"/>
      <c r="AO411" s="18">
        <f t="shared" ref="AO411:AO413" si="1487">SUM(AK411:AN411)</f>
        <v>72</v>
      </c>
      <c r="AP411" s="34">
        <v>119</v>
      </c>
      <c r="AQ411" s="16"/>
      <c r="AR411" s="16"/>
      <c r="AS411" s="17"/>
      <c r="AT411" s="18">
        <f t="shared" ref="AT411:AT413" si="1488">SUM(AP411:AS411)</f>
        <v>119</v>
      </c>
      <c r="AU411" s="34">
        <v>3</v>
      </c>
      <c r="AV411" s="16"/>
      <c r="AW411" s="16"/>
      <c r="AX411" s="17"/>
      <c r="AY411" s="18">
        <f t="shared" ref="AY411:AY413" si="1489">SUM(AU411:AX411)</f>
        <v>3</v>
      </c>
      <c r="AZ411" s="34"/>
      <c r="BA411" s="16"/>
      <c r="BB411" s="16"/>
      <c r="BC411" s="17"/>
      <c r="BD411" s="18">
        <f t="shared" ref="BD411:BD413" si="1490">SUM(AZ411:BC411)</f>
        <v>0</v>
      </c>
      <c r="BE411" s="34"/>
      <c r="BF411" s="16"/>
      <c r="BG411" s="16"/>
      <c r="BH411" s="17"/>
      <c r="BI411" s="18">
        <f t="shared" ref="BI411:BI413" si="1491">SUM(BE411:BH411)</f>
        <v>0</v>
      </c>
      <c r="BJ411" s="34"/>
      <c r="BK411" s="16"/>
      <c r="BL411" s="16"/>
      <c r="BM411" s="17"/>
      <c r="BN411" s="18">
        <f t="shared" ref="BN411:BN413" si="1492">SUM(BJ411:BM411)</f>
        <v>0</v>
      </c>
      <c r="BO411" s="70">
        <f t="shared" si="1445"/>
        <v>454</v>
      </c>
      <c r="BP411" s="16">
        <f t="shared" si="1446"/>
        <v>0</v>
      </c>
      <c r="BQ411" s="16">
        <f t="shared" si="1447"/>
        <v>0</v>
      </c>
      <c r="BR411" s="17">
        <f t="shared" si="1448"/>
        <v>0</v>
      </c>
      <c r="BS411" s="35">
        <f t="shared" ref="BS411:BS413" si="1493">SUM(BO411:BR411)</f>
        <v>454</v>
      </c>
    </row>
    <row r="412" spans="2:71" x14ac:dyDescent="0.3">
      <c r="B412" s="254"/>
      <c r="C412" s="204"/>
      <c r="D412" s="200"/>
      <c r="E412" s="201"/>
      <c r="F412" s="123" t="s">
        <v>359</v>
      </c>
      <c r="G412" s="34"/>
      <c r="H412" s="16"/>
      <c r="I412" s="16"/>
      <c r="J412" s="17"/>
      <c r="K412" s="18">
        <f t="shared" si="1481"/>
        <v>0</v>
      </c>
      <c r="L412" s="34"/>
      <c r="M412" s="16"/>
      <c r="N412" s="16"/>
      <c r="O412" s="17"/>
      <c r="P412" s="18">
        <f t="shared" si="1482"/>
        <v>0</v>
      </c>
      <c r="Q412" s="34"/>
      <c r="R412" s="16"/>
      <c r="S412" s="16"/>
      <c r="T412" s="17"/>
      <c r="U412" s="18">
        <f t="shared" si="1483"/>
        <v>0</v>
      </c>
      <c r="V412" s="34"/>
      <c r="W412" s="16"/>
      <c r="X412" s="16"/>
      <c r="Y412" s="17"/>
      <c r="Z412" s="18">
        <f t="shared" si="1484"/>
        <v>0</v>
      </c>
      <c r="AA412" s="34"/>
      <c r="AB412" s="16"/>
      <c r="AC412" s="16"/>
      <c r="AD412" s="17"/>
      <c r="AE412" s="18">
        <f t="shared" si="1485"/>
        <v>0</v>
      </c>
      <c r="AF412" s="34">
        <v>185</v>
      </c>
      <c r="AG412" s="16"/>
      <c r="AH412" s="16"/>
      <c r="AI412" s="17"/>
      <c r="AJ412" s="18">
        <f t="shared" si="1486"/>
        <v>185</v>
      </c>
      <c r="AK412" s="34">
        <v>35</v>
      </c>
      <c r="AL412" s="16"/>
      <c r="AM412" s="16"/>
      <c r="AN412" s="17"/>
      <c r="AO412" s="18">
        <f t="shared" si="1487"/>
        <v>35</v>
      </c>
      <c r="AP412" s="34">
        <v>87</v>
      </c>
      <c r="AQ412" s="16"/>
      <c r="AR412" s="16"/>
      <c r="AS412" s="17"/>
      <c r="AT412" s="18">
        <f t="shared" si="1488"/>
        <v>87</v>
      </c>
      <c r="AU412" s="34"/>
      <c r="AV412" s="16"/>
      <c r="AW412" s="16"/>
      <c r="AX412" s="17"/>
      <c r="AY412" s="18">
        <f t="shared" si="1489"/>
        <v>0</v>
      </c>
      <c r="AZ412" s="34"/>
      <c r="BA412" s="16"/>
      <c r="BB412" s="16"/>
      <c r="BC412" s="17"/>
      <c r="BD412" s="18">
        <f t="shared" si="1490"/>
        <v>0</v>
      </c>
      <c r="BE412" s="34"/>
      <c r="BF412" s="16"/>
      <c r="BG412" s="16"/>
      <c r="BH412" s="17"/>
      <c r="BI412" s="18">
        <f t="shared" si="1491"/>
        <v>0</v>
      </c>
      <c r="BJ412" s="34"/>
      <c r="BK412" s="16"/>
      <c r="BL412" s="16"/>
      <c r="BM412" s="17"/>
      <c r="BN412" s="18">
        <f t="shared" si="1492"/>
        <v>0</v>
      </c>
      <c r="BO412" s="70">
        <f t="shared" si="1445"/>
        <v>307</v>
      </c>
      <c r="BP412" s="16">
        <f t="shared" si="1446"/>
        <v>0</v>
      </c>
      <c r="BQ412" s="16">
        <f t="shared" si="1447"/>
        <v>0</v>
      </c>
      <c r="BR412" s="17">
        <f t="shared" si="1448"/>
        <v>0</v>
      </c>
      <c r="BS412" s="35">
        <f t="shared" si="1493"/>
        <v>307</v>
      </c>
    </row>
    <row r="413" spans="2:71" x14ac:dyDescent="0.3">
      <c r="B413" s="254"/>
      <c r="C413" s="204"/>
      <c r="D413" s="200"/>
      <c r="E413" s="201"/>
      <c r="F413" s="123" t="s">
        <v>360</v>
      </c>
      <c r="G413" s="34"/>
      <c r="H413" s="16"/>
      <c r="I413" s="16"/>
      <c r="J413" s="17"/>
      <c r="K413" s="18">
        <f t="shared" si="1481"/>
        <v>0</v>
      </c>
      <c r="L413" s="34"/>
      <c r="M413" s="16"/>
      <c r="N413" s="16"/>
      <c r="O413" s="17"/>
      <c r="P413" s="18">
        <f t="shared" si="1482"/>
        <v>0</v>
      </c>
      <c r="Q413" s="34"/>
      <c r="R413" s="16"/>
      <c r="S413" s="16"/>
      <c r="T413" s="17"/>
      <c r="U413" s="18">
        <f t="shared" si="1483"/>
        <v>0</v>
      </c>
      <c r="V413" s="34"/>
      <c r="W413" s="16"/>
      <c r="X413" s="16"/>
      <c r="Y413" s="17"/>
      <c r="Z413" s="18">
        <f t="shared" si="1484"/>
        <v>0</v>
      </c>
      <c r="AA413" s="34"/>
      <c r="AB413" s="16"/>
      <c r="AC413" s="16"/>
      <c r="AD413" s="17"/>
      <c r="AE413" s="18">
        <f t="shared" si="1485"/>
        <v>0</v>
      </c>
      <c r="AF413" s="34">
        <v>30</v>
      </c>
      <c r="AG413" s="16"/>
      <c r="AH413" s="16"/>
      <c r="AI413" s="17"/>
      <c r="AJ413" s="18">
        <f t="shared" si="1486"/>
        <v>30</v>
      </c>
      <c r="AK413" s="34">
        <v>30</v>
      </c>
      <c r="AL413" s="16"/>
      <c r="AM413" s="16"/>
      <c r="AN413" s="17"/>
      <c r="AO413" s="18">
        <f t="shared" si="1487"/>
        <v>30</v>
      </c>
      <c r="AP413" s="34">
        <v>24</v>
      </c>
      <c r="AQ413" s="16"/>
      <c r="AR413" s="16"/>
      <c r="AS413" s="17"/>
      <c r="AT413" s="18">
        <f t="shared" si="1488"/>
        <v>24</v>
      </c>
      <c r="AU413" s="34"/>
      <c r="AV413" s="16"/>
      <c r="AW413" s="16"/>
      <c r="AX413" s="17"/>
      <c r="AY413" s="18">
        <f t="shared" si="1489"/>
        <v>0</v>
      </c>
      <c r="AZ413" s="34"/>
      <c r="BA413" s="16"/>
      <c r="BB413" s="16"/>
      <c r="BC413" s="17"/>
      <c r="BD413" s="18">
        <f t="shared" si="1490"/>
        <v>0</v>
      </c>
      <c r="BE413" s="34"/>
      <c r="BF413" s="16"/>
      <c r="BG413" s="16"/>
      <c r="BH413" s="17"/>
      <c r="BI413" s="18">
        <f t="shared" si="1491"/>
        <v>0</v>
      </c>
      <c r="BJ413" s="34"/>
      <c r="BK413" s="16"/>
      <c r="BL413" s="16"/>
      <c r="BM413" s="17"/>
      <c r="BN413" s="18">
        <f t="shared" si="1492"/>
        <v>0</v>
      </c>
      <c r="BO413" s="70">
        <f t="shared" si="1445"/>
        <v>84</v>
      </c>
      <c r="BP413" s="16">
        <f t="shared" si="1446"/>
        <v>0</v>
      </c>
      <c r="BQ413" s="16">
        <f t="shared" si="1447"/>
        <v>0</v>
      </c>
      <c r="BR413" s="17">
        <f t="shared" si="1448"/>
        <v>0</v>
      </c>
      <c r="BS413" s="35">
        <f t="shared" si="1493"/>
        <v>84</v>
      </c>
    </row>
    <row r="414" spans="2:71" x14ac:dyDescent="0.3">
      <c r="B414" s="254"/>
      <c r="C414" s="204"/>
      <c r="D414" s="200"/>
      <c r="E414" s="201"/>
      <c r="F414" s="123" t="s">
        <v>376</v>
      </c>
      <c r="G414" s="34"/>
      <c r="H414" s="16"/>
      <c r="I414" s="16"/>
      <c r="J414" s="17"/>
      <c r="K414" s="18">
        <f t="shared" ref="K414:K417" si="1494">SUM(G414:J414)</f>
        <v>0</v>
      </c>
      <c r="L414" s="34"/>
      <c r="M414" s="16"/>
      <c r="N414" s="16"/>
      <c r="O414" s="17"/>
      <c r="P414" s="18">
        <f t="shared" ref="P414:P417" si="1495">SUM(L414:O414)</f>
        <v>0</v>
      </c>
      <c r="Q414" s="34"/>
      <c r="R414" s="16"/>
      <c r="S414" s="16"/>
      <c r="T414" s="17"/>
      <c r="U414" s="18">
        <f t="shared" ref="U414:U417" si="1496">SUM(Q414:T414)</f>
        <v>0</v>
      </c>
      <c r="V414" s="34"/>
      <c r="W414" s="16"/>
      <c r="X414" s="16"/>
      <c r="Y414" s="17"/>
      <c r="Z414" s="18">
        <f t="shared" ref="Z414:Z417" si="1497">SUM(V414:Y414)</f>
        <v>0</v>
      </c>
      <c r="AA414" s="34"/>
      <c r="AB414" s="16"/>
      <c r="AC414" s="16"/>
      <c r="AD414" s="17"/>
      <c r="AE414" s="18">
        <f t="shared" ref="AE414:AE417" si="1498">SUM(AA414:AD414)</f>
        <v>0</v>
      </c>
      <c r="AF414" s="34"/>
      <c r="AG414" s="16"/>
      <c r="AH414" s="16"/>
      <c r="AI414" s="17"/>
      <c r="AJ414" s="18">
        <f t="shared" ref="AJ414:AJ417" si="1499">SUM(AF414:AI414)</f>
        <v>0</v>
      </c>
      <c r="AK414" s="34"/>
      <c r="AL414" s="16"/>
      <c r="AM414" s="16"/>
      <c r="AN414" s="17"/>
      <c r="AO414" s="18">
        <f t="shared" ref="AO414:AO417" si="1500">SUM(AK414:AN414)</f>
        <v>0</v>
      </c>
      <c r="AP414" s="34">
        <v>100</v>
      </c>
      <c r="AQ414" s="16"/>
      <c r="AR414" s="16"/>
      <c r="AS414" s="17"/>
      <c r="AT414" s="18">
        <f t="shared" ref="AT414:AT417" si="1501">SUM(AP414:AS414)</f>
        <v>100</v>
      </c>
      <c r="AU414" s="34">
        <v>11436</v>
      </c>
      <c r="AV414" s="16"/>
      <c r="AW414" s="16"/>
      <c r="AX414" s="17"/>
      <c r="AY414" s="18">
        <f t="shared" ref="AY414:AY417" si="1502">SUM(AU414:AX414)</f>
        <v>11436</v>
      </c>
      <c r="AZ414" s="34">
        <v>23817</v>
      </c>
      <c r="BA414" s="16"/>
      <c r="BB414" s="16"/>
      <c r="BC414" s="17"/>
      <c r="BD414" s="18">
        <f t="shared" ref="BD414:BD417" si="1503">SUM(AZ414:BC414)</f>
        <v>23817</v>
      </c>
      <c r="BE414" s="34">
        <v>4832</v>
      </c>
      <c r="BF414" s="16"/>
      <c r="BG414" s="16"/>
      <c r="BH414" s="17"/>
      <c r="BI414" s="18">
        <f t="shared" ref="BI414:BI417" si="1504">SUM(BE414:BH414)</f>
        <v>4832</v>
      </c>
      <c r="BJ414" s="34">
        <v>696</v>
      </c>
      <c r="BK414" s="16"/>
      <c r="BL414" s="16"/>
      <c r="BM414" s="17"/>
      <c r="BN414" s="18">
        <f t="shared" ref="BN414:BN417" si="1505">SUM(BJ414:BM414)</f>
        <v>696</v>
      </c>
      <c r="BO414" s="70">
        <f t="shared" si="1445"/>
        <v>40881</v>
      </c>
      <c r="BP414" s="16">
        <f t="shared" si="1446"/>
        <v>0</v>
      </c>
      <c r="BQ414" s="16">
        <f t="shared" si="1447"/>
        <v>0</v>
      </c>
      <c r="BR414" s="17">
        <f t="shared" si="1448"/>
        <v>0</v>
      </c>
      <c r="BS414" s="35">
        <f t="shared" ref="BS414:BS417" si="1506">SUM(BO414:BR414)</f>
        <v>40881</v>
      </c>
    </row>
    <row r="415" spans="2:71" x14ac:dyDescent="0.3">
      <c r="B415" s="254"/>
      <c r="C415" s="204"/>
      <c r="D415" s="200"/>
      <c r="E415" s="201"/>
      <c r="F415" s="123" t="s">
        <v>377</v>
      </c>
      <c r="G415" s="34"/>
      <c r="H415" s="16"/>
      <c r="I415" s="16"/>
      <c r="J415" s="17"/>
      <c r="K415" s="18">
        <f t="shared" si="1494"/>
        <v>0</v>
      </c>
      <c r="L415" s="34"/>
      <c r="M415" s="16"/>
      <c r="N415" s="16"/>
      <c r="O415" s="17"/>
      <c r="P415" s="18">
        <f t="shared" si="1495"/>
        <v>0</v>
      </c>
      <c r="Q415" s="34"/>
      <c r="R415" s="16"/>
      <c r="S415" s="16"/>
      <c r="T415" s="17"/>
      <c r="U415" s="18">
        <f t="shared" si="1496"/>
        <v>0</v>
      </c>
      <c r="V415" s="34"/>
      <c r="W415" s="16"/>
      <c r="X415" s="16"/>
      <c r="Y415" s="17"/>
      <c r="Z415" s="18">
        <f t="shared" si="1497"/>
        <v>0</v>
      </c>
      <c r="AA415" s="34"/>
      <c r="AB415" s="16"/>
      <c r="AC415" s="16"/>
      <c r="AD415" s="17"/>
      <c r="AE415" s="18">
        <f t="shared" si="1498"/>
        <v>0</v>
      </c>
      <c r="AF415" s="34"/>
      <c r="AG415" s="16"/>
      <c r="AH415" s="16"/>
      <c r="AI415" s="17"/>
      <c r="AJ415" s="18">
        <f t="shared" si="1499"/>
        <v>0</v>
      </c>
      <c r="AK415" s="34"/>
      <c r="AL415" s="16"/>
      <c r="AM415" s="16"/>
      <c r="AN415" s="17"/>
      <c r="AO415" s="18">
        <f t="shared" si="1500"/>
        <v>0</v>
      </c>
      <c r="AP415" s="34">
        <v>76</v>
      </c>
      <c r="AQ415" s="16"/>
      <c r="AR415" s="16"/>
      <c r="AS415" s="17"/>
      <c r="AT415" s="18">
        <f t="shared" si="1501"/>
        <v>76</v>
      </c>
      <c r="AU415" s="34">
        <v>2641</v>
      </c>
      <c r="AV415" s="16"/>
      <c r="AW415" s="16"/>
      <c r="AX415" s="17"/>
      <c r="AY415" s="18">
        <f t="shared" si="1502"/>
        <v>2641</v>
      </c>
      <c r="AZ415" s="34">
        <v>7796</v>
      </c>
      <c r="BA415" s="16"/>
      <c r="BB415" s="16"/>
      <c r="BC415" s="17"/>
      <c r="BD415" s="18">
        <f t="shared" si="1503"/>
        <v>7796</v>
      </c>
      <c r="BE415" s="34">
        <v>3802</v>
      </c>
      <c r="BF415" s="16"/>
      <c r="BG415" s="16"/>
      <c r="BH415" s="17"/>
      <c r="BI415" s="18">
        <f t="shared" si="1504"/>
        <v>3802</v>
      </c>
      <c r="BJ415" s="34">
        <v>101</v>
      </c>
      <c r="BK415" s="16"/>
      <c r="BL415" s="16"/>
      <c r="BM415" s="17"/>
      <c r="BN415" s="18">
        <f t="shared" si="1505"/>
        <v>101</v>
      </c>
      <c r="BO415" s="70">
        <f t="shared" si="1445"/>
        <v>14416</v>
      </c>
      <c r="BP415" s="16">
        <f t="shared" si="1446"/>
        <v>0</v>
      </c>
      <c r="BQ415" s="16">
        <f t="shared" si="1447"/>
        <v>0</v>
      </c>
      <c r="BR415" s="17">
        <f t="shared" si="1448"/>
        <v>0</v>
      </c>
      <c r="BS415" s="35">
        <f t="shared" si="1506"/>
        <v>14416</v>
      </c>
    </row>
    <row r="416" spans="2:71" x14ac:dyDescent="0.3">
      <c r="B416" s="254"/>
      <c r="C416" s="204"/>
      <c r="D416" s="200"/>
      <c r="E416" s="201"/>
      <c r="F416" s="123" t="s">
        <v>378</v>
      </c>
      <c r="G416" s="34"/>
      <c r="H416" s="16"/>
      <c r="I416" s="16"/>
      <c r="J416" s="17"/>
      <c r="K416" s="18">
        <f t="shared" si="1494"/>
        <v>0</v>
      </c>
      <c r="L416" s="34"/>
      <c r="M416" s="16"/>
      <c r="N416" s="16"/>
      <c r="O416" s="17"/>
      <c r="P416" s="18">
        <f t="shared" si="1495"/>
        <v>0</v>
      </c>
      <c r="Q416" s="34"/>
      <c r="R416" s="16"/>
      <c r="S416" s="16"/>
      <c r="T416" s="17"/>
      <c r="U416" s="18">
        <f t="shared" si="1496"/>
        <v>0</v>
      </c>
      <c r="V416" s="34"/>
      <c r="W416" s="16"/>
      <c r="X416" s="16"/>
      <c r="Y416" s="17"/>
      <c r="Z416" s="18">
        <f t="shared" si="1497"/>
        <v>0</v>
      </c>
      <c r="AA416" s="34"/>
      <c r="AB416" s="16"/>
      <c r="AC416" s="16"/>
      <c r="AD416" s="17"/>
      <c r="AE416" s="18">
        <f t="shared" si="1498"/>
        <v>0</v>
      </c>
      <c r="AF416" s="34"/>
      <c r="AG416" s="16"/>
      <c r="AH416" s="16"/>
      <c r="AI416" s="17"/>
      <c r="AJ416" s="18">
        <f t="shared" si="1499"/>
        <v>0</v>
      </c>
      <c r="AK416" s="34"/>
      <c r="AL416" s="16"/>
      <c r="AM416" s="16"/>
      <c r="AN416" s="17"/>
      <c r="AO416" s="18">
        <f t="shared" si="1500"/>
        <v>0</v>
      </c>
      <c r="AP416" s="34">
        <v>87</v>
      </c>
      <c r="AQ416" s="16"/>
      <c r="AR416" s="16"/>
      <c r="AS416" s="17"/>
      <c r="AT416" s="18">
        <f t="shared" si="1501"/>
        <v>87</v>
      </c>
      <c r="AU416" s="34">
        <v>7452</v>
      </c>
      <c r="AV416" s="16"/>
      <c r="AW416" s="16"/>
      <c r="AX416" s="17"/>
      <c r="AY416" s="18">
        <f t="shared" si="1502"/>
        <v>7452</v>
      </c>
      <c r="AZ416" s="34">
        <v>13177</v>
      </c>
      <c r="BA416" s="16"/>
      <c r="BB416" s="16"/>
      <c r="BC416" s="17"/>
      <c r="BD416" s="18">
        <f t="shared" si="1503"/>
        <v>13177</v>
      </c>
      <c r="BE416" s="34">
        <v>2807</v>
      </c>
      <c r="BF416" s="16"/>
      <c r="BG416" s="16"/>
      <c r="BH416" s="17"/>
      <c r="BI416" s="18">
        <f t="shared" si="1504"/>
        <v>2807</v>
      </c>
      <c r="BJ416" s="34">
        <v>223</v>
      </c>
      <c r="BK416" s="16"/>
      <c r="BL416" s="16"/>
      <c r="BM416" s="17"/>
      <c r="BN416" s="18">
        <f t="shared" si="1505"/>
        <v>223</v>
      </c>
      <c r="BO416" s="70">
        <f t="shared" si="1445"/>
        <v>23746</v>
      </c>
      <c r="BP416" s="16">
        <f t="shared" si="1446"/>
        <v>0</v>
      </c>
      <c r="BQ416" s="16">
        <f t="shared" si="1447"/>
        <v>0</v>
      </c>
      <c r="BR416" s="17">
        <f t="shared" si="1448"/>
        <v>0</v>
      </c>
      <c r="BS416" s="35">
        <f t="shared" si="1506"/>
        <v>23746</v>
      </c>
    </row>
    <row r="417" spans="2:71" x14ac:dyDescent="0.3">
      <c r="B417" s="254"/>
      <c r="C417" s="204"/>
      <c r="D417" s="200"/>
      <c r="E417" s="201"/>
      <c r="F417" s="123" t="s">
        <v>379</v>
      </c>
      <c r="G417" s="34"/>
      <c r="H417" s="16"/>
      <c r="I417" s="16"/>
      <c r="J417" s="17"/>
      <c r="K417" s="18">
        <f t="shared" si="1494"/>
        <v>0</v>
      </c>
      <c r="L417" s="34"/>
      <c r="M417" s="16"/>
      <c r="N417" s="16"/>
      <c r="O417" s="17"/>
      <c r="P417" s="18">
        <f t="shared" si="1495"/>
        <v>0</v>
      </c>
      <c r="Q417" s="34"/>
      <c r="R417" s="16"/>
      <c r="S417" s="16"/>
      <c r="T417" s="17"/>
      <c r="U417" s="18">
        <f t="shared" si="1496"/>
        <v>0</v>
      </c>
      <c r="V417" s="34"/>
      <c r="W417" s="16"/>
      <c r="X417" s="16"/>
      <c r="Y417" s="17"/>
      <c r="Z417" s="18">
        <f t="shared" si="1497"/>
        <v>0</v>
      </c>
      <c r="AA417" s="34"/>
      <c r="AB417" s="16"/>
      <c r="AC417" s="16"/>
      <c r="AD417" s="17"/>
      <c r="AE417" s="18">
        <f t="shared" si="1498"/>
        <v>0</v>
      </c>
      <c r="AF417" s="34"/>
      <c r="AG417" s="16"/>
      <c r="AH417" s="16"/>
      <c r="AI417" s="17"/>
      <c r="AJ417" s="18">
        <f t="shared" si="1499"/>
        <v>0</v>
      </c>
      <c r="AK417" s="34"/>
      <c r="AL417" s="16"/>
      <c r="AM417" s="16"/>
      <c r="AN417" s="17"/>
      <c r="AO417" s="18">
        <f t="shared" si="1500"/>
        <v>0</v>
      </c>
      <c r="AP417" s="194">
        <f>131+1</f>
        <v>132</v>
      </c>
      <c r="AQ417" s="16"/>
      <c r="AR417" s="16"/>
      <c r="AS417" s="17"/>
      <c r="AT417" s="18">
        <f t="shared" si="1501"/>
        <v>132</v>
      </c>
      <c r="AU417" s="34">
        <v>5125</v>
      </c>
      <c r="AV417" s="16"/>
      <c r="AW417" s="16"/>
      <c r="AX417" s="17"/>
      <c r="AY417" s="18">
        <f t="shared" si="1502"/>
        <v>5125</v>
      </c>
      <c r="AZ417" s="34">
        <v>7288</v>
      </c>
      <c r="BA417" s="16"/>
      <c r="BB417" s="16"/>
      <c r="BC417" s="17"/>
      <c r="BD417" s="18">
        <f t="shared" si="1503"/>
        <v>7288</v>
      </c>
      <c r="BE417" s="34">
        <v>1438</v>
      </c>
      <c r="BF417" s="16"/>
      <c r="BG417" s="16"/>
      <c r="BH417" s="17"/>
      <c r="BI417" s="18">
        <f t="shared" si="1504"/>
        <v>1438</v>
      </c>
      <c r="BJ417" s="34">
        <v>58</v>
      </c>
      <c r="BK417" s="16"/>
      <c r="BL417" s="16"/>
      <c r="BM417" s="17"/>
      <c r="BN417" s="18">
        <f t="shared" si="1505"/>
        <v>58</v>
      </c>
      <c r="BO417" s="70">
        <f t="shared" si="1445"/>
        <v>14041</v>
      </c>
      <c r="BP417" s="16">
        <f t="shared" si="1446"/>
        <v>0</v>
      </c>
      <c r="BQ417" s="16">
        <f t="shared" si="1447"/>
        <v>0</v>
      </c>
      <c r="BR417" s="17">
        <f t="shared" si="1448"/>
        <v>0</v>
      </c>
      <c r="BS417" s="35">
        <f t="shared" si="1506"/>
        <v>14041</v>
      </c>
    </row>
    <row r="418" spans="2:71" x14ac:dyDescent="0.3">
      <c r="B418" s="254"/>
      <c r="C418" s="204"/>
      <c r="D418" s="200"/>
      <c r="E418" s="201"/>
      <c r="F418" s="123" t="s">
        <v>380</v>
      </c>
      <c r="G418" s="34"/>
      <c r="H418" s="16"/>
      <c r="I418" s="16"/>
      <c r="J418" s="17"/>
      <c r="K418" s="18">
        <f t="shared" ref="K418:K420" si="1507">SUM(G418:J418)</f>
        <v>0</v>
      </c>
      <c r="L418" s="34"/>
      <c r="M418" s="16"/>
      <c r="N418" s="16"/>
      <c r="O418" s="17"/>
      <c r="P418" s="18">
        <f t="shared" ref="P418:P420" si="1508">SUM(L418:O418)</f>
        <v>0</v>
      </c>
      <c r="Q418" s="34"/>
      <c r="R418" s="16"/>
      <c r="S418" s="16"/>
      <c r="T418" s="17"/>
      <c r="U418" s="18">
        <f t="shared" ref="U418:U420" si="1509">SUM(Q418:T418)</f>
        <v>0</v>
      </c>
      <c r="V418" s="34"/>
      <c r="W418" s="16"/>
      <c r="X418" s="16"/>
      <c r="Y418" s="17"/>
      <c r="Z418" s="18">
        <f t="shared" ref="Z418:Z420" si="1510">SUM(V418:Y418)</f>
        <v>0</v>
      </c>
      <c r="AA418" s="34"/>
      <c r="AB418" s="16"/>
      <c r="AC418" s="16"/>
      <c r="AD418" s="17"/>
      <c r="AE418" s="18">
        <f t="shared" ref="AE418:AE420" si="1511">SUM(AA418:AD418)</f>
        <v>0</v>
      </c>
      <c r="AF418" s="34"/>
      <c r="AG418" s="16"/>
      <c r="AH418" s="16"/>
      <c r="AI418" s="17"/>
      <c r="AJ418" s="18">
        <f t="shared" ref="AJ418:AJ420" si="1512">SUM(AF418:AI418)</f>
        <v>0</v>
      </c>
      <c r="AK418" s="34"/>
      <c r="AL418" s="16"/>
      <c r="AM418" s="16"/>
      <c r="AN418" s="17"/>
      <c r="AO418" s="18">
        <f t="shared" ref="AO418:AO420" si="1513">SUM(AK418:AN418)</f>
        <v>0</v>
      </c>
      <c r="AP418" s="34"/>
      <c r="AQ418" s="16"/>
      <c r="AR418" s="16"/>
      <c r="AS418" s="17"/>
      <c r="AT418" s="18">
        <f t="shared" ref="AT418:AT420" si="1514">SUM(AP418:AS418)</f>
        <v>0</v>
      </c>
      <c r="AU418" s="34">
        <v>230</v>
      </c>
      <c r="AV418" s="16"/>
      <c r="AW418" s="16"/>
      <c r="AX418" s="17"/>
      <c r="AY418" s="18">
        <f t="shared" ref="AY418:AY420" si="1515">SUM(AU418:AX418)</f>
        <v>230</v>
      </c>
      <c r="AZ418" s="34">
        <v>472</v>
      </c>
      <c r="BA418" s="16"/>
      <c r="BB418" s="16"/>
      <c r="BC418" s="17"/>
      <c r="BD418" s="18">
        <f t="shared" ref="BD418:BD420" si="1516">SUM(AZ418:BC418)</f>
        <v>472</v>
      </c>
      <c r="BE418" s="34">
        <v>100</v>
      </c>
      <c r="BF418" s="16"/>
      <c r="BG418" s="16"/>
      <c r="BH418" s="17"/>
      <c r="BI418" s="18">
        <f t="shared" ref="BI418:BI420" si="1517">SUM(BE418:BH418)</f>
        <v>100</v>
      </c>
      <c r="BJ418" s="34">
        <v>3</v>
      </c>
      <c r="BK418" s="16"/>
      <c r="BL418" s="16"/>
      <c r="BM418" s="17"/>
      <c r="BN418" s="18">
        <f t="shared" ref="BN418:BN420" si="1518">SUM(BJ418:BM418)</f>
        <v>3</v>
      </c>
      <c r="BO418" s="70">
        <f t="shared" si="1445"/>
        <v>805</v>
      </c>
      <c r="BP418" s="16">
        <f t="shared" si="1446"/>
        <v>0</v>
      </c>
      <c r="BQ418" s="16">
        <f t="shared" si="1447"/>
        <v>0</v>
      </c>
      <c r="BR418" s="17">
        <f t="shared" si="1448"/>
        <v>0</v>
      </c>
      <c r="BS418" s="35">
        <f t="shared" ref="BS418:BS420" si="1519">SUM(BO418:BR418)</f>
        <v>805</v>
      </c>
    </row>
    <row r="419" spans="2:71" x14ac:dyDescent="0.3">
      <c r="B419" s="254"/>
      <c r="C419" s="204"/>
      <c r="D419" s="200"/>
      <c r="E419" s="201"/>
      <c r="F419" s="123" t="s">
        <v>381</v>
      </c>
      <c r="G419" s="34"/>
      <c r="H419" s="16"/>
      <c r="I419" s="16"/>
      <c r="J419" s="17"/>
      <c r="K419" s="18">
        <f t="shared" si="1507"/>
        <v>0</v>
      </c>
      <c r="L419" s="34"/>
      <c r="M419" s="16"/>
      <c r="N419" s="16"/>
      <c r="O419" s="17"/>
      <c r="P419" s="18">
        <f t="shared" si="1508"/>
        <v>0</v>
      </c>
      <c r="Q419" s="34"/>
      <c r="R419" s="16"/>
      <c r="S419" s="16"/>
      <c r="T419" s="17"/>
      <c r="U419" s="18">
        <f t="shared" si="1509"/>
        <v>0</v>
      </c>
      <c r="V419" s="34"/>
      <c r="W419" s="16"/>
      <c r="X419" s="16"/>
      <c r="Y419" s="17"/>
      <c r="Z419" s="18">
        <f t="shared" si="1510"/>
        <v>0</v>
      </c>
      <c r="AA419" s="34"/>
      <c r="AB419" s="16"/>
      <c r="AC419" s="16"/>
      <c r="AD419" s="17"/>
      <c r="AE419" s="18">
        <f t="shared" si="1511"/>
        <v>0</v>
      </c>
      <c r="AF419" s="34"/>
      <c r="AG419" s="16"/>
      <c r="AH419" s="16"/>
      <c r="AI419" s="17"/>
      <c r="AJ419" s="18">
        <f t="shared" si="1512"/>
        <v>0</v>
      </c>
      <c r="AK419" s="34"/>
      <c r="AL419" s="16"/>
      <c r="AM419" s="16"/>
      <c r="AN419" s="17"/>
      <c r="AO419" s="18">
        <f t="shared" si="1513"/>
        <v>0</v>
      </c>
      <c r="AP419" s="34"/>
      <c r="AQ419" s="16"/>
      <c r="AR419" s="16"/>
      <c r="AS419" s="17"/>
      <c r="AT419" s="18">
        <f t="shared" si="1514"/>
        <v>0</v>
      </c>
      <c r="AU419" s="34">
        <v>92</v>
      </c>
      <c r="AV419" s="16"/>
      <c r="AW419" s="16"/>
      <c r="AX419" s="17"/>
      <c r="AY419" s="18">
        <f t="shared" si="1515"/>
        <v>92</v>
      </c>
      <c r="AZ419" s="34">
        <v>150</v>
      </c>
      <c r="BA419" s="16"/>
      <c r="BB419" s="16"/>
      <c r="BC419" s="17"/>
      <c r="BD419" s="18">
        <f t="shared" si="1516"/>
        <v>150</v>
      </c>
      <c r="BE419" s="34">
        <v>33</v>
      </c>
      <c r="BF419" s="16"/>
      <c r="BG419" s="16"/>
      <c r="BH419" s="17"/>
      <c r="BI419" s="18">
        <f t="shared" si="1517"/>
        <v>33</v>
      </c>
      <c r="BJ419" s="34"/>
      <c r="BK419" s="16"/>
      <c r="BL419" s="16"/>
      <c r="BM419" s="17"/>
      <c r="BN419" s="18">
        <f t="shared" si="1518"/>
        <v>0</v>
      </c>
      <c r="BO419" s="70">
        <f t="shared" si="1445"/>
        <v>275</v>
      </c>
      <c r="BP419" s="16">
        <f t="shared" si="1446"/>
        <v>0</v>
      </c>
      <c r="BQ419" s="16">
        <f t="shared" si="1447"/>
        <v>0</v>
      </c>
      <c r="BR419" s="17">
        <f t="shared" si="1448"/>
        <v>0</v>
      </c>
      <c r="BS419" s="35">
        <f t="shared" si="1519"/>
        <v>275</v>
      </c>
    </row>
    <row r="420" spans="2:71" x14ac:dyDescent="0.3">
      <c r="B420" s="254"/>
      <c r="C420" s="204"/>
      <c r="D420" s="200"/>
      <c r="E420" s="201"/>
      <c r="F420" s="123" t="s">
        <v>382</v>
      </c>
      <c r="G420" s="34"/>
      <c r="H420" s="16"/>
      <c r="I420" s="16"/>
      <c r="J420" s="17"/>
      <c r="K420" s="18">
        <f t="shared" si="1507"/>
        <v>0</v>
      </c>
      <c r="L420" s="34"/>
      <c r="M420" s="16"/>
      <c r="N420" s="16"/>
      <c r="O420" s="17"/>
      <c r="P420" s="18">
        <f t="shared" si="1508"/>
        <v>0</v>
      </c>
      <c r="Q420" s="34"/>
      <c r="R420" s="16"/>
      <c r="S420" s="16"/>
      <c r="T420" s="17"/>
      <c r="U420" s="18">
        <f t="shared" si="1509"/>
        <v>0</v>
      </c>
      <c r="V420" s="34"/>
      <c r="W420" s="16"/>
      <c r="X420" s="16"/>
      <c r="Y420" s="17"/>
      <c r="Z420" s="18">
        <f t="shared" si="1510"/>
        <v>0</v>
      </c>
      <c r="AA420" s="34"/>
      <c r="AB420" s="16"/>
      <c r="AC420" s="16"/>
      <c r="AD420" s="17"/>
      <c r="AE420" s="18">
        <f t="shared" si="1511"/>
        <v>0</v>
      </c>
      <c r="AF420" s="34"/>
      <c r="AG420" s="16"/>
      <c r="AH420" s="16"/>
      <c r="AI420" s="17"/>
      <c r="AJ420" s="18">
        <f t="shared" si="1512"/>
        <v>0</v>
      </c>
      <c r="AK420" s="34"/>
      <c r="AL420" s="16"/>
      <c r="AM420" s="16"/>
      <c r="AN420" s="17"/>
      <c r="AO420" s="18">
        <f t="shared" si="1513"/>
        <v>0</v>
      </c>
      <c r="AP420" s="34">
        <v>4</v>
      </c>
      <c r="AQ420" s="16"/>
      <c r="AR420" s="16"/>
      <c r="AS420" s="17"/>
      <c r="AT420" s="18">
        <f t="shared" si="1514"/>
        <v>4</v>
      </c>
      <c r="AU420" s="34">
        <v>103</v>
      </c>
      <c r="AV420" s="16"/>
      <c r="AW420" s="16"/>
      <c r="AX420" s="17"/>
      <c r="AY420" s="18">
        <f t="shared" si="1515"/>
        <v>103</v>
      </c>
      <c r="AZ420" s="34">
        <v>138</v>
      </c>
      <c r="BA420" s="16"/>
      <c r="BB420" s="16"/>
      <c r="BC420" s="17"/>
      <c r="BD420" s="18">
        <f t="shared" si="1516"/>
        <v>138</v>
      </c>
      <c r="BE420" s="34">
        <v>17</v>
      </c>
      <c r="BF420" s="16"/>
      <c r="BG420" s="16"/>
      <c r="BH420" s="17"/>
      <c r="BI420" s="18">
        <f t="shared" si="1517"/>
        <v>17</v>
      </c>
      <c r="BJ420" s="34"/>
      <c r="BK420" s="16"/>
      <c r="BL420" s="16"/>
      <c r="BM420" s="17"/>
      <c r="BN420" s="18">
        <f t="shared" si="1518"/>
        <v>0</v>
      </c>
      <c r="BO420" s="70">
        <f t="shared" si="1445"/>
        <v>262</v>
      </c>
      <c r="BP420" s="16">
        <f t="shared" si="1446"/>
        <v>0</v>
      </c>
      <c r="BQ420" s="16">
        <f t="shared" si="1447"/>
        <v>0</v>
      </c>
      <c r="BR420" s="17">
        <f t="shared" si="1448"/>
        <v>0</v>
      </c>
      <c r="BS420" s="35">
        <f t="shared" si="1519"/>
        <v>262</v>
      </c>
    </row>
    <row r="421" spans="2:71" x14ac:dyDescent="0.3">
      <c r="B421" s="254"/>
      <c r="C421" s="204"/>
      <c r="D421" s="200"/>
      <c r="E421" s="201"/>
      <c r="F421" s="123" t="s">
        <v>394</v>
      </c>
      <c r="G421" s="34"/>
      <c r="H421" s="16"/>
      <c r="I421" s="16"/>
      <c r="J421" s="17"/>
      <c r="K421" s="18">
        <f t="shared" si="1466"/>
        <v>0</v>
      </c>
      <c r="L421" s="34"/>
      <c r="M421" s="16"/>
      <c r="N421" s="16"/>
      <c r="O421" s="17"/>
      <c r="P421" s="18">
        <f t="shared" si="1294"/>
        <v>0</v>
      </c>
      <c r="Q421" s="34"/>
      <c r="R421" s="16"/>
      <c r="S421" s="16"/>
      <c r="T421" s="17"/>
      <c r="U421" s="18">
        <f t="shared" si="1295"/>
        <v>0</v>
      </c>
      <c r="V421" s="34"/>
      <c r="W421" s="16"/>
      <c r="X421" s="16"/>
      <c r="Y421" s="17"/>
      <c r="Z421" s="18">
        <f t="shared" si="1296"/>
        <v>0</v>
      </c>
      <c r="AA421" s="34"/>
      <c r="AB421" s="16"/>
      <c r="AC421" s="16"/>
      <c r="AD421" s="17"/>
      <c r="AE421" s="18">
        <f t="shared" si="1297"/>
        <v>0</v>
      </c>
      <c r="AF421" s="34"/>
      <c r="AG421" s="16"/>
      <c r="AH421" s="16"/>
      <c r="AI421" s="17"/>
      <c r="AJ421" s="18">
        <f t="shared" si="1298"/>
        <v>0</v>
      </c>
      <c r="AK421" s="34"/>
      <c r="AL421" s="16"/>
      <c r="AM421" s="16"/>
      <c r="AN421" s="17"/>
      <c r="AO421" s="18">
        <f t="shared" si="1299"/>
        <v>0</v>
      </c>
      <c r="AP421" s="34"/>
      <c r="AQ421" s="16"/>
      <c r="AR421" s="16"/>
      <c r="AS421" s="17"/>
      <c r="AT421" s="18">
        <f t="shared" si="1300"/>
        <v>0</v>
      </c>
      <c r="AU421" s="194">
        <v>4</v>
      </c>
      <c r="AV421" s="16"/>
      <c r="AW421" s="16"/>
      <c r="AX421" s="17"/>
      <c r="AY421" s="18">
        <f t="shared" si="1301"/>
        <v>4</v>
      </c>
      <c r="AZ421" s="34"/>
      <c r="BA421" s="16"/>
      <c r="BB421" s="16"/>
      <c r="BC421" s="17"/>
      <c r="BD421" s="18">
        <f t="shared" si="1302"/>
        <v>0</v>
      </c>
      <c r="BE421" s="34"/>
      <c r="BF421" s="16"/>
      <c r="BG421" s="16"/>
      <c r="BH421" s="17"/>
      <c r="BI421" s="18">
        <f t="shared" si="1303"/>
        <v>0</v>
      </c>
      <c r="BJ421" s="34"/>
      <c r="BK421" s="16"/>
      <c r="BL421" s="16"/>
      <c r="BM421" s="17"/>
      <c r="BN421" s="18">
        <f t="shared" si="1304"/>
        <v>0</v>
      </c>
      <c r="BO421" s="70">
        <f t="shared" si="1445"/>
        <v>4</v>
      </c>
      <c r="BP421" s="16">
        <f t="shared" si="1446"/>
        <v>0</v>
      </c>
      <c r="BQ421" s="16">
        <f t="shared" si="1447"/>
        <v>0</v>
      </c>
      <c r="BR421" s="17">
        <f t="shared" si="1448"/>
        <v>0</v>
      </c>
      <c r="BS421" s="35">
        <f t="shared" si="1467"/>
        <v>4</v>
      </c>
    </row>
    <row r="422" spans="2:71" x14ac:dyDescent="0.3">
      <c r="B422" s="254"/>
      <c r="C422" s="204"/>
      <c r="D422" s="200"/>
      <c r="E422" s="201"/>
      <c r="F422" s="123" t="s">
        <v>406</v>
      </c>
      <c r="G422" s="34"/>
      <c r="H422" s="16"/>
      <c r="I422" s="16"/>
      <c r="J422" s="17"/>
      <c r="K422" s="18">
        <f t="shared" ref="K422:K423" si="1520">SUM(G422:J422)</f>
        <v>0</v>
      </c>
      <c r="L422" s="34"/>
      <c r="M422" s="16"/>
      <c r="N422" s="16"/>
      <c r="O422" s="17"/>
      <c r="P422" s="18">
        <f t="shared" si="1294"/>
        <v>0</v>
      </c>
      <c r="Q422" s="34"/>
      <c r="R422" s="16"/>
      <c r="S422" s="16"/>
      <c r="T422" s="17"/>
      <c r="U422" s="18">
        <f t="shared" si="1295"/>
        <v>0</v>
      </c>
      <c r="V422" s="34"/>
      <c r="W422" s="16"/>
      <c r="X422" s="16"/>
      <c r="Y422" s="17"/>
      <c r="Z422" s="18">
        <f t="shared" si="1296"/>
        <v>0</v>
      </c>
      <c r="AA422" s="34"/>
      <c r="AB422" s="16"/>
      <c r="AC422" s="16"/>
      <c r="AD422" s="17"/>
      <c r="AE422" s="18">
        <f t="shared" si="1297"/>
        <v>0</v>
      </c>
      <c r="AF422" s="34"/>
      <c r="AG422" s="16"/>
      <c r="AH422" s="16"/>
      <c r="AI422" s="17"/>
      <c r="AJ422" s="18">
        <f t="shared" si="1298"/>
        <v>0</v>
      </c>
      <c r="AK422" s="34"/>
      <c r="AL422" s="16"/>
      <c r="AM422" s="16"/>
      <c r="AN422" s="17"/>
      <c r="AO422" s="18">
        <f t="shared" si="1299"/>
        <v>0</v>
      </c>
      <c r="AP422" s="34"/>
      <c r="AQ422" s="16"/>
      <c r="AR422" s="16"/>
      <c r="AS422" s="17"/>
      <c r="AT422" s="18">
        <f t="shared" si="1300"/>
        <v>0</v>
      </c>
      <c r="AU422" s="34"/>
      <c r="AV422" s="16"/>
      <c r="AW422" s="16"/>
      <c r="AX422" s="17"/>
      <c r="AY422" s="18">
        <f t="shared" si="1301"/>
        <v>0</v>
      </c>
      <c r="AZ422" s="34"/>
      <c r="BA422" s="16"/>
      <c r="BB422" s="16"/>
      <c r="BC422" s="17"/>
      <c r="BD422" s="18">
        <f t="shared" si="1302"/>
        <v>0</v>
      </c>
      <c r="BE422" s="34">
        <v>57</v>
      </c>
      <c r="BF422" s="16"/>
      <c r="BG422" s="16"/>
      <c r="BH422" s="17"/>
      <c r="BI422" s="18">
        <f t="shared" si="1303"/>
        <v>57</v>
      </c>
      <c r="BJ422" s="34">
        <v>4992</v>
      </c>
      <c r="BK422" s="16"/>
      <c r="BL422" s="16"/>
      <c r="BM422" s="17"/>
      <c r="BN422" s="18">
        <f t="shared" si="1304"/>
        <v>4992</v>
      </c>
      <c r="BO422" s="70">
        <f t="shared" si="1445"/>
        <v>5049</v>
      </c>
      <c r="BP422" s="16">
        <f t="shared" si="1446"/>
        <v>0</v>
      </c>
      <c r="BQ422" s="16">
        <f t="shared" si="1447"/>
        <v>0</v>
      </c>
      <c r="BR422" s="17">
        <f t="shared" si="1448"/>
        <v>0</v>
      </c>
      <c r="BS422" s="35">
        <f t="shared" ref="BS422:BS423" si="1521">SUM(BO422:BR422)</f>
        <v>5049</v>
      </c>
    </row>
    <row r="423" spans="2:71" x14ac:dyDescent="0.3">
      <c r="B423" s="254"/>
      <c r="C423" s="204"/>
      <c r="D423" s="200"/>
      <c r="E423" s="201"/>
      <c r="F423" s="123" t="s">
        <v>407</v>
      </c>
      <c r="G423" s="34"/>
      <c r="H423" s="16"/>
      <c r="I423" s="16"/>
      <c r="J423" s="17"/>
      <c r="K423" s="18">
        <f t="shared" si="1520"/>
        <v>0</v>
      </c>
      <c r="L423" s="34"/>
      <c r="M423" s="16"/>
      <c r="N423" s="16"/>
      <c r="O423" s="17"/>
      <c r="P423" s="18">
        <f t="shared" ref="P423" si="1522">SUM(L423:O423)</f>
        <v>0</v>
      </c>
      <c r="Q423" s="34"/>
      <c r="R423" s="16"/>
      <c r="S423" s="16"/>
      <c r="T423" s="17"/>
      <c r="U423" s="18">
        <f t="shared" ref="U423" si="1523">SUM(Q423:T423)</f>
        <v>0</v>
      </c>
      <c r="V423" s="34"/>
      <c r="W423" s="16"/>
      <c r="X423" s="16"/>
      <c r="Y423" s="17"/>
      <c r="Z423" s="18">
        <f t="shared" ref="Z423" si="1524">SUM(V423:Y423)</f>
        <v>0</v>
      </c>
      <c r="AA423" s="34"/>
      <c r="AB423" s="16"/>
      <c r="AC423" s="16"/>
      <c r="AD423" s="17"/>
      <c r="AE423" s="18">
        <f t="shared" ref="AE423" si="1525">SUM(AA423:AD423)</f>
        <v>0</v>
      </c>
      <c r="AF423" s="34"/>
      <c r="AG423" s="16"/>
      <c r="AH423" s="16"/>
      <c r="AI423" s="17"/>
      <c r="AJ423" s="18">
        <f t="shared" ref="AJ423" si="1526">SUM(AF423:AI423)</f>
        <v>0</v>
      </c>
      <c r="AK423" s="34"/>
      <c r="AL423" s="16"/>
      <c r="AM423" s="16"/>
      <c r="AN423" s="17"/>
      <c r="AO423" s="18">
        <f t="shared" ref="AO423" si="1527">SUM(AK423:AN423)</f>
        <v>0</v>
      </c>
      <c r="AP423" s="34"/>
      <c r="AQ423" s="16"/>
      <c r="AR423" s="16"/>
      <c r="AS423" s="17"/>
      <c r="AT423" s="18">
        <f t="shared" ref="AT423" si="1528">SUM(AP423:AS423)</f>
        <v>0</v>
      </c>
      <c r="AU423" s="34"/>
      <c r="AV423" s="16"/>
      <c r="AW423" s="16"/>
      <c r="AX423" s="17"/>
      <c r="AY423" s="18">
        <f t="shared" ref="AY423" si="1529">SUM(AU423:AX423)</f>
        <v>0</v>
      </c>
      <c r="AZ423" s="34"/>
      <c r="BA423" s="16"/>
      <c r="BB423" s="16"/>
      <c r="BC423" s="17"/>
      <c r="BD423" s="18">
        <f t="shared" ref="BD423" si="1530">SUM(AZ423:BC423)</f>
        <v>0</v>
      </c>
      <c r="BE423" s="34">
        <v>49</v>
      </c>
      <c r="BF423" s="16"/>
      <c r="BG423" s="16"/>
      <c r="BH423" s="17"/>
      <c r="BI423" s="18">
        <f t="shared" ref="BI423" si="1531">SUM(BE423:BH423)</f>
        <v>49</v>
      </c>
      <c r="BJ423" s="34">
        <v>1724</v>
      </c>
      <c r="BK423" s="16"/>
      <c r="BL423" s="16"/>
      <c r="BM423" s="17"/>
      <c r="BN423" s="18">
        <f t="shared" ref="BN423" si="1532">SUM(BJ423:BM423)</f>
        <v>1724</v>
      </c>
      <c r="BO423" s="70">
        <f t="shared" si="1445"/>
        <v>1773</v>
      </c>
      <c r="BP423" s="16">
        <f t="shared" si="1446"/>
        <v>0</v>
      </c>
      <c r="BQ423" s="16">
        <f t="shared" si="1447"/>
        <v>0</v>
      </c>
      <c r="BR423" s="17">
        <f t="shared" si="1448"/>
        <v>0</v>
      </c>
      <c r="BS423" s="35">
        <f t="shared" si="1521"/>
        <v>1773</v>
      </c>
    </row>
    <row r="424" spans="2:71" x14ac:dyDescent="0.3">
      <c r="B424" s="254"/>
      <c r="C424" s="204"/>
      <c r="D424" s="200"/>
      <c r="E424" s="201"/>
      <c r="F424" s="123" t="s">
        <v>408</v>
      </c>
      <c r="G424" s="34"/>
      <c r="H424" s="16"/>
      <c r="I424" s="16"/>
      <c r="J424" s="17"/>
      <c r="K424" s="18">
        <f t="shared" si="1466"/>
        <v>0</v>
      </c>
      <c r="L424" s="34"/>
      <c r="M424" s="16"/>
      <c r="N424" s="16"/>
      <c r="O424" s="17"/>
      <c r="P424" s="18">
        <f t="shared" ref="P424:P425" si="1533">SUM(L424:O424)</f>
        <v>0</v>
      </c>
      <c r="Q424" s="34"/>
      <c r="R424" s="16"/>
      <c r="S424" s="16"/>
      <c r="T424" s="17"/>
      <c r="U424" s="18">
        <f t="shared" ref="U424:U425" si="1534">SUM(Q424:T424)</f>
        <v>0</v>
      </c>
      <c r="V424" s="34"/>
      <c r="W424" s="16"/>
      <c r="X424" s="16"/>
      <c r="Y424" s="17"/>
      <c r="Z424" s="18">
        <f t="shared" ref="Z424:Z425" si="1535">SUM(V424:Y424)</f>
        <v>0</v>
      </c>
      <c r="AA424" s="34"/>
      <c r="AB424" s="16"/>
      <c r="AC424" s="16"/>
      <c r="AD424" s="17"/>
      <c r="AE424" s="18">
        <f t="shared" ref="AE424:AE425" si="1536">SUM(AA424:AD424)</f>
        <v>0</v>
      </c>
      <c r="AF424" s="34"/>
      <c r="AG424" s="16"/>
      <c r="AH424" s="16"/>
      <c r="AI424" s="17"/>
      <c r="AJ424" s="18">
        <f t="shared" ref="AJ424:AJ425" si="1537">SUM(AF424:AI424)</f>
        <v>0</v>
      </c>
      <c r="AK424" s="34"/>
      <c r="AL424" s="16"/>
      <c r="AM424" s="16"/>
      <c r="AN424" s="17"/>
      <c r="AO424" s="18">
        <f t="shared" ref="AO424:AO425" si="1538">SUM(AK424:AN424)</f>
        <v>0</v>
      </c>
      <c r="AP424" s="34"/>
      <c r="AQ424" s="16"/>
      <c r="AR424" s="16"/>
      <c r="AS424" s="17"/>
      <c r="AT424" s="18">
        <f t="shared" ref="AT424:AT425" si="1539">SUM(AP424:AS424)</f>
        <v>0</v>
      </c>
      <c r="AU424" s="34"/>
      <c r="AV424" s="16"/>
      <c r="AW424" s="16"/>
      <c r="AX424" s="17"/>
      <c r="AY424" s="18">
        <f t="shared" ref="AY424:AY425" si="1540">SUM(AU424:AX424)</f>
        <v>0</v>
      </c>
      <c r="AZ424" s="34"/>
      <c r="BA424" s="16"/>
      <c r="BB424" s="16"/>
      <c r="BC424" s="17"/>
      <c r="BD424" s="18">
        <f t="shared" ref="BD424:BD425" si="1541">SUM(AZ424:BC424)</f>
        <v>0</v>
      </c>
      <c r="BE424" s="34">
        <v>37</v>
      </c>
      <c r="BF424" s="16"/>
      <c r="BG424" s="16"/>
      <c r="BH424" s="17"/>
      <c r="BI424" s="18">
        <f t="shared" ref="BI424:BI425" si="1542">SUM(BE424:BH424)</f>
        <v>37</v>
      </c>
      <c r="BJ424" s="34">
        <v>3245</v>
      </c>
      <c r="BK424" s="16"/>
      <c r="BL424" s="16"/>
      <c r="BM424" s="17"/>
      <c r="BN424" s="18">
        <f t="shared" ref="BN424:BN425" si="1543">SUM(BJ424:BM424)</f>
        <v>3245</v>
      </c>
      <c r="BO424" s="70">
        <f t="shared" si="1445"/>
        <v>3282</v>
      </c>
      <c r="BP424" s="16">
        <f t="shared" si="1446"/>
        <v>0</v>
      </c>
      <c r="BQ424" s="16">
        <f t="shared" si="1447"/>
        <v>0</v>
      </c>
      <c r="BR424" s="17">
        <f t="shared" si="1448"/>
        <v>0</v>
      </c>
      <c r="BS424" s="35">
        <f t="shared" si="1467"/>
        <v>3282</v>
      </c>
    </row>
    <row r="425" spans="2:71" x14ac:dyDescent="0.3">
      <c r="B425" s="254"/>
      <c r="C425" s="204"/>
      <c r="D425" s="200"/>
      <c r="E425" s="201"/>
      <c r="F425" s="123" t="s">
        <v>417</v>
      </c>
      <c r="G425" s="34"/>
      <c r="H425" s="16"/>
      <c r="I425" s="16"/>
      <c r="J425" s="17"/>
      <c r="K425" s="18">
        <f t="shared" si="1466"/>
        <v>0</v>
      </c>
      <c r="L425" s="34"/>
      <c r="M425" s="16"/>
      <c r="N425" s="16"/>
      <c r="O425" s="17"/>
      <c r="P425" s="18">
        <f t="shared" si="1533"/>
        <v>0</v>
      </c>
      <c r="Q425" s="34"/>
      <c r="R425" s="16"/>
      <c r="S425" s="16"/>
      <c r="T425" s="17"/>
      <c r="U425" s="18">
        <f t="shared" si="1534"/>
        <v>0</v>
      </c>
      <c r="V425" s="34"/>
      <c r="W425" s="16"/>
      <c r="X425" s="16"/>
      <c r="Y425" s="17"/>
      <c r="Z425" s="18">
        <f t="shared" si="1535"/>
        <v>0</v>
      </c>
      <c r="AA425" s="34"/>
      <c r="AB425" s="16"/>
      <c r="AC425" s="16"/>
      <c r="AD425" s="17"/>
      <c r="AE425" s="18">
        <f t="shared" si="1536"/>
        <v>0</v>
      </c>
      <c r="AF425" s="34"/>
      <c r="AG425" s="16"/>
      <c r="AH425" s="16"/>
      <c r="AI425" s="17"/>
      <c r="AJ425" s="18">
        <f t="shared" si="1537"/>
        <v>0</v>
      </c>
      <c r="AK425" s="34"/>
      <c r="AL425" s="16"/>
      <c r="AM425" s="16"/>
      <c r="AN425" s="17"/>
      <c r="AO425" s="18">
        <f t="shared" si="1538"/>
        <v>0</v>
      </c>
      <c r="AP425" s="34"/>
      <c r="AQ425" s="16"/>
      <c r="AR425" s="16"/>
      <c r="AS425" s="17"/>
      <c r="AT425" s="18">
        <f t="shared" si="1539"/>
        <v>0</v>
      </c>
      <c r="AU425" s="34"/>
      <c r="AV425" s="16"/>
      <c r="AW425" s="16"/>
      <c r="AX425" s="17"/>
      <c r="AY425" s="18">
        <f t="shared" si="1540"/>
        <v>0</v>
      </c>
      <c r="AZ425" s="34"/>
      <c r="BA425" s="16"/>
      <c r="BB425" s="16"/>
      <c r="BC425" s="17"/>
      <c r="BD425" s="18">
        <f t="shared" si="1541"/>
        <v>0</v>
      </c>
      <c r="BE425" s="34"/>
      <c r="BF425" s="16"/>
      <c r="BG425" s="16"/>
      <c r="BH425" s="17"/>
      <c r="BI425" s="18">
        <f t="shared" si="1542"/>
        <v>0</v>
      </c>
      <c r="BJ425" s="34">
        <v>91</v>
      </c>
      <c r="BK425" s="16"/>
      <c r="BL425" s="16"/>
      <c r="BM425" s="17"/>
      <c r="BN425" s="18">
        <f t="shared" si="1543"/>
        <v>91</v>
      </c>
      <c r="BO425" s="70">
        <f t="shared" si="1445"/>
        <v>91</v>
      </c>
      <c r="BP425" s="16">
        <f t="shared" si="1446"/>
        <v>0</v>
      </c>
      <c r="BQ425" s="16">
        <f t="shared" si="1447"/>
        <v>0</v>
      </c>
      <c r="BR425" s="17">
        <f t="shared" si="1448"/>
        <v>0</v>
      </c>
      <c r="BS425" s="35">
        <f t="shared" si="1467"/>
        <v>91</v>
      </c>
    </row>
    <row r="426" spans="2:71" x14ac:dyDescent="0.3">
      <c r="B426" s="254"/>
      <c r="C426" s="204"/>
      <c r="D426" s="200"/>
      <c r="E426" s="201"/>
      <c r="F426" s="123" t="s">
        <v>418</v>
      </c>
      <c r="G426" s="34"/>
      <c r="H426" s="16"/>
      <c r="I426" s="16"/>
      <c r="J426" s="17"/>
      <c r="K426" s="18">
        <f t="shared" ref="K426" si="1544">SUM(G426:J426)</f>
        <v>0</v>
      </c>
      <c r="L426" s="34"/>
      <c r="M426" s="16"/>
      <c r="N426" s="16"/>
      <c r="O426" s="17"/>
      <c r="P426" s="18">
        <f t="shared" si="1294"/>
        <v>0</v>
      </c>
      <c r="Q426" s="34"/>
      <c r="R426" s="16"/>
      <c r="S426" s="16"/>
      <c r="T426" s="17"/>
      <c r="U426" s="18">
        <f t="shared" si="1295"/>
        <v>0</v>
      </c>
      <c r="V426" s="34"/>
      <c r="W426" s="16"/>
      <c r="X426" s="16"/>
      <c r="Y426" s="17"/>
      <c r="Z426" s="18">
        <f t="shared" si="1296"/>
        <v>0</v>
      </c>
      <c r="AA426" s="34"/>
      <c r="AB426" s="16"/>
      <c r="AC426" s="16"/>
      <c r="AD426" s="17"/>
      <c r="AE426" s="18">
        <f t="shared" si="1297"/>
        <v>0</v>
      </c>
      <c r="AF426" s="34"/>
      <c r="AG426" s="16"/>
      <c r="AH426" s="16"/>
      <c r="AI426" s="17"/>
      <c r="AJ426" s="18">
        <f t="shared" si="1298"/>
        <v>0</v>
      </c>
      <c r="AK426" s="34"/>
      <c r="AL426" s="16"/>
      <c r="AM426" s="16"/>
      <c r="AN426" s="17"/>
      <c r="AO426" s="18">
        <f t="shared" si="1299"/>
        <v>0</v>
      </c>
      <c r="AP426" s="34"/>
      <c r="AQ426" s="16"/>
      <c r="AR426" s="16"/>
      <c r="AS426" s="17"/>
      <c r="AT426" s="18">
        <f t="shared" si="1300"/>
        <v>0</v>
      </c>
      <c r="AU426" s="34"/>
      <c r="AV426" s="16"/>
      <c r="AW426" s="16"/>
      <c r="AX426" s="17"/>
      <c r="AY426" s="18">
        <f t="shared" si="1301"/>
        <v>0</v>
      </c>
      <c r="AZ426" s="34"/>
      <c r="BA426" s="16"/>
      <c r="BB426" s="16"/>
      <c r="BC426" s="17"/>
      <c r="BD426" s="18">
        <f t="shared" si="1302"/>
        <v>0</v>
      </c>
      <c r="BE426" s="34"/>
      <c r="BF426" s="16"/>
      <c r="BG426" s="16"/>
      <c r="BH426" s="17"/>
      <c r="BI426" s="18">
        <f t="shared" si="1303"/>
        <v>0</v>
      </c>
      <c r="BJ426" s="34">
        <v>44</v>
      </c>
      <c r="BK426" s="16"/>
      <c r="BL426" s="16"/>
      <c r="BM426" s="17"/>
      <c r="BN426" s="18">
        <f t="shared" si="1304"/>
        <v>44</v>
      </c>
      <c r="BO426" s="70">
        <f t="shared" si="1445"/>
        <v>44</v>
      </c>
      <c r="BP426" s="16">
        <f t="shared" si="1446"/>
        <v>0</v>
      </c>
      <c r="BQ426" s="16">
        <f t="shared" si="1447"/>
        <v>0</v>
      </c>
      <c r="BR426" s="17">
        <f t="shared" si="1448"/>
        <v>0</v>
      </c>
      <c r="BS426" s="35">
        <f t="shared" ref="BS426" si="1545">SUM(BO426:BR426)</f>
        <v>44</v>
      </c>
    </row>
    <row r="427" spans="2:71" x14ac:dyDescent="0.3">
      <c r="B427" s="254"/>
      <c r="C427" s="204"/>
      <c r="D427" s="200"/>
      <c r="E427" s="201"/>
      <c r="F427" s="123" t="s">
        <v>419</v>
      </c>
      <c r="G427" s="34"/>
      <c r="H427" s="16"/>
      <c r="I427" s="16"/>
      <c r="J427" s="17"/>
      <c r="K427" s="18">
        <f t="shared" ref="K427" si="1546">SUM(G427:J427)</f>
        <v>0</v>
      </c>
      <c r="L427" s="34"/>
      <c r="M427" s="16"/>
      <c r="N427" s="16"/>
      <c r="O427" s="17"/>
      <c r="P427" s="18">
        <f t="shared" si="1294"/>
        <v>0</v>
      </c>
      <c r="Q427" s="34"/>
      <c r="R427" s="16"/>
      <c r="S427" s="16"/>
      <c r="T427" s="17"/>
      <c r="U427" s="18">
        <f t="shared" si="1295"/>
        <v>0</v>
      </c>
      <c r="V427" s="34"/>
      <c r="W427" s="16"/>
      <c r="X427" s="16"/>
      <c r="Y427" s="17"/>
      <c r="Z427" s="18">
        <f t="shared" si="1296"/>
        <v>0</v>
      </c>
      <c r="AA427" s="34"/>
      <c r="AB427" s="16"/>
      <c r="AC427" s="16"/>
      <c r="AD427" s="17"/>
      <c r="AE427" s="18">
        <f t="shared" si="1297"/>
        <v>0</v>
      </c>
      <c r="AF427" s="34"/>
      <c r="AG427" s="16"/>
      <c r="AH427" s="16"/>
      <c r="AI427" s="17"/>
      <c r="AJ427" s="18">
        <f t="shared" si="1298"/>
        <v>0</v>
      </c>
      <c r="AK427" s="34"/>
      <c r="AL427" s="16"/>
      <c r="AM427" s="16"/>
      <c r="AN427" s="17"/>
      <c r="AO427" s="18">
        <f t="shared" si="1299"/>
        <v>0</v>
      </c>
      <c r="AP427" s="34"/>
      <c r="AQ427" s="16"/>
      <c r="AR427" s="16"/>
      <c r="AS427" s="17"/>
      <c r="AT427" s="18">
        <f t="shared" si="1300"/>
        <v>0</v>
      </c>
      <c r="AU427" s="34"/>
      <c r="AV427" s="16"/>
      <c r="AW427" s="16"/>
      <c r="AX427" s="17"/>
      <c r="AY427" s="18">
        <f t="shared" si="1301"/>
        <v>0</v>
      </c>
      <c r="AZ427" s="34"/>
      <c r="BA427" s="16"/>
      <c r="BB427" s="16"/>
      <c r="BC427" s="17"/>
      <c r="BD427" s="18">
        <f t="shared" si="1302"/>
        <v>0</v>
      </c>
      <c r="BE427" s="34"/>
      <c r="BF427" s="16"/>
      <c r="BG427" s="16"/>
      <c r="BH427" s="17"/>
      <c r="BI427" s="18">
        <f t="shared" si="1303"/>
        <v>0</v>
      </c>
      <c r="BJ427" s="34">
        <v>45</v>
      </c>
      <c r="BK427" s="16"/>
      <c r="BL427" s="16"/>
      <c r="BM427" s="17"/>
      <c r="BN427" s="18">
        <f t="shared" si="1304"/>
        <v>45</v>
      </c>
      <c r="BO427" s="70">
        <f t="shared" si="1445"/>
        <v>45</v>
      </c>
      <c r="BP427" s="16">
        <f t="shared" si="1446"/>
        <v>0</v>
      </c>
      <c r="BQ427" s="16">
        <f t="shared" si="1447"/>
        <v>0</v>
      </c>
      <c r="BR427" s="17">
        <f t="shared" si="1448"/>
        <v>0</v>
      </c>
      <c r="BS427" s="35">
        <f t="shared" ref="BS427" si="1547">SUM(BO427:BR427)</f>
        <v>45</v>
      </c>
    </row>
    <row r="428" spans="2:71" s="97" customFormat="1" x14ac:dyDescent="0.3">
      <c r="B428" s="254"/>
      <c r="C428" s="204"/>
      <c r="D428" s="202"/>
      <c r="E428" s="203"/>
      <c r="F428" s="113" t="s">
        <v>54</v>
      </c>
      <c r="G428" s="98">
        <f>SUM(G390:G427)</f>
        <v>8083</v>
      </c>
      <c r="H428" s="99">
        <f>SUM(H390:H427)</f>
        <v>0</v>
      </c>
      <c r="I428" s="99">
        <f>SUM(I390:I427)</f>
        <v>0</v>
      </c>
      <c r="J428" s="100">
        <f>SUM(J390:J427)</f>
        <v>0</v>
      </c>
      <c r="K428" s="101">
        <f t="shared" si="1449"/>
        <v>8083</v>
      </c>
      <c r="L428" s="98">
        <f>SUM(L390:L427)</f>
        <v>17038</v>
      </c>
      <c r="M428" s="99">
        <f>SUM(M390:M427)</f>
        <v>0</v>
      </c>
      <c r="N428" s="99">
        <f>SUM(N390:N427)</f>
        <v>0</v>
      </c>
      <c r="O428" s="100">
        <f>SUM(O390:O427)</f>
        <v>0</v>
      </c>
      <c r="P428" s="101">
        <f t="shared" si="1294"/>
        <v>17038</v>
      </c>
      <c r="Q428" s="98">
        <f>SUM(Q390:Q427)</f>
        <v>13937</v>
      </c>
      <c r="R428" s="99">
        <f>SUM(R390:R427)</f>
        <v>0</v>
      </c>
      <c r="S428" s="99">
        <f>SUM(S390:S427)</f>
        <v>0</v>
      </c>
      <c r="T428" s="100">
        <f>SUM(T390:T427)</f>
        <v>0</v>
      </c>
      <c r="U428" s="101">
        <f t="shared" si="1295"/>
        <v>13937</v>
      </c>
      <c r="V428" s="98">
        <f>SUM(V390:V427)</f>
        <v>23939</v>
      </c>
      <c r="W428" s="99">
        <f>SUM(W390:W427)</f>
        <v>0</v>
      </c>
      <c r="X428" s="99">
        <f>SUM(X390:X427)</f>
        <v>0</v>
      </c>
      <c r="Y428" s="100">
        <f>SUM(Y390:Y427)</f>
        <v>0</v>
      </c>
      <c r="Z428" s="101">
        <f t="shared" si="1296"/>
        <v>23939</v>
      </c>
      <c r="AA428" s="98">
        <f>SUM(AA390:AA427)</f>
        <v>26202</v>
      </c>
      <c r="AB428" s="99">
        <f>SUM(AB390:AB427)</f>
        <v>0</v>
      </c>
      <c r="AC428" s="99">
        <f>SUM(AC390:AC427)</f>
        <v>0</v>
      </c>
      <c r="AD428" s="100">
        <f>SUM(AD390:AD427)</f>
        <v>0</v>
      </c>
      <c r="AE428" s="101">
        <f t="shared" si="1297"/>
        <v>26202</v>
      </c>
      <c r="AF428" s="98">
        <f>SUM(AF390:AF427)</f>
        <v>25060</v>
      </c>
      <c r="AG428" s="99">
        <f>SUM(AG390:AG427)</f>
        <v>0</v>
      </c>
      <c r="AH428" s="99">
        <f>SUM(AH390:AH427)</f>
        <v>0</v>
      </c>
      <c r="AI428" s="100">
        <f>SUM(AI390:AI427)</f>
        <v>0</v>
      </c>
      <c r="AJ428" s="101">
        <f t="shared" si="1298"/>
        <v>25060</v>
      </c>
      <c r="AK428" s="98">
        <f>SUM(AK390:AK427)</f>
        <v>10791</v>
      </c>
      <c r="AL428" s="99">
        <f>SUM(AL390:AL427)</f>
        <v>0</v>
      </c>
      <c r="AM428" s="99">
        <f>SUM(AM390:AM427)</f>
        <v>0</v>
      </c>
      <c r="AN428" s="100">
        <f>SUM(AN390:AN427)</f>
        <v>0</v>
      </c>
      <c r="AO428" s="101">
        <f t="shared" si="1299"/>
        <v>10791</v>
      </c>
      <c r="AP428" s="98">
        <f>SUM(AP390:AP427)</f>
        <v>19073</v>
      </c>
      <c r="AQ428" s="99">
        <f>SUM(AQ390:AQ427)</f>
        <v>0</v>
      </c>
      <c r="AR428" s="99">
        <f>SUM(AR390:AR427)</f>
        <v>0</v>
      </c>
      <c r="AS428" s="100">
        <f>SUM(AS390:AS427)</f>
        <v>0</v>
      </c>
      <c r="AT428" s="101">
        <f t="shared" si="1300"/>
        <v>19073</v>
      </c>
      <c r="AU428" s="98">
        <f>SUM(AU390:AU427)</f>
        <v>28830</v>
      </c>
      <c r="AV428" s="99">
        <f>SUM(AV390:AV427)</f>
        <v>0</v>
      </c>
      <c r="AW428" s="99">
        <f>SUM(AW390:AW427)</f>
        <v>0</v>
      </c>
      <c r="AX428" s="100">
        <f>SUM(AX390:AX427)</f>
        <v>0</v>
      </c>
      <c r="AY428" s="101">
        <f t="shared" si="1301"/>
        <v>28830</v>
      </c>
      <c r="AZ428" s="98">
        <f>SUM(AZ390:AZ427)</f>
        <v>54163</v>
      </c>
      <c r="BA428" s="99">
        <f>SUM(BA390:BA427)</f>
        <v>0</v>
      </c>
      <c r="BB428" s="99">
        <f>SUM(BB390:BB427)</f>
        <v>0</v>
      </c>
      <c r="BC428" s="100">
        <f>SUM(BC390:BC427)</f>
        <v>0</v>
      </c>
      <c r="BD428" s="101">
        <f t="shared" si="1302"/>
        <v>54163</v>
      </c>
      <c r="BE428" s="98">
        <f>SUM(BE390:BE427)</f>
        <v>13518</v>
      </c>
      <c r="BF428" s="99">
        <f>SUM(BF390:BF427)</f>
        <v>0</v>
      </c>
      <c r="BG428" s="99">
        <f>SUM(BG390:BG427)</f>
        <v>0</v>
      </c>
      <c r="BH428" s="100">
        <f>SUM(BH390:BH427)</f>
        <v>0</v>
      </c>
      <c r="BI428" s="101">
        <f t="shared" si="1303"/>
        <v>13518</v>
      </c>
      <c r="BJ428" s="98">
        <f>SUM(BJ390:BJ427)</f>
        <v>11326</v>
      </c>
      <c r="BK428" s="99">
        <f>SUM(BK390:BK427)</f>
        <v>0</v>
      </c>
      <c r="BL428" s="99">
        <f>SUM(BL390:BL427)</f>
        <v>0</v>
      </c>
      <c r="BM428" s="100">
        <f>SUM(BM390:BM427)</f>
        <v>0</v>
      </c>
      <c r="BN428" s="101">
        <f t="shared" si="1304"/>
        <v>11326</v>
      </c>
      <c r="BO428" s="103">
        <f>SUM(BO390:BO427)</f>
        <v>251960</v>
      </c>
      <c r="BP428" s="99">
        <f>SUM(BP390:BP427)</f>
        <v>0</v>
      </c>
      <c r="BQ428" s="99">
        <f>SUM(BQ390:BQ427)</f>
        <v>0</v>
      </c>
      <c r="BR428" s="100">
        <f>SUM(BR390:BR427)</f>
        <v>0</v>
      </c>
      <c r="BS428" s="102">
        <f t="shared" si="1450"/>
        <v>251960</v>
      </c>
    </row>
    <row r="429" spans="2:71" x14ac:dyDescent="0.3">
      <c r="B429" s="254"/>
      <c r="C429" s="206"/>
      <c r="D429" s="96"/>
      <c r="E429" s="96"/>
      <c r="F429" s="118"/>
      <c r="G429" s="42">
        <f>SUM(G389,G428)</f>
        <v>10516</v>
      </c>
      <c r="H429" s="25">
        <f>SUM(H389,H428)</f>
        <v>0</v>
      </c>
      <c r="I429" s="25">
        <f>SUM(I389,I428)</f>
        <v>0</v>
      </c>
      <c r="J429" s="26">
        <f>SUM(J389,J428)</f>
        <v>0</v>
      </c>
      <c r="K429" s="27">
        <f t="shared" si="1449"/>
        <v>10516</v>
      </c>
      <c r="L429" s="42">
        <f>SUM(L389,L428)</f>
        <v>20322</v>
      </c>
      <c r="M429" s="25">
        <f>SUM(M389,M428)</f>
        <v>0</v>
      </c>
      <c r="N429" s="25">
        <f>SUM(N389,N428)</f>
        <v>0</v>
      </c>
      <c r="O429" s="26">
        <f>SUM(O389,O428)</f>
        <v>0</v>
      </c>
      <c r="P429" s="27">
        <f t="shared" si="1294"/>
        <v>20322</v>
      </c>
      <c r="Q429" s="42">
        <f>SUM(Q389,Q428)</f>
        <v>17032</v>
      </c>
      <c r="R429" s="25">
        <f>SUM(R389,R428)</f>
        <v>0</v>
      </c>
      <c r="S429" s="25">
        <f>SUM(S389,S428)</f>
        <v>0</v>
      </c>
      <c r="T429" s="26">
        <f>SUM(T389,T428)</f>
        <v>0</v>
      </c>
      <c r="U429" s="27">
        <f t="shared" si="1295"/>
        <v>17032</v>
      </c>
      <c r="V429" s="42">
        <f>SUM(V389,V428)</f>
        <v>32010</v>
      </c>
      <c r="W429" s="25">
        <f>SUM(W389,W428)</f>
        <v>0</v>
      </c>
      <c r="X429" s="25">
        <f>SUM(X389,X428)</f>
        <v>0</v>
      </c>
      <c r="Y429" s="26">
        <f>SUM(Y389,Y428)</f>
        <v>0</v>
      </c>
      <c r="Z429" s="27">
        <f t="shared" si="1296"/>
        <v>32010</v>
      </c>
      <c r="AA429" s="42">
        <f>SUM(AA389,AA428)</f>
        <v>32180</v>
      </c>
      <c r="AB429" s="25">
        <f>SUM(AB389,AB428)</f>
        <v>0</v>
      </c>
      <c r="AC429" s="25">
        <f>SUM(AC389,AC428)</f>
        <v>0</v>
      </c>
      <c r="AD429" s="26">
        <f>SUM(AD389,AD428)</f>
        <v>0</v>
      </c>
      <c r="AE429" s="27">
        <f t="shared" si="1297"/>
        <v>32180</v>
      </c>
      <c r="AF429" s="42">
        <f>SUM(AF389,AF428)</f>
        <v>34687</v>
      </c>
      <c r="AG429" s="25">
        <f>SUM(AG389,AG428)</f>
        <v>0</v>
      </c>
      <c r="AH429" s="25">
        <f>SUM(AH389,AH428)</f>
        <v>1</v>
      </c>
      <c r="AI429" s="26">
        <f>SUM(AI389,AI428)</f>
        <v>0</v>
      </c>
      <c r="AJ429" s="27">
        <f t="shared" si="1298"/>
        <v>34688</v>
      </c>
      <c r="AK429" s="42">
        <f>SUM(AK389,AK428)</f>
        <v>14274</v>
      </c>
      <c r="AL429" s="25">
        <f>SUM(AL389,AL428)</f>
        <v>4</v>
      </c>
      <c r="AM429" s="25">
        <f>SUM(AM389,AM428)</f>
        <v>0</v>
      </c>
      <c r="AN429" s="26">
        <f>SUM(AN389,AN428)</f>
        <v>0</v>
      </c>
      <c r="AO429" s="27">
        <f t="shared" si="1299"/>
        <v>14278</v>
      </c>
      <c r="AP429" s="42">
        <f>SUM(AP389,AP428)</f>
        <v>22551</v>
      </c>
      <c r="AQ429" s="25">
        <f>SUM(AQ389,AQ428)</f>
        <v>0</v>
      </c>
      <c r="AR429" s="25">
        <f>SUM(AR389,AR428)</f>
        <v>0</v>
      </c>
      <c r="AS429" s="26">
        <f>SUM(AS389,AS428)</f>
        <v>0</v>
      </c>
      <c r="AT429" s="27">
        <f t="shared" si="1300"/>
        <v>22551</v>
      </c>
      <c r="AU429" s="42">
        <f>SUM(AU389,AU428)</f>
        <v>36460</v>
      </c>
      <c r="AV429" s="25">
        <f>SUM(AV389,AV428)</f>
        <v>0</v>
      </c>
      <c r="AW429" s="25">
        <f>SUM(AW389,AW428)</f>
        <v>0</v>
      </c>
      <c r="AX429" s="26">
        <f>SUM(AX389,AX428)</f>
        <v>0</v>
      </c>
      <c r="AY429" s="27">
        <f t="shared" si="1301"/>
        <v>36460</v>
      </c>
      <c r="AZ429" s="42">
        <f>SUM(AZ389,AZ428)</f>
        <v>61144</v>
      </c>
      <c r="BA429" s="25">
        <f>SUM(BA389,BA428)</f>
        <v>0</v>
      </c>
      <c r="BB429" s="25">
        <f>SUM(BB389,BB428)</f>
        <v>0</v>
      </c>
      <c r="BC429" s="26">
        <f>SUM(BC389,BC428)</f>
        <v>0</v>
      </c>
      <c r="BD429" s="27">
        <f t="shared" si="1302"/>
        <v>61144</v>
      </c>
      <c r="BE429" s="42">
        <f>SUM(BE389,BE428)</f>
        <v>15558</v>
      </c>
      <c r="BF429" s="25">
        <f>SUM(BF389,BF428)</f>
        <v>0</v>
      </c>
      <c r="BG429" s="25">
        <f>SUM(BG389,BG428)</f>
        <v>2</v>
      </c>
      <c r="BH429" s="26">
        <f>SUM(BH389,BH428)</f>
        <v>0</v>
      </c>
      <c r="BI429" s="27">
        <f t="shared" si="1303"/>
        <v>15560</v>
      </c>
      <c r="BJ429" s="42">
        <f>SUM(BJ389,BJ428)</f>
        <v>13927</v>
      </c>
      <c r="BK429" s="25">
        <f>SUM(BK389,BK428)</f>
        <v>0</v>
      </c>
      <c r="BL429" s="25">
        <f>SUM(BL389,BL428)</f>
        <v>0</v>
      </c>
      <c r="BM429" s="26">
        <f>SUM(BM389,BM428)</f>
        <v>0</v>
      </c>
      <c r="BN429" s="27">
        <f t="shared" si="1304"/>
        <v>13927</v>
      </c>
      <c r="BO429" s="74">
        <f>SUM(BO389,BO428)</f>
        <v>310661</v>
      </c>
      <c r="BP429" s="25">
        <f>SUM(BP389,BP428)</f>
        <v>4</v>
      </c>
      <c r="BQ429" s="25">
        <f>SUM(BQ389,BQ428)</f>
        <v>3</v>
      </c>
      <c r="BR429" s="26">
        <f>SUM(BR389,BR428)</f>
        <v>0</v>
      </c>
      <c r="BS429" s="43">
        <f t="shared" si="1450"/>
        <v>310668</v>
      </c>
    </row>
    <row r="430" spans="2:71" x14ac:dyDescent="0.3">
      <c r="B430" s="254"/>
      <c r="C430" s="204" t="s">
        <v>199</v>
      </c>
      <c r="D430" s="205"/>
      <c r="E430" s="205"/>
      <c r="F430" s="123" t="s">
        <v>107</v>
      </c>
      <c r="G430" s="34">
        <v>40</v>
      </c>
      <c r="H430" s="16"/>
      <c r="I430" s="16"/>
      <c r="J430" s="17"/>
      <c r="K430" s="18">
        <f t="shared" ref="K430" si="1548">SUM(G430:J430)</f>
        <v>40</v>
      </c>
      <c r="L430" s="34">
        <v>20</v>
      </c>
      <c r="M430" s="16"/>
      <c r="N430" s="16"/>
      <c r="O430" s="17"/>
      <c r="P430" s="18">
        <f t="shared" ref="P430" si="1549">SUM(L430:O430)</f>
        <v>20</v>
      </c>
      <c r="Q430" s="34"/>
      <c r="R430" s="16"/>
      <c r="S430" s="16"/>
      <c r="T430" s="17"/>
      <c r="U430" s="18">
        <f t="shared" ref="U430" si="1550">SUM(Q430:T430)</f>
        <v>0</v>
      </c>
      <c r="V430" s="34">
        <v>3050</v>
      </c>
      <c r="W430" s="16"/>
      <c r="X430" s="16"/>
      <c r="Y430" s="17"/>
      <c r="Z430" s="18">
        <f t="shared" ref="Z430" si="1551">SUM(V430:Y430)</f>
        <v>3050</v>
      </c>
      <c r="AA430" s="34">
        <v>253</v>
      </c>
      <c r="AB430" s="16"/>
      <c r="AC430" s="16"/>
      <c r="AD430" s="17"/>
      <c r="AE430" s="18">
        <f t="shared" ref="AE430" si="1552">SUM(AA430:AD430)</f>
        <v>253</v>
      </c>
      <c r="AF430" s="34">
        <v>120</v>
      </c>
      <c r="AG430" s="16"/>
      <c r="AH430" s="16"/>
      <c r="AI430" s="17"/>
      <c r="AJ430" s="18">
        <f t="shared" ref="AJ430" si="1553">SUM(AF430:AI430)</f>
        <v>120</v>
      </c>
      <c r="AK430" s="34">
        <v>20</v>
      </c>
      <c r="AL430" s="16"/>
      <c r="AM430" s="16"/>
      <c r="AN430" s="17"/>
      <c r="AO430" s="18">
        <f t="shared" ref="AO430" si="1554">SUM(AK430:AN430)</f>
        <v>20</v>
      </c>
      <c r="AP430" s="34">
        <v>30</v>
      </c>
      <c r="AQ430" s="16"/>
      <c r="AR430" s="16"/>
      <c r="AS430" s="17"/>
      <c r="AT430" s="18">
        <f t="shared" ref="AT430" si="1555">SUM(AP430:AS430)</f>
        <v>30</v>
      </c>
      <c r="AU430" s="34">
        <v>34</v>
      </c>
      <c r="AV430" s="16"/>
      <c r="AW430" s="16"/>
      <c r="AX430" s="17"/>
      <c r="AY430" s="18">
        <f t="shared" ref="AY430" si="1556">SUM(AU430:AX430)</f>
        <v>34</v>
      </c>
      <c r="AZ430" s="34">
        <v>70</v>
      </c>
      <c r="BA430" s="16"/>
      <c r="BB430" s="16"/>
      <c r="BC430" s="17"/>
      <c r="BD430" s="18">
        <f t="shared" ref="BD430" si="1557">SUM(AZ430:BC430)</f>
        <v>70</v>
      </c>
      <c r="BE430" s="34">
        <v>45</v>
      </c>
      <c r="BF430" s="16"/>
      <c r="BG430" s="16"/>
      <c r="BH430" s="17"/>
      <c r="BI430" s="18">
        <f t="shared" ref="BI430" si="1558">SUM(BE430:BH430)</f>
        <v>45</v>
      </c>
      <c r="BJ430" s="34">
        <f>5596-4500</f>
        <v>1096</v>
      </c>
      <c r="BK430" s="16"/>
      <c r="BL430" s="16"/>
      <c r="BM430" s="17"/>
      <c r="BN430" s="18">
        <f t="shared" ref="BN430" si="1559">SUM(BJ430:BM430)</f>
        <v>1096</v>
      </c>
      <c r="BO430" s="70">
        <f t="shared" ref="BO430:BR431" si="1560">SUM(G430,L430,Q430,V430,AA430,AF430,AK430,AP430,AU430,AZ430,BE430,BJ430)</f>
        <v>4778</v>
      </c>
      <c r="BP430" s="16">
        <f t="shared" si="1560"/>
        <v>0</v>
      </c>
      <c r="BQ430" s="16">
        <f t="shared" si="1560"/>
        <v>0</v>
      </c>
      <c r="BR430" s="17">
        <f t="shared" si="1560"/>
        <v>0</v>
      </c>
      <c r="BS430" s="35">
        <f t="shared" ref="BS430" si="1561">SUM(BO430:BR430)</f>
        <v>4778</v>
      </c>
    </row>
    <row r="431" spans="2:71" x14ac:dyDescent="0.3">
      <c r="B431" s="254"/>
      <c r="C431" s="204"/>
      <c r="D431" s="205"/>
      <c r="E431" s="205"/>
      <c r="F431" s="124" t="s">
        <v>420</v>
      </c>
      <c r="G431" s="36"/>
      <c r="H431" s="10"/>
      <c r="I431" s="10"/>
      <c r="J431" s="11"/>
      <c r="K431" s="12">
        <f t="shared" ref="K431" si="1562">SUM(G431:J431)</f>
        <v>0</v>
      </c>
      <c r="L431" s="36"/>
      <c r="M431" s="10"/>
      <c r="N431" s="10"/>
      <c r="O431" s="11"/>
      <c r="P431" s="12">
        <f t="shared" ref="P431:P436" si="1563">SUM(L431:O431)</f>
        <v>0</v>
      </c>
      <c r="Q431" s="36"/>
      <c r="R431" s="10"/>
      <c r="S431" s="10"/>
      <c r="T431" s="11"/>
      <c r="U431" s="12">
        <f t="shared" ref="U431:U436" si="1564">SUM(Q431:T431)</f>
        <v>0</v>
      </c>
      <c r="V431" s="36"/>
      <c r="W431" s="10"/>
      <c r="X431" s="10"/>
      <c r="Y431" s="11"/>
      <c r="Z431" s="12">
        <f t="shared" ref="Z431:Z436" si="1565">SUM(V431:Y431)</f>
        <v>0</v>
      </c>
      <c r="AA431" s="36"/>
      <c r="AB431" s="10"/>
      <c r="AC431" s="10"/>
      <c r="AD431" s="11"/>
      <c r="AE431" s="12">
        <f t="shared" ref="AE431:AE436" si="1566">SUM(AA431:AD431)</f>
        <v>0</v>
      </c>
      <c r="AF431" s="36"/>
      <c r="AG431" s="10"/>
      <c r="AH431" s="10"/>
      <c r="AI431" s="11"/>
      <c r="AJ431" s="12">
        <f t="shared" ref="AJ431:AJ436" si="1567">SUM(AF431:AI431)</f>
        <v>0</v>
      </c>
      <c r="AK431" s="36"/>
      <c r="AL431" s="10"/>
      <c r="AM431" s="10"/>
      <c r="AN431" s="11"/>
      <c r="AO431" s="12">
        <f t="shared" ref="AO431:AO436" si="1568">SUM(AK431:AN431)</f>
        <v>0</v>
      </c>
      <c r="AP431" s="36"/>
      <c r="AQ431" s="10"/>
      <c r="AR431" s="10"/>
      <c r="AS431" s="11"/>
      <c r="AT431" s="12">
        <f t="shared" ref="AT431:AT436" si="1569">SUM(AP431:AS431)</f>
        <v>0</v>
      </c>
      <c r="AU431" s="36"/>
      <c r="AV431" s="10"/>
      <c r="AW431" s="10"/>
      <c r="AX431" s="11"/>
      <c r="AY431" s="12">
        <f t="shared" ref="AY431:AY436" si="1570">SUM(AU431:AX431)</f>
        <v>0</v>
      </c>
      <c r="AZ431" s="36"/>
      <c r="BA431" s="10"/>
      <c r="BB431" s="10"/>
      <c r="BC431" s="11"/>
      <c r="BD431" s="12">
        <f t="shared" ref="BD431:BD436" si="1571">SUM(AZ431:BC431)</f>
        <v>0</v>
      </c>
      <c r="BE431" s="36"/>
      <c r="BF431" s="10"/>
      <c r="BG431" s="10"/>
      <c r="BH431" s="11"/>
      <c r="BI431" s="12">
        <f t="shared" ref="BI431:BI436" si="1572">SUM(BE431:BH431)</f>
        <v>0</v>
      </c>
      <c r="BJ431" s="36">
        <f>4500</f>
        <v>4500</v>
      </c>
      <c r="BK431" s="10"/>
      <c r="BL431" s="10"/>
      <c r="BM431" s="11"/>
      <c r="BN431" s="12">
        <f t="shared" ref="BN431:BN436" si="1573">SUM(BJ431:BM431)</f>
        <v>4500</v>
      </c>
      <c r="BO431" s="71">
        <f t="shared" si="1560"/>
        <v>4500</v>
      </c>
      <c r="BP431" s="10">
        <f t="shared" si="1560"/>
        <v>0</v>
      </c>
      <c r="BQ431" s="10">
        <f t="shared" si="1560"/>
        <v>0</v>
      </c>
      <c r="BR431" s="11">
        <f t="shared" si="1560"/>
        <v>0</v>
      </c>
      <c r="BS431" s="37">
        <f t="shared" ref="BS431" si="1574">SUM(BO431:BR431)</f>
        <v>4500</v>
      </c>
    </row>
    <row r="432" spans="2:71" x14ac:dyDescent="0.3">
      <c r="B432" s="254"/>
      <c r="C432" s="206"/>
      <c r="D432" s="207"/>
      <c r="E432" s="207"/>
      <c r="F432" s="117"/>
      <c r="G432" s="42">
        <f>SUM(G430:G431)</f>
        <v>40</v>
      </c>
      <c r="H432" s="25">
        <f>SUM(H430:H431)</f>
        <v>0</v>
      </c>
      <c r="I432" s="25">
        <f>SUM(I430:I431)</f>
        <v>0</v>
      </c>
      <c r="J432" s="26">
        <f>SUM(J430:J431)</f>
        <v>0</v>
      </c>
      <c r="K432" s="27">
        <f t="shared" si="1449"/>
        <v>40</v>
      </c>
      <c r="L432" s="42">
        <f>SUM(L430:L431)</f>
        <v>20</v>
      </c>
      <c r="M432" s="25">
        <f>SUM(M430:M431)</f>
        <v>0</v>
      </c>
      <c r="N432" s="25">
        <f>SUM(N430:N431)</f>
        <v>0</v>
      </c>
      <c r="O432" s="26">
        <f>SUM(O430:O431)</f>
        <v>0</v>
      </c>
      <c r="P432" s="27">
        <f t="shared" si="1563"/>
        <v>20</v>
      </c>
      <c r="Q432" s="42">
        <f>SUM(Q430:Q431)</f>
        <v>0</v>
      </c>
      <c r="R432" s="25">
        <f>SUM(R430:R431)</f>
        <v>0</v>
      </c>
      <c r="S432" s="25">
        <f>SUM(S430:S431)</f>
        <v>0</v>
      </c>
      <c r="T432" s="26">
        <f>SUM(T430:T431)</f>
        <v>0</v>
      </c>
      <c r="U432" s="27">
        <f t="shared" si="1564"/>
        <v>0</v>
      </c>
      <c r="V432" s="42">
        <f>SUM(V430:V431)</f>
        <v>3050</v>
      </c>
      <c r="W432" s="25">
        <f>SUM(W430:W431)</f>
        <v>0</v>
      </c>
      <c r="X432" s="25">
        <f>SUM(X430:X431)</f>
        <v>0</v>
      </c>
      <c r="Y432" s="26">
        <f>SUM(Y430:Y431)</f>
        <v>0</v>
      </c>
      <c r="Z432" s="27">
        <f t="shared" si="1565"/>
        <v>3050</v>
      </c>
      <c r="AA432" s="42">
        <f>SUM(AA430:AA431)</f>
        <v>253</v>
      </c>
      <c r="AB432" s="25">
        <f>SUM(AB430:AB431)</f>
        <v>0</v>
      </c>
      <c r="AC432" s="25">
        <f>SUM(AC430:AC431)</f>
        <v>0</v>
      </c>
      <c r="AD432" s="26">
        <f>SUM(AD430:AD431)</f>
        <v>0</v>
      </c>
      <c r="AE432" s="27">
        <f t="shared" si="1566"/>
        <v>253</v>
      </c>
      <c r="AF432" s="42">
        <f>SUM(AF430:AF431)</f>
        <v>120</v>
      </c>
      <c r="AG432" s="25">
        <f>SUM(AG430:AG431)</f>
        <v>0</v>
      </c>
      <c r="AH432" s="25">
        <f>SUM(AH430:AH431)</f>
        <v>0</v>
      </c>
      <c r="AI432" s="26">
        <f>SUM(AI430:AI431)</f>
        <v>0</v>
      </c>
      <c r="AJ432" s="27">
        <f t="shared" si="1567"/>
        <v>120</v>
      </c>
      <c r="AK432" s="42">
        <f>SUM(AK430:AK431)</f>
        <v>20</v>
      </c>
      <c r="AL432" s="25">
        <f>SUM(AL430:AL431)</f>
        <v>0</v>
      </c>
      <c r="AM432" s="25">
        <f>SUM(AM430:AM431)</f>
        <v>0</v>
      </c>
      <c r="AN432" s="26">
        <f>SUM(AN430:AN431)</f>
        <v>0</v>
      </c>
      <c r="AO432" s="27">
        <f t="shared" si="1568"/>
        <v>20</v>
      </c>
      <c r="AP432" s="42">
        <f>SUM(AP430:AP431)</f>
        <v>30</v>
      </c>
      <c r="AQ432" s="25">
        <f>SUM(AQ430:AQ431)</f>
        <v>0</v>
      </c>
      <c r="AR432" s="25">
        <f>SUM(AR430:AR431)</f>
        <v>0</v>
      </c>
      <c r="AS432" s="26">
        <f>SUM(AS430:AS431)</f>
        <v>0</v>
      </c>
      <c r="AT432" s="27">
        <f t="shared" si="1569"/>
        <v>30</v>
      </c>
      <c r="AU432" s="42">
        <f>SUM(AU430:AU431)</f>
        <v>34</v>
      </c>
      <c r="AV432" s="25">
        <f>SUM(AV430:AV431)</f>
        <v>0</v>
      </c>
      <c r="AW432" s="25">
        <f>SUM(AW430:AW431)</f>
        <v>0</v>
      </c>
      <c r="AX432" s="26">
        <f>SUM(AX430:AX431)</f>
        <v>0</v>
      </c>
      <c r="AY432" s="27">
        <f t="shared" si="1570"/>
        <v>34</v>
      </c>
      <c r="AZ432" s="42">
        <f>SUM(AZ430:AZ431)</f>
        <v>70</v>
      </c>
      <c r="BA432" s="25">
        <f>SUM(BA430:BA431)</f>
        <v>0</v>
      </c>
      <c r="BB432" s="25">
        <f>SUM(BB430:BB431)</f>
        <v>0</v>
      </c>
      <c r="BC432" s="26">
        <f>SUM(BC430:BC431)</f>
        <v>0</v>
      </c>
      <c r="BD432" s="27">
        <f t="shared" si="1571"/>
        <v>70</v>
      </c>
      <c r="BE432" s="42">
        <f>SUM(BE430:BE431)</f>
        <v>45</v>
      </c>
      <c r="BF432" s="25">
        <f>SUM(BF430:BF431)</f>
        <v>0</v>
      </c>
      <c r="BG432" s="25">
        <f>SUM(BG430:BG431)</f>
        <v>0</v>
      </c>
      <c r="BH432" s="26">
        <f>SUM(BH430:BH431)</f>
        <v>0</v>
      </c>
      <c r="BI432" s="27">
        <f t="shared" si="1572"/>
        <v>45</v>
      </c>
      <c r="BJ432" s="42">
        <f>SUM(BJ430:BJ431)</f>
        <v>5596</v>
      </c>
      <c r="BK432" s="25">
        <f>SUM(BK430:BK431)</f>
        <v>0</v>
      </c>
      <c r="BL432" s="25">
        <f>SUM(BL430:BL431)</f>
        <v>0</v>
      </c>
      <c r="BM432" s="26">
        <f>SUM(BM430:BM431)</f>
        <v>0</v>
      </c>
      <c r="BN432" s="27">
        <f t="shared" si="1573"/>
        <v>5596</v>
      </c>
      <c r="BO432" s="74">
        <f>SUM(BO430:BO431)</f>
        <v>9278</v>
      </c>
      <c r="BP432" s="25">
        <f>SUM(BP430:BP431)</f>
        <v>0</v>
      </c>
      <c r="BQ432" s="25">
        <f>SUM(BQ430:BQ431)</f>
        <v>0</v>
      </c>
      <c r="BR432" s="26">
        <f>SUM(BR430:BR431)</f>
        <v>0</v>
      </c>
      <c r="BS432" s="43">
        <f t="shared" si="1450"/>
        <v>9278</v>
      </c>
    </row>
    <row r="433" spans="2:71" x14ac:dyDescent="0.3">
      <c r="B433" s="254"/>
      <c r="C433" s="208" t="s">
        <v>5</v>
      </c>
      <c r="D433" s="209"/>
      <c r="E433" s="209"/>
      <c r="F433" s="146" t="s">
        <v>127</v>
      </c>
      <c r="G433" s="30">
        <v>7</v>
      </c>
      <c r="H433" s="7"/>
      <c r="I433" s="7"/>
      <c r="J433" s="8"/>
      <c r="K433" s="9">
        <f t="shared" si="1449"/>
        <v>7</v>
      </c>
      <c r="L433" s="30">
        <v>6</v>
      </c>
      <c r="M433" s="7"/>
      <c r="N433" s="7"/>
      <c r="O433" s="8"/>
      <c r="P433" s="9">
        <f t="shared" si="1563"/>
        <v>6</v>
      </c>
      <c r="Q433" s="30"/>
      <c r="R433" s="7"/>
      <c r="S433" s="7"/>
      <c r="T433" s="8"/>
      <c r="U433" s="9">
        <f t="shared" si="1564"/>
        <v>0</v>
      </c>
      <c r="V433" s="30">
        <v>21</v>
      </c>
      <c r="W433" s="7"/>
      <c r="X433" s="7"/>
      <c r="Y433" s="8"/>
      <c r="Z433" s="9">
        <f t="shared" si="1565"/>
        <v>21</v>
      </c>
      <c r="AA433" s="30">
        <v>3</v>
      </c>
      <c r="AB433" s="7"/>
      <c r="AC433" s="7"/>
      <c r="AD433" s="8"/>
      <c r="AE433" s="9">
        <f t="shared" si="1566"/>
        <v>3</v>
      </c>
      <c r="AF433" s="30">
        <v>2</v>
      </c>
      <c r="AG433" s="7"/>
      <c r="AH433" s="7"/>
      <c r="AI433" s="8"/>
      <c r="AJ433" s="9">
        <f t="shared" si="1567"/>
        <v>2</v>
      </c>
      <c r="AK433" s="30"/>
      <c r="AL433" s="7"/>
      <c r="AM433" s="7"/>
      <c r="AN433" s="8"/>
      <c r="AO433" s="9">
        <f t="shared" si="1568"/>
        <v>0</v>
      </c>
      <c r="AP433" s="30">
        <v>5</v>
      </c>
      <c r="AQ433" s="7"/>
      <c r="AR433" s="7"/>
      <c r="AS433" s="8"/>
      <c r="AT433" s="9">
        <f t="shared" si="1569"/>
        <v>5</v>
      </c>
      <c r="AU433" s="30">
        <v>55</v>
      </c>
      <c r="AV433" s="7"/>
      <c r="AW433" s="7"/>
      <c r="AX433" s="8"/>
      <c r="AY433" s="9">
        <f t="shared" si="1570"/>
        <v>55</v>
      </c>
      <c r="AZ433" s="30">
        <v>6</v>
      </c>
      <c r="BA433" s="7"/>
      <c r="BB433" s="7"/>
      <c r="BC433" s="8"/>
      <c r="BD433" s="9">
        <f t="shared" si="1571"/>
        <v>6</v>
      </c>
      <c r="BE433" s="30">
        <v>15</v>
      </c>
      <c r="BF433" s="7"/>
      <c r="BG433" s="7"/>
      <c r="BH433" s="8"/>
      <c r="BI433" s="9">
        <f t="shared" si="1572"/>
        <v>15</v>
      </c>
      <c r="BJ433" s="30">
        <v>1</v>
      </c>
      <c r="BK433" s="7"/>
      <c r="BL433" s="7"/>
      <c r="BM433" s="8"/>
      <c r="BN433" s="9">
        <f t="shared" si="1573"/>
        <v>1</v>
      </c>
      <c r="BO433" s="65">
        <f>SUM(G433,L433,Q433,V433,AA433,AF433,AK433,AP433,AU433,AZ433,BE433,BJ433)</f>
        <v>121</v>
      </c>
      <c r="BP433" s="7">
        <f>SUM(H433,M433,R433,W433,AB433,AG433,AL433,AQ433,AV433,BA433,BF433,BK433)</f>
        <v>0</v>
      </c>
      <c r="BQ433" s="7">
        <f>SUM(I433,N433,S433,X433,AC433,AH433,AM433,AR433,AW433,BB433,BG433,BL433)</f>
        <v>0</v>
      </c>
      <c r="BR433" s="8">
        <f>SUM(J433,O433,T433,Y433,AD433,AI433,AN433,AS433,AX433,BC433,BH433,BM433)</f>
        <v>0</v>
      </c>
      <c r="BS433" s="31">
        <f t="shared" si="1450"/>
        <v>121</v>
      </c>
    </row>
    <row r="434" spans="2:71" x14ac:dyDescent="0.3">
      <c r="B434" s="254"/>
      <c r="C434" s="206"/>
      <c r="D434" s="207"/>
      <c r="E434" s="207"/>
      <c r="F434" s="118"/>
      <c r="G434" s="59">
        <f>SUM(G433:G433)</f>
        <v>7</v>
      </c>
      <c r="H434" s="60">
        <f>SUM(H433:H433)</f>
        <v>0</v>
      </c>
      <c r="I434" s="60">
        <f>SUM(I433:I433)</f>
        <v>0</v>
      </c>
      <c r="J434" s="61">
        <f>SUM(J433:J433)</f>
        <v>0</v>
      </c>
      <c r="K434" s="62">
        <f t="shared" si="1449"/>
        <v>7</v>
      </c>
      <c r="L434" s="59">
        <f>SUM(L433:L433)</f>
        <v>6</v>
      </c>
      <c r="M434" s="60">
        <f>SUM(M433:M433)</f>
        <v>0</v>
      </c>
      <c r="N434" s="60">
        <f>SUM(N433:N433)</f>
        <v>0</v>
      </c>
      <c r="O434" s="61">
        <f>SUM(O433:O433)</f>
        <v>0</v>
      </c>
      <c r="P434" s="62">
        <f t="shared" si="1563"/>
        <v>6</v>
      </c>
      <c r="Q434" s="59">
        <f>SUM(Q433:Q433)</f>
        <v>0</v>
      </c>
      <c r="R434" s="60">
        <f>SUM(R433:R433)</f>
        <v>0</v>
      </c>
      <c r="S434" s="60">
        <f>SUM(S433:S433)</f>
        <v>0</v>
      </c>
      <c r="T434" s="61">
        <f>SUM(T433:T433)</f>
        <v>0</v>
      </c>
      <c r="U434" s="62">
        <f t="shared" si="1564"/>
        <v>0</v>
      </c>
      <c r="V434" s="59">
        <f>SUM(V433:V433)</f>
        <v>21</v>
      </c>
      <c r="W434" s="60">
        <f>SUM(W433:W433)</f>
        <v>0</v>
      </c>
      <c r="X434" s="60">
        <f>SUM(X433:X433)</f>
        <v>0</v>
      </c>
      <c r="Y434" s="61">
        <f>SUM(Y433:Y433)</f>
        <v>0</v>
      </c>
      <c r="Z434" s="62">
        <f t="shared" si="1565"/>
        <v>21</v>
      </c>
      <c r="AA434" s="59">
        <f>SUM(AA433:AA433)</f>
        <v>3</v>
      </c>
      <c r="AB434" s="60">
        <f>SUM(AB433:AB433)</f>
        <v>0</v>
      </c>
      <c r="AC434" s="60">
        <f>SUM(AC433:AC433)</f>
        <v>0</v>
      </c>
      <c r="AD434" s="61">
        <f>SUM(AD433:AD433)</f>
        <v>0</v>
      </c>
      <c r="AE434" s="62">
        <f t="shared" si="1566"/>
        <v>3</v>
      </c>
      <c r="AF434" s="59">
        <f>SUM(AF433:AF433)</f>
        <v>2</v>
      </c>
      <c r="AG434" s="60">
        <f>SUM(AG433:AG433)</f>
        <v>0</v>
      </c>
      <c r="AH434" s="60">
        <f>SUM(AH433:AH433)</f>
        <v>0</v>
      </c>
      <c r="AI434" s="61">
        <f>SUM(AI433:AI433)</f>
        <v>0</v>
      </c>
      <c r="AJ434" s="62">
        <f t="shared" si="1567"/>
        <v>2</v>
      </c>
      <c r="AK434" s="59">
        <f>SUM(AK433:AK433)</f>
        <v>0</v>
      </c>
      <c r="AL434" s="60">
        <f>SUM(AL433:AL433)</f>
        <v>0</v>
      </c>
      <c r="AM434" s="60">
        <f>SUM(AM433:AM433)</f>
        <v>0</v>
      </c>
      <c r="AN434" s="61">
        <f>SUM(AN433:AN433)</f>
        <v>0</v>
      </c>
      <c r="AO434" s="62">
        <f t="shared" si="1568"/>
        <v>0</v>
      </c>
      <c r="AP434" s="59">
        <f>SUM(AP433:AP433)</f>
        <v>5</v>
      </c>
      <c r="AQ434" s="60">
        <f>SUM(AQ433:AQ433)</f>
        <v>0</v>
      </c>
      <c r="AR434" s="60">
        <f>SUM(AR433:AR433)</f>
        <v>0</v>
      </c>
      <c r="AS434" s="61">
        <f>SUM(AS433:AS433)</f>
        <v>0</v>
      </c>
      <c r="AT434" s="62">
        <f t="shared" si="1569"/>
        <v>5</v>
      </c>
      <c r="AU434" s="59">
        <f>SUM(AU433:AU433)</f>
        <v>55</v>
      </c>
      <c r="AV434" s="60">
        <f>SUM(AV433:AV433)</f>
        <v>0</v>
      </c>
      <c r="AW434" s="60">
        <f>SUM(AW433:AW433)</f>
        <v>0</v>
      </c>
      <c r="AX434" s="61">
        <f>SUM(AX433:AX433)</f>
        <v>0</v>
      </c>
      <c r="AY434" s="62">
        <f t="shared" si="1570"/>
        <v>55</v>
      </c>
      <c r="AZ434" s="59">
        <f>SUM(AZ433:AZ433)</f>
        <v>6</v>
      </c>
      <c r="BA434" s="60">
        <f>SUM(BA433:BA433)</f>
        <v>0</v>
      </c>
      <c r="BB434" s="60">
        <f>SUM(BB433:BB433)</f>
        <v>0</v>
      </c>
      <c r="BC434" s="61">
        <f>SUM(BC433:BC433)</f>
        <v>0</v>
      </c>
      <c r="BD434" s="62">
        <f t="shared" si="1571"/>
        <v>6</v>
      </c>
      <c r="BE434" s="59">
        <f>SUM(BE433:BE433)</f>
        <v>15</v>
      </c>
      <c r="BF434" s="60">
        <f>SUM(BF433:BF433)</f>
        <v>0</v>
      </c>
      <c r="BG434" s="60">
        <f>SUM(BG433:BG433)</f>
        <v>0</v>
      </c>
      <c r="BH434" s="61">
        <f>SUM(BH433:BH433)</f>
        <v>0</v>
      </c>
      <c r="BI434" s="62">
        <f t="shared" si="1572"/>
        <v>15</v>
      </c>
      <c r="BJ434" s="59">
        <f>SUM(BJ433:BJ433)</f>
        <v>1</v>
      </c>
      <c r="BK434" s="60">
        <f>SUM(BK433:BK433)</f>
        <v>0</v>
      </c>
      <c r="BL434" s="60">
        <f>SUM(BL433:BL433)</f>
        <v>0</v>
      </c>
      <c r="BM434" s="61">
        <f>SUM(BM433:BM433)</f>
        <v>0</v>
      </c>
      <c r="BN434" s="62">
        <f t="shared" si="1573"/>
        <v>1</v>
      </c>
      <c r="BO434" s="73">
        <f>SUM(BO433:BO433)</f>
        <v>121</v>
      </c>
      <c r="BP434" s="60">
        <f>SUM(BP433:BP433)</f>
        <v>0</v>
      </c>
      <c r="BQ434" s="60">
        <f>SUM(BQ433:BQ433)</f>
        <v>0</v>
      </c>
      <c r="BR434" s="61">
        <f>SUM(BR433:BR433)</f>
        <v>0</v>
      </c>
      <c r="BS434" s="63">
        <f t="shared" si="1450"/>
        <v>121</v>
      </c>
    </row>
    <row r="435" spans="2:71" s="75" customFormat="1" ht="22.5" customHeight="1" thickBot="1" x14ac:dyDescent="0.35">
      <c r="B435" s="255"/>
      <c r="C435" s="266" t="s">
        <v>22</v>
      </c>
      <c r="D435" s="266"/>
      <c r="E435" s="266"/>
      <c r="F435" s="267"/>
      <c r="G435" s="86">
        <f>SUM(G353,G429,G432,G434)</f>
        <v>10563</v>
      </c>
      <c r="H435" s="87">
        <f>SUM(H353,H429,H432,H434)</f>
        <v>0</v>
      </c>
      <c r="I435" s="87">
        <f>SUM(I353,I429,I432,I434)</f>
        <v>0</v>
      </c>
      <c r="J435" s="88">
        <f>SUM(J353,J429,J432,J434)</f>
        <v>0</v>
      </c>
      <c r="K435" s="89">
        <f t="shared" si="1449"/>
        <v>10563</v>
      </c>
      <c r="L435" s="86">
        <f>SUM(L353,L429,L432,L434)</f>
        <v>20348</v>
      </c>
      <c r="M435" s="87">
        <f>SUM(M353,M429,M432,M434)</f>
        <v>0</v>
      </c>
      <c r="N435" s="87">
        <f>SUM(N353,N429,N432,N434)</f>
        <v>0</v>
      </c>
      <c r="O435" s="88">
        <f>SUM(O353,O429,O432,O434)</f>
        <v>0</v>
      </c>
      <c r="P435" s="89">
        <f t="shared" si="1563"/>
        <v>20348</v>
      </c>
      <c r="Q435" s="86">
        <f>SUM(Q353,Q429,Q432,Q434)</f>
        <v>17073</v>
      </c>
      <c r="R435" s="87">
        <f>SUM(R353,R429,R432,R434)</f>
        <v>0</v>
      </c>
      <c r="S435" s="87">
        <f>SUM(S353,S429,S432,S434)</f>
        <v>0</v>
      </c>
      <c r="T435" s="88">
        <f>SUM(T353,T429,T432,T434)</f>
        <v>0</v>
      </c>
      <c r="U435" s="89">
        <f t="shared" si="1564"/>
        <v>17073</v>
      </c>
      <c r="V435" s="86">
        <f>SUM(V353,V429,V432,V434)</f>
        <v>35392</v>
      </c>
      <c r="W435" s="87">
        <f>SUM(W353,W429,W432,W434)</f>
        <v>0</v>
      </c>
      <c r="X435" s="87">
        <f>SUM(X353,X429,X432,X434)</f>
        <v>0</v>
      </c>
      <c r="Y435" s="88">
        <f>SUM(Y353,Y429,Y432,Y434)</f>
        <v>0</v>
      </c>
      <c r="Z435" s="89">
        <f t="shared" si="1565"/>
        <v>35392</v>
      </c>
      <c r="AA435" s="86">
        <f>SUM(AA353,AA429,AA432,AA434)</f>
        <v>34206</v>
      </c>
      <c r="AB435" s="87">
        <f>SUM(AB353,AB429,AB432,AB434)</f>
        <v>0</v>
      </c>
      <c r="AC435" s="87">
        <f>SUM(AC353,AC429,AC432,AC434)</f>
        <v>0</v>
      </c>
      <c r="AD435" s="88">
        <f>SUM(AD353,AD429,AD432,AD434)</f>
        <v>0</v>
      </c>
      <c r="AE435" s="89">
        <f t="shared" si="1566"/>
        <v>34206</v>
      </c>
      <c r="AF435" s="86">
        <f>SUM(AF353,AF429,AF432,AF434)</f>
        <v>58919</v>
      </c>
      <c r="AG435" s="87">
        <f>SUM(AG353,AG429,AG432,AG434)</f>
        <v>0</v>
      </c>
      <c r="AH435" s="87">
        <f>SUM(AH353,AH429,AH432,AH434)</f>
        <v>1</v>
      </c>
      <c r="AI435" s="88">
        <f>SUM(AI353,AI429,AI432,AI434)</f>
        <v>0</v>
      </c>
      <c r="AJ435" s="89">
        <f t="shared" si="1567"/>
        <v>58920</v>
      </c>
      <c r="AK435" s="86">
        <f>SUM(AK353,AK429,AK432,AK434)</f>
        <v>14294</v>
      </c>
      <c r="AL435" s="87">
        <f>SUM(AL353,AL429,AL432,AL434)</f>
        <v>4</v>
      </c>
      <c r="AM435" s="87">
        <f>SUM(AM353,AM429,AM432,AM434)</f>
        <v>0</v>
      </c>
      <c r="AN435" s="88">
        <f>SUM(AN353,AN429,AN432,AN434)</f>
        <v>0</v>
      </c>
      <c r="AO435" s="89">
        <f t="shared" si="1568"/>
        <v>14298</v>
      </c>
      <c r="AP435" s="86">
        <f>SUM(AP353,AP429,AP432,AP434)</f>
        <v>28086</v>
      </c>
      <c r="AQ435" s="87">
        <f>SUM(AQ353,AQ429,AQ432,AQ434)</f>
        <v>0</v>
      </c>
      <c r="AR435" s="87">
        <f>SUM(AR353,AR429,AR432,AR434)</f>
        <v>0</v>
      </c>
      <c r="AS435" s="88">
        <f>SUM(AS353,AS429,AS432,AS434)</f>
        <v>0</v>
      </c>
      <c r="AT435" s="89">
        <f t="shared" si="1569"/>
        <v>28086</v>
      </c>
      <c r="AU435" s="86">
        <f>SUM(AU353,AU429,AU432,AU434)</f>
        <v>49990</v>
      </c>
      <c r="AV435" s="87">
        <f>SUM(AV353,AV429,AV432,AV434)</f>
        <v>0</v>
      </c>
      <c r="AW435" s="87">
        <f>SUM(AW353,AW429,AW432,AW434)</f>
        <v>0</v>
      </c>
      <c r="AX435" s="88">
        <f>SUM(AX353,AX429,AX432,AX434)</f>
        <v>0</v>
      </c>
      <c r="AY435" s="89">
        <f t="shared" si="1570"/>
        <v>49990</v>
      </c>
      <c r="AZ435" s="86">
        <f>SUM(AZ353,AZ429,AZ432,AZ434)</f>
        <v>66109</v>
      </c>
      <c r="BA435" s="87">
        <f>SUM(BA353,BA429,BA432,BA434)</f>
        <v>0</v>
      </c>
      <c r="BB435" s="87">
        <f>SUM(BB353,BB429,BB432,BB434)</f>
        <v>0</v>
      </c>
      <c r="BC435" s="88">
        <f>SUM(BC353,BC429,BC432,BC434)</f>
        <v>0</v>
      </c>
      <c r="BD435" s="89">
        <f t="shared" si="1571"/>
        <v>66109</v>
      </c>
      <c r="BE435" s="86">
        <f>SUM(BE353,BE429,BE432,BE434)</f>
        <v>17050</v>
      </c>
      <c r="BF435" s="87">
        <f>SUM(BF353,BF429,BF432,BF434)</f>
        <v>0</v>
      </c>
      <c r="BG435" s="87">
        <f>SUM(BG353,BG429,BG432,BG434)</f>
        <v>2</v>
      </c>
      <c r="BH435" s="88">
        <f>SUM(BH353,BH429,BH432,BH434)</f>
        <v>0</v>
      </c>
      <c r="BI435" s="89">
        <f t="shared" si="1572"/>
        <v>17052</v>
      </c>
      <c r="BJ435" s="86">
        <f>SUM(BJ353,BJ429,BJ432,BJ434)</f>
        <v>19524</v>
      </c>
      <c r="BK435" s="87">
        <f>SUM(BK353,BK429,BK432,BK434)</f>
        <v>0</v>
      </c>
      <c r="BL435" s="87">
        <f>SUM(BL353,BL429,BL432,BL434)</f>
        <v>0</v>
      </c>
      <c r="BM435" s="88">
        <f>SUM(BM353,BM429,BM432,BM434)</f>
        <v>0</v>
      </c>
      <c r="BN435" s="89">
        <f t="shared" si="1573"/>
        <v>19524</v>
      </c>
      <c r="BO435" s="169">
        <f>SUM(BO353,BO429,BO432,BO434)</f>
        <v>371554</v>
      </c>
      <c r="BP435" s="87">
        <f>SUM(BP353,BP429,BP432,BP434)</f>
        <v>4</v>
      </c>
      <c r="BQ435" s="87">
        <f>SUM(BQ353,BQ429,BQ432,BQ434)</f>
        <v>3</v>
      </c>
      <c r="BR435" s="88">
        <f>SUM(BR353,BR429,BR432,BR434)</f>
        <v>0</v>
      </c>
      <c r="BS435" s="90">
        <f t="shared" si="1450"/>
        <v>371561</v>
      </c>
    </row>
    <row r="436" spans="2:71" s="75" customFormat="1" ht="22.5" customHeight="1" thickBot="1" x14ac:dyDescent="0.35">
      <c r="B436" s="256" t="s">
        <v>25</v>
      </c>
      <c r="C436" s="257"/>
      <c r="D436" s="257"/>
      <c r="E436" s="257"/>
      <c r="F436" s="258"/>
      <c r="G436" s="91">
        <f>SUM(G294,G349,G435)</f>
        <v>40641</v>
      </c>
      <c r="H436" s="92">
        <f>SUM(H294,H349,H435)</f>
        <v>1196</v>
      </c>
      <c r="I436" s="92">
        <f>SUM(I294,I349,I435)</f>
        <v>7661</v>
      </c>
      <c r="J436" s="93">
        <f>SUM(J294,J349,J435)</f>
        <v>16457</v>
      </c>
      <c r="K436" s="94">
        <f t="shared" si="1449"/>
        <v>65955</v>
      </c>
      <c r="L436" s="91">
        <f>SUM(L294,L349,L435)</f>
        <v>68123</v>
      </c>
      <c r="M436" s="92">
        <f>SUM(M294,M349,M435)</f>
        <v>2805</v>
      </c>
      <c r="N436" s="92">
        <f>SUM(N294,N349,N435)</f>
        <v>12559</v>
      </c>
      <c r="O436" s="93">
        <f>SUM(O294,O349,O435)</f>
        <v>25866</v>
      </c>
      <c r="P436" s="94">
        <f t="shared" si="1563"/>
        <v>109353</v>
      </c>
      <c r="Q436" s="91">
        <f>SUM(Q294,Q349,Q435)</f>
        <v>57998</v>
      </c>
      <c r="R436" s="92">
        <f>SUM(R294,R349,R435)</f>
        <v>888</v>
      </c>
      <c r="S436" s="92">
        <f>SUM(S294,S349,S435)</f>
        <v>12995</v>
      </c>
      <c r="T436" s="93">
        <f>SUM(T294,T349,T435)</f>
        <v>5904</v>
      </c>
      <c r="U436" s="94">
        <f t="shared" si="1564"/>
        <v>77785</v>
      </c>
      <c r="V436" s="91">
        <f>SUM(V294,V349,V435)</f>
        <v>96986</v>
      </c>
      <c r="W436" s="92">
        <f>SUM(W294,W349,W435)</f>
        <v>10199</v>
      </c>
      <c r="X436" s="92">
        <f>SUM(X294,X349,X435)</f>
        <v>23620</v>
      </c>
      <c r="Y436" s="93">
        <f>SUM(Y294,Y349,Y435)</f>
        <v>15336</v>
      </c>
      <c r="Z436" s="94">
        <f t="shared" si="1565"/>
        <v>146141</v>
      </c>
      <c r="AA436" s="91">
        <f>SUM(AA294,AA349,AA435)</f>
        <v>93907</v>
      </c>
      <c r="AB436" s="92">
        <f>SUM(AB294,AB349,AB435)</f>
        <v>33457</v>
      </c>
      <c r="AC436" s="92">
        <f>SUM(AC294,AC349,AC435)</f>
        <v>27849</v>
      </c>
      <c r="AD436" s="93">
        <f>SUM(AD294,AD349,AD435)</f>
        <v>16631</v>
      </c>
      <c r="AE436" s="94">
        <f t="shared" si="1566"/>
        <v>171844</v>
      </c>
      <c r="AF436" s="91">
        <f>SUM(AF294,AF349,AF435)</f>
        <v>109809</v>
      </c>
      <c r="AG436" s="92">
        <f>SUM(AG294,AG349,AG435)</f>
        <v>7662</v>
      </c>
      <c r="AH436" s="92">
        <f>SUM(AH294,AH349,AH435)</f>
        <v>16823</v>
      </c>
      <c r="AI436" s="93">
        <f>SUM(AI294,AI349,AI435)</f>
        <v>9597</v>
      </c>
      <c r="AJ436" s="94">
        <f t="shared" si="1567"/>
        <v>143891</v>
      </c>
      <c r="AK436" s="91">
        <f>SUM(AK294,AK349,AK435)</f>
        <v>56103</v>
      </c>
      <c r="AL436" s="92">
        <f>SUM(AL294,AL349,AL435)</f>
        <v>1659</v>
      </c>
      <c r="AM436" s="92">
        <f>SUM(AM294,AM349,AM435)</f>
        <v>7540</v>
      </c>
      <c r="AN436" s="93">
        <f>SUM(AN294,AN349,AN435)</f>
        <v>2884</v>
      </c>
      <c r="AO436" s="94">
        <f t="shared" si="1568"/>
        <v>68186</v>
      </c>
      <c r="AP436" s="91">
        <f>SUM(AP294,AP349,AP435)</f>
        <v>67767</v>
      </c>
      <c r="AQ436" s="92">
        <f>SUM(AQ294,AQ349,AQ435)</f>
        <v>964</v>
      </c>
      <c r="AR436" s="92">
        <f>SUM(AR294,AR349,AR435)</f>
        <v>9378</v>
      </c>
      <c r="AS436" s="93">
        <f>SUM(AS294,AS349,AS435)</f>
        <v>4385</v>
      </c>
      <c r="AT436" s="94">
        <f t="shared" si="1569"/>
        <v>82494</v>
      </c>
      <c r="AU436" s="91">
        <f>SUM(AU294,AU349,AU435)</f>
        <v>130086</v>
      </c>
      <c r="AV436" s="92">
        <f>SUM(AV294,AV349,AV435)</f>
        <v>9035</v>
      </c>
      <c r="AW436" s="92">
        <f>SUM(AW294,AW349,AW435)</f>
        <v>16862</v>
      </c>
      <c r="AX436" s="93">
        <f>SUM(AX294,AX349,AX435)</f>
        <v>12531</v>
      </c>
      <c r="AY436" s="94">
        <f t="shared" si="1570"/>
        <v>168514</v>
      </c>
      <c r="AZ436" s="91">
        <f>SUM(AZ294,AZ349,AZ435)</f>
        <v>157348</v>
      </c>
      <c r="BA436" s="92">
        <f>SUM(BA294,BA349,BA435)</f>
        <v>37423</v>
      </c>
      <c r="BB436" s="92">
        <f>SUM(BB294,BB349,BB435)</f>
        <v>27334</v>
      </c>
      <c r="BC436" s="93">
        <f>SUM(BC294,BC349,BC435)</f>
        <v>26082</v>
      </c>
      <c r="BD436" s="94">
        <f t="shared" si="1571"/>
        <v>248187</v>
      </c>
      <c r="BE436" s="91">
        <f>SUM(BE294,BE349,BE435)</f>
        <v>41870</v>
      </c>
      <c r="BF436" s="92">
        <f>SUM(BF294,BF349,BF435)</f>
        <v>8666</v>
      </c>
      <c r="BG436" s="92">
        <f>SUM(BG294,BG349,BG435)</f>
        <v>9712</v>
      </c>
      <c r="BH436" s="93">
        <f>SUM(BH294,BH349,BH435)</f>
        <v>11563</v>
      </c>
      <c r="BI436" s="94">
        <f t="shared" si="1572"/>
        <v>71811</v>
      </c>
      <c r="BJ436" s="91">
        <f>SUM(BJ294,BJ349,BJ435)</f>
        <v>46175</v>
      </c>
      <c r="BK436" s="92">
        <f>SUM(BK294,BK349,BK435)</f>
        <v>2573</v>
      </c>
      <c r="BL436" s="92">
        <f>SUM(BL294,BL349,BL435)</f>
        <v>9373</v>
      </c>
      <c r="BM436" s="93">
        <f>SUM(BM294,BM349,BM435)</f>
        <v>5587</v>
      </c>
      <c r="BN436" s="94">
        <f t="shared" si="1573"/>
        <v>63708</v>
      </c>
      <c r="BO436" s="106">
        <f>SUM(BO294,BO349,BO435)</f>
        <v>966813</v>
      </c>
      <c r="BP436" s="92">
        <f>SUM(BP294,BP349,BP435)</f>
        <v>116527</v>
      </c>
      <c r="BQ436" s="92">
        <f>SUM(BQ294,BQ349,BQ435)</f>
        <v>181706</v>
      </c>
      <c r="BR436" s="93">
        <f>SUM(BR294,BR349,BR435)</f>
        <v>152823</v>
      </c>
      <c r="BS436" s="95">
        <f t="shared" si="1450"/>
        <v>1417869</v>
      </c>
    </row>
    <row r="440" spans="2:71" x14ac:dyDescent="0.3">
      <c r="E440" s="290" t="s">
        <v>36</v>
      </c>
      <c r="F440" s="196" t="s">
        <v>421</v>
      </c>
      <c r="G440" s="197"/>
      <c r="H440" s="197"/>
      <c r="I440" s="197"/>
      <c r="J440" s="197"/>
      <c r="K440" s="197">
        <f>SUM(K228:K246,K250,K248)</f>
        <v>10803</v>
      </c>
      <c r="L440" s="197"/>
      <c r="M440" s="197"/>
      <c r="N440" s="197"/>
      <c r="O440" s="197"/>
      <c r="P440" s="197">
        <f>SUM(P228:P246,P250,P248)</f>
        <v>22379</v>
      </c>
      <c r="Q440" s="197"/>
      <c r="R440" s="197"/>
      <c r="S440" s="197"/>
      <c r="T440" s="197"/>
      <c r="U440" s="197">
        <f>SUM(U228:U246,U250,U248)</f>
        <v>20058</v>
      </c>
      <c r="V440" s="197"/>
      <c r="W440" s="197"/>
      <c r="X440" s="197"/>
      <c r="Y440" s="197"/>
      <c r="Z440" s="197">
        <f>SUM(Z228:Z246,Z250,Z248)</f>
        <v>31787</v>
      </c>
      <c r="AA440" s="197"/>
      <c r="AB440" s="197"/>
      <c r="AC440" s="197"/>
      <c r="AD440" s="197"/>
      <c r="AE440" s="197">
        <f>SUM(AE228:AE246,AE250,AE248)</f>
        <v>30639</v>
      </c>
      <c r="AF440" s="197"/>
      <c r="AG440" s="197"/>
      <c r="AH440" s="197"/>
      <c r="AI440" s="197"/>
      <c r="AJ440" s="197">
        <f>SUM(AJ228:AJ246,AJ250,AJ248)</f>
        <v>29874</v>
      </c>
      <c r="AK440" s="197"/>
      <c r="AL440" s="197"/>
      <c r="AM440" s="197"/>
      <c r="AN440" s="197"/>
      <c r="AO440" s="197">
        <f>SUM(AO228:AO246,AO250,AO248)</f>
        <v>15106</v>
      </c>
      <c r="AP440" s="197"/>
      <c r="AQ440" s="197"/>
      <c r="AR440" s="197"/>
      <c r="AS440" s="197"/>
      <c r="AT440" s="197">
        <f>SUM(AT228:AT246,AT250,AT248)</f>
        <v>24751</v>
      </c>
      <c r="AU440" s="197"/>
      <c r="AV440" s="197"/>
      <c r="AW440" s="197"/>
      <c r="AX440" s="197"/>
      <c r="AY440" s="197">
        <f>SUM(AY228:AY246,AY250,AY248)</f>
        <v>31690</v>
      </c>
      <c r="AZ440" s="197"/>
      <c r="BA440" s="197"/>
      <c r="BB440" s="197"/>
      <c r="BC440" s="197"/>
      <c r="BD440" s="197">
        <f>SUM(BD228:BD246,BD250,BD248)</f>
        <v>45669</v>
      </c>
      <c r="BE440" s="197"/>
      <c r="BF440" s="197"/>
      <c r="BG440" s="197"/>
      <c r="BH440" s="197"/>
      <c r="BI440" s="197">
        <f>SUM(BI228:BI246,BI250,BI248)</f>
        <v>12915</v>
      </c>
      <c r="BJ440" s="197"/>
      <c r="BK440" s="197"/>
      <c r="BL440" s="197"/>
      <c r="BM440" s="197"/>
      <c r="BN440" s="197">
        <f>SUM(BN228:BN246,BN250,BN248)</f>
        <v>14946</v>
      </c>
      <c r="BO440" s="197"/>
      <c r="BP440" s="197"/>
      <c r="BQ440" s="197"/>
      <c r="BR440" s="197"/>
      <c r="BS440" s="197">
        <f>SUM(BS228:BS246,BS250,BS248)</f>
        <v>290617</v>
      </c>
    </row>
    <row r="441" spans="2:71" x14ac:dyDescent="0.3">
      <c r="F441" s="196" t="s">
        <v>422</v>
      </c>
      <c r="G441" s="197"/>
      <c r="H441" s="197"/>
      <c r="I441" s="197"/>
      <c r="J441" s="197"/>
      <c r="K441" s="197">
        <f>SUM(K18:K21,K35:K42,K52:K55,K68:K69,K92:K93,K95,K154:K155,K175:K176,K179:K180,K211:K212,K215,K218)</f>
        <v>0</v>
      </c>
      <c r="L441" s="197"/>
      <c r="M441" s="197"/>
      <c r="N441" s="197"/>
      <c r="O441" s="197"/>
      <c r="P441" s="197">
        <f>SUM(P18:P21,P35:P42,P52:P55,P68:P69,P92:P93,P95,P154:P155,P175:P176,P179:P180,P211:P212,P215,P218)</f>
        <v>0</v>
      </c>
      <c r="Q441" s="197"/>
      <c r="R441" s="197"/>
      <c r="S441" s="197"/>
      <c r="T441" s="197"/>
      <c r="U441" s="197">
        <f>SUM(U18:U21,U35:U42,U52:U55,U68:U69,U92:U93,U95,U154:U155,U175:U176,U179:U180,U211:U212,U215,U218)</f>
        <v>0</v>
      </c>
      <c r="V441" s="197"/>
      <c r="W441" s="197"/>
      <c r="X441" s="197"/>
      <c r="Y441" s="197"/>
      <c r="Z441" s="197">
        <f>SUM(Z18:Z21,Z35:Z42,Z52:Z55,Z68:Z69,Z92:Z93,Z95,Z154:Z155,Z175:Z176,Z179:Z180,Z211:Z212,Z215,Z218)</f>
        <v>2925</v>
      </c>
      <c r="AA441" s="197"/>
      <c r="AB441" s="197"/>
      <c r="AC441" s="197"/>
      <c r="AD441" s="197"/>
      <c r="AE441" s="197">
        <f>SUM(AE18:AE21,AE35:AE42,AE52:AE55,AE68:AE69,AE92:AE93,AE95,AE154:AE155,AE175:AE176,AE179:AE180,AE211:AE212,AE215,AE218)</f>
        <v>7729</v>
      </c>
      <c r="AF441" s="197"/>
      <c r="AG441" s="197"/>
      <c r="AH441" s="197"/>
      <c r="AI441" s="197"/>
      <c r="AJ441" s="197">
        <f>SUM(AJ18:AJ21,AJ35:AJ42,AJ52:AJ55,AJ68:AJ69,AJ92:AJ93,AJ95,AJ154:AJ155,AJ175:AJ176,AJ179:AJ180,AJ211:AJ212,AJ215,AJ218)</f>
        <v>6066</v>
      </c>
      <c r="AK441" s="197"/>
      <c r="AL441" s="197"/>
      <c r="AM441" s="197"/>
      <c r="AN441" s="197"/>
      <c r="AO441" s="197">
        <f>SUM(AO18:AO21,AO35:AO42,AO52:AO55,AO68:AO69,AO92:AO93,AO95,AO154:AO155,AO175:AO176,AO179:AO180,AO211:AO212,AO215,AO218)</f>
        <v>1633</v>
      </c>
      <c r="AP441" s="197"/>
      <c r="AQ441" s="197"/>
      <c r="AR441" s="197"/>
      <c r="AS441" s="197"/>
      <c r="AT441" s="197">
        <f>SUM(AT18:AT21,AT35:AT42,AT52:AT55,AT68:AT69,AT92:AT93,AT95,AT154:AT155,AT175:AT176,AT179:AT180,AT211:AT212,AT215,AT218)</f>
        <v>2640</v>
      </c>
      <c r="AU441" s="197"/>
      <c r="AV441" s="197"/>
      <c r="AW441" s="197"/>
      <c r="AX441" s="197"/>
      <c r="AY441" s="197">
        <f>SUM(AY18:AY21,AY35:AY42,AY52:AY55,AY68:AY69,AY92:AY93,AY95,AY154:AY155,AY175:AY176,AY179:AY180,AY211:AY212,AY215,AY218)</f>
        <v>6658</v>
      </c>
      <c r="AZ441" s="197"/>
      <c r="BA441" s="197"/>
      <c r="BB441" s="197"/>
      <c r="BC441" s="197"/>
      <c r="BD441" s="197">
        <f>SUM(BD18:BD21,BD35:BD42,BD52:BD55,BD68:BD69,BD92:BD93,BD95,BD154:BD155,BD175:BD176,BD179:BD180,BD211:BD212,BD215,BD218)</f>
        <v>13593</v>
      </c>
      <c r="BE441" s="197"/>
      <c r="BF441" s="197"/>
      <c r="BG441" s="197"/>
      <c r="BH441" s="197"/>
      <c r="BI441" s="197">
        <f>SUM(BI18:BI21,BI35:BI42,BI52:BI55,BI68:BI69,BI92:BI93,BI95,BI154:BI155,BI175:BI176,BI179:BI180,BI211:BI212,BI215,BI218)</f>
        <v>2430</v>
      </c>
      <c r="BJ441" s="197"/>
      <c r="BK441" s="197"/>
      <c r="BL441" s="197"/>
      <c r="BM441" s="197"/>
      <c r="BN441" s="197">
        <f>SUM(BN18:BN21,BN35:BN42,BN52:BN55,BN68:BN69,BN92:BN93,BN95,BN154:BN155,BN175:BN176,BN179:BN180,BN211:BN212,BN215,BN218)</f>
        <v>1520</v>
      </c>
      <c r="BO441" s="197"/>
      <c r="BP441" s="197"/>
      <c r="BQ441" s="197"/>
      <c r="BR441" s="197"/>
      <c r="BS441" s="197">
        <f>SUM(BS18:BS21,BS35:BS42,BS52:BS55,BS68:BS69,BS92:BS93,BS95,BS154:BS155,BS175:BS176,BS179:BS180,BS211:BS212,BS215,BS218)</f>
        <v>45194</v>
      </c>
    </row>
    <row r="442" spans="2:71" x14ac:dyDescent="0.3">
      <c r="E442" s="290" t="s">
        <v>620</v>
      </c>
      <c r="F442" s="196" t="s">
        <v>421</v>
      </c>
      <c r="G442" s="197"/>
      <c r="H442" s="197"/>
      <c r="I442" s="197"/>
      <c r="J442" s="197"/>
      <c r="K442" s="197">
        <f>SUM(K263,K265,K270:K274,K288:K292)</f>
        <v>853</v>
      </c>
      <c r="L442" s="197"/>
      <c r="M442" s="197"/>
      <c r="N442" s="197"/>
      <c r="O442" s="197"/>
      <c r="P442" s="197">
        <f>SUM(P263,P265,P270:P274,P288:P292)</f>
        <v>1965</v>
      </c>
      <c r="Q442" s="197"/>
      <c r="R442" s="197"/>
      <c r="S442" s="197"/>
      <c r="T442" s="197"/>
      <c r="U442" s="197">
        <f>SUM(U263,U265,U270:U274,U288:U292)</f>
        <v>6475</v>
      </c>
      <c r="V442" s="197"/>
      <c r="W442" s="197"/>
      <c r="X442" s="197"/>
      <c r="Y442" s="197"/>
      <c r="Z442" s="197">
        <f>SUM(Z263,Z265,Z270:Z274,Z288:Z292)</f>
        <v>428</v>
      </c>
      <c r="AA442" s="197"/>
      <c r="AB442" s="197"/>
      <c r="AC442" s="197"/>
      <c r="AD442" s="197"/>
      <c r="AE442" s="197">
        <f>SUM(AE263,AE265,AE270:AE274,AE288:AE292)</f>
        <v>2342</v>
      </c>
      <c r="AF442" s="197"/>
      <c r="AG442" s="197"/>
      <c r="AH442" s="197"/>
      <c r="AI442" s="197"/>
      <c r="AJ442" s="197">
        <f>SUM(AJ263,AJ265,AJ270:AJ274,AJ288:AJ292)</f>
        <v>121</v>
      </c>
      <c r="AK442" s="197"/>
      <c r="AL442" s="197"/>
      <c r="AM442" s="197"/>
      <c r="AN442" s="197"/>
      <c r="AO442" s="197">
        <f>SUM(AO263,AO265,AO270:AO274,AO288:AO292)</f>
        <v>4619</v>
      </c>
      <c r="AP442" s="197"/>
      <c r="AQ442" s="197"/>
      <c r="AR442" s="197"/>
      <c r="AS442" s="197"/>
      <c r="AT442" s="197">
        <f>SUM(AT263,AT265,AT270:AT274,AT288:AT292)</f>
        <v>1184</v>
      </c>
      <c r="AU442" s="197"/>
      <c r="AV442" s="197"/>
      <c r="AW442" s="197"/>
      <c r="AX442" s="197"/>
      <c r="AY442" s="197">
        <f>SUM(AY263,AY265,AY270:AY274,AY288:AY292)</f>
        <v>733</v>
      </c>
      <c r="AZ442" s="197"/>
      <c r="BA442" s="197"/>
      <c r="BB442" s="197"/>
      <c r="BC442" s="197"/>
      <c r="BD442" s="197">
        <f>SUM(BD263,BD265,BD270:BD274,BD288:BD292)</f>
        <v>1530</v>
      </c>
      <c r="BE442" s="197"/>
      <c r="BF442" s="197"/>
      <c r="BG442" s="197"/>
      <c r="BH442" s="197"/>
      <c r="BI442" s="197">
        <f>SUM(BI263,BI265,BI270:BI274,BI288:BI292)</f>
        <v>617</v>
      </c>
      <c r="BJ442" s="197"/>
      <c r="BK442" s="197"/>
      <c r="BL442" s="197"/>
      <c r="BM442" s="197"/>
      <c r="BN442" s="197">
        <f>SUM(BN263,BN265,BN270:BN274,BN288:BN292)</f>
        <v>3111</v>
      </c>
      <c r="BO442" s="197"/>
      <c r="BP442" s="197"/>
      <c r="BQ442" s="197"/>
      <c r="BR442" s="197"/>
      <c r="BS442" s="197">
        <f>SUM(BS263,BS265,BS270:BS274,BS288:BS292)</f>
        <v>23978</v>
      </c>
    </row>
    <row r="443" spans="2:71" x14ac:dyDescent="0.3">
      <c r="E443" s="290" t="s">
        <v>24</v>
      </c>
      <c r="F443" s="196" t="s">
        <v>421</v>
      </c>
      <c r="K443" s="273">
        <f>SUM(K354:K356,K362:K371,K373:K388,K428)</f>
        <v>10408</v>
      </c>
      <c r="P443" s="273">
        <f>SUM(P354:P356,P362:P371,P373:P388,P428)</f>
        <v>20222</v>
      </c>
      <c r="U443" s="273">
        <f>SUM(U354:U356,U362:U371,U373:U388,U428)</f>
        <v>16926</v>
      </c>
      <c r="Z443" s="273">
        <f>SUM(Z354:Z356,Z362:Z371,Z373:Z388,Z428)</f>
        <v>29104</v>
      </c>
      <c r="AE443" s="273">
        <f>SUM(AE354:AE356,AE362:AE371,AE373:AE388,AE428)</f>
        <v>31123</v>
      </c>
      <c r="AJ443" s="273">
        <f>SUM(AJ354:AJ356,AJ362:AJ371,AJ373:AJ388,AJ428)</f>
        <v>33746</v>
      </c>
      <c r="AO443" s="273">
        <f>SUM(AO354:AO356,AO362:AO371,AO373:AO388,AO428)</f>
        <v>13855</v>
      </c>
      <c r="AT443" s="273">
        <f>SUM(AT354:AT356,AT362:AT371,AT373:AT388,AT428)</f>
        <v>21911</v>
      </c>
      <c r="AY443" s="273">
        <f>SUM(AY354:AY356,AY362:AY371,AY373:AY388,AY428)</f>
        <v>33364</v>
      </c>
      <c r="BD443" s="273">
        <f>SUM(BD354:BD356,BD362:BD371,BD373:BD388,BD428)</f>
        <v>61044</v>
      </c>
      <c r="BI443" s="273">
        <f>SUM(BI354:BI356,BI362:BI371,BI373:BI388,BI428)</f>
        <v>15151</v>
      </c>
      <c r="BN443" s="273">
        <f>SUM(BN354:BN356,BN362:BN371,BN373:BN388,BN428)</f>
        <v>12979</v>
      </c>
      <c r="BS443" s="273">
        <f>SUM(BS354:BS356,BS362:BS371,BS373:BS388,BS428)</f>
        <v>299833</v>
      </c>
    </row>
    <row r="444" spans="2:71" s="97" customFormat="1" x14ac:dyDescent="0.3">
      <c r="C444" s="291"/>
      <c r="D444" s="291"/>
      <c r="E444" s="291"/>
      <c r="F444" s="75" t="s">
        <v>14</v>
      </c>
      <c r="G444" s="292"/>
      <c r="H444" s="292"/>
      <c r="I444" s="292"/>
      <c r="J444" s="292"/>
      <c r="K444" s="293">
        <f>SUM(K440:K443)</f>
        <v>22064</v>
      </c>
      <c r="L444" s="292"/>
      <c r="M444" s="292"/>
      <c r="N444" s="292"/>
      <c r="O444" s="292"/>
      <c r="P444" s="293">
        <f>SUM(P440:P443)</f>
        <v>44566</v>
      </c>
      <c r="Q444" s="292"/>
      <c r="R444" s="292"/>
      <c r="S444" s="292"/>
      <c r="T444" s="292"/>
      <c r="U444" s="293">
        <f>SUM(U440:U443)</f>
        <v>43459</v>
      </c>
      <c r="V444" s="292"/>
      <c r="W444" s="292"/>
      <c r="X444" s="292"/>
      <c r="Y444" s="292"/>
      <c r="Z444" s="293">
        <f>SUM(Z440:Z443)</f>
        <v>64244</v>
      </c>
      <c r="AA444" s="292"/>
      <c r="AB444" s="292"/>
      <c r="AC444" s="292"/>
      <c r="AD444" s="292"/>
      <c r="AE444" s="293">
        <f>SUM(AE440:AE443)</f>
        <v>71833</v>
      </c>
      <c r="AF444" s="292"/>
      <c r="AG444" s="292"/>
      <c r="AH444" s="292"/>
      <c r="AI444" s="292"/>
      <c r="AJ444" s="293">
        <f>SUM(AJ440:AJ443)</f>
        <v>69807</v>
      </c>
      <c r="AK444" s="292"/>
      <c r="AL444" s="292"/>
      <c r="AM444" s="292"/>
      <c r="AN444" s="292"/>
      <c r="AO444" s="293">
        <f>SUM(AO440:AO443)</f>
        <v>35213</v>
      </c>
      <c r="AP444" s="292"/>
      <c r="AQ444" s="292"/>
      <c r="AR444" s="292"/>
      <c r="AS444" s="292"/>
      <c r="AT444" s="293">
        <f>SUM(AT440:AT443)</f>
        <v>50486</v>
      </c>
      <c r="AU444" s="292"/>
      <c r="AV444" s="292"/>
      <c r="AW444" s="292"/>
      <c r="AX444" s="292"/>
      <c r="AY444" s="293">
        <f>SUM(AY440:AY443)</f>
        <v>72445</v>
      </c>
      <c r="AZ444" s="292"/>
      <c r="BA444" s="292"/>
      <c r="BB444" s="292"/>
      <c r="BC444" s="292"/>
      <c r="BD444" s="293">
        <f>SUM(BD440:BD443)</f>
        <v>121836</v>
      </c>
      <c r="BE444" s="292"/>
      <c r="BF444" s="292"/>
      <c r="BG444" s="292"/>
      <c r="BH444" s="292"/>
      <c r="BI444" s="293">
        <f>SUM(BI440:BI443)</f>
        <v>31113</v>
      </c>
      <c r="BJ444" s="292"/>
      <c r="BK444" s="292"/>
      <c r="BL444" s="292"/>
      <c r="BM444" s="292"/>
      <c r="BN444" s="293">
        <f>SUM(BN440:BN443)</f>
        <v>32556</v>
      </c>
      <c r="BO444" s="292"/>
      <c r="BP444" s="292"/>
      <c r="BQ444" s="292"/>
      <c r="BR444" s="292"/>
      <c r="BS444" s="293">
        <f>SUM(BS440:BS443)</f>
        <v>659622</v>
      </c>
    </row>
  </sheetData>
  <mergeCells count="87">
    <mergeCell ref="D102:F102"/>
    <mergeCell ref="E23:E43"/>
    <mergeCell ref="E44:E56"/>
    <mergeCell ref="E57:E61"/>
    <mergeCell ref="B350:B435"/>
    <mergeCell ref="B436:F436"/>
    <mergeCell ref="C294:F294"/>
    <mergeCell ref="C349:F349"/>
    <mergeCell ref="B295:B349"/>
    <mergeCell ref="C435:F435"/>
    <mergeCell ref="C316:D326"/>
    <mergeCell ref="C327:D340"/>
    <mergeCell ref="C301:D315"/>
    <mergeCell ref="C350:D353"/>
    <mergeCell ref="B6:B294"/>
    <mergeCell ref="C6:E8"/>
    <mergeCell ref="E9:E22"/>
    <mergeCell ref="C354:C429"/>
    <mergeCell ref="D9:D101"/>
    <mergeCell ref="C9:C102"/>
    <mergeCell ref="L3:P3"/>
    <mergeCell ref="L4:P4"/>
    <mergeCell ref="G3:K3"/>
    <mergeCell ref="G4:K4"/>
    <mergeCell ref="B3:F5"/>
    <mergeCell ref="AF4:AJ4"/>
    <mergeCell ref="Q3:U3"/>
    <mergeCell ref="Q4:U4"/>
    <mergeCell ref="AA3:AE3"/>
    <mergeCell ref="AA4:AE4"/>
    <mergeCell ref="V3:Z3"/>
    <mergeCell ref="V4:Z4"/>
    <mergeCell ref="E101:F101"/>
    <mergeCell ref="BO3:BS3"/>
    <mergeCell ref="BO4:BS4"/>
    <mergeCell ref="BE3:BI3"/>
    <mergeCell ref="BE4:BI4"/>
    <mergeCell ref="BJ3:BN3"/>
    <mergeCell ref="BJ4:BN4"/>
    <mergeCell ref="AK3:AO3"/>
    <mergeCell ref="AK4:AO4"/>
    <mergeCell ref="AP3:AT3"/>
    <mergeCell ref="AP4:AT4"/>
    <mergeCell ref="AU3:AY3"/>
    <mergeCell ref="AU4:AY4"/>
    <mergeCell ref="AZ3:BD3"/>
    <mergeCell ref="AZ4:BD4"/>
    <mergeCell ref="AF3:AJ3"/>
    <mergeCell ref="E62:E70"/>
    <mergeCell ref="E71:E75"/>
    <mergeCell ref="E76:E80"/>
    <mergeCell ref="E81:E89"/>
    <mergeCell ref="E90:E100"/>
    <mergeCell ref="C103:C133"/>
    <mergeCell ref="D103:D132"/>
    <mergeCell ref="E103:E111"/>
    <mergeCell ref="E112:E120"/>
    <mergeCell ref="E121:E131"/>
    <mergeCell ref="E132:F132"/>
    <mergeCell ref="D133:F133"/>
    <mergeCell ref="E306:E313"/>
    <mergeCell ref="E316:E319"/>
    <mergeCell ref="C341:E348"/>
    <mergeCell ref="D354:E389"/>
    <mergeCell ref="C134:C227"/>
    <mergeCell ref="D134:D226"/>
    <mergeCell ref="E134:E172"/>
    <mergeCell ref="E173:E225"/>
    <mergeCell ref="E226:F226"/>
    <mergeCell ref="D227:F227"/>
    <mergeCell ref="C228:E251"/>
    <mergeCell ref="E252:E278"/>
    <mergeCell ref="E288:E292"/>
    <mergeCell ref="E293:F293"/>
    <mergeCell ref="C252:D293"/>
    <mergeCell ref="E279:E282"/>
    <mergeCell ref="E283:E287"/>
    <mergeCell ref="C295:E300"/>
    <mergeCell ref="E301:E305"/>
    <mergeCell ref="D390:E428"/>
    <mergeCell ref="C430:E432"/>
    <mergeCell ref="C433:E434"/>
    <mergeCell ref="E320:E325"/>
    <mergeCell ref="E327:E330"/>
    <mergeCell ref="E331:E332"/>
    <mergeCell ref="E333:E335"/>
    <mergeCell ref="E336:E339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10E5-E57E-4E64-86A8-8FDB7D4AEB6B}">
  <dimension ref="A1:BS491"/>
  <sheetViews>
    <sheetView zoomScale="90" zoomScaleNormal="90" workbookViewId="0">
      <pane xSplit="6" ySplit="5" topLeftCell="AW468" activePane="bottomRight" state="frozen"/>
      <selection pane="topRight" activeCell="E1" sqref="E1"/>
      <selection pane="bottomLeft" activeCell="A5" sqref="A5"/>
      <selection pane="bottomRight" activeCell="A487" sqref="A487:XFD491"/>
    </sheetView>
  </sheetViews>
  <sheetFormatPr defaultRowHeight="16.5" x14ac:dyDescent="0.3"/>
  <cols>
    <col min="1" max="1" width="3.125" customWidth="1"/>
    <col min="3" max="4" width="6.375" style="1" bestFit="1" customWidth="1"/>
    <col min="5" max="5" width="6.375" style="1" customWidth="1"/>
    <col min="6" max="6" width="29.75" customWidth="1"/>
    <col min="7" max="70" width="8.125" style="2" customWidth="1"/>
    <col min="71" max="71" width="12.125" style="2" customWidth="1"/>
  </cols>
  <sheetData>
    <row r="1" spans="1:71" ht="20.25" x14ac:dyDescent="0.3">
      <c r="A1" s="3" t="s">
        <v>90</v>
      </c>
      <c r="G1" s="273"/>
      <c r="H1" s="197"/>
      <c r="I1" s="197"/>
      <c r="J1" s="197"/>
      <c r="K1" s="197"/>
      <c r="L1" s="273"/>
      <c r="M1" s="197"/>
      <c r="N1" s="197"/>
      <c r="O1" s="197"/>
      <c r="P1" s="197"/>
      <c r="Q1" s="273"/>
      <c r="R1" s="197"/>
      <c r="S1" s="197"/>
      <c r="T1" s="197"/>
      <c r="U1" s="197"/>
      <c r="V1" s="273"/>
      <c r="W1" s="197"/>
      <c r="X1" s="197"/>
      <c r="Y1" s="197"/>
      <c r="Z1" s="197"/>
      <c r="AA1" s="273"/>
      <c r="AB1" s="197"/>
      <c r="AC1" s="197"/>
      <c r="AD1" s="197"/>
      <c r="AE1" s="197"/>
      <c r="AF1" s="273"/>
      <c r="AG1" s="197"/>
      <c r="AH1" s="197"/>
      <c r="AI1" s="197"/>
      <c r="AJ1" s="197"/>
      <c r="AK1" s="273"/>
      <c r="AL1" s="197"/>
      <c r="AM1" s="197"/>
      <c r="AN1" s="197"/>
      <c r="AO1" s="197"/>
      <c r="AP1" s="273"/>
      <c r="AQ1" s="197"/>
      <c r="AR1" s="197"/>
      <c r="AS1" s="197"/>
      <c r="AT1" s="197"/>
      <c r="AU1" s="273"/>
      <c r="AV1" s="197"/>
      <c r="AW1" s="197"/>
      <c r="AX1" s="197"/>
      <c r="AY1" s="197"/>
      <c r="AZ1" s="273"/>
      <c r="BA1" s="197"/>
      <c r="BB1" s="197"/>
      <c r="BC1" s="197"/>
      <c r="BD1" s="197"/>
      <c r="BE1" s="273"/>
      <c r="BF1" s="197"/>
      <c r="BG1" s="197"/>
      <c r="BH1" s="197"/>
      <c r="BI1" s="197"/>
      <c r="BJ1" s="273"/>
      <c r="BK1" s="197"/>
      <c r="BL1" s="197"/>
      <c r="BM1" s="197"/>
      <c r="BN1" s="197"/>
    </row>
    <row r="2" spans="1:71" x14ac:dyDescent="0.3"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</row>
    <row r="3" spans="1:71" x14ac:dyDescent="0.3">
      <c r="B3" s="247" t="s">
        <v>3</v>
      </c>
      <c r="C3" s="247"/>
      <c r="D3" s="247"/>
      <c r="E3" s="248"/>
      <c r="F3" s="248"/>
      <c r="G3" s="245" t="s">
        <v>2</v>
      </c>
      <c r="H3" s="243"/>
      <c r="I3" s="243"/>
      <c r="J3" s="243"/>
      <c r="K3" s="243"/>
      <c r="L3" s="245" t="s">
        <v>20</v>
      </c>
      <c r="M3" s="243"/>
      <c r="N3" s="243"/>
      <c r="O3" s="243"/>
      <c r="P3" s="243"/>
      <c r="Q3" s="245" t="s">
        <v>6</v>
      </c>
      <c r="R3" s="243"/>
      <c r="S3" s="243"/>
      <c r="T3" s="243"/>
      <c r="U3" s="243"/>
      <c r="V3" s="245" t="s">
        <v>26</v>
      </c>
      <c r="W3" s="243"/>
      <c r="X3" s="243"/>
      <c r="Y3" s="243"/>
      <c r="Z3" s="243"/>
      <c r="AA3" s="245" t="s">
        <v>27</v>
      </c>
      <c r="AB3" s="243"/>
      <c r="AC3" s="243"/>
      <c r="AD3" s="243"/>
      <c r="AE3" s="243"/>
      <c r="AF3" s="245" t="s">
        <v>28</v>
      </c>
      <c r="AG3" s="243"/>
      <c r="AH3" s="243"/>
      <c r="AI3" s="243"/>
      <c r="AJ3" s="243"/>
      <c r="AK3" s="245" t="s">
        <v>29</v>
      </c>
      <c r="AL3" s="243"/>
      <c r="AM3" s="243"/>
      <c r="AN3" s="243"/>
      <c r="AO3" s="243"/>
      <c r="AP3" s="245" t="s">
        <v>30</v>
      </c>
      <c r="AQ3" s="243"/>
      <c r="AR3" s="243"/>
      <c r="AS3" s="243"/>
      <c r="AT3" s="243"/>
      <c r="AU3" s="245" t="s">
        <v>31</v>
      </c>
      <c r="AV3" s="243"/>
      <c r="AW3" s="243"/>
      <c r="AX3" s="243"/>
      <c r="AY3" s="243"/>
      <c r="AZ3" s="245" t="s">
        <v>32</v>
      </c>
      <c r="BA3" s="243"/>
      <c r="BB3" s="243"/>
      <c r="BC3" s="243"/>
      <c r="BD3" s="243"/>
      <c r="BE3" s="245" t="s">
        <v>33</v>
      </c>
      <c r="BF3" s="243"/>
      <c r="BG3" s="243"/>
      <c r="BH3" s="243"/>
      <c r="BI3" s="243"/>
      <c r="BJ3" s="245" t="s">
        <v>34</v>
      </c>
      <c r="BK3" s="243"/>
      <c r="BL3" s="243"/>
      <c r="BM3" s="243"/>
      <c r="BN3" s="243"/>
      <c r="BO3" s="242" t="s">
        <v>21</v>
      </c>
      <c r="BP3" s="243"/>
      <c r="BQ3" s="243"/>
      <c r="BR3" s="243"/>
      <c r="BS3" s="244"/>
    </row>
    <row r="4" spans="1:71" x14ac:dyDescent="0.3">
      <c r="B4" s="247"/>
      <c r="C4" s="247"/>
      <c r="D4" s="247"/>
      <c r="E4" s="248"/>
      <c r="F4" s="248"/>
      <c r="G4" s="245" t="s">
        <v>11</v>
      </c>
      <c r="H4" s="243"/>
      <c r="I4" s="243"/>
      <c r="J4" s="243"/>
      <c r="K4" s="246"/>
      <c r="L4" s="245" t="s">
        <v>11</v>
      </c>
      <c r="M4" s="243"/>
      <c r="N4" s="243"/>
      <c r="O4" s="243"/>
      <c r="P4" s="246"/>
      <c r="Q4" s="245" t="s">
        <v>11</v>
      </c>
      <c r="R4" s="243"/>
      <c r="S4" s="243"/>
      <c r="T4" s="243"/>
      <c r="U4" s="246"/>
      <c r="V4" s="245" t="s">
        <v>11</v>
      </c>
      <c r="W4" s="243"/>
      <c r="X4" s="243"/>
      <c r="Y4" s="243"/>
      <c r="Z4" s="246"/>
      <c r="AA4" s="245" t="s">
        <v>11</v>
      </c>
      <c r="AB4" s="243"/>
      <c r="AC4" s="243"/>
      <c r="AD4" s="243"/>
      <c r="AE4" s="246"/>
      <c r="AF4" s="245" t="s">
        <v>11</v>
      </c>
      <c r="AG4" s="243"/>
      <c r="AH4" s="243"/>
      <c r="AI4" s="243"/>
      <c r="AJ4" s="246"/>
      <c r="AK4" s="245" t="s">
        <v>11</v>
      </c>
      <c r="AL4" s="243"/>
      <c r="AM4" s="243"/>
      <c r="AN4" s="243"/>
      <c r="AO4" s="246"/>
      <c r="AP4" s="245" t="s">
        <v>11</v>
      </c>
      <c r="AQ4" s="243"/>
      <c r="AR4" s="243"/>
      <c r="AS4" s="243"/>
      <c r="AT4" s="246"/>
      <c r="AU4" s="245" t="s">
        <v>11</v>
      </c>
      <c r="AV4" s="243"/>
      <c r="AW4" s="243"/>
      <c r="AX4" s="243"/>
      <c r="AY4" s="246"/>
      <c r="AZ4" s="245" t="s">
        <v>11</v>
      </c>
      <c r="BA4" s="243"/>
      <c r="BB4" s="243"/>
      <c r="BC4" s="243"/>
      <c r="BD4" s="246"/>
      <c r="BE4" s="245" t="s">
        <v>11</v>
      </c>
      <c r="BF4" s="243"/>
      <c r="BG4" s="243"/>
      <c r="BH4" s="243"/>
      <c r="BI4" s="246"/>
      <c r="BJ4" s="245" t="s">
        <v>11</v>
      </c>
      <c r="BK4" s="243"/>
      <c r="BL4" s="243"/>
      <c r="BM4" s="243"/>
      <c r="BN4" s="246"/>
      <c r="BO4" s="242" t="s">
        <v>11</v>
      </c>
      <c r="BP4" s="243"/>
      <c r="BQ4" s="243"/>
      <c r="BR4" s="243"/>
      <c r="BS4" s="244"/>
    </row>
    <row r="5" spans="1:71" x14ac:dyDescent="0.3">
      <c r="B5" s="247"/>
      <c r="C5" s="247"/>
      <c r="D5" s="247"/>
      <c r="E5" s="248"/>
      <c r="F5" s="248"/>
      <c r="G5" s="28" t="s">
        <v>7</v>
      </c>
      <c r="H5" s="5" t="s">
        <v>8</v>
      </c>
      <c r="I5" s="5" t="s">
        <v>9</v>
      </c>
      <c r="J5" s="6" t="s">
        <v>10</v>
      </c>
      <c r="K5" s="4" t="s">
        <v>14</v>
      </c>
      <c r="L5" s="28" t="s">
        <v>7</v>
      </c>
      <c r="M5" s="5" t="s">
        <v>8</v>
      </c>
      <c r="N5" s="5" t="s">
        <v>9</v>
      </c>
      <c r="O5" s="6" t="s">
        <v>10</v>
      </c>
      <c r="P5" s="4" t="s">
        <v>14</v>
      </c>
      <c r="Q5" s="28" t="s">
        <v>7</v>
      </c>
      <c r="R5" s="5" t="s">
        <v>8</v>
      </c>
      <c r="S5" s="5" t="s">
        <v>9</v>
      </c>
      <c r="T5" s="6" t="s">
        <v>10</v>
      </c>
      <c r="U5" s="4" t="s">
        <v>14</v>
      </c>
      <c r="V5" s="28" t="s">
        <v>7</v>
      </c>
      <c r="W5" s="5" t="s">
        <v>8</v>
      </c>
      <c r="X5" s="5" t="s">
        <v>9</v>
      </c>
      <c r="Y5" s="6" t="s">
        <v>10</v>
      </c>
      <c r="Z5" s="4" t="s">
        <v>14</v>
      </c>
      <c r="AA5" s="28" t="s">
        <v>7</v>
      </c>
      <c r="AB5" s="5" t="s">
        <v>8</v>
      </c>
      <c r="AC5" s="5" t="s">
        <v>9</v>
      </c>
      <c r="AD5" s="6" t="s">
        <v>10</v>
      </c>
      <c r="AE5" s="4" t="s">
        <v>14</v>
      </c>
      <c r="AF5" s="28" t="s">
        <v>7</v>
      </c>
      <c r="AG5" s="5" t="s">
        <v>8</v>
      </c>
      <c r="AH5" s="5" t="s">
        <v>9</v>
      </c>
      <c r="AI5" s="6" t="s">
        <v>10</v>
      </c>
      <c r="AJ5" s="4" t="s">
        <v>14</v>
      </c>
      <c r="AK5" s="28" t="s">
        <v>7</v>
      </c>
      <c r="AL5" s="5" t="s">
        <v>8</v>
      </c>
      <c r="AM5" s="5" t="s">
        <v>9</v>
      </c>
      <c r="AN5" s="6" t="s">
        <v>10</v>
      </c>
      <c r="AO5" s="4" t="s">
        <v>14</v>
      </c>
      <c r="AP5" s="28" t="s">
        <v>7</v>
      </c>
      <c r="AQ5" s="5" t="s">
        <v>8</v>
      </c>
      <c r="AR5" s="5" t="s">
        <v>9</v>
      </c>
      <c r="AS5" s="6" t="s">
        <v>10</v>
      </c>
      <c r="AT5" s="4" t="s">
        <v>14</v>
      </c>
      <c r="AU5" s="28" t="s">
        <v>7</v>
      </c>
      <c r="AV5" s="5" t="s">
        <v>8</v>
      </c>
      <c r="AW5" s="5" t="s">
        <v>9</v>
      </c>
      <c r="AX5" s="6" t="s">
        <v>10</v>
      </c>
      <c r="AY5" s="4" t="s">
        <v>14</v>
      </c>
      <c r="AZ5" s="28" t="s">
        <v>7</v>
      </c>
      <c r="BA5" s="5" t="s">
        <v>8</v>
      </c>
      <c r="BB5" s="5" t="s">
        <v>9</v>
      </c>
      <c r="BC5" s="6" t="s">
        <v>10</v>
      </c>
      <c r="BD5" s="4" t="s">
        <v>14</v>
      </c>
      <c r="BE5" s="28" t="s">
        <v>7</v>
      </c>
      <c r="BF5" s="5" t="s">
        <v>8</v>
      </c>
      <c r="BG5" s="5" t="s">
        <v>9</v>
      </c>
      <c r="BH5" s="6" t="s">
        <v>10</v>
      </c>
      <c r="BI5" s="4" t="s">
        <v>14</v>
      </c>
      <c r="BJ5" s="28" t="s">
        <v>7</v>
      </c>
      <c r="BK5" s="5" t="s">
        <v>8</v>
      </c>
      <c r="BL5" s="5" t="s">
        <v>9</v>
      </c>
      <c r="BM5" s="6" t="s">
        <v>10</v>
      </c>
      <c r="BN5" s="4" t="s">
        <v>14</v>
      </c>
      <c r="BO5" s="64" t="s">
        <v>7</v>
      </c>
      <c r="BP5" s="5" t="s">
        <v>8</v>
      </c>
      <c r="BQ5" s="5" t="s">
        <v>9</v>
      </c>
      <c r="BR5" s="6" t="s">
        <v>10</v>
      </c>
      <c r="BS5" s="29" t="s">
        <v>14</v>
      </c>
    </row>
    <row r="6" spans="1:71" x14ac:dyDescent="0.3">
      <c r="B6" s="268" t="s">
        <v>36</v>
      </c>
      <c r="C6" s="229" t="s">
        <v>35</v>
      </c>
      <c r="D6" s="249"/>
      <c r="E6" s="249"/>
      <c r="F6" s="120" t="s">
        <v>39</v>
      </c>
      <c r="G6" s="32">
        <v>71</v>
      </c>
      <c r="H6" s="13">
        <v>19</v>
      </c>
      <c r="I6" s="13">
        <v>51</v>
      </c>
      <c r="J6" s="14"/>
      <c r="K6" s="15">
        <f t="shared" ref="K6:K125" si="0">SUM(G6:J6)</f>
        <v>141</v>
      </c>
      <c r="L6" s="32">
        <v>102</v>
      </c>
      <c r="M6" s="13">
        <v>37</v>
      </c>
      <c r="N6" s="13">
        <v>71</v>
      </c>
      <c r="O6" s="14"/>
      <c r="P6" s="15">
        <f t="shared" ref="P6:P14" si="1">SUM(L6:O6)</f>
        <v>210</v>
      </c>
      <c r="Q6" s="32">
        <v>10</v>
      </c>
      <c r="R6" s="13"/>
      <c r="S6" s="13"/>
      <c r="T6" s="14"/>
      <c r="U6" s="15">
        <f t="shared" ref="U6:U14" si="2">SUM(Q6:T6)</f>
        <v>10</v>
      </c>
      <c r="V6" s="32"/>
      <c r="W6" s="13"/>
      <c r="X6" s="13"/>
      <c r="Y6" s="14"/>
      <c r="Z6" s="15">
        <f t="shared" ref="Z6:Z14" si="3">SUM(V6:Y6)</f>
        <v>0</v>
      </c>
      <c r="AA6" s="32"/>
      <c r="AB6" s="13"/>
      <c r="AC6" s="13"/>
      <c r="AD6" s="14"/>
      <c r="AE6" s="15">
        <f t="shared" ref="AE6:AE14" si="4">SUM(AA6:AD6)</f>
        <v>0</v>
      </c>
      <c r="AF6" s="32"/>
      <c r="AG6" s="13"/>
      <c r="AH6" s="13"/>
      <c r="AI6" s="14"/>
      <c r="AJ6" s="15">
        <f t="shared" ref="AJ6:AJ14" si="5">SUM(AF6:AI6)</f>
        <v>0</v>
      </c>
      <c r="AK6" s="32"/>
      <c r="AL6" s="13"/>
      <c r="AM6" s="13"/>
      <c r="AN6" s="14"/>
      <c r="AO6" s="15">
        <f t="shared" ref="AO6:AO14" si="6">SUM(AK6:AN6)</f>
        <v>0</v>
      </c>
      <c r="AP6" s="32"/>
      <c r="AQ6" s="13"/>
      <c r="AR6" s="13"/>
      <c r="AS6" s="14"/>
      <c r="AT6" s="15">
        <f t="shared" ref="AT6:AT14" si="7">SUM(AP6:AS6)</f>
        <v>0</v>
      </c>
      <c r="AU6" s="32"/>
      <c r="AV6" s="13"/>
      <c r="AW6" s="13"/>
      <c r="AX6" s="14"/>
      <c r="AY6" s="15">
        <f t="shared" ref="AY6:AY14" si="8">SUM(AU6:AX6)</f>
        <v>0</v>
      </c>
      <c r="AZ6" s="32"/>
      <c r="BA6" s="13"/>
      <c r="BB6" s="13"/>
      <c r="BC6" s="14"/>
      <c r="BD6" s="15">
        <f t="shared" ref="BD6:BD14" si="9">SUM(AZ6:BC6)</f>
        <v>0</v>
      </c>
      <c r="BE6" s="32">
        <v>197</v>
      </c>
      <c r="BF6" s="13">
        <v>39</v>
      </c>
      <c r="BG6" s="13">
        <v>151</v>
      </c>
      <c r="BH6" s="14"/>
      <c r="BI6" s="15">
        <f t="shared" ref="BI6:BI14" si="10">SUM(BE6:BH6)</f>
        <v>387</v>
      </c>
      <c r="BJ6" s="32">
        <v>106</v>
      </c>
      <c r="BK6" s="13">
        <v>19</v>
      </c>
      <c r="BL6" s="13">
        <v>79</v>
      </c>
      <c r="BM6" s="14"/>
      <c r="BN6" s="15">
        <f t="shared" ref="BN6:BN14" si="11">SUM(BJ6:BM6)</f>
        <v>204</v>
      </c>
      <c r="BO6" s="66">
        <f>SUM(G6,L6,Q6,V6,AA6,AF6,AK6,AP6,AU6,AZ6,BE6,BJ6)</f>
        <v>486</v>
      </c>
      <c r="BP6" s="13">
        <f>SUM(H6,M6,R6,W6,AB6,AG6,AL6,AQ6,AV6,BA6,BF6,BK6)</f>
        <v>114</v>
      </c>
      <c r="BQ6" s="13">
        <f>SUM(I6,N6,S6,X6,AC6,AH6,AM6,AR6,AW6,BB6,BG6,BL6)</f>
        <v>352</v>
      </c>
      <c r="BR6" s="14">
        <f>SUM(J6,O6,T6,Y6,AD6,AI6,AN6,AS6,AX6,BC6,BH6,BM6)</f>
        <v>0</v>
      </c>
      <c r="BS6" s="33">
        <f t="shared" ref="BS6:BS125" si="12">SUM(BO6:BR6)</f>
        <v>952</v>
      </c>
    </row>
    <row r="7" spans="1:71" x14ac:dyDescent="0.3">
      <c r="B7" s="269"/>
      <c r="C7" s="230"/>
      <c r="D7" s="250"/>
      <c r="E7" s="250"/>
      <c r="F7" s="121" t="s">
        <v>40</v>
      </c>
      <c r="G7" s="32">
        <v>3</v>
      </c>
      <c r="H7" s="13"/>
      <c r="I7" s="13"/>
      <c r="J7" s="14"/>
      <c r="K7" s="15">
        <f t="shared" si="0"/>
        <v>3</v>
      </c>
      <c r="L7" s="32">
        <v>23</v>
      </c>
      <c r="M7" s="13">
        <v>4</v>
      </c>
      <c r="N7" s="13">
        <v>4</v>
      </c>
      <c r="O7" s="14"/>
      <c r="P7" s="15">
        <f t="shared" si="1"/>
        <v>31</v>
      </c>
      <c r="Q7" s="32">
        <v>1</v>
      </c>
      <c r="R7" s="13"/>
      <c r="S7" s="13"/>
      <c r="T7" s="14"/>
      <c r="U7" s="15">
        <f t="shared" si="2"/>
        <v>1</v>
      </c>
      <c r="V7" s="32"/>
      <c r="W7" s="13"/>
      <c r="X7" s="13"/>
      <c r="Y7" s="14"/>
      <c r="Z7" s="15">
        <f t="shared" si="3"/>
        <v>0</v>
      </c>
      <c r="AA7" s="32"/>
      <c r="AB7" s="13"/>
      <c r="AC7" s="13"/>
      <c r="AD7" s="14"/>
      <c r="AE7" s="15">
        <f t="shared" si="4"/>
        <v>0</v>
      </c>
      <c r="AF7" s="32"/>
      <c r="AG7" s="13"/>
      <c r="AH7" s="13"/>
      <c r="AI7" s="14"/>
      <c r="AJ7" s="15">
        <f t="shared" si="5"/>
        <v>0</v>
      </c>
      <c r="AK7" s="32"/>
      <c r="AL7" s="13"/>
      <c r="AM7" s="13"/>
      <c r="AN7" s="14"/>
      <c r="AO7" s="15">
        <f t="shared" si="6"/>
        <v>0</v>
      </c>
      <c r="AP7" s="32"/>
      <c r="AQ7" s="13"/>
      <c r="AR7" s="13"/>
      <c r="AS7" s="14"/>
      <c r="AT7" s="15">
        <f t="shared" si="7"/>
        <v>0</v>
      </c>
      <c r="AU7" s="32"/>
      <c r="AV7" s="13"/>
      <c r="AW7" s="13"/>
      <c r="AX7" s="14"/>
      <c r="AY7" s="15">
        <f t="shared" si="8"/>
        <v>0</v>
      </c>
      <c r="AZ7" s="32"/>
      <c r="BA7" s="13"/>
      <c r="BB7" s="13"/>
      <c r="BC7" s="14"/>
      <c r="BD7" s="15">
        <f t="shared" si="9"/>
        <v>0</v>
      </c>
      <c r="BE7" s="32">
        <v>56</v>
      </c>
      <c r="BF7" s="13">
        <v>3</v>
      </c>
      <c r="BG7" s="13">
        <v>27</v>
      </c>
      <c r="BH7" s="14"/>
      <c r="BI7" s="15">
        <f t="shared" si="10"/>
        <v>86</v>
      </c>
      <c r="BJ7" s="32">
        <v>20</v>
      </c>
      <c r="BK7" s="13"/>
      <c r="BL7" s="13">
        <v>4</v>
      </c>
      <c r="BM7" s="14"/>
      <c r="BN7" s="15">
        <f t="shared" si="11"/>
        <v>24</v>
      </c>
      <c r="BO7" s="66">
        <f>SUM(G7,L7,Q7,V7,AA7,AF7,AK7,AP7,AU7,AZ7,BE7,BJ7)</f>
        <v>103</v>
      </c>
      <c r="BP7" s="13">
        <f>SUM(H7,M7,R7,W7,AB7,AG7,AL7,AQ7,AV7,BA7,BF7,BK7)</f>
        <v>7</v>
      </c>
      <c r="BQ7" s="13">
        <f>SUM(I7,N7,S7,X7,AC7,AH7,AM7,AR7,AW7,BB7,BG7,BL7)</f>
        <v>35</v>
      </c>
      <c r="BR7" s="14">
        <f>SUM(J7,O7,T7,Y7,AD7,AI7,AN7,AS7,AX7,BC7,BH7,BM7)</f>
        <v>0</v>
      </c>
      <c r="BS7" s="33">
        <f t="shared" si="12"/>
        <v>145</v>
      </c>
    </row>
    <row r="8" spans="1:71" x14ac:dyDescent="0.3">
      <c r="B8" s="269"/>
      <c r="C8" s="230"/>
      <c r="D8" s="250"/>
      <c r="E8" s="250"/>
      <c r="F8" s="121" t="s">
        <v>423</v>
      </c>
      <c r="G8" s="32"/>
      <c r="H8" s="13"/>
      <c r="I8" s="13"/>
      <c r="J8" s="14"/>
      <c r="K8" s="15">
        <f t="shared" ref="K8" si="13">SUM(G8:J8)</f>
        <v>0</v>
      </c>
      <c r="L8" s="32"/>
      <c r="M8" s="13"/>
      <c r="N8" s="13"/>
      <c r="O8" s="14"/>
      <c r="P8" s="15">
        <f t="shared" ref="P8" si="14">SUM(L8:O8)</f>
        <v>0</v>
      </c>
      <c r="Q8" s="32">
        <f>103-10</f>
        <v>93</v>
      </c>
      <c r="R8" s="13">
        <v>11</v>
      </c>
      <c r="S8" s="13">
        <v>103</v>
      </c>
      <c r="T8" s="14"/>
      <c r="U8" s="15">
        <f t="shared" ref="U8" si="15">SUM(Q8:T8)</f>
        <v>207</v>
      </c>
      <c r="V8" s="32">
        <v>198</v>
      </c>
      <c r="W8" s="13">
        <v>17</v>
      </c>
      <c r="X8" s="13">
        <v>195</v>
      </c>
      <c r="Y8" s="14"/>
      <c r="Z8" s="15">
        <f t="shared" ref="Z8" si="16">SUM(V8:Y8)</f>
        <v>410</v>
      </c>
      <c r="AA8" s="32">
        <v>138</v>
      </c>
      <c r="AB8" s="13">
        <v>17</v>
      </c>
      <c r="AC8" s="13">
        <v>133</v>
      </c>
      <c r="AD8" s="14"/>
      <c r="AE8" s="15">
        <f t="shared" ref="AE8" si="17">SUM(AA8:AD8)</f>
        <v>288</v>
      </c>
      <c r="AF8" s="32">
        <v>109</v>
      </c>
      <c r="AG8" s="13">
        <v>25</v>
      </c>
      <c r="AH8" s="13">
        <v>108</v>
      </c>
      <c r="AI8" s="14"/>
      <c r="AJ8" s="15">
        <f t="shared" ref="AJ8" si="18">SUM(AF8:AI8)</f>
        <v>242</v>
      </c>
      <c r="AK8" s="32">
        <v>153</v>
      </c>
      <c r="AL8" s="13">
        <v>37</v>
      </c>
      <c r="AM8" s="13">
        <v>103</v>
      </c>
      <c r="AN8" s="14"/>
      <c r="AO8" s="15">
        <f t="shared" ref="AO8" si="19">SUM(AK8:AN8)</f>
        <v>293</v>
      </c>
      <c r="AP8" s="32">
        <v>159</v>
      </c>
      <c r="AQ8" s="13">
        <v>16</v>
      </c>
      <c r="AR8" s="13">
        <v>105</v>
      </c>
      <c r="AS8" s="14"/>
      <c r="AT8" s="15">
        <f t="shared" ref="AT8" si="20">SUM(AP8:AS8)</f>
        <v>280</v>
      </c>
      <c r="AU8" s="32">
        <v>162</v>
      </c>
      <c r="AV8" s="13">
        <v>8</v>
      </c>
      <c r="AW8" s="13">
        <v>158</v>
      </c>
      <c r="AX8" s="14"/>
      <c r="AY8" s="15">
        <f t="shared" ref="AY8" si="21">SUM(AU8:AX8)</f>
        <v>328</v>
      </c>
      <c r="AZ8" s="32">
        <v>281</v>
      </c>
      <c r="BA8" s="13">
        <v>18</v>
      </c>
      <c r="BB8" s="13">
        <v>188</v>
      </c>
      <c r="BC8" s="14"/>
      <c r="BD8" s="15">
        <f t="shared" ref="BD8" si="22">SUM(AZ8:BC8)</f>
        <v>487</v>
      </c>
      <c r="BE8" s="32"/>
      <c r="BF8" s="13"/>
      <c r="BG8" s="13"/>
      <c r="BH8" s="14"/>
      <c r="BI8" s="15">
        <f t="shared" ref="BI8" si="23">SUM(BE8:BH8)</f>
        <v>0</v>
      </c>
      <c r="BJ8" s="32"/>
      <c r="BK8" s="13"/>
      <c r="BL8" s="13"/>
      <c r="BM8" s="14"/>
      <c r="BN8" s="15">
        <f t="shared" ref="BN8" si="24">SUM(BJ8:BM8)</f>
        <v>0</v>
      </c>
      <c r="BO8" s="66">
        <f>SUM(G8,L8,Q8,V8,AA8,AF8,AK8,AP8,AU8,AZ8,BE8,BJ8)</f>
        <v>1293</v>
      </c>
      <c r="BP8" s="13">
        <f>SUM(H8,M8,R8,W8,AB8,AG8,AL8,AQ8,AV8,BA8,BF8,BK8)</f>
        <v>149</v>
      </c>
      <c r="BQ8" s="13">
        <f>SUM(I8,N8,S8,X8,AC8,AH8,AM8,AR8,AW8,BB8,BG8,BL8)</f>
        <v>1093</v>
      </c>
      <c r="BR8" s="14">
        <f>SUM(J8,O8,T8,Y8,AD8,AI8,AN8,AS8,AX8,BC8,BH8,BM8)</f>
        <v>0</v>
      </c>
      <c r="BS8" s="33">
        <f t="shared" si="12"/>
        <v>2535</v>
      </c>
    </row>
    <row r="9" spans="1:71" x14ac:dyDescent="0.3">
      <c r="B9" s="269"/>
      <c r="C9" s="230"/>
      <c r="D9" s="250"/>
      <c r="E9" s="250"/>
      <c r="F9" s="121" t="s">
        <v>424</v>
      </c>
      <c r="G9" s="32"/>
      <c r="H9" s="13"/>
      <c r="I9" s="13"/>
      <c r="J9" s="14"/>
      <c r="K9" s="15">
        <f t="shared" si="0"/>
        <v>0</v>
      </c>
      <c r="L9" s="32"/>
      <c r="M9" s="13"/>
      <c r="N9" s="13"/>
      <c r="O9" s="14"/>
      <c r="P9" s="15">
        <f t="shared" si="1"/>
        <v>0</v>
      </c>
      <c r="Q9" s="32">
        <f>33-1</f>
        <v>32</v>
      </c>
      <c r="R9" s="13">
        <v>2</v>
      </c>
      <c r="S9" s="13">
        <v>21</v>
      </c>
      <c r="T9" s="14"/>
      <c r="U9" s="15">
        <f t="shared" si="2"/>
        <v>55</v>
      </c>
      <c r="V9" s="32">
        <v>46</v>
      </c>
      <c r="W9" s="13">
        <v>6</v>
      </c>
      <c r="X9" s="13">
        <v>32</v>
      </c>
      <c r="Y9" s="14"/>
      <c r="Z9" s="15">
        <f t="shared" si="3"/>
        <v>84</v>
      </c>
      <c r="AA9" s="32">
        <v>47</v>
      </c>
      <c r="AB9" s="13">
        <v>1</v>
      </c>
      <c r="AC9" s="13">
        <v>35</v>
      </c>
      <c r="AD9" s="14"/>
      <c r="AE9" s="15">
        <f t="shared" si="4"/>
        <v>83</v>
      </c>
      <c r="AF9" s="32">
        <v>41</v>
      </c>
      <c r="AG9" s="13">
        <v>2</v>
      </c>
      <c r="AH9" s="13">
        <v>29</v>
      </c>
      <c r="AI9" s="14"/>
      <c r="AJ9" s="15">
        <f t="shared" si="5"/>
        <v>72</v>
      </c>
      <c r="AK9" s="32">
        <v>42</v>
      </c>
      <c r="AL9" s="13">
        <v>19</v>
      </c>
      <c r="AM9" s="13">
        <v>11</v>
      </c>
      <c r="AN9" s="14"/>
      <c r="AO9" s="15">
        <f t="shared" si="6"/>
        <v>72</v>
      </c>
      <c r="AP9" s="32">
        <v>71</v>
      </c>
      <c r="AQ9" s="13">
        <v>5</v>
      </c>
      <c r="AR9" s="13">
        <v>37</v>
      </c>
      <c r="AS9" s="14"/>
      <c r="AT9" s="15">
        <f t="shared" si="7"/>
        <v>113</v>
      </c>
      <c r="AU9" s="32">
        <v>66</v>
      </c>
      <c r="AV9" s="13">
        <v>6</v>
      </c>
      <c r="AW9" s="13">
        <v>34</v>
      </c>
      <c r="AX9" s="14"/>
      <c r="AY9" s="15">
        <f t="shared" si="8"/>
        <v>106</v>
      </c>
      <c r="AZ9" s="32">
        <v>62</v>
      </c>
      <c r="BA9" s="13">
        <v>2</v>
      </c>
      <c r="BB9" s="13">
        <v>38</v>
      </c>
      <c r="BC9" s="14"/>
      <c r="BD9" s="15">
        <f t="shared" si="9"/>
        <v>102</v>
      </c>
      <c r="BE9" s="32"/>
      <c r="BF9" s="13"/>
      <c r="BG9" s="13"/>
      <c r="BH9" s="14"/>
      <c r="BI9" s="15">
        <f t="shared" si="10"/>
        <v>0</v>
      </c>
      <c r="BJ9" s="32"/>
      <c r="BK9" s="13"/>
      <c r="BL9" s="13"/>
      <c r="BM9" s="14"/>
      <c r="BN9" s="15">
        <f t="shared" si="11"/>
        <v>0</v>
      </c>
      <c r="BO9" s="66">
        <f>SUM(G9,L9,Q9,V9,AA9,AF9,AK9,AP9,AU9,AZ9,BE9,BJ9)</f>
        <v>407</v>
      </c>
      <c r="BP9" s="13">
        <f>SUM(H9,M9,R9,W9,AB9,AG9,AL9,AQ9,AV9,BA9,BF9,BK9)</f>
        <v>43</v>
      </c>
      <c r="BQ9" s="13">
        <f>SUM(I9,N9,S9,X9,AC9,AH9,AM9,AR9,AW9,BB9,BG9,BL9)</f>
        <v>237</v>
      </c>
      <c r="BR9" s="14">
        <f>SUM(J9,O9,T9,Y9,AD9,AI9,AN9,AS9,AX9,BC9,BH9,BM9)</f>
        <v>0</v>
      </c>
      <c r="BS9" s="33">
        <f t="shared" si="12"/>
        <v>687</v>
      </c>
    </row>
    <row r="10" spans="1:71" x14ac:dyDescent="0.3">
      <c r="B10" s="269"/>
      <c r="C10" s="231"/>
      <c r="D10" s="251"/>
      <c r="E10" s="251"/>
      <c r="F10" s="114" t="s">
        <v>4</v>
      </c>
      <c r="G10" s="40">
        <f>SUM(G6:G9)</f>
        <v>74</v>
      </c>
      <c r="H10" s="22">
        <f>SUM(H6:H9)</f>
        <v>19</v>
      </c>
      <c r="I10" s="22">
        <f>SUM(I6:I9)</f>
        <v>51</v>
      </c>
      <c r="J10" s="23">
        <f>SUM(J6:J9)</f>
        <v>0</v>
      </c>
      <c r="K10" s="24">
        <f t="shared" si="0"/>
        <v>144</v>
      </c>
      <c r="L10" s="40">
        <f>SUM(L6:L9)</f>
        <v>125</v>
      </c>
      <c r="M10" s="22">
        <f>SUM(M6:M9)</f>
        <v>41</v>
      </c>
      <c r="N10" s="22">
        <f>SUM(N6:N9)</f>
        <v>75</v>
      </c>
      <c r="O10" s="23">
        <f>SUM(O6:O9)</f>
        <v>0</v>
      </c>
      <c r="P10" s="24">
        <f t="shared" si="1"/>
        <v>241</v>
      </c>
      <c r="Q10" s="40">
        <f>SUM(Q6:Q9)</f>
        <v>136</v>
      </c>
      <c r="R10" s="22">
        <f>SUM(R6:R9)</f>
        <v>13</v>
      </c>
      <c r="S10" s="22">
        <f>SUM(S6:S9)</f>
        <v>124</v>
      </c>
      <c r="T10" s="23">
        <f>SUM(T6:T9)</f>
        <v>0</v>
      </c>
      <c r="U10" s="24">
        <f t="shared" si="2"/>
        <v>273</v>
      </c>
      <c r="V10" s="40">
        <f>SUM(V6:V9)</f>
        <v>244</v>
      </c>
      <c r="W10" s="22">
        <f>SUM(W6:W9)</f>
        <v>23</v>
      </c>
      <c r="X10" s="22">
        <f>SUM(X6:X9)</f>
        <v>227</v>
      </c>
      <c r="Y10" s="23">
        <f>SUM(Y6:Y9)</f>
        <v>0</v>
      </c>
      <c r="Z10" s="24">
        <f t="shared" si="3"/>
        <v>494</v>
      </c>
      <c r="AA10" s="40">
        <f>SUM(AA6:AA9)</f>
        <v>185</v>
      </c>
      <c r="AB10" s="22">
        <f>SUM(AB6:AB9)</f>
        <v>18</v>
      </c>
      <c r="AC10" s="22">
        <f>SUM(AC6:AC9)</f>
        <v>168</v>
      </c>
      <c r="AD10" s="23">
        <f>SUM(AD6:AD9)</f>
        <v>0</v>
      </c>
      <c r="AE10" s="24">
        <f t="shared" si="4"/>
        <v>371</v>
      </c>
      <c r="AF10" s="40">
        <f>SUM(AF6:AF9)</f>
        <v>150</v>
      </c>
      <c r="AG10" s="22">
        <f>SUM(AG6:AG9)</f>
        <v>27</v>
      </c>
      <c r="AH10" s="22">
        <f>SUM(AH6:AH9)</f>
        <v>137</v>
      </c>
      <c r="AI10" s="23">
        <f>SUM(AI6:AI9)</f>
        <v>0</v>
      </c>
      <c r="AJ10" s="24">
        <f t="shared" si="5"/>
        <v>314</v>
      </c>
      <c r="AK10" s="40">
        <f>SUM(AK6:AK9)</f>
        <v>195</v>
      </c>
      <c r="AL10" s="22">
        <f>SUM(AL6:AL9)</f>
        <v>56</v>
      </c>
      <c r="AM10" s="22">
        <f>SUM(AM6:AM9)</f>
        <v>114</v>
      </c>
      <c r="AN10" s="23">
        <f>SUM(AN6:AN9)</f>
        <v>0</v>
      </c>
      <c r="AO10" s="24">
        <f t="shared" si="6"/>
        <v>365</v>
      </c>
      <c r="AP10" s="40">
        <f>SUM(AP6:AP9)</f>
        <v>230</v>
      </c>
      <c r="AQ10" s="22">
        <f>SUM(AQ6:AQ9)</f>
        <v>21</v>
      </c>
      <c r="AR10" s="22">
        <f>SUM(AR6:AR9)</f>
        <v>142</v>
      </c>
      <c r="AS10" s="23">
        <f>SUM(AS6:AS9)</f>
        <v>0</v>
      </c>
      <c r="AT10" s="24">
        <f t="shared" si="7"/>
        <v>393</v>
      </c>
      <c r="AU10" s="40">
        <f>SUM(AU6:AU9)</f>
        <v>228</v>
      </c>
      <c r="AV10" s="22">
        <f>SUM(AV6:AV9)</f>
        <v>14</v>
      </c>
      <c r="AW10" s="22">
        <f>SUM(AW6:AW9)</f>
        <v>192</v>
      </c>
      <c r="AX10" s="23">
        <f>SUM(AX6:AX9)</f>
        <v>0</v>
      </c>
      <c r="AY10" s="24">
        <f t="shared" si="8"/>
        <v>434</v>
      </c>
      <c r="AZ10" s="40">
        <f>SUM(AZ6:AZ9)</f>
        <v>343</v>
      </c>
      <c r="BA10" s="22">
        <f>SUM(BA6:BA9)</f>
        <v>20</v>
      </c>
      <c r="BB10" s="22">
        <f>SUM(BB6:BB9)</f>
        <v>226</v>
      </c>
      <c r="BC10" s="23">
        <f>SUM(BC6:BC9)</f>
        <v>0</v>
      </c>
      <c r="BD10" s="24">
        <f t="shared" si="9"/>
        <v>589</v>
      </c>
      <c r="BE10" s="40">
        <f>SUM(BE6:BE9)</f>
        <v>253</v>
      </c>
      <c r="BF10" s="22">
        <f>SUM(BF6:BF9)</f>
        <v>42</v>
      </c>
      <c r="BG10" s="22">
        <f>SUM(BG6:BG9)</f>
        <v>178</v>
      </c>
      <c r="BH10" s="23">
        <f>SUM(BH6:BH9)</f>
        <v>0</v>
      </c>
      <c r="BI10" s="24">
        <f t="shared" si="10"/>
        <v>473</v>
      </c>
      <c r="BJ10" s="40">
        <f>SUM(BJ6:BJ9)</f>
        <v>126</v>
      </c>
      <c r="BK10" s="22">
        <f>SUM(BK6:BK9)</f>
        <v>19</v>
      </c>
      <c r="BL10" s="22">
        <f>SUM(BL6:BL9)</f>
        <v>83</v>
      </c>
      <c r="BM10" s="23">
        <f>SUM(BM6:BM9)</f>
        <v>0</v>
      </c>
      <c r="BN10" s="24">
        <f t="shared" si="11"/>
        <v>228</v>
      </c>
      <c r="BO10" s="68">
        <f>SUM(BO6:BO9)</f>
        <v>2289</v>
      </c>
      <c r="BP10" s="22">
        <f>SUM(BP6:BP9)</f>
        <v>313</v>
      </c>
      <c r="BQ10" s="22">
        <f>SUM(BQ6:BQ9)</f>
        <v>1717</v>
      </c>
      <c r="BR10" s="23">
        <f>SUM(BR6:BR9)</f>
        <v>0</v>
      </c>
      <c r="BS10" s="41">
        <f t="shared" si="12"/>
        <v>4319</v>
      </c>
    </row>
    <row r="11" spans="1:71" x14ac:dyDescent="0.3">
      <c r="B11" s="269"/>
      <c r="C11" s="230"/>
      <c r="D11" s="233"/>
      <c r="E11" s="239" t="s">
        <v>41</v>
      </c>
      <c r="F11" s="121" t="s">
        <v>49</v>
      </c>
      <c r="G11" s="32"/>
      <c r="H11" s="13"/>
      <c r="I11" s="13"/>
      <c r="J11" s="14"/>
      <c r="K11" s="15">
        <f t="shared" si="0"/>
        <v>0</v>
      </c>
      <c r="L11" s="32"/>
      <c r="M11" s="13"/>
      <c r="N11" s="13"/>
      <c r="O11" s="14"/>
      <c r="P11" s="15">
        <f t="shared" si="1"/>
        <v>0</v>
      </c>
      <c r="Q11" s="32">
        <v>248</v>
      </c>
      <c r="R11" s="13"/>
      <c r="S11" s="13"/>
      <c r="T11" s="14"/>
      <c r="U11" s="15">
        <f t="shared" si="2"/>
        <v>248</v>
      </c>
      <c r="V11" s="32">
        <v>254</v>
      </c>
      <c r="W11" s="13"/>
      <c r="X11" s="13"/>
      <c r="Y11" s="14"/>
      <c r="Z11" s="15">
        <f t="shared" si="3"/>
        <v>254</v>
      </c>
      <c r="AA11" s="32"/>
      <c r="AB11" s="13"/>
      <c r="AC11" s="13"/>
      <c r="AD11" s="14"/>
      <c r="AE11" s="15">
        <f t="shared" si="4"/>
        <v>0</v>
      </c>
      <c r="AF11" s="32"/>
      <c r="AG11" s="13"/>
      <c r="AH11" s="13"/>
      <c r="AI11" s="14"/>
      <c r="AJ11" s="15">
        <f t="shared" si="5"/>
        <v>0</v>
      </c>
      <c r="AK11" s="32">
        <v>152</v>
      </c>
      <c r="AL11" s="13"/>
      <c r="AM11" s="13"/>
      <c r="AN11" s="14"/>
      <c r="AO11" s="15">
        <f t="shared" si="6"/>
        <v>152</v>
      </c>
      <c r="AP11" s="32">
        <v>176</v>
      </c>
      <c r="AQ11" s="13"/>
      <c r="AR11" s="13"/>
      <c r="AS11" s="14"/>
      <c r="AT11" s="15">
        <f t="shared" si="7"/>
        <v>176</v>
      </c>
      <c r="AU11" s="32">
        <v>379</v>
      </c>
      <c r="AV11" s="13"/>
      <c r="AW11" s="13"/>
      <c r="AX11" s="14"/>
      <c r="AY11" s="15">
        <f t="shared" si="8"/>
        <v>379</v>
      </c>
      <c r="AZ11" s="32">
        <v>594</v>
      </c>
      <c r="BA11" s="13"/>
      <c r="BB11" s="13"/>
      <c r="BC11" s="14"/>
      <c r="BD11" s="15">
        <f t="shared" si="9"/>
        <v>594</v>
      </c>
      <c r="BE11" s="32">
        <v>359</v>
      </c>
      <c r="BF11" s="13"/>
      <c r="BG11" s="13"/>
      <c r="BH11" s="14"/>
      <c r="BI11" s="15">
        <f t="shared" si="10"/>
        <v>359</v>
      </c>
      <c r="BJ11" s="32">
        <v>145</v>
      </c>
      <c r="BK11" s="13"/>
      <c r="BL11" s="13"/>
      <c r="BM11" s="14"/>
      <c r="BN11" s="15">
        <f t="shared" si="11"/>
        <v>145</v>
      </c>
      <c r="BO11" s="66">
        <f>SUM(G11,L11,Q11,V11,AA11,AF11,AK11,AP11,AU11,AZ11,BE11,BJ11)</f>
        <v>2307</v>
      </c>
      <c r="BP11" s="13">
        <f>SUM(H11,M11,R11,W11,AB11,AG11,AL11,AQ11,AV11,BA11,BF11,BK11)</f>
        <v>0</v>
      </c>
      <c r="BQ11" s="13">
        <f>SUM(I11,N11,S11,X11,AC11,AH11,AM11,AR11,AW11,BB11,BG11,BL11)</f>
        <v>0</v>
      </c>
      <c r="BR11" s="14">
        <f>SUM(J11,O11,T11,Y11,AD11,AI11,AN11,AS11,AX11,BC11,BH11,BM11)</f>
        <v>0</v>
      </c>
      <c r="BS11" s="33">
        <f t="shared" si="12"/>
        <v>2307</v>
      </c>
    </row>
    <row r="12" spans="1:71" x14ac:dyDescent="0.3">
      <c r="B12" s="269"/>
      <c r="C12" s="230"/>
      <c r="D12" s="233"/>
      <c r="E12" s="239"/>
      <c r="F12" s="121" t="s">
        <v>50</v>
      </c>
      <c r="G12" s="32"/>
      <c r="H12" s="13"/>
      <c r="I12" s="13"/>
      <c r="J12" s="14"/>
      <c r="K12" s="15">
        <f t="shared" si="0"/>
        <v>0</v>
      </c>
      <c r="L12" s="32"/>
      <c r="M12" s="13"/>
      <c r="N12" s="13"/>
      <c r="O12" s="14"/>
      <c r="P12" s="15">
        <f t="shared" si="1"/>
        <v>0</v>
      </c>
      <c r="Q12" s="32">
        <v>60</v>
      </c>
      <c r="R12" s="13"/>
      <c r="S12" s="13"/>
      <c r="T12" s="14"/>
      <c r="U12" s="15">
        <f t="shared" si="2"/>
        <v>60</v>
      </c>
      <c r="V12" s="32">
        <v>70</v>
      </c>
      <c r="W12" s="13"/>
      <c r="X12" s="13"/>
      <c r="Y12" s="14"/>
      <c r="Z12" s="15">
        <f t="shared" si="3"/>
        <v>70</v>
      </c>
      <c r="AA12" s="32"/>
      <c r="AB12" s="13"/>
      <c r="AC12" s="13"/>
      <c r="AD12" s="14"/>
      <c r="AE12" s="15">
        <f t="shared" si="4"/>
        <v>0</v>
      </c>
      <c r="AF12" s="32"/>
      <c r="AG12" s="13"/>
      <c r="AH12" s="13"/>
      <c r="AI12" s="14"/>
      <c r="AJ12" s="15">
        <f t="shared" si="5"/>
        <v>0</v>
      </c>
      <c r="AK12" s="32">
        <v>43</v>
      </c>
      <c r="AL12" s="13"/>
      <c r="AM12" s="13"/>
      <c r="AN12" s="14"/>
      <c r="AO12" s="15">
        <f t="shared" si="6"/>
        <v>43</v>
      </c>
      <c r="AP12" s="32">
        <v>60</v>
      </c>
      <c r="AQ12" s="13"/>
      <c r="AR12" s="13"/>
      <c r="AS12" s="14"/>
      <c r="AT12" s="15">
        <f t="shared" si="7"/>
        <v>60</v>
      </c>
      <c r="AU12" s="32">
        <v>112</v>
      </c>
      <c r="AV12" s="13"/>
      <c r="AW12" s="13"/>
      <c r="AX12" s="14"/>
      <c r="AY12" s="15">
        <f t="shared" si="8"/>
        <v>112</v>
      </c>
      <c r="AZ12" s="32">
        <v>146</v>
      </c>
      <c r="BA12" s="13"/>
      <c r="BB12" s="13"/>
      <c r="BC12" s="14"/>
      <c r="BD12" s="15">
        <f t="shared" si="9"/>
        <v>146</v>
      </c>
      <c r="BE12" s="32">
        <v>91</v>
      </c>
      <c r="BF12" s="13"/>
      <c r="BG12" s="13"/>
      <c r="BH12" s="14"/>
      <c r="BI12" s="15">
        <f t="shared" si="10"/>
        <v>91</v>
      </c>
      <c r="BJ12" s="32">
        <v>29</v>
      </c>
      <c r="BK12" s="13"/>
      <c r="BL12" s="13"/>
      <c r="BM12" s="14"/>
      <c r="BN12" s="15">
        <f t="shared" si="11"/>
        <v>29</v>
      </c>
      <c r="BO12" s="66">
        <f>SUM(G12,L12,Q12,V12,AA12,AF12,AK12,AP12,AU12,AZ12,BE12,BJ12)</f>
        <v>611</v>
      </c>
      <c r="BP12" s="13">
        <f>SUM(H12,M12,R12,W12,AB12,AG12,AL12,AQ12,AV12,BA12,BF12,BK12)</f>
        <v>0</v>
      </c>
      <c r="BQ12" s="13">
        <f>SUM(I12,N12,S12,X12,AC12,AH12,AM12,AR12,AW12,BB12,BG12,BL12)</f>
        <v>0</v>
      </c>
      <c r="BR12" s="14">
        <f>SUM(J12,O12,T12,Y12,AD12,AI12,AN12,AS12,AX12,BC12,BH12,BM12)</f>
        <v>0</v>
      </c>
      <c r="BS12" s="33">
        <f t="shared" si="12"/>
        <v>611</v>
      </c>
    </row>
    <row r="13" spans="1:71" x14ac:dyDescent="0.3">
      <c r="B13" s="269"/>
      <c r="C13" s="230"/>
      <c r="D13" s="233"/>
      <c r="E13" s="239"/>
      <c r="F13" s="121" t="s">
        <v>51</v>
      </c>
      <c r="G13" s="32"/>
      <c r="H13" s="13"/>
      <c r="I13" s="13"/>
      <c r="J13" s="14"/>
      <c r="K13" s="15">
        <f t="shared" si="0"/>
        <v>0</v>
      </c>
      <c r="L13" s="32"/>
      <c r="M13" s="13"/>
      <c r="N13" s="13"/>
      <c r="O13" s="14"/>
      <c r="P13" s="15">
        <f t="shared" si="1"/>
        <v>0</v>
      </c>
      <c r="Q13" s="32"/>
      <c r="R13" s="13"/>
      <c r="S13" s="13"/>
      <c r="T13" s="14"/>
      <c r="U13" s="15">
        <f t="shared" si="2"/>
        <v>0</v>
      </c>
      <c r="V13" s="32"/>
      <c r="W13" s="13"/>
      <c r="X13" s="13"/>
      <c r="Y13" s="14"/>
      <c r="Z13" s="15">
        <f t="shared" si="3"/>
        <v>0</v>
      </c>
      <c r="AA13" s="32"/>
      <c r="AB13" s="13"/>
      <c r="AC13" s="13"/>
      <c r="AD13" s="14"/>
      <c r="AE13" s="15">
        <f t="shared" si="4"/>
        <v>0</v>
      </c>
      <c r="AF13" s="32"/>
      <c r="AG13" s="13"/>
      <c r="AH13" s="13"/>
      <c r="AI13" s="14"/>
      <c r="AJ13" s="15">
        <f t="shared" si="5"/>
        <v>0</v>
      </c>
      <c r="AK13" s="32">
        <v>100</v>
      </c>
      <c r="AL13" s="13"/>
      <c r="AM13" s="13"/>
      <c r="AN13" s="14"/>
      <c r="AO13" s="15">
        <f t="shared" si="6"/>
        <v>100</v>
      </c>
      <c r="AP13" s="32">
        <v>115</v>
      </c>
      <c r="AQ13" s="13"/>
      <c r="AR13" s="13"/>
      <c r="AS13" s="14"/>
      <c r="AT13" s="15">
        <f t="shared" si="7"/>
        <v>115</v>
      </c>
      <c r="AU13" s="32">
        <v>261</v>
      </c>
      <c r="AV13" s="13"/>
      <c r="AW13" s="13"/>
      <c r="AX13" s="14"/>
      <c r="AY13" s="15">
        <f t="shared" si="8"/>
        <v>261</v>
      </c>
      <c r="AZ13" s="32">
        <v>387</v>
      </c>
      <c r="BA13" s="13"/>
      <c r="BB13" s="13"/>
      <c r="BC13" s="14"/>
      <c r="BD13" s="15">
        <f t="shared" si="9"/>
        <v>387</v>
      </c>
      <c r="BE13" s="32">
        <v>224</v>
      </c>
      <c r="BF13" s="13"/>
      <c r="BG13" s="13"/>
      <c r="BH13" s="14"/>
      <c r="BI13" s="15">
        <f t="shared" si="10"/>
        <v>224</v>
      </c>
      <c r="BJ13" s="32">
        <v>105</v>
      </c>
      <c r="BK13" s="13"/>
      <c r="BL13" s="13"/>
      <c r="BM13" s="14"/>
      <c r="BN13" s="15">
        <f t="shared" si="11"/>
        <v>105</v>
      </c>
      <c r="BO13" s="66">
        <f>SUM(G13,L13,Q13,V13,AA13,AF13,AK13,AP13,AU13,AZ13,BE13,BJ13)</f>
        <v>1192</v>
      </c>
      <c r="BP13" s="13">
        <f>SUM(H13,M13,R13,W13,AB13,AG13,AL13,AQ13,AV13,BA13,BF13,BK13)</f>
        <v>0</v>
      </c>
      <c r="BQ13" s="13">
        <f>SUM(I13,N13,S13,X13,AC13,AH13,AM13,AR13,AW13,BB13,BG13,BL13)</f>
        <v>0</v>
      </c>
      <c r="BR13" s="14">
        <f>SUM(J13,O13,T13,Y13,AD13,AI13,AN13,AS13,AX13,BC13,BH13,BM13)</f>
        <v>0</v>
      </c>
      <c r="BS13" s="33">
        <f t="shared" si="12"/>
        <v>1192</v>
      </c>
    </row>
    <row r="14" spans="1:71" x14ac:dyDescent="0.3">
      <c r="B14" s="269"/>
      <c r="C14" s="230"/>
      <c r="D14" s="233"/>
      <c r="E14" s="239"/>
      <c r="F14" s="121" t="s">
        <v>52</v>
      </c>
      <c r="G14" s="32"/>
      <c r="H14" s="13"/>
      <c r="I14" s="13"/>
      <c r="J14" s="14"/>
      <c r="K14" s="15">
        <f t="shared" si="0"/>
        <v>0</v>
      </c>
      <c r="L14" s="32"/>
      <c r="M14" s="13"/>
      <c r="N14" s="13"/>
      <c r="O14" s="14"/>
      <c r="P14" s="15">
        <f t="shared" si="1"/>
        <v>0</v>
      </c>
      <c r="Q14" s="32"/>
      <c r="R14" s="13"/>
      <c r="S14" s="13"/>
      <c r="T14" s="14"/>
      <c r="U14" s="15">
        <f t="shared" si="2"/>
        <v>0</v>
      </c>
      <c r="V14" s="32"/>
      <c r="W14" s="13"/>
      <c r="X14" s="13"/>
      <c r="Y14" s="14"/>
      <c r="Z14" s="15">
        <f t="shared" si="3"/>
        <v>0</v>
      </c>
      <c r="AA14" s="32"/>
      <c r="AB14" s="13"/>
      <c r="AC14" s="13"/>
      <c r="AD14" s="14"/>
      <c r="AE14" s="15">
        <f t="shared" si="4"/>
        <v>0</v>
      </c>
      <c r="AF14" s="32"/>
      <c r="AG14" s="13"/>
      <c r="AH14" s="13"/>
      <c r="AI14" s="14"/>
      <c r="AJ14" s="15">
        <f t="shared" si="5"/>
        <v>0</v>
      </c>
      <c r="AK14" s="32">
        <v>33</v>
      </c>
      <c r="AL14" s="13"/>
      <c r="AM14" s="13"/>
      <c r="AN14" s="14"/>
      <c r="AO14" s="15">
        <f t="shared" si="6"/>
        <v>33</v>
      </c>
      <c r="AP14" s="32">
        <v>42</v>
      </c>
      <c r="AQ14" s="13"/>
      <c r="AR14" s="13"/>
      <c r="AS14" s="14"/>
      <c r="AT14" s="15">
        <f t="shared" si="7"/>
        <v>42</v>
      </c>
      <c r="AU14" s="32">
        <v>75</v>
      </c>
      <c r="AV14" s="13"/>
      <c r="AW14" s="13"/>
      <c r="AX14" s="14"/>
      <c r="AY14" s="15">
        <f t="shared" si="8"/>
        <v>75</v>
      </c>
      <c r="AZ14" s="32">
        <v>111</v>
      </c>
      <c r="BA14" s="13"/>
      <c r="BB14" s="13"/>
      <c r="BC14" s="14"/>
      <c r="BD14" s="15">
        <f t="shared" si="9"/>
        <v>111</v>
      </c>
      <c r="BE14" s="32">
        <v>60</v>
      </c>
      <c r="BF14" s="13"/>
      <c r="BG14" s="13"/>
      <c r="BH14" s="14"/>
      <c r="BI14" s="15">
        <f t="shared" si="10"/>
        <v>60</v>
      </c>
      <c r="BJ14" s="32">
        <v>17</v>
      </c>
      <c r="BK14" s="13"/>
      <c r="BL14" s="13"/>
      <c r="BM14" s="14"/>
      <c r="BN14" s="15">
        <f t="shared" si="11"/>
        <v>17</v>
      </c>
      <c r="BO14" s="66">
        <f>SUM(G14,L14,Q14,V14,AA14,AF14,AK14,AP14,AU14,AZ14,BE14,BJ14)</f>
        <v>338</v>
      </c>
      <c r="BP14" s="13">
        <f>SUM(H14,M14,R14,W14,AB14,AG14,AL14,AQ14,AV14,BA14,BF14,BK14)</f>
        <v>0</v>
      </c>
      <c r="BQ14" s="13">
        <f>SUM(I14,N14,S14,X14,AC14,AH14,AM14,AR14,AW14,BB14,BG14,BL14)</f>
        <v>0</v>
      </c>
      <c r="BR14" s="14">
        <f>SUM(J14,O14,T14,Y14,AD14,AI14,AN14,AS14,AX14,BC14,BH14,BM14)</f>
        <v>0</v>
      </c>
      <c r="BS14" s="33">
        <f t="shared" si="12"/>
        <v>338</v>
      </c>
    </row>
    <row r="15" spans="1:71" x14ac:dyDescent="0.3">
      <c r="B15" s="269"/>
      <c r="C15" s="230"/>
      <c r="D15" s="233"/>
      <c r="E15" s="239"/>
      <c r="F15" s="121" t="s">
        <v>129</v>
      </c>
      <c r="G15" s="32">
        <v>1857</v>
      </c>
      <c r="H15" s="13"/>
      <c r="I15" s="13"/>
      <c r="J15" s="14"/>
      <c r="K15" s="15">
        <f t="shared" ref="K15:K22" si="25">SUM(G15:J15)</f>
        <v>1857</v>
      </c>
      <c r="L15" s="32">
        <v>2507</v>
      </c>
      <c r="M15" s="13"/>
      <c r="N15" s="13"/>
      <c r="O15" s="14"/>
      <c r="P15" s="15">
        <f t="shared" ref="P15:P58" si="26">SUM(L15:O15)</f>
        <v>2507</v>
      </c>
      <c r="Q15" s="32">
        <v>279</v>
      </c>
      <c r="R15" s="13"/>
      <c r="S15" s="13"/>
      <c r="T15" s="14"/>
      <c r="U15" s="15">
        <f t="shared" ref="U15:U58" si="27">SUM(Q15:T15)</f>
        <v>279</v>
      </c>
      <c r="V15" s="32"/>
      <c r="W15" s="13"/>
      <c r="X15" s="13"/>
      <c r="Y15" s="14"/>
      <c r="Z15" s="15">
        <f t="shared" ref="Z15:Z58" si="28">SUM(V15:Y15)</f>
        <v>0</v>
      </c>
      <c r="AA15" s="32">
        <v>2772</v>
      </c>
      <c r="AB15" s="13"/>
      <c r="AC15" s="13"/>
      <c r="AD15" s="14"/>
      <c r="AE15" s="15">
        <f t="shared" ref="AE15:AE58" si="29">SUM(AA15:AD15)</f>
        <v>2772</v>
      </c>
      <c r="AF15" s="32">
        <v>2797</v>
      </c>
      <c r="AG15" s="13"/>
      <c r="AH15" s="13"/>
      <c r="AI15" s="14"/>
      <c r="AJ15" s="15">
        <f t="shared" ref="AJ15:AJ58" si="30">SUM(AF15:AI15)</f>
        <v>2797</v>
      </c>
      <c r="AK15" s="32"/>
      <c r="AL15" s="13"/>
      <c r="AM15" s="13"/>
      <c r="AN15" s="14"/>
      <c r="AO15" s="15">
        <f t="shared" ref="AO15:AO58" si="31">SUM(AK15:AN15)</f>
        <v>0</v>
      </c>
      <c r="AP15" s="32"/>
      <c r="AQ15" s="13"/>
      <c r="AR15" s="13"/>
      <c r="AS15" s="14"/>
      <c r="AT15" s="15">
        <f t="shared" ref="AT15:AT58" si="32">SUM(AP15:AS15)</f>
        <v>0</v>
      </c>
      <c r="AU15" s="32"/>
      <c r="AV15" s="13"/>
      <c r="AW15" s="13"/>
      <c r="AX15" s="14"/>
      <c r="AY15" s="15">
        <f t="shared" ref="AY15:AY58" si="33">SUM(AU15:AX15)</f>
        <v>0</v>
      </c>
      <c r="AZ15" s="32"/>
      <c r="BA15" s="13"/>
      <c r="BB15" s="13"/>
      <c r="BC15" s="14"/>
      <c r="BD15" s="15">
        <f t="shared" ref="BD15:BD58" si="34">SUM(AZ15:BC15)</f>
        <v>0</v>
      </c>
      <c r="BE15" s="32"/>
      <c r="BF15" s="13"/>
      <c r="BG15" s="13"/>
      <c r="BH15" s="14"/>
      <c r="BI15" s="15">
        <f t="shared" ref="BI15:BI58" si="35">SUM(BE15:BH15)</f>
        <v>0</v>
      </c>
      <c r="BJ15" s="32"/>
      <c r="BK15" s="13"/>
      <c r="BL15" s="13"/>
      <c r="BM15" s="14"/>
      <c r="BN15" s="15">
        <f t="shared" ref="BN15:BN58" si="36">SUM(BJ15:BM15)</f>
        <v>0</v>
      </c>
      <c r="BO15" s="66">
        <f>SUM(G15,L15,Q15,V15,AA15,AF15,AK15,AP15,AU15,AZ15,BE15,BJ15)</f>
        <v>10212</v>
      </c>
      <c r="BP15" s="13">
        <f>SUM(H15,M15,R15,W15,AB15,AG15,AL15,AQ15,AV15,BA15,BF15,BK15)</f>
        <v>0</v>
      </c>
      <c r="BQ15" s="13">
        <f>SUM(I15,N15,S15,X15,AC15,AH15,AM15,AR15,AW15,BB15,BG15,BL15)</f>
        <v>0</v>
      </c>
      <c r="BR15" s="14">
        <f>SUM(J15,O15,T15,Y15,AD15,AI15,AN15,AS15,AX15,BC15,BH15,BM15)</f>
        <v>0</v>
      </c>
      <c r="BS15" s="33">
        <f t="shared" si="12"/>
        <v>10212</v>
      </c>
    </row>
    <row r="16" spans="1:71" x14ac:dyDescent="0.3">
      <c r="B16" s="269"/>
      <c r="C16" s="230"/>
      <c r="D16" s="233"/>
      <c r="E16" s="239"/>
      <c r="F16" s="121" t="s">
        <v>130</v>
      </c>
      <c r="G16" s="32">
        <v>136</v>
      </c>
      <c r="H16" s="13"/>
      <c r="I16" s="13"/>
      <c r="J16" s="14"/>
      <c r="K16" s="15">
        <f t="shared" si="25"/>
        <v>136</v>
      </c>
      <c r="L16" s="32">
        <v>314</v>
      </c>
      <c r="M16" s="13"/>
      <c r="N16" s="13"/>
      <c r="O16" s="14"/>
      <c r="P16" s="15">
        <f t="shared" si="26"/>
        <v>314</v>
      </c>
      <c r="Q16" s="32">
        <v>29</v>
      </c>
      <c r="R16" s="13"/>
      <c r="S16" s="13"/>
      <c r="T16" s="14"/>
      <c r="U16" s="15">
        <f t="shared" si="27"/>
        <v>29</v>
      </c>
      <c r="V16" s="32"/>
      <c r="W16" s="13"/>
      <c r="X16" s="13"/>
      <c r="Y16" s="14"/>
      <c r="Z16" s="15">
        <f t="shared" si="28"/>
        <v>0</v>
      </c>
      <c r="AA16" s="32">
        <v>605</v>
      </c>
      <c r="AB16" s="13"/>
      <c r="AC16" s="13"/>
      <c r="AD16" s="14"/>
      <c r="AE16" s="15">
        <f t="shared" si="29"/>
        <v>605</v>
      </c>
      <c r="AF16" s="32">
        <v>753</v>
      </c>
      <c r="AG16" s="13"/>
      <c r="AH16" s="13"/>
      <c r="AI16" s="14"/>
      <c r="AJ16" s="15">
        <f t="shared" si="30"/>
        <v>753</v>
      </c>
      <c r="AK16" s="32"/>
      <c r="AL16" s="13"/>
      <c r="AM16" s="13"/>
      <c r="AN16" s="14"/>
      <c r="AO16" s="15">
        <f t="shared" si="31"/>
        <v>0</v>
      </c>
      <c r="AP16" s="32"/>
      <c r="AQ16" s="13"/>
      <c r="AR16" s="13"/>
      <c r="AS16" s="14"/>
      <c r="AT16" s="15">
        <f t="shared" si="32"/>
        <v>0</v>
      </c>
      <c r="AU16" s="32"/>
      <c r="AV16" s="13"/>
      <c r="AW16" s="13"/>
      <c r="AX16" s="14"/>
      <c r="AY16" s="15">
        <f t="shared" si="33"/>
        <v>0</v>
      </c>
      <c r="AZ16" s="32"/>
      <c r="BA16" s="13"/>
      <c r="BB16" s="13"/>
      <c r="BC16" s="14"/>
      <c r="BD16" s="15">
        <f t="shared" si="34"/>
        <v>0</v>
      </c>
      <c r="BE16" s="32"/>
      <c r="BF16" s="13"/>
      <c r="BG16" s="13"/>
      <c r="BH16" s="14"/>
      <c r="BI16" s="15">
        <f t="shared" si="35"/>
        <v>0</v>
      </c>
      <c r="BJ16" s="32"/>
      <c r="BK16" s="13"/>
      <c r="BL16" s="13"/>
      <c r="BM16" s="14"/>
      <c r="BN16" s="15">
        <f t="shared" si="36"/>
        <v>0</v>
      </c>
      <c r="BO16" s="66">
        <f>SUM(G16,L16,Q16,V16,AA16,AF16,AK16,AP16,AU16,AZ16,BE16,BJ16)</f>
        <v>1837</v>
      </c>
      <c r="BP16" s="13">
        <f>SUM(H16,M16,R16,W16,AB16,AG16,AL16,AQ16,AV16,BA16,BF16,BK16)</f>
        <v>0</v>
      </c>
      <c r="BQ16" s="13">
        <f>SUM(I16,N16,S16,X16,AC16,AH16,AM16,AR16,AW16,BB16,BG16,BL16)</f>
        <v>0</v>
      </c>
      <c r="BR16" s="14">
        <f>SUM(J16,O16,T16,Y16,AD16,AI16,AN16,AS16,AX16,BC16,BH16,BM16)</f>
        <v>0</v>
      </c>
      <c r="BS16" s="33">
        <f t="shared" si="12"/>
        <v>1837</v>
      </c>
    </row>
    <row r="17" spans="2:71" x14ac:dyDescent="0.3">
      <c r="B17" s="269"/>
      <c r="C17" s="230"/>
      <c r="D17" s="233"/>
      <c r="E17" s="239"/>
      <c r="F17" s="121" t="s">
        <v>141</v>
      </c>
      <c r="G17" s="32">
        <v>1399</v>
      </c>
      <c r="H17" s="13"/>
      <c r="I17" s="13"/>
      <c r="J17" s="14"/>
      <c r="K17" s="15">
        <f t="shared" si="25"/>
        <v>1399</v>
      </c>
      <c r="L17" s="32">
        <v>1871</v>
      </c>
      <c r="M17" s="13"/>
      <c r="N17" s="13"/>
      <c r="O17" s="14"/>
      <c r="P17" s="15">
        <f t="shared" si="26"/>
        <v>1871</v>
      </c>
      <c r="Q17" s="32">
        <v>194</v>
      </c>
      <c r="R17" s="13"/>
      <c r="S17" s="13"/>
      <c r="T17" s="14"/>
      <c r="U17" s="15">
        <f t="shared" si="27"/>
        <v>194</v>
      </c>
      <c r="V17" s="32"/>
      <c r="W17" s="13"/>
      <c r="X17" s="13"/>
      <c r="Y17" s="14"/>
      <c r="Z17" s="15">
        <f t="shared" si="28"/>
        <v>0</v>
      </c>
      <c r="AA17" s="32">
        <v>2192</v>
      </c>
      <c r="AB17" s="13"/>
      <c r="AC17" s="13"/>
      <c r="AD17" s="14"/>
      <c r="AE17" s="15">
        <f t="shared" si="29"/>
        <v>2192</v>
      </c>
      <c r="AF17" s="32">
        <v>2229</v>
      </c>
      <c r="AG17" s="13"/>
      <c r="AH17" s="13"/>
      <c r="AI17" s="14"/>
      <c r="AJ17" s="15">
        <f t="shared" si="30"/>
        <v>2229</v>
      </c>
      <c r="AK17" s="32"/>
      <c r="AL17" s="13"/>
      <c r="AM17" s="13"/>
      <c r="AN17" s="14"/>
      <c r="AO17" s="15">
        <f t="shared" si="31"/>
        <v>0</v>
      </c>
      <c r="AP17" s="32"/>
      <c r="AQ17" s="13"/>
      <c r="AR17" s="13"/>
      <c r="AS17" s="14"/>
      <c r="AT17" s="15">
        <f t="shared" si="32"/>
        <v>0</v>
      </c>
      <c r="AU17" s="32"/>
      <c r="AV17" s="13"/>
      <c r="AW17" s="13"/>
      <c r="AX17" s="14"/>
      <c r="AY17" s="15">
        <f t="shared" si="33"/>
        <v>0</v>
      </c>
      <c r="AZ17" s="32"/>
      <c r="BA17" s="13"/>
      <c r="BB17" s="13"/>
      <c r="BC17" s="14"/>
      <c r="BD17" s="15">
        <f t="shared" si="34"/>
        <v>0</v>
      </c>
      <c r="BE17" s="32"/>
      <c r="BF17" s="13"/>
      <c r="BG17" s="13"/>
      <c r="BH17" s="14"/>
      <c r="BI17" s="15">
        <f t="shared" si="35"/>
        <v>0</v>
      </c>
      <c r="BJ17" s="32"/>
      <c r="BK17" s="13"/>
      <c r="BL17" s="13"/>
      <c r="BM17" s="14"/>
      <c r="BN17" s="15">
        <f t="shared" si="36"/>
        <v>0</v>
      </c>
      <c r="BO17" s="66">
        <f>SUM(G17,L17,Q17,V17,AA17,AF17,AK17,AP17,AU17,AZ17,BE17,BJ17)</f>
        <v>7885</v>
      </c>
      <c r="BP17" s="13">
        <f>SUM(H17,M17,R17,W17,AB17,AG17,AL17,AQ17,AV17,BA17,BF17,BK17)</f>
        <v>0</v>
      </c>
      <c r="BQ17" s="13">
        <f>SUM(I17,N17,S17,X17,AC17,AH17,AM17,AR17,AW17,BB17,BG17,BL17)</f>
        <v>0</v>
      </c>
      <c r="BR17" s="14">
        <f>SUM(J17,O17,T17,Y17,AD17,AI17,AN17,AS17,AX17,BC17,BH17,BM17)</f>
        <v>0</v>
      </c>
      <c r="BS17" s="33">
        <f t="shared" si="12"/>
        <v>7885</v>
      </c>
    </row>
    <row r="18" spans="2:71" x14ac:dyDescent="0.3">
      <c r="B18" s="269"/>
      <c r="C18" s="230"/>
      <c r="D18" s="233"/>
      <c r="E18" s="239"/>
      <c r="F18" s="123" t="s">
        <v>142</v>
      </c>
      <c r="G18" s="34">
        <v>103</v>
      </c>
      <c r="H18" s="16"/>
      <c r="I18" s="16"/>
      <c r="J18" s="17"/>
      <c r="K18" s="18">
        <f t="shared" si="25"/>
        <v>103</v>
      </c>
      <c r="L18" s="34">
        <v>259</v>
      </c>
      <c r="M18" s="16"/>
      <c r="N18" s="16"/>
      <c r="O18" s="17"/>
      <c r="P18" s="18">
        <f t="shared" si="26"/>
        <v>259</v>
      </c>
      <c r="Q18" s="34">
        <v>25</v>
      </c>
      <c r="R18" s="16"/>
      <c r="S18" s="16"/>
      <c r="T18" s="17"/>
      <c r="U18" s="18">
        <f t="shared" si="27"/>
        <v>25</v>
      </c>
      <c r="V18" s="34"/>
      <c r="W18" s="16"/>
      <c r="X18" s="16"/>
      <c r="Y18" s="17"/>
      <c r="Z18" s="18">
        <f t="shared" si="28"/>
        <v>0</v>
      </c>
      <c r="AA18" s="34">
        <v>488</v>
      </c>
      <c r="AB18" s="16"/>
      <c r="AC18" s="16"/>
      <c r="AD18" s="17"/>
      <c r="AE18" s="18">
        <f t="shared" si="29"/>
        <v>488</v>
      </c>
      <c r="AF18" s="34">
        <v>625</v>
      </c>
      <c r="AG18" s="16"/>
      <c r="AH18" s="16"/>
      <c r="AI18" s="17"/>
      <c r="AJ18" s="18">
        <f t="shared" si="30"/>
        <v>625</v>
      </c>
      <c r="AK18" s="34"/>
      <c r="AL18" s="16"/>
      <c r="AM18" s="16"/>
      <c r="AN18" s="17"/>
      <c r="AO18" s="18">
        <f t="shared" si="31"/>
        <v>0</v>
      </c>
      <c r="AP18" s="34"/>
      <c r="AQ18" s="16"/>
      <c r="AR18" s="16"/>
      <c r="AS18" s="17"/>
      <c r="AT18" s="18">
        <f t="shared" si="32"/>
        <v>0</v>
      </c>
      <c r="AU18" s="34"/>
      <c r="AV18" s="16"/>
      <c r="AW18" s="16"/>
      <c r="AX18" s="17"/>
      <c r="AY18" s="18">
        <f t="shared" si="33"/>
        <v>0</v>
      </c>
      <c r="AZ18" s="34"/>
      <c r="BA18" s="16"/>
      <c r="BB18" s="16"/>
      <c r="BC18" s="17"/>
      <c r="BD18" s="18">
        <f t="shared" si="34"/>
        <v>0</v>
      </c>
      <c r="BE18" s="34"/>
      <c r="BF18" s="16"/>
      <c r="BG18" s="16"/>
      <c r="BH18" s="17"/>
      <c r="BI18" s="18">
        <f t="shared" si="35"/>
        <v>0</v>
      </c>
      <c r="BJ18" s="34"/>
      <c r="BK18" s="16"/>
      <c r="BL18" s="16"/>
      <c r="BM18" s="17"/>
      <c r="BN18" s="18">
        <f t="shared" si="36"/>
        <v>0</v>
      </c>
      <c r="BO18" s="70">
        <f>SUM(G18,L18,Q18,V18,AA18,AF18,AK18,AP18,AU18,AZ18,BE18,BJ18)</f>
        <v>1500</v>
      </c>
      <c r="BP18" s="16">
        <f>SUM(H18,M18,R18,W18,AB18,AG18,AL18,AQ18,AV18,BA18,BF18,BK18)</f>
        <v>0</v>
      </c>
      <c r="BQ18" s="16">
        <f>SUM(I18,N18,S18,X18,AC18,AH18,AM18,AR18,AW18,BB18,BG18,BL18)</f>
        <v>0</v>
      </c>
      <c r="BR18" s="17">
        <f>SUM(J18,O18,T18,Y18,AD18,AI18,AN18,AS18,AX18,BC18,BH18,BM18)</f>
        <v>0</v>
      </c>
      <c r="BS18" s="35">
        <f t="shared" si="12"/>
        <v>1500</v>
      </c>
    </row>
    <row r="19" spans="2:71" x14ac:dyDescent="0.3">
      <c r="B19" s="269"/>
      <c r="C19" s="230"/>
      <c r="D19" s="233"/>
      <c r="E19" s="239"/>
      <c r="F19" s="171" t="s">
        <v>276</v>
      </c>
      <c r="G19" s="172">
        <v>775</v>
      </c>
      <c r="H19" s="173"/>
      <c r="I19" s="173"/>
      <c r="J19" s="174"/>
      <c r="K19" s="175">
        <f t="shared" si="25"/>
        <v>775</v>
      </c>
      <c r="L19" s="172">
        <v>1196</v>
      </c>
      <c r="M19" s="173"/>
      <c r="N19" s="173"/>
      <c r="O19" s="174"/>
      <c r="P19" s="175">
        <f t="shared" si="26"/>
        <v>1196</v>
      </c>
      <c r="Q19" s="172">
        <v>164</v>
      </c>
      <c r="R19" s="173"/>
      <c r="S19" s="173"/>
      <c r="T19" s="174"/>
      <c r="U19" s="175">
        <f t="shared" si="27"/>
        <v>164</v>
      </c>
      <c r="V19" s="172"/>
      <c r="W19" s="173"/>
      <c r="X19" s="173"/>
      <c r="Y19" s="174"/>
      <c r="Z19" s="175">
        <f t="shared" si="28"/>
        <v>0</v>
      </c>
      <c r="AA19" s="172">
        <v>1205</v>
      </c>
      <c r="AB19" s="173"/>
      <c r="AC19" s="173"/>
      <c r="AD19" s="174"/>
      <c r="AE19" s="175">
        <f t="shared" si="29"/>
        <v>1205</v>
      </c>
      <c r="AF19" s="172">
        <v>1394</v>
      </c>
      <c r="AG19" s="173"/>
      <c r="AH19" s="173"/>
      <c r="AI19" s="174"/>
      <c r="AJ19" s="175">
        <f t="shared" si="30"/>
        <v>1394</v>
      </c>
      <c r="AK19" s="172"/>
      <c r="AL19" s="173"/>
      <c r="AM19" s="173"/>
      <c r="AN19" s="174"/>
      <c r="AO19" s="175">
        <f t="shared" si="31"/>
        <v>0</v>
      </c>
      <c r="AP19" s="172"/>
      <c r="AQ19" s="173"/>
      <c r="AR19" s="173"/>
      <c r="AS19" s="174"/>
      <c r="AT19" s="175">
        <f t="shared" si="32"/>
        <v>0</v>
      </c>
      <c r="AU19" s="172"/>
      <c r="AV19" s="173"/>
      <c r="AW19" s="173"/>
      <c r="AX19" s="174"/>
      <c r="AY19" s="175">
        <f t="shared" si="33"/>
        <v>0</v>
      </c>
      <c r="AZ19" s="172"/>
      <c r="BA19" s="173"/>
      <c r="BB19" s="173"/>
      <c r="BC19" s="174"/>
      <c r="BD19" s="175">
        <f t="shared" si="34"/>
        <v>0</v>
      </c>
      <c r="BE19" s="172"/>
      <c r="BF19" s="173"/>
      <c r="BG19" s="173"/>
      <c r="BH19" s="174"/>
      <c r="BI19" s="175">
        <f t="shared" si="35"/>
        <v>0</v>
      </c>
      <c r="BJ19" s="172"/>
      <c r="BK19" s="173"/>
      <c r="BL19" s="173"/>
      <c r="BM19" s="174"/>
      <c r="BN19" s="175">
        <f t="shared" si="36"/>
        <v>0</v>
      </c>
      <c r="BO19" s="177">
        <f>SUM(G19,L19,Q19,V19,AA19,AF19,AK19,AP19,AU19,AZ19,BE19,BJ19)</f>
        <v>4734</v>
      </c>
      <c r="BP19" s="173">
        <f>SUM(H19,M19,R19,W19,AB19,AG19,AL19,AQ19,AV19,BA19,BF19,BK19)</f>
        <v>0</v>
      </c>
      <c r="BQ19" s="173">
        <f>SUM(I19,N19,S19,X19,AC19,AH19,AM19,AR19,AW19,BB19,BG19,BL19)</f>
        <v>0</v>
      </c>
      <c r="BR19" s="174">
        <f>SUM(J19,O19,T19,Y19,AD19,AI19,AN19,AS19,AX19,BC19,BH19,BM19)</f>
        <v>0</v>
      </c>
      <c r="BS19" s="176">
        <f t="shared" si="12"/>
        <v>4734</v>
      </c>
    </row>
    <row r="20" spans="2:71" x14ac:dyDescent="0.3">
      <c r="B20" s="269"/>
      <c r="C20" s="230"/>
      <c r="D20" s="233"/>
      <c r="E20" s="239"/>
      <c r="F20" s="178" t="s">
        <v>277</v>
      </c>
      <c r="G20" s="179">
        <v>22</v>
      </c>
      <c r="H20" s="180"/>
      <c r="I20" s="180"/>
      <c r="J20" s="181"/>
      <c r="K20" s="182">
        <f t="shared" si="25"/>
        <v>22</v>
      </c>
      <c r="L20" s="179">
        <v>61</v>
      </c>
      <c r="M20" s="180"/>
      <c r="N20" s="180"/>
      <c r="O20" s="181"/>
      <c r="P20" s="182">
        <f t="shared" si="26"/>
        <v>61</v>
      </c>
      <c r="Q20" s="179">
        <v>10</v>
      </c>
      <c r="R20" s="180"/>
      <c r="S20" s="180"/>
      <c r="T20" s="181"/>
      <c r="U20" s="182">
        <f t="shared" si="27"/>
        <v>10</v>
      </c>
      <c r="V20" s="179"/>
      <c r="W20" s="180"/>
      <c r="X20" s="180"/>
      <c r="Y20" s="181"/>
      <c r="Z20" s="182">
        <f t="shared" si="28"/>
        <v>0</v>
      </c>
      <c r="AA20" s="179">
        <v>109</v>
      </c>
      <c r="AB20" s="180"/>
      <c r="AC20" s="180"/>
      <c r="AD20" s="181"/>
      <c r="AE20" s="182">
        <f t="shared" si="29"/>
        <v>109</v>
      </c>
      <c r="AF20" s="179">
        <v>177</v>
      </c>
      <c r="AG20" s="180"/>
      <c r="AH20" s="180"/>
      <c r="AI20" s="181"/>
      <c r="AJ20" s="182">
        <f t="shared" si="30"/>
        <v>177</v>
      </c>
      <c r="AK20" s="179"/>
      <c r="AL20" s="180"/>
      <c r="AM20" s="180"/>
      <c r="AN20" s="181"/>
      <c r="AO20" s="182">
        <f t="shared" si="31"/>
        <v>0</v>
      </c>
      <c r="AP20" s="179"/>
      <c r="AQ20" s="180"/>
      <c r="AR20" s="180"/>
      <c r="AS20" s="181"/>
      <c r="AT20" s="182">
        <f t="shared" si="32"/>
        <v>0</v>
      </c>
      <c r="AU20" s="179"/>
      <c r="AV20" s="180"/>
      <c r="AW20" s="180"/>
      <c r="AX20" s="181"/>
      <c r="AY20" s="182">
        <f t="shared" si="33"/>
        <v>0</v>
      </c>
      <c r="AZ20" s="179"/>
      <c r="BA20" s="180"/>
      <c r="BB20" s="180"/>
      <c r="BC20" s="181"/>
      <c r="BD20" s="182">
        <f t="shared" si="34"/>
        <v>0</v>
      </c>
      <c r="BE20" s="179"/>
      <c r="BF20" s="180"/>
      <c r="BG20" s="180"/>
      <c r="BH20" s="181"/>
      <c r="BI20" s="182">
        <f t="shared" si="35"/>
        <v>0</v>
      </c>
      <c r="BJ20" s="179"/>
      <c r="BK20" s="180"/>
      <c r="BL20" s="180"/>
      <c r="BM20" s="181"/>
      <c r="BN20" s="182">
        <f t="shared" si="36"/>
        <v>0</v>
      </c>
      <c r="BO20" s="184">
        <f>SUM(G20,L20,Q20,V20,AA20,AF20,AK20,AP20,AU20,AZ20,BE20,BJ20)</f>
        <v>379</v>
      </c>
      <c r="BP20" s="180">
        <f>SUM(H20,M20,R20,W20,AB20,AG20,AL20,AQ20,AV20,BA20,BF20,BK20)</f>
        <v>0</v>
      </c>
      <c r="BQ20" s="180">
        <f>SUM(I20,N20,S20,X20,AC20,AH20,AM20,AR20,AW20,BB20,BG20,BL20)</f>
        <v>0</v>
      </c>
      <c r="BR20" s="181">
        <f>SUM(J20,O20,T20,Y20,AD20,AI20,AN20,AS20,AX20,BC20,BH20,BM20)</f>
        <v>0</v>
      </c>
      <c r="BS20" s="183">
        <f t="shared" si="12"/>
        <v>379</v>
      </c>
    </row>
    <row r="21" spans="2:71" x14ac:dyDescent="0.3">
      <c r="B21" s="269"/>
      <c r="C21" s="230"/>
      <c r="D21" s="233"/>
      <c r="E21" s="239"/>
      <c r="F21" s="178" t="s">
        <v>278</v>
      </c>
      <c r="G21" s="179">
        <v>574</v>
      </c>
      <c r="H21" s="180"/>
      <c r="I21" s="180"/>
      <c r="J21" s="181"/>
      <c r="K21" s="182">
        <f t="shared" si="25"/>
        <v>574</v>
      </c>
      <c r="L21" s="179">
        <v>879</v>
      </c>
      <c r="M21" s="180"/>
      <c r="N21" s="180"/>
      <c r="O21" s="181"/>
      <c r="P21" s="182">
        <f t="shared" si="26"/>
        <v>879</v>
      </c>
      <c r="Q21" s="179">
        <v>102</v>
      </c>
      <c r="R21" s="180"/>
      <c r="S21" s="180"/>
      <c r="T21" s="181"/>
      <c r="U21" s="182">
        <f t="shared" si="27"/>
        <v>102</v>
      </c>
      <c r="V21" s="179"/>
      <c r="W21" s="180"/>
      <c r="X21" s="180"/>
      <c r="Y21" s="181"/>
      <c r="Z21" s="182">
        <f t="shared" si="28"/>
        <v>0</v>
      </c>
      <c r="AA21" s="179">
        <v>974</v>
      </c>
      <c r="AB21" s="180"/>
      <c r="AC21" s="180"/>
      <c r="AD21" s="181"/>
      <c r="AE21" s="182">
        <f t="shared" si="29"/>
        <v>974</v>
      </c>
      <c r="AF21" s="179">
        <v>1132</v>
      </c>
      <c r="AG21" s="180"/>
      <c r="AH21" s="180"/>
      <c r="AI21" s="181"/>
      <c r="AJ21" s="182">
        <f t="shared" si="30"/>
        <v>1132</v>
      </c>
      <c r="AK21" s="179"/>
      <c r="AL21" s="180"/>
      <c r="AM21" s="180"/>
      <c r="AN21" s="181"/>
      <c r="AO21" s="182">
        <f t="shared" si="31"/>
        <v>0</v>
      </c>
      <c r="AP21" s="179"/>
      <c r="AQ21" s="180"/>
      <c r="AR21" s="180"/>
      <c r="AS21" s="181"/>
      <c r="AT21" s="182">
        <f t="shared" si="32"/>
        <v>0</v>
      </c>
      <c r="AU21" s="179"/>
      <c r="AV21" s="180"/>
      <c r="AW21" s="180"/>
      <c r="AX21" s="181"/>
      <c r="AY21" s="182">
        <f t="shared" si="33"/>
        <v>0</v>
      </c>
      <c r="AZ21" s="179"/>
      <c r="BA21" s="180"/>
      <c r="BB21" s="180"/>
      <c r="BC21" s="181"/>
      <c r="BD21" s="182">
        <f t="shared" si="34"/>
        <v>0</v>
      </c>
      <c r="BE21" s="179"/>
      <c r="BF21" s="180"/>
      <c r="BG21" s="180"/>
      <c r="BH21" s="181"/>
      <c r="BI21" s="182">
        <f t="shared" si="35"/>
        <v>0</v>
      </c>
      <c r="BJ21" s="179"/>
      <c r="BK21" s="180"/>
      <c r="BL21" s="180"/>
      <c r="BM21" s="181"/>
      <c r="BN21" s="182">
        <f t="shared" si="36"/>
        <v>0</v>
      </c>
      <c r="BO21" s="184">
        <f>SUM(G21,L21,Q21,V21,AA21,AF21,AK21,AP21,AU21,AZ21,BE21,BJ21)</f>
        <v>3661</v>
      </c>
      <c r="BP21" s="180">
        <f>SUM(H21,M21,R21,W21,AB21,AG21,AL21,AQ21,AV21,BA21,BF21,BK21)</f>
        <v>0</v>
      </c>
      <c r="BQ21" s="180">
        <f>SUM(I21,N21,S21,X21,AC21,AH21,AM21,AR21,AW21,BB21,BG21,BL21)</f>
        <v>0</v>
      </c>
      <c r="BR21" s="181">
        <f>SUM(J21,O21,T21,Y21,AD21,AI21,AN21,AS21,AX21,BC21,BH21,BM21)</f>
        <v>0</v>
      </c>
      <c r="BS21" s="183">
        <f t="shared" si="12"/>
        <v>3661</v>
      </c>
    </row>
    <row r="22" spans="2:71" x14ac:dyDescent="0.3">
      <c r="B22" s="269"/>
      <c r="C22" s="230"/>
      <c r="D22" s="233"/>
      <c r="E22" s="239"/>
      <c r="F22" s="185" t="s">
        <v>279</v>
      </c>
      <c r="G22" s="186">
        <v>20</v>
      </c>
      <c r="H22" s="187"/>
      <c r="I22" s="187"/>
      <c r="J22" s="188"/>
      <c r="K22" s="189">
        <f t="shared" si="25"/>
        <v>20</v>
      </c>
      <c r="L22" s="186">
        <v>53</v>
      </c>
      <c r="M22" s="187"/>
      <c r="N22" s="187"/>
      <c r="O22" s="188"/>
      <c r="P22" s="189">
        <f t="shared" si="26"/>
        <v>53</v>
      </c>
      <c r="Q22" s="186">
        <v>8</v>
      </c>
      <c r="R22" s="187"/>
      <c r="S22" s="187"/>
      <c r="T22" s="188"/>
      <c r="U22" s="189">
        <f t="shared" si="27"/>
        <v>8</v>
      </c>
      <c r="V22" s="186"/>
      <c r="W22" s="187"/>
      <c r="X22" s="187"/>
      <c r="Y22" s="188"/>
      <c r="Z22" s="189">
        <f t="shared" si="28"/>
        <v>0</v>
      </c>
      <c r="AA22" s="186">
        <v>87</v>
      </c>
      <c r="AB22" s="187"/>
      <c r="AC22" s="187"/>
      <c r="AD22" s="188"/>
      <c r="AE22" s="189">
        <f t="shared" si="29"/>
        <v>87</v>
      </c>
      <c r="AF22" s="186">
        <v>157</v>
      </c>
      <c r="AG22" s="187"/>
      <c r="AH22" s="187"/>
      <c r="AI22" s="188"/>
      <c r="AJ22" s="189">
        <f t="shared" si="30"/>
        <v>157</v>
      </c>
      <c r="AK22" s="186"/>
      <c r="AL22" s="187"/>
      <c r="AM22" s="187"/>
      <c r="AN22" s="188"/>
      <c r="AO22" s="189">
        <f t="shared" si="31"/>
        <v>0</v>
      </c>
      <c r="AP22" s="186"/>
      <c r="AQ22" s="187"/>
      <c r="AR22" s="187"/>
      <c r="AS22" s="188"/>
      <c r="AT22" s="189">
        <f t="shared" si="32"/>
        <v>0</v>
      </c>
      <c r="AU22" s="186"/>
      <c r="AV22" s="187"/>
      <c r="AW22" s="187"/>
      <c r="AX22" s="188"/>
      <c r="AY22" s="189">
        <f t="shared" si="33"/>
        <v>0</v>
      </c>
      <c r="AZ22" s="186"/>
      <c r="BA22" s="187"/>
      <c r="BB22" s="187"/>
      <c r="BC22" s="188"/>
      <c r="BD22" s="189">
        <f t="shared" si="34"/>
        <v>0</v>
      </c>
      <c r="BE22" s="186"/>
      <c r="BF22" s="187"/>
      <c r="BG22" s="187"/>
      <c r="BH22" s="188"/>
      <c r="BI22" s="189">
        <f t="shared" si="35"/>
        <v>0</v>
      </c>
      <c r="BJ22" s="186"/>
      <c r="BK22" s="187"/>
      <c r="BL22" s="187"/>
      <c r="BM22" s="188"/>
      <c r="BN22" s="189">
        <f t="shared" si="36"/>
        <v>0</v>
      </c>
      <c r="BO22" s="191">
        <f>SUM(G22,L22,Q22,V22,AA22,AF22,AK22,AP22,AU22,AZ22,BE22,BJ22)</f>
        <v>325</v>
      </c>
      <c r="BP22" s="187">
        <f>SUM(H22,M22,R22,W22,AB22,AG22,AL22,AQ22,AV22,BA22,BF22,BK22)</f>
        <v>0</v>
      </c>
      <c r="BQ22" s="187">
        <f>SUM(I22,N22,S22,X22,AC22,AH22,AM22,AR22,AW22,BB22,BG22,BL22)</f>
        <v>0</v>
      </c>
      <c r="BR22" s="188">
        <f>SUM(J22,O22,T22,Y22,AD22,AI22,AN22,AS22,AX22,BC22,BH22,BM22)</f>
        <v>0</v>
      </c>
      <c r="BS22" s="190">
        <f t="shared" si="12"/>
        <v>325</v>
      </c>
    </row>
    <row r="23" spans="2:71" x14ac:dyDescent="0.3">
      <c r="B23" s="269"/>
      <c r="C23" s="230"/>
      <c r="D23" s="233"/>
      <c r="E23" s="240"/>
      <c r="F23" s="125" t="s">
        <v>54</v>
      </c>
      <c r="G23" s="126">
        <f>SUM(G11:G22)</f>
        <v>4886</v>
      </c>
      <c r="H23" s="127">
        <f>SUM(H11:H22)</f>
        <v>0</v>
      </c>
      <c r="I23" s="127">
        <f>SUM(I11:I22)</f>
        <v>0</v>
      </c>
      <c r="J23" s="128">
        <f>SUM(J11:J22)</f>
        <v>0</v>
      </c>
      <c r="K23" s="129">
        <f t="shared" si="0"/>
        <v>4886</v>
      </c>
      <c r="L23" s="126">
        <f>SUM(L11:L22)</f>
        <v>7140</v>
      </c>
      <c r="M23" s="127">
        <f>SUM(M11:M22)</f>
        <v>0</v>
      </c>
      <c r="N23" s="127">
        <f>SUM(N11:N22)</f>
        <v>0</v>
      </c>
      <c r="O23" s="128">
        <f>SUM(O11:O22)</f>
        <v>0</v>
      </c>
      <c r="P23" s="129">
        <f t="shared" si="26"/>
        <v>7140</v>
      </c>
      <c r="Q23" s="126">
        <f>SUM(Q11:Q22)</f>
        <v>1119</v>
      </c>
      <c r="R23" s="127">
        <f>SUM(R11:R22)</f>
        <v>0</v>
      </c>
      <c r="S23" s="127">
        <f>SUM(S11:S22)</f>
        <v>0</v>
      </c>
      <c r="T23" s="128">
        <f>SUM(T11:T22)</f>
        <v>0</v>
      </c>
      <c r="U23" s="129">
        <f t="shared" si="27"/>
        <v>1119</v>
      </c>
      <c r="V23" s="126">
        <f>SUM(V11:V22)</f>
        <v>324</v>
      </c>
      <c r="W23" s="127">
        <f>SUM(W11:W22)</f>
        <v>0</v>
      </c>
      <c r="X23" s="127">
        <f>SUM(X11:X22)</f>
        <v>0</v>
      </c>
      <c r="Y23" s="128">
        <f>SUM(Y11:Y22)</f>
        <v>0</v>
      </c>
      <c r="Z23" s="129">
        <f t="shared" si="28"/>
        <v>324</v>
      </c>
      <c r="AA23" s="126">
        <f>SUM(AA11:AA22)</f>
        <v>8432</v>
      </c>
      <c r="AB23" s="127">
        <f>SUM(AB11:AB22)</f>
        <v>0</v>
      </c>
      <c r="AC23" s="127">
        <f>SUM(AC11:AC22)</f>
        <v>0</v>
      </c>
      <c r="AD23" s="128">
        <f>SUM(AD11:AD22)</f>
        <v>0</v>
      </c>
      <c r="AE23" s="129">
        <f t="shared" si="29"/>
        <v>8432</v>
      </c>
      <c r="AF23" s="126">
        <f>SUM(AF11:AF22)</f>
        <v>9264</v>
      </c>
      <c r="AG23" s="127">
        <f>SUM(AG11:AG22)</f>
        <v>0</v>
      </c>
      <c r="AH23" s="127">
        <f>SUM(AH11:AH22)</f>
        <v>0</v>
      </c>
      <c r="AI23" s="128">
        <f>SUM(AI11:AI22)</f>
        <v>0</v>
      </c>
      <c r="AJ23" s="129">
        <f t="shared" si="30"/>
        <v>9264</v>
      </c>
      <c r="AK23" s="126">
        <f>SUM(AK11:AK22)</f>
        <v>328</v>
      </c>
      <c r="AL23" s="127">
        <f>SUM(AL11:AL22)</f>
        <v>0</v>
      </c>
      <c r="AM23" s="127">
        <f>SUM(AM11:AM22)</f>
        <v>0</v>
      </c>
      <c r="AN23" s="128">
        <f>SUM(AN11:AN22)</f>
        <v>0</v>
      </c>
      <c r="AO23" s="129">
        <f t="shared" si="31"/>
        <v>328</v>
      </c>
      <c r="AP23" s="126">
        <f>SUM(AP11:AP22)</f>
        <v>393</v>
      </c>
      <c r="AQ23" s="127">
        <f>SUM(AQ11:AQ22)</f>
        <v>0</v>
      </c>
      <c r="AR23" s="127">
        <f>SUM(AR11:AR22)</f>
        <v>0</v>
      </c>
      <c r="AS23" s="128">
        <f>SUM(AS11:AS22)</f>
        <v>0</v>
      </c>
      <c r="AT23" s="129">
        <f t="shared" si="32"/>
        <v>393</v>
      </c>
      <c r="AU23" s="126">
        <f>SUM(AU11:AU22)</f>
        <v>827</v>
      </c>
      <c r="AV23" s="127">
        <f>SUM(AV11:AV22)</f>
        <v>0</v>
      </c>
      <c r="AW23" s="127">
        <f>SUM(AW11:AW22)</f>
        <v>0</v>
      </c>
      <c r="AX23" s="128">
        <f>SUM(AX11:AX22)</f>
        <v>0</v>
      </c>
      <c r="AY23" s="129">
        <f t="shared" si="33"/>
        <v>827</v>
      </c>
      <c r="AZ23" s="126">
        <f>SUM(AZ11:AZ22)</f>
        <v>1238</v>
      </c>
      <c r="BA23" s="127">
        <f>SUM(BA11:BA22)</f>
        <v>0</v>
      </c>
      <c r="BB23" s="127">
        <f>SUM(BB11:BB22)</f>
        <v>0</v>
      </c>
      <c r="BC23" s="128">
        <f>SUM(BC11:BC22)</f>
        <v>0</v>
      </c>
      <c r="BD23" s="129">
        <f t="shared" si="34"/>
        <v>1238</v>
      </c>
      <c r="BE23" s="126">
        <f>SUM(BE11:BE22)</f>
        <v>734</v>
      </c>
      <c r="BF23" s="127">
        <f>SUM(BF11:BF22)</f>
        <v>0</v>
      </c>
      <c r="BG23" s="127">
        <f>SUM(BG11:BG22)</f>
        <v>0</v>
      </c>
      <c r="BH23" s="128">
        <f>SUM(BH11:BH22)</f>
        <v>0</v>
      </c>
      <c r="BI23" s="129">
        <f t="shared" si="35"/>
        <v>734</v>
      </c>
      <c r="BJ23" s="126">
        <f>SUM(BJ11:BJ22)</f>
        <v>296</v>
      </c>
      <c r="BK23" s="127">
        <f>SUM(BK11:BK22)</f>
        <v>0</v>
      </c>
      <c r="BL23" s="127">
        <f>SUM(BL11:BL22)</f>
        <v>0</v>
      </c>
      <c r="BM23" s="128">
        <f>SUM(BM11:BM22)</f>
        <v>0</v>
      </c>
      <c r="BN23" s="129">
        <f t="shared" si="36"/>
        <v>296</v>
      </c>
      <c r="BO23" s="131">
        <f>SUM(BO11:BO22)</f>
        <v>34981</v>
      </c>
      <c r="BP23" s="127">
        <f>SUM(BP11:BP22)</f>
        <v>0</v>
      </c>
      <c r="BQ23" s="127">
        <f>SUM(BQ11:BQ22)</f>
        <v>0</v>
      </c>
      <c r="BR23" s="128">
        <f>SUM(BR11:BR22)</f>
        <v>0</v>
      </c>
      <c r="BS23" s="130">
        <f t="shared" si="12"/>
        <v>34981</v>
      </c>
    </row>
    <row r="24" spans="2:71" x14ac:dyDescent="0.3">
      <c r="B24" s="269"/>
      <c r="C24" s="230"/>
      <c r="D24" s="233"/>
      <c r="E24" s="241" t="s">
        <v>42</v>
      </c>
      <c r="F24" s="120" t="s">
        <v>49</v>
      </c>
      <c r="G24" s="30">
        <v>805</v>
      </c>
      <c r="H24" s="7"/>
      <c r="I24" s="7"/>
      <c r="J24" s="8"/>
      <c r="K24" s="9">
        <f t="shared" si="0"/>
        <v>805</v>
      </c>
      <c r="L24" s="30">
        <v>1037</v>
      </c>
      <c r="M24" s="7"/>
      <c r="N24" s="7"/>
      <c r="O24" s="8"/>
      <c r="P24" s="9">
        <f t="shared" si="26"/>
        <v>1037</v>
      </c>
      <c r="Q24" s="30">
        <v>69</v>
      </c>
      <c r="R24" s="7"/>
      <c r="S24" s="7"/>
      <c r="T24" s="8"/>
      <c r="U24" s="9">
        <f t="shared" si="27"/>
        <v>69</v>
      </c>
      <c r="V24" s="30"/>
      <c r="W24" s="7"/>
      <c r="X24" s="7"/>
      <c r="Y24" s="8"/>
      <c r="Z24" s="9">
        <f t="shared" si="28"/>
        <v>0</v>
      </c>
      <c r="AA24" s="30">
        <v>418</v>
      </c>
      <c r="AB24" s="7"/>
      <c r="AC24" s="7"/>
      <c r="AD24" s="8"/>
      <c r="AE24" s="9">
        <f t="shared" si="29"/>
        <v>418</v>
      </c>
      <c r="AF24" s="30">
        <v>948</v>
      </c>
      <c r="AG24" s="7"/>
      <c r="AH24" s="7"/>
      <c r="AI24" s="8"/>
      <c r="AJ24" s="9">
        <f t="shared" si="30"/>
        <v>948</v>
      </c>
      <c r="AK24" s="30">
        <v>341</v>
      </c>
      <c r="AL24" s="7"/>
      <c r="AM24" s="7"/>
      <c r="AN24" s="8"/>
      <c r="AO24" s="9">
        <f t="shared" si="31"/>
        <v>341</v>
      </c>
      <c r="AP24" s="30">
        <v>353</v>
      </c>
      <c r="AQ24" s="7"/>
      <c r="AR24" s="7"/>
      <c r="AS24" s="8"/>
      <c r="AT24" s="9">
        <f t="shared" si="32"/>
        <v>353</v>
      </c>
      <c r="AU24" s="30">
        <v>840</v>
      </c>
      <c r="AV24" s="7"/>
      <c r="AW24" s="7"/>
      <c r="AX24" s="8"/>
      <c r="AY24" s="9">
        <f t="shared" si="33"/>
        <v>840</v>
      </c>
      <c r="AZ24" s="30"/>
      <c r="BA24" s="7"/>
      <c r="BB24" s="7"/>
      <c r="BC24" s="8"/>
      <c r="BD24" s="9">
        <f t="shared" si="34"/>
        <v>0</v>
      </c>
      <c r="BE24" s="30"/>
      <c r="BF24" s="7"/>
      <c r="BG24" s="7"/>
      <c r="BH24" s="8"/>
      <c r="BI24" s="9">
        <f t="shared" si="35"/>
        <v>0</v>
      </c>
      <c r="BJ24" s="30"/>
      <c r="BK24" s="7"/>
      <c r="BL24" s="7"/>
      <c r="BM24" s="8"/>
      <c r="BN24" s="9">
        <f t="shared" si="36"/>
        <v>0</v>
      </c>
      <c r="BO24" s="65">
        <f>SUM(G24,L24,Q24,V24,AA24,AF24,AK24,AP24,AU24,AZ24,BE24,BJ24)</f>
        <v>4811</v>
      </c>
      <c r="BP24" s="7">
        <f>SUM(H24,M24,R24,W24,AB24,AG24,AL24,AQ24,AV24,BA24,BF24,BK24)</f>
        <v>0</v>
      </c>
      <c r="BQ24" s="7">
        <f>SUM(I24,N24,S24,X24,AC24,AH24,AM24,AR24,AW24,BB24,BG24,BL24)</f>
        <v>0</v>
      </c>
      <c r="BR24" s="8">
        <f>SUM(J24,O24,T24,Y24,AD24,AI24,AN24,AS24,AX24,BC24,BH24,BM24)</f>
        <v>0</v>
      </c>
      <c r="BS24" s="31">
        <f t="shared" si="12"/>
        <v>4811</v>
      </c>
    </row>
    <row r="25" spans="2:71" x14ac:dyDescent="0.3">
      <c r="B25" s="269"/>
      <c r="C25" s="230"/>
      <c r="D25" s="233"/>
      <c r="E25" s="239"/>
      <c r="F25" s="121" t="s">
        <v>50</v>
      </c>
      <c r="G25" s="32">
        <v>66</v>
      </c>
      <c r="H25" s="13"/>
      <c r="I25" s="13"/>
      <c r="J25" s="14"/>
      <c r="K25" s="15">
        <f t="shared" si="0"/>
        <v>66</v>
      </c>
      <c r="L25" s="32">
        <v>147</v>
      </c>
      <c r="M25" s="13"/>
      <c r="N25" s="13"/>
      <c r="O25" s="14"/>
      <c r="P25" s="15">
        <f t="shared" si="26"/>
        <v>147</v>
      </c>
      <c r="Q25" s="32">
        <v>17</v>
      </c>
      <c r="R25" s="13"/>
      <c r="S25" s="13"/>
      <c r="T25" s="14"/>
      <c r="U25" s="15">
        <f t="shared" si="27"/>
        <v>17</v>
      </c>
      <c r="V25" s="32"/>
      <c r="W25" s="13"/>
      <c r="X25" s="13"/>
      <c r="Y25" s="14"/>
      <c r="Z25" s="15">
        <f t="shared" si="28"/>
        <v>0</v>
      </c>
      <c r="AA25" s="32">
        <v>83</v>
      </c>
      <c r="AB25" s="13"/>
      <c r="AC25" s="13"/>
      <c r="AD25" s="14"/>
      <c r="AE25" s="15">
        <f t="shared" si="29"/>
        <v>83</v>
      </c>
      <c r="AF25" s="32">
        <v>278</v>
      </c>
      <c r="AG25" s="13"/>
      <c r="AH25" s="13"/>
      <c r="AI25" s="14"/>
      <c r="AJ25" s="15">
        <f t="shared" si="30"/>
        <v>278</v>
      </c>
      <c r="AK25" s="32">
        <v>83</v>
      </c>
      <c r="AL25" s="13"/>
      <c r="AM25" s="13"/>
      <c r="AN25" s="14"/>
      <c r="AO25" s="15">
        <f t="shared" si="31"/>
        <v>83</v>
      </c>
      <c r="AP25" s="32">
        <v>171</v>
      </c>
      <c r="AQ25" s="13"/>
      <c r="AR25" s="13"/>
      <c r="AS25" s="14"/>
      <c r="AT25" s="15">
        <f t="shared" si="32"/>
        <v>171</v>
      </c>
      <c r="AU25" s="32">
        <v>270</v>
      </c>
      <c r="AV25" s="13"/>
      <c r="AW25" s="13"/>
      <c r="AX25" s="14"/>
      <c r="AY25" s="15">
        <f t="shared" si="33"/>
        <v>270</v>
      </c>
      <c r="AZ25" s="32"/>
      <c r="BA25" s="13"/>
      <c r="BB25" s="13"/>
      <c r="BC25" s="14"/>
      <c r="BD25" s="15">
        <f t="shared" si="34"/>
        <v>0</v>
      </c>
      <c r="BE25" s="32"/>
      <c r="BF25" s="13"/>
      <c r="BG25" s="13"/>
      <c r="BH25" s="14"/>
      <c r="BI25" s="15">
        <f t="shared" si="35"/>
        <v>0</v>
      </c>
      <c r="BJ25" s="32"/>
      <c r="BK25" s="13"/>
      <c r="BL25" s="13"/>
      <c r="BM25" s="14"/>
      <c r="BN25" s="15">
        <f t="shared" si="36"/>
        <v>0</v>
      </c>
      <c r="BO25" s="66">
        <f>SUM(G25,L25,Q25,V25,AA25,AF25,AK25,AP25,AU25,AZ25,BE25,BJ25)</f>
        <v>1115</v>
      </c>
      <c r="BP25" s="13">
        <f>SUM(H25,M25,R25,W25,AB25,AG25,AL25,AQ25,AV25,BA25,BF25,BK25)</f>
        <v>0</v>
      </c>
      <c r="BQ25" s="13">
        <f>SUM(I25,N25,S25,X25,AC25,AH25,AM25,AR25,AW25,BB25,BG25,BL25)</f>
        <v>0</v>
      </c>
      <c r="BR25" s="14">
        <f>SUM(J25,O25,T25,Y25,AD25,AI25,AN25,AS25,AX25,BC25,BH25,BM25)</f>
        <v>0</v>
      </c>
      <c r="BS25" s="33">
        <f t="shared" si="12"/>
        <v>1115</v>
      </c>
    </row>
    <row r="26" spans="2:71" x14ac:dyDescent="0.3">
      <c r="B26" s="269"/>
      <c r="C26" s="230"/>
      <c r="D26" s="233"/>
      <c r="E26" s="239"/>
      <c r="F26" s="121" t="s">
        <v>51</v>
      </c>
      <c r="G26" s="32">
        <v>566</v>
      </c>
      <c r="H26" s="13"/>
      <c r="I26" s="13"/>
      <c r="J26" s="14"/>
      <c r="K26" s="15">
        <f t="shared" si="0"/>
        <v>566</v>
      </c>
      <c r="L26" s="32">
        <v>700</v>
      </c>
      <c r="M26" s="13"/>
      <c r="N26" s="13"/>
      <c r="O26" s="14"/>
      <c r="P26" s="15">
        <f t="shared" si="26"/>
        <v>700</v>
      </c>
      <c r="Q26" s="32">
        <v>42</v>
      </c>
      <c r="R26" s="13"/>
      <c r="S26" s="13"/>
      <c r="T26" s="14"/>
      <c r="U26" s="15">
        <f t="shared" si="27"/>
        <v>42</v>
      </c>
      <c r="V26" s="32"/>
      <c r="W26" s="13"/>
      <c r="X26" s="13"/>
      <c r="Y26" s="14"/>
      <c r="Z26" s="15">
        <f t="shared" si="28"/>
        <v>0</v>
      </c>
      <c r="AA26" s="32"/>
      <c r="AB26" s="13"/>
      <c r="AC26" s="13"/>
      <c r="AD26" s="14"/>
      <c r="AE26" s="15">
        <f t="shared" si="29"/>
        <v>0</v>
      </c>
      <c r="AF26" s="32">
        <v>664</v>
      </c>
      <c r="AG26" s="13"/>
      <c r="AH26" s="13"/>
      <c r="AI26" s="14"/>
      <c r="AJ26" s="15">
        <f t="shared" si="30"/>
        <v>664</v>
      </c>
      <c r="AK26" s="32">
        <v>211</v>
      </c>
      <c r="AL26" s="13"/>
      <c r="AM26" s="13"/>
      <c r="AN26" s="14"/>
      <c r="AO26" s="15">
        <f t="shared" si="31"/>
        <v>211</v>
      </c>
      <c r="AP26" s="32">
        <v>222</v>
      </c>
      <c r="AQ26" s="13"/>
      <c r="AR26" s="13"/>
      <c r="AS26" s="14"/>
      <c r="AT26" s="15">
        <f t="shared" si="32"/>
        <v>222</v>
      </c>
      <c r="AU26" s="32">
        <v>589</v>
      </c>
      <c r="AV26" s="13"/>
      <c r="AW26" s="13"/>
      <c r="AX26" s="14"/>
      <c r="AY26" s="15">
        <f t="shared" si="33"/>
        <v>589</v>
      </c>
      <c r="AZ26" s="32"/>
      <c r="BA26" s="13"/>
      <c r="BB26" s="13"/>
      <c r="BC26" s="14"/>
      <c r="BD26" s="15">
        <f t="shared" si="34"/>
        <v>0</v>
      </c>
      <c r="BE26" s="32"/>
      <c r="BF26" s="13"/>
      <c r="BG26" s="13"/>
      <c r="BH26" s="14"/>
      <c r="BI26" s="15">
        <f t="shared" si="35"/>
        <v>0</v>
      </c>
      <c r="BJ26" s="32"/>
      <c r="BK26" s="13"/>
      <c r="BL26" s="13"/>
      <c r="BM26" s="14"/>
      <c r="BN26" s="15">
        <f t="shared" si="36"/>
        <v>0</v>
      </c>
      <c r="BO26" s="66">
        <f>SUM(G26,L26,Q26,V26,AA26,AF26,AK26,AP26,AU26,AZ26,BE26,BJ26)</f>
        <v>2994</v>
      </c>
      <c r="BP26" s="13">
        <f>SUM(H26,M26,R26,W26,AB26,AG26,AL26,AQ26,AV26,BA26,BF26,BK26)</f>
        <v>0</v>
      </c>
      <c r="BQ26" s="13">
        <f>SUM(I26,N26,S26,X26,AC26,AH26,AM26,AR26,AW26,BB26,BG26,BL26)</f>
        <v>0</v>
      </c>
      <c r="BR26" s="14">
        <f>SUM(J26,O26,T26,Y26,AD26,AI26,AN26,AS26,AX26,BC26,BH26,BM26)</f>
        <v>0</v>
      </c>
      <c r="BS26" s="33">
        <f t="shared" si="12"/>
        <v>2994</v>
      </c>
    </row>
    <row r="27" spans="2:71" x14ac:dyDescent="0.3">
      <c r="B27" s="269"/>
      <c r="C27" s="230"/>
      <c r="D27" s="233"/>
      <c r="E27" s="239"/>
      <c r="F27" s="121" t="s">
        <v>52</v>
      </c>
      <c r="G27" s="32">
        <v>50</v>
      </c>
      <c r="H27" s="13"/>
      <c r="I27" s="13"/>
      <c r="J27" s="14"/>
      <c r="K27" s="15">
        <f t="shared" si="0"/>
        <v>50</v>
      </c>
      <c r="L27" s="32">
        <v>108</v>
      </c>
      <c r="M27" s="13"/>
      <c r="N27" s="13"/>
      <c r="O27" s="14"/>
      <c r="P27" s="15">
        <f t="shared" si="26"/>
        <v>108</v>
      </c>
      <c r="Q27" s="32">
        <v>12</v>
      </c>
      <c r="R27" s="13"/>
      <c r="S27" s="13"/>
      <c r="T27" s="14"/>
      <c r="U27" s="15">
        <f t="shared" si="27"/>
        <v>12</v>
      </c>
      <c r="V27" s="32"/>
      <c r="W27" s="13"/>
      <c r="X27" s="13"/>
      <c r="Y27" s="14"/>
      <c r="Z27" s="15">
        <f t="shared" si="28"/>
        <v>0</v>
      </c>
      <c r="AA27" s="32"/>
      <c r="AB27" s="13"/>
      <c r="AC27" s="13"/>
      <c r="AD27" s="14"/>
      <c r="AE27" s="15">
        <f t="shared" si="29"/>
        <v>0</v>
      </c>
      <c r="AF27" s="32">
        <v>191</v>
      </c>
      <c r="AG27" s="13"/>
      <c r="AH27" s="13"/>
      <c r="AI27" s="14"/>
      <c r="AJ27" s="15">
        <f t="shared" si="30"/>
        <v>191</v>
      </c>
      <c r="AK27" s="32">
        <v>65</v>
      </c>
      <c r="AL27" s="13"/>
      <c r="AM27" s="13"/>
      <c r="AN27" s="14"/>
      <c r="AO27" s="15">
        <f t="shared" si="31"/>
        <v>65</v>
      </c>
      <c r="AP27" s="32">
        <v>109</v>
      </c>
      <c r="AQ27" s="13"/>
      <c r="AR27" s="13"/>
      <c r="AS27" s="14"/>
      <c r="AT27" s="15">
        <f t="shared" si="32"/>
        <v>109</v>
      </c>
      <c r="AU27" s="32">
        <v>181</v>
      </c>
      <c r="AV27" s="13"/>
      <c r="AW27" s="13"/>
      <c r="AX27" s="14"/>
      <c r="AY27" s="15">
        <f t="shared" si="33"/>
        <v>181</v>
      </c>
      <c r="AZ27" s="32"/>
      <c r="BA27" s="13"/>
      <c r="BB27" s="13"/>
      <c r="BC27" s="14"/>
      <c r="BD27" s="15">
        <f t="shared" si="34"/>
        <v>0</v>
      </c>
      <c r="BE27" s="32"/>
      <c r="BF27" s="13"/>
      <c r="BG27" s="13"/>
      <c r="BH27" s="14"/>
      <c r="BI27" s="15">
        <f t="shared" si="35"/>
        <v>0</v>
      </c>
      <c r="BJ27" s="32"/>
      <c r="BK27" s="13"/>
      <c r="BL27" s="13"/>
      <c r="BM27" s="14"/>
      <c r="BN27" s="15">
        <f t="shared" si="36"/>
        <v>0</v>
      </c>
      <c r="BO27" s="66">
        <f>SUM(G27,L27,Q27,V27,AA27,AF27,AK27,AP27,AU27,AZ27,BE27,BJ27)</f>
        <v>716</v>
      </c>
      <c r="BP27" s="13">
        <f>SUM(H27,M27,R27,W27,AB27,AG27,AL27,AQ27,AV27,BA27,BF27,BK27)</f>
        <v>0</v>
      </c>
      <c r="BQ27" s="13">
        <f>SUM(I27,N27,S27,X27,AC27,AH27,AM27,AR27,AW27,BB27,BG27,BL27)</f>
        <v>0</v>
      </c>
      <c r="BR27" s="14">
        <f>SUM(J27,O27,T27,Y27,AD27,AI27,AN27,AS27,AX27,BC27,BH27,BM27)</f>
        <v>0</v>
      </c>
      <c r="BS27" s="33">
        <f t="shared" si="12"/>
        <v>716</v>
      </c>
    </row>
    <row r="28" spans="2:71" x14ac:dyDescent="0.3">
      <c r="B28" s="269"/>
      <c r="C28" s="230"/>
      <c r="D28" s="233"/>
      <c r="E28" s="239"/>
      <c r="F28" s="121" t="s">
        <v>129</v>
      </c>
      <c r="G28" s="32"/>
      <c r="H28" s="13"/>
      <c r="I28" s="13"/>
      <c r="J28" s="14"/>
      <c r="K28" s="15">
        <f t="shared" ref="K28:K51" si="37">SUM(G28:J28)</f>
        <v>0</v>
      </c>
      <c r="L28" s="32"/>
      <c r="M28" s="13"/>
      <c r="N28" s="13"/>
      <c r="O28" s="14"/>
      <c r="P28" s="15">
        <f t="shared" si="26"/>
        <v>0</v>
      </c>
      <c r="Q28" s="32">
        <v>1211</v>
      </c>
      <c r="R28" s="13"/>
      <c r="S28" s="13"/>
      <c r="T28" s="14"/>
      <c r="U28" s="15">
        <f t="shared" si="27"/>
        <v>1211</v>
      </c>
      <c r="V28" s="32">
        <v>1863</v>
      </c>
      <c r="W28" s="13"/>
      <c r="X28" s="13"/>
      <c r="Y28" s="14"/>
      <c r="Z28" s="15">
        <f t="shared" si="28"/>
        <v>1863</v>
      </c>
      <c r="AA28" s="32">
        <v>500</v>
      </c>
      <c r="AB28" s="13"/>
      <c r="AC28" s="13"/>
      <c r="AD28" s="14"/>
      <c r="AE28" s="15">
        <f t="shared" si="29"/>
        <v>500</v>
      </c>
      <c r="AF28" s="32"/>
      <c r="AG28" s="13"/>
      <c r="AH28" s="13"/>
      <c r="AI28" s="14"/>
      <c r="AJ28" s="15">
        <f t="shared" si="30"/>
        <v>0</v>
      </c>
      <c r="AK28" s="32"/>
      <c r="AL28" s="13"/>
      <c r="AM28" s="13"/>
      <c r="AN28" s="14"/>
      <c r="AO28" s="15">
        <f t="shared" si="31"/>
        <v>0</v>
      </c>
      <c r="AP28" s="32"/>
      <c r="AQ28" s="13"/>
      <c r="AR28" s="13"/>
      <c r="AS28" s="14"/>
      <c r="AT28" s="15">
        <f t="shared" si="32"/>
        <v>0</v>
      </c>
      <c r="AU28" s="32"/>
      <c r="AV28" s="13"/>
      <c r="AW28" s="13"/>
      <c r="AX28" s="14"/>
      <c r="AY28" s="15">
        <f t="shared" si="33"/>
        <v>0</v>
      </c>
      <c r="AZ28" s="32">
        <v>2896</v>
      </c>
      <c r="BA28" s="13"/>
      <c r="BB28" s="13"/>
      <c r="BC28" s="14"/>
      <c r="BD28" s="15">
        <f t="shared" si="34"/>
        <v>2896</v>
      </c>
      <c r="BE28" s="32">
        <v>1651</v>
      </c>
      <c r="BF28" s="13"/>
      <c r="BG28" s="13"/>
      <c r="BH28" s="14"/>
      <c r="BI28" s="15">
        <f t="shared" si="35"/>
        <v>1651</v>
      </c>
      <c r="BJ28" s="32">
        <v>810</v>
      </c>
      <c r="BK28" s="13"/>
      <c r="BL28" s="13"/>
      <c r="BM28" s="14"/>
      <c r="BN28" s="15">
        <f t="shared" si="36"/>
        <v>810</v>
      </c>
      <c r="BO28" s="66">
        <f>SUM(G28,L28,Q28,V28,AA28,AF28,AK28,AP28,AU28,AZ28,BE28,BJ28)</f>
        <v>8931</v>
      </c>
      <c r="BP28" s="13">
        <f>SUM(H28,M28,R28,W28,AB28,AG28,AL28,AQ28,AV28,BA28,BF28,BK28)</f>
        <v>0</v>
      </c>
      <c r="BQ28" s="13">
        <f>SUM(I28,N28,S28,X28,AC28,AH28,AM28,AR28,AW28,BB28,BG28,BL28)</f>
        <v>0</v>
      </c>
      <c r="BR28" s="14">
        <f>SUM(J28,O28,T28,Y28,AD28,AI28,AN28,AS28,AX28,BC28,BH28,BM28)</f>
        <v>0</v>
      </c>
      <c r="BS28" s="33">
        <f t="shared" si="12"/>
        <v>8931</v>
      </c>
    </row>
    <row r="29" spans="2:71" x14ac:dyDescent="0.3">
      <c r="B29" s="269"/>
      <c r="C29" s="230"/>
      <c r="D29" s="233"/>
      <c r="E29" s="239"/>
      <c r="F29" s="121" t="s">
        <v>130</v>
      </c>
      <c r="G29" s="32"/>
      <c r="H29" s="13"/>
      <c r="I29" s="13"/>
      <c r="J29" s="14"/>
      <c r="K29" s="15">
        <f t="shared" si="37"/>
        <v>0</v>
      </c>
      <c r="L29" s="32"/>
      <c r="M29" s="13"/>
      <c r="N29" s="13"/>
      <c r="O29" s="14"/>
      <c r="P29" s="15">
        <f t="shared" si="26"/>
        <v>0</v>
      </c>
      <c r="Q29" s="32">
        <v>266</v>
      </c>
      <c r="R29" s="13"/>
      <c r="S29" s="13"/>
      <c r="T29" s="14"/>
      <c r="U29" s="15">
        <f t="shared" si="27"/>
        <v>266</v>
      </c>
      <c r="V29" s="32">
        <v>480</v>
      </c>
      <c r="W29" s="13"/>
      <c r="X29" s="13"/>
      <c r="Y29" s="14"/>
      <c r="Z29" s="15">
        <f t="shared" si="28"/>
        <v>480</v>
      </c>
      <c r="AA29" s="32">
        <v>96</v>
      </c>
      <c r="AB29" s="13"/>
      <c r="AC29" s="13"/>
      <c r="AD29" s="14"/>
      <c r="AE29" s="15">
        <f t="shared" si="29"/>
        <v>96</v>
      </c>
      <c r="AF29" s="32"/>
      <c r="AG29" s="13"/>
      <c r="AH29" s="13"/>
      <c r="AI29" s="14"/>
      <c r="AJ29" s="15">
        <f t="shared" si="30"/>
        <v>0</v>
      </c>
      <c r="AK29" s="32"/>
      <c r="AL29" s="13"/>
      <c r="AM29" s="13"/>
      <c r="AN29" s="14"/>
      <c r="AO29" s="15">
        <f t="shared" si="31"/>
        <v>0</v>
      </c>
      <c r="AP29" s="32"/>
      <c r="AQ29" s="13"/>
      <c r="AR29" s="13"/>
      <c r="AS29" s="14"/>
      <c r="AT29" s="15">
        <f t="shared" si="32"/>
        <v>0</v>
      </c>
      <c r="AU29" s="32"/>
      <c r="AV29" s="13"/>
      <c r="AW29" s="13"/>
      <c r="AX29" s="14"/>
      <c r="AY29" s="15">
        <f t="shared" si="33"/>
        <v>0</v>
      </c>
      <c r="AZ29" s="32">
        <v>594</v>
      </c>
      <c r="BA29" s="13"/>
      <c r="BB29" s="13"/>
      <c r="BC29" s="14"/>
      <c r="BD29" s="15">
        <f t="shared" si="34"/>
        <v>594</v>
      </c>
      <c r="BE29" s="32">
        <v>473</v>
      </c>
      <c r="BF29" s="13"/>
      <c r="BG29" s="13"/>
      <c r="BH29" s="14"/>
      <c r="BI29" s="15">
        <f t="shared" si="35"/>
        <v>473</v>
      </c>
      <c r="BJ29" s="32">
        <v>168</v>
      </c>
      <c r="BK29" s="13"/>
      <c r="BL29" s="13"/>
      <c r="BM29" s="14"/>
      <c r="BN29" s="15">
        <f t="shared" si="36"/>
        <v>168</v>
      </c>
      <c r="BO29" s="66">
        <f>SUM(G29,L29,Q29,V29,AA29,AF29,AK29,AP29,AU29,AZ29,BE29,BJ29)</f>
        <v>2077</v>
      </c>
      <c r="BP29" s="13">
        <f>SUM(H29,M29,R29,W29,AB29,AG29,AL29,AQ29,AV29,BA29,BF29,BK29)</f>
        <v>0</v>
      </c>
      <c r="BQ29" s="13">
        <f>SUM(I29,N29,S29,X29,AC29,AH29,AM29,AR29,AW29,BB29,BG29,BL29)</f>
        <v>0</v>
      </c>
      <c r="BR29" s="14">
        <f>SUM(J29,O29,T29,Y29,AD29,AI29,AN29,AS29,AX29,BC29,BH29,BM29)</f>
        <v>0</v>
      </c>
      <c r="BS29" s="33">
        <f t="shared" si="12"/>
        <v>2077</v>
      </c>
    </row>
    <row r="30" spans="2:71" x14ac:dyDescent="0.3">
      <c r="B30" s="269"/>
      <c r="C30" s="230"/>
      <c r="D30" s="233"/>
      <c r="E30" s="239"/>
      <c r="F30" s="121" t="s">
        <v>141</v>
      </c>
      <c r="G30" s="32"/>
      <c r="H30" s="13"/>
      <c r="I30" s="13"/>
      <c r="J30" s="14"/>
      <c r="K30" s="15">
        <f t="shared" si="37"/>
        <v>0</v>
      </c>
      <c r="L30" s="32"/>
      <c r="M30" s="13"/>
      <c r="N30" s="13"/>
      <c r="O30" s="14"/>
      <c r="P30" s="15">
        <f t="shared" si="26"/>
        <v>0</v>
      </c>
      <c r="Q30" s="32">
        <v>882</v>
      </c>
      <c r="R30" s="13"/>
      <c r="S30" s="13"/>
      <c r="T30" s="14"/>
      <c r="U30" s="15">
        <f t="shared" si="27"/>
        <v>882</v>
      </c>
      <c r="V30" s="32">
        <v>1375</v>
      </c>
      <c r="W30" s="13"/>
      <c r="X30" s="13"/>
      <c r="Y30" s="14"/>
      <c r="Z30" s="15">
        <f t="shared" si="28"/>
        <v>1375</v>
      </c>
      <c r="AA30" s="32">
        <v>356</v>
      </c>
      <c r="AB30" s="13"/>
      <c r="AC30" s="13"/>
      <c r="AD30" s="14"/>
      <c r="AE30" s="15">
        <f t="shared" si="29"/>
        <v>356</v>
      </c>
      <c r="AF30" s="32"/>
      <c r="AG30" s="13"/>
      <c r="AH30" s="13"/>
      <c r="AI30" s="14"/>
      <c r="AJ30" s="15">
        <f t="shared" si="30"/>
        <v>0</v>
      </c>
      <c r="AK30" s="32"/>
      <c r="AL30" s="13"/>
      <c r="AM30" s="13"/>
      <c r="AN30" s="14"/>
      <c r="AO30" s="15">
        <f t="shared" si="31"/>
        <v>0</v>
      </c>
      <c r="AP30" s="32"/>
      <c r="AQ30" s="13"/>
      <c r="AR30" s="13"/>
      <c r="AS30" s="14"/>
      <c r="AT30" s="15">
        <f t="shared" si="32"/>
        <v>0</v>
      </c>
      <c r="AU30" s="32"/>
      <c r="AV30" s="13"/>
      <c r="AW30" s="13"/>
      <c r="AX30" s="14"/>
      <c r="AY30" s="15">
        <f t="shared" si="33"/>
        <v>0</v>
      </c>
      <c r="AZ30" s="32">
        <v>2179</v>
      </c>
      <c r="BA30" s="13"/>
      <c r="BB30" s="13"/>
      <c r="BC30" s="14"/>
      <c r="BD30" s="15">
        <f t="shared" si="34"/>
        <v>2179</v>
      </c>
      <c r="BE30" s="32">
        <v>1205</v>
      </c>
      <c r="BF30" s="13"/>
      <c r="BG30" s="13"/>
      <c r="BH30" s="14"/>
      <c r="BI30" s="15">
        <f t="shared" si="35"/>
        <v>1205</v>
      </c>
      <c r="BJ30" s="32">
        <v>580</v>
      </c>
      <c r="BK30" s="13"/>
      <c r="BL30" s="13"/>
      <c r="BM30" s="14"/>
      <c r="BN30" s="15">
        <f t="shared" si="36"/>
        <v>580</v>
      </c>
      <c r="BO30" s="66">
        <f>SUM(G30,L30,Q30,V30,AA30,AF30,AK30,AP30,AU30,AZ30,BE30,BJ30)</f>
        <v>6577</v>
      </c>
      <c r="BP30" s="13">
        <f>SUM(H30,M30,R30,W30,AB30,AG30,AL30,AQ30,AV30,BA30,BF30,BK30)</f>
        <v>0</v>
      </c>
      <c r="BQ30" s="13">
        <f>SUM(I30,N30,S30,X30,AC30,AH30,AM30,AR30,AW30,BB30,BG30,BL30)</f>
        <v>0</v>
      </c>
      <c r="BR30" s="14">
        <f>SUM(J30,O30,T30,Y30,AD30,AI30,AN30,AS30,AX30,BC30,BH30,BM30)</f>
        <v>0</v>
      </c>
      <c r="BS30" s="33">
        <f t="shared" si="12"/>
        <v>6577</v>
      </c>
    </row>
    <row r="31" spans="2:71" x14ac:dyDescent="0.3">
      <c r="B31" s="269"/>
      <c r="C31" s="230"/>
      <c r="D31" s="233"/>
      <c r="E31" s="239"/>
      <c r="F31" s="121" t="s">
        <v>142</v>
      </c>
      <c r="G31" s="32"/>
      <c r="H31" s="13"/>
      <c r="I31" s="13"/>
      <c r="J31" s="14"/>
      <c r="K31" s="15">
        <f t="shared" si="37"/>
        <v>0</v>
      </c>
      <c r="L31" s="32"/>
      <c r="M31" s="13"/>
      <c r="N31" s="13"/>
      <c r="O31" s="14"/>
      <c r="P31" s="15">
        <f t="shared" si="26"/>
        <v>0</v>
      </c>
      <c r="Q31" s="32">
        <v>203</v>
      </c>
      <c r="R31" s="13"/>
      <c r="S31" s="13"/>
      <c r="T31" s="14"/>
      <c r="U31" s="15">
        <f t="shared" si="27"/>
        <v>203</v>
      </c>
      <c r="V31" s="32">
        <v>348</v>
      </c>
      <c r="W31" s="13"/>
      <c r="X31" s="13"/>
      <c r="Y31" s="14"/>
      <c r="Z31" s="15">
        <f t="shared" si="28"/>
        <v>348</v>
      </c>
      <c r="AA31" s="32">
        <v>68</v>
      </c>
      <c r="AB31" s="13"/>
      <c r="AC31" s="13"/>
      <c r="AD31" s="14"/>
      <c r="AE31" s="15">
        <f t="shared" si="29"/>
        <v>68</v>
      </c>
      <c r="AF31" s="32"/>
      <c r="AG31" s="13"/>
      <c r="AH31" s="13"/>
      <c r="AI31" s="14"/>
      <c r="AJ31" s="15">
        <f t="shared" si="30"/>
        <v>0</v>
      </c>
      <c r="AK31" s="32"/>
      <c r="AL31" s="13"/>
      <c r="AM31" s="13"/>
      <c r="AN31" s="14"/>
      <c r="AO31" s="15">
        <f t="shared" si="31"/>
        <v>0</v>
      </c>
      <c r="AP31" s="32"/>
      <c r="AQ31" s="13"/>
      <c r="AR31" s="13"/>
      <c r="AS31" s="14"/>
      <c r="AT31" s="15">
        <f t="shared" si="32"/>
        <v>0</v>
      </c>
      <c r="AU31" s="32"/>
      <c r="AV31" s="13"/>
      <c r="AW31" s="13"/>
      <c r="AX31" s="14"/>
      <c r="AY31" s="15">
        <f t="shared" si="33"/>
        <v>0</v>
      </c>
      <c r="AZ31" s="32">
        <v>462</v>
      </c>
      <c r="BA31" s="13"/>
      <c r="BB31" s="13"/>
      <c r="BC31" s="14"/>
      <c r="BD31" s="15">
        <f t="shared" si="34"/>
        <v>462</v>
      </c>
      <c r="BE31" s="32">
        <v>368</v>
      </c>
      <c r="BF31" s="13"/>
      <c r="BG31" s="13"/>
      <c r="BH31" s="14"/>
      <c r="BI31" s="15">
        <f t="shared" si="35"/>
        <v>368</v>
      </c>
      <c r="BJ31" s="32">
        <v>131</v>
      </c>
      <c r="BK31" s="13"/>
      <c r="BL31" s="13"/>
      <c r="BM31" s="14"/>
      <c r="BN31" s="15">
        <f t="shared" si="36"/>
        <v>131</v>
      </c>
      <c r="BO31" s="66">
        <f>SUM(G31,L31,Q31,V31,AA31,AF31,AK31,AP31,AU31,AZ31,BE31,BJ31)</f>
        <v>1580</v>
      </c>
      <c r="BP31" s="13">
        <f>SUM(H31,M31,R31,W31,AB31,AG31,AL31,AQ31,AV31,BA31,BF31,BK31)</f>
        <v>0</v>
      </c>
      <c r="BQ31" s="13">
        <f>SUM(I31,N31,S31,X31,AC31,AH31,AM31,AR31,AW31,BB31,BG31,BL31)</f>
        <v>0</v>
      </c>
      <c r="BR31" s="14">
        <f>SUM(J31,O31,T31,Y31,AD31,AI31,AN31,AS31,AX31,BC31,BH31,BM31)</f>
        <v>0</v>
      </c>
      <c r="BS31" s="33">
        <f t="shared" si="12"/>
        <v>1580</v>
      </c>
    </row>
    <row r="32" spans="2:71" x14ac:dyDescent="0.3">
      <c r="B32" s="269"/>
      <c r="C32" s="230"/>
      <c r="D32" s="233"/>
      <c r="E32" s="239"/>
      <c r="F32" s="121" t="s">
        <v>319</v>
      </c>
      <c r="G32" s="32"/>
      <c r="H32" s="13"/>
      <c r="I32" s="13"/>
      <c r="J32" s="14"/>
      <c r="K32" s="15">
        <f t="shared" si="37"/>
        <v>0</v>
      </c>
      <c r="L32" s="32"/>
      <c r="M32" s="13"/>
      <c r="N32" s="13"/>
      <c r="O32" s="14"/>
      <c r="P32" s="15">
        <f t="shared" si="26"/>
        <v>0</v>
      </c>
      <c r="Q32" s="32">
        <v>1643</v>
      </c>
      <c r="R32" s="13"/>
      <c r="S32" s="13"/>
      <c r="T32" s="14"/>
      <c r="U32" s="15">
        <f t="shared" si="27"/>
        <v>1643</v>
      </c>
      <c r="V32" s="32">
        <v>2455</v>
      </c>
      <c r="W32" s="13"/>
      <c r="X32" s="13"/>
      <c r="Y32" s="14"/>
      <c r="Z32" s="15">
        <f t="shared" si="28"/>
        <v>2455</v>
      </c>
      <c r="AA32" s="32">
        <v>691</v>
      </c>
      <c r="AB32" s="13"/>
      <c r="AC32" s="13"/>
      <c r="AD32" s="14"/>
      <c r="AE32" s="15">
        <f t="shared" si="29"/>
        <v>691</v>
      </c>
      <c r="AF32" s="32"/>
      <c r="AG32" s="13"/>
      <c r="AH32" s="13"/>
      <c r="AI32" s="14"/>
      <c r="AJ32" s="15">
        <f t="shared" si="30"/>
        <v>0</v>
      </c>
      <c r="AK32" s="32"/>
      <c r="AL32" s="13"/>
      <c r="AM32" s="13"/>
      <c r="AN32" s="14"/>
      <c r="AO32" s="15">
        <f t="shared" si="31"/>
        <v>0</v>
      </c>
      <c r="AP32" s="32"/>
      <c r="AQ32" s="13"/>
      <c r="AR32" s="13"/>
      <c r="AS32" s="14"/>
      <c r="AT32" s="15">
        <f t="shared" si="32"/>
        <v>0</v>
      </c>
      <c r="AU32" s="32"/>
      <c r="AV32" s="13"/>
      <c r="AW32" s="13"/>
      <c r="AX32" s="14"/>
      <c r="AY32" s="15">
        <f t="shared" si="33"/>
        <v>0</v>
      </c>
      <c r="AZ32" s="32">
        <v>4463</v>
      </c>
      <c r="BA32" s="13"/>
      <c r="BB32" s="13"/>
      <c r="BC32" s="14"/>
      <c r="BD32" s="15">
        <f t="shared" si="34"/>
        <v>4463</v>
      </c>
      <c r="BE32" s="32">
        <v>2535</v>
      </c>
      <c r="BF32" s="13"/>
      <c r="BG32" s="13"/>
      <c r="BH32" s="14"/>
      <c r="BI32" s="15">
        <f t="shared" si="35"/>
        <v>2535</v>
      </c>
      <c r="BJ32" s="32">
        <v>957</v>
      </c>
      <c r="BK32" s="13"/>
      <c r="BL32" s="13"/>
      <c r="BM32" s="14"/>
      <c r="BN32" s="15">
        <f t="shared" si="36"/>
        <v>957</v>
      </c>
      <c r="BO32" s="66">
        <f>SUM(G32,L32,Q32,V32,AA32,AF32,AK32,AP32,AU32,AZ32,BE32,BJ32)</f>
        <v>12744</v>
      </c>
      <c r="BP32" s="13">
        <f>SUM(H32,M32,R32,W32,AB32,AG32,AL32,AQ32,AV32,BA32,BF32,BK32)</f>
        <v>0</v>
      </c>
      <c r="BQ32" s="13">
        <f>SUM(I32,N32,S32,X32,AC32,AH32,AM32,AR32,AW32,BB32,BG32,BL32)</f>
        <v>0</v>
      </c>
      <c r="BR32" s="14">
        <f>SUM(J32,O32,T32,Y32,AD32,AI32,AN32,AS32,AX32,BC32,BH32,BM32)</f>
        <v>0</v>
      </c>
      <c r="BS32" s="33">
        <f t="shared" si="12"/>
        <v>12744</v>
      </c>
    </row>
    <row r="33" spans="2:71" x14ac:dyDescent="0.3">
      <c r="B33" s="269"/>
      <c r="C33" s="230"/>
      <c r="D33" s="233"/>
      <c r="E33" s="239"/>
      <c r="F33" s="121" t="s">
        <v>320</v>
      </c>
      <c r="G33" s="32"/>
      <c r="H33" s="13"/>
      <c r="I33" s="13"/>
      <c r="J33" s="14"/>
      <c r="K33" s="15">
        <f t="shared" si="37"/>
        <v>0</v>
      </c>
      <c r="L33" s="32"/>
      <c r="M33" s="13"/>
      <c r="N33" s="13"/>
      <c r="O33" s="14"/>
      <c r="P33" s="15">
        <f t="shared" si="26"/>
        <v>0</v>
      </c>
      <c r="Q33" s="32">
        <v>402</v>
      </c>
      <c r="R33" s="13"/>
      <c r="S33" s="13"/>
      <c r="T33" s="14"/>
      <c r="U33" s="15">
        <f t="shared" si="27"/>
        <v>402</v>
      </c>
      <c r="V33" s="32">
        <v>685</v>
      </c>
      <c r="W33" s="13"/>
      <c r="X33" s="13"/>
      <c r="Y33" s="14"/>
      <c r="Z33" s="15">
        <f t="shared" si="28"/>
        <v>685</v>
      </c>
      <c r="AA33" s="32">
        <v>176</v>
      </c>
      <c r="AB33" s="13"/>
      <c r="AC33" s="13"/>
      <c r="AD33" s="14"/>
      <c r="AE33" s="15">
        <f t="shared" si="29"/>
        <v>176</v>
      </c>
      <c r="AF33" s="32"/>
      <c r="AG33" s="13"/>
      <c r="AH33" s="13"/>
      <c r="AI33" s="14"/>
      <c r="AJ33" s="15">
        <f t="shared" si="30"/>
        <v>0</v>
      </c>
      <c r="AK33" s="32"/>
      <c r="AL33" s="13"/>
      <c r="AM33" s="13"/>
      <c r="AN33" s="14"/>
      <c r="AO33" s="15">
        <f t="shared" si="31"/>
        <v>0</v>
      </c>
      <c r="AP33" s="32"/>
      <c r="AQ33" s="13"/>
      <c r="AR33" s="13"/>
      <c r="AS33" s="14"/>
      <c r="AT33" s="15">
        <f t="shared" si="32"/>
        <v>0</v>
      </c>
      <c r="AU33" s="32"/>
      <c r="AV33" s="13"/>
      <c r="AW33" s="13"/>
      <c r="AX33" s="14"/>
      <c r="AY33" s="15">
        <f t="shared" si="33"/>
        <v>0</v>
      </c>
      <c r="AZ33" s="32">
        <v>1014</v>
      </c>
      <c r="BA33" s="13"/>
      <c r="BB33" s="13"/>
      <c r="BC33" s="14"/>
      <c r="BD33" s="15">
        <f t="shared" si="34"/>
        <v>1014</v>
      </c>
      <c r="BE33" s="32">
        <v>763</v>
      </c>
      <c r="BF33" s="13"/>
      <c r="BG33" s="13"/>
      <c r="BH33" s="14"/>
      <c r="BI33" s="15">
        <f t="shared" si="35"/>
        <v>763</v>
      </c>
      <c r="BJ33" s="32">
        <v>269</v>
      </c>
      <c r="BK33" s="13"/>
      <c r="BL33" s="13"/>
      <c r="BM33" s="14"/>
      <c r="BN33" s="15">
        <f t="shared" si="36"/>
        <v>269</v>
      </c>
      <c r="BO33" s="66">
        <f>SUM(G33,L33,Q33,V33,AA33,AF33,AK33,AP33,AU33,AZ33,BE33,BJ33)</f>
        <v>3309</v>
      </c>
      <c r="BP33" s="13">
        <f>SUM(H33,M33,R33,W33,AB33,AG33,AL33,AQ33,AV33,BA33,BF33,BK33)</f>
        <v>0</v>
      </c>
      <c r="BQ33" s="13">
        <f>SUM(I33,N33,S33,X33,AC33,AH33,AM33,AR33,AW33,BB33,BG33,BL33)</f>
        <v>0</v>
      </c>
      <c r="BR33" s="14">
        <f>SUM(J33,O33,T33,Y33,AD33,AI33,AN33,AS33,AX33,BC33,BH33,BM33)</f>
        <v>0</v>
      </c>
      <c r="BS33" s="33">
        <f t="shared" si="12"/>
        <v>3309</v>
      </c>
    </row>
    <row r="34" spans="2:71" x14ac:dyDescent="0.3">
      <c r="B34" s="269"/>
      <c r="C34" s="230"/>
      <c r="D34" s="233"/>
      <c r="E34" s="239"/>
      <c r="F34" s="121" t="s">
        <v>321</v>
      </c>
      <c r="G34" s="32"/>
      <c r="H34" s="13"/>
      <c r="I34" s="13"/>
      <c r="J34" s="14"/>
      <c r="K34" s="15">
        <f t="shared" si="37"/>
        <v>0</v>
      </c>
      <c r="L34" s="32"/>
      <c r="M34" s="13"/>
      <c r="N34" s="13"/>
      <c r="O34" s="14"/>
      <c r="P34" s="15">
        <f t="shared" si="26"/>
        <v>0</v>
      </c>
      <c r="Q34" s="32">
        <v>1383</v>
      </c>
      <c r="R34" s="13"/>
      <c r="S34" s="13"/>
      <c r="T34" s="14"/>
      <c r="U34" s="15">
        <f t="shared" si="27"/>
        <v>1383</v>
      </c>
      <c r="V34" s="32">
        <v>2069</v>
      </c>
      <c r="W34" s="13"/>
      <c r="X34" s="13"/>
      <c r="Y34" s="14"/>
      <c r="Z34" s="15">
        <f t="shared" si="28"/>
        <v>2069</v>
      </c>
      <c r="AA34" s="32">
        <v>589</v>
      </c>
      <c r="AB34" s="13"/>
      <c r="AC34" s="13"/>
      <c r="AD34" s="14"/>
      <c r="AE34" s="15">
        <f t="shared" si="29"/>
        <v>589</v>
      </c>
      <c r="AF34" s="32"/>
      <c r="AG34" s="13"/>
      <c r="AH34" s="13"/>
      <c r="AI34" s="14"/>
      <c r="AJ34" s="15">
        <f t="shared" si="30"/>
        <v>0</v>
      </c>
      <c r="AK34" s="32"/>
      <c r="AL34" s="13"/>
      <c r="AM34" s="13"/>
      <c r="AN34" s="14"/>
      <c r="AO34" s="15">
        <f t="shared" si="31"/>
        <v>0</v>
      </c>
      <c r="AP34" s="32"/>
      <c r="AQ34" s="13"/>
      <c r="AR34" s="13"/>
      <c r="AS34" s="14"/>
      <c r="AT34" s="15">
        <f t="shared" si="32"/>
        <v>0</v>
      </c>
      <c r="AU34" s="32"/>
      <c r="AV34" s="13"/>
      <c r="AW34" s="13"/>
      <c r="AX34" s="14"/>
      <c r="AY34" s="15">
        <f t="shared" si="33"/>
        <v>0</v>
      </c>
      <c r="AZ34" s="32">
        <v>3729</v>
      </c>
      <c r="BA34" s="13"/>
      <c r="BB34" s="13"/>
      <c r="BC34" s="14"/>
      <c r="BD34" s="15">
        <f t="shared" si="34"/>
        <v>3729</v>
      </c>
      <c r="BE34" s="32">
        <v>2184</v>
      </c>
      <c r="BF34" s="13"/>
      <c r="BG34" s="13"/>
      <c r="BH34" s="14"/>
      <c r="BI34" s="15">
        <f t="shared" si="35"/>
        <v>2184</v>
      </c>
      <c r="BJ34" s="32">
        <v>792</v>
      </c>
      <c r="BK34" s="13"/>
      <c r="BL34" s="13"/>
      <c r="BM34" s="14"/>
      <c r="BN34" s="15">
        <f t="shared" si="36"/>
        <v>792</v>
      </c>
      <c r="BO34" s="66">
        <f>SUM(G34,L34,Q34,V34,AA34,AF34,AK34,AP34,AU34,AZ34,BE34,BJ34)</f>
        <v>10746</v>
      </c>
      <c r="BP34" s="13">
        <f>SUM(H34,M34,R34,W34,AB34,AG34,AL34,AQ34,AV34,BA34,BF34,BK34)</f>
        <v>0</v>
      </c>
      <c r="BQ34" s="13">
        <f>SUM(I34,N34,S34,X34,AC34,AH34,AM34,AR34,AW34,BB34,BG34,BL34)</f>
        <v>0</v>
      </c>
      <c r="BR34" s="14">
        <f>SUM(J34,O34,T34,Y34,AD34,AI34,AN34,AS34,AX34,BC34,BH34,BM34)</f>
        <v>0</v>
      </c>
      <c r="BS34" s="33">
        <f t="shared" si="12"/>
        <v>10746</v>
      </c>
    </row>
    <row r="35" spans="2:71" x14ac:dyDescent="0.3">
      <c r="B35" s="269"/>
      <c r="C35" s="230"/>
      <c r="D35" s="233"/>
      <c r="E35" s="239"/>
      <c r="F35" s="121" t="s">
        <v>322</v>
      </c>
      <c r="G35" s="32"/>
      <c r="H35" s="13"/>
      <c r="I35" s="13"/>
      <c r="J35" s="14"/>
      <c r="K35" s="15">
        <f t="shared" si="37"/>
        <v>0</v>
      </c>
      <c r="L35" s="32"/>
      <c r="M35" s="13"/>
      <c r="N35" s="13"/>
      <c r="O35" s="14"/>
      <c r="P35" s="15">
        <f t="shared" si="26"/>
        <v>0</v>
      </c>
      <c r="Q35" s="32">
        <v>334</v>
      </c>
      <c r="R35" s="13"/>
      <c r="S35" s="13"/>
      <c r="T35" s="14"/>
      <c r="U35" s="15">
        <f t="shared" si="27"/>
        <v>334</v>
      </c>
      <c r="V35" s="32">
        <v>597</v>
      </c>
      <c r="W35" s="13"/>
      <c r="X35" s="13"/>
      <c r="Y35" s="14"/>
      <c r="Z35" s="15">
        <f t="shared" si="28"/>
        <v>597</v>
      </c>
      <c r="AA35" s="32">
        <v>148</v>
      </c>
      <c r="AB35" s="13"/>
      <c r="AC35" s="13"/>
      <c r="AD35" s="14"/>
      <c r="AE35" s="15">
        <f t="shared" si="29"/>
        <v>148</v>
      </c>
      <c r="AF35" s="32"/>
      <c r="AG35" s="13"/>
      <c r="AH35" s="13"/>
      <c r="AI35" s="14"/>
      <c r="AJ35" s="15">
        <f t="shared" si="30"/>
        <v>0</v>
      </c>
      <c r="AK35" s="32"/>
      <c r="AL35" s="13"/>
      <c r="AM35" s="13"/>
      <c r="AN35" s="14"/>
      <c r="AO35" s="15">
        <f t="shared" si="31"/>
        <v>0</v>
      </c>
      <c r="AP35" s="32"/>
      <c r="AQ35" s="13"/>
      <c r="AR35" s="13"/>
      <c r="AS35" s="14"/>
      <c r="AT35" s="15">
        <f t="shared" si="32"/>
        <v>0</v>
      </c>
      <c r="AU35" s="32"/>
      <c r="AV35" s="13"/>
      <c r="AW35" s="13"/>
      <c r="AX35" s="14"/>
      <c r="AY35" s="15">
        <f t="shared" si="33"/>
        <v>0</v>
      </c>
      <c r="AZ35" s="32">
        <v>862</v>
      </c>
      <c r="BA35" s="13"/>
      <c r="BB35" s="13"/>
      <c r="BC35" s="14"/>
      <c r="BD35" s="15">
        <f t="shared" si="34"/>
        <v>862</v>
      </c>
      <c r="BE35" s="32">
        <v>660</v>
      </c>
      <c r="BF35" s="13"/>
      <c r="BG35" s="13"/>
      <c r="BH35" s="14"/>
      <c r="BI35" s="15">
        <f t="shared" si="35"/>
        <v>660</v>
      </c>
      <c r="BJ35" s="32">
        <v>234</v>
      </c>
      <c r="BK35" s="13"/>
      <c r="BL35" s="13"/>
      <c r="BM35" s="14"/>
      <c r="BN35" s="15">
        <f t="shared" si="36"/>
        <v>234</v>
      </c>
      <c r="BO35" s="66">
        <f>SUM(G35,L35,Q35,V35,AA35,AF35,AK35,AP35,AU35,AZ35,BE35,BJ35)</f>
        <v>2835</v>
      </c>
      <c r="BP35" s="13">
        <f>SUM(H35,M35,R35,W35,AB35,AG35,AL35,AQ35,AV35,BA35,BF35,BK35)</f>
        <v>0</v>
      </c>
      <c r="BQ35" s="13">
        <f>SUM(I35,N35,S35,X35,AC35,AH35,AM35,AR35,AW35,BB35,BG35,BL35)</f>
        <v>0</v>
      </c>
      <c r="BR35" s="14">
        <f>SUM(J35,O35,T35,Y35,AD35,AI35,AN35,AS35,AX35,BC35,BH35,BM35)</f>
        <v>0</v>
      </c>
      <c r="BS35" s="33">
        <f t="shared" si="12"/>
        <v>2835</v>
      </c>
    </row>
    <row r="36" spans="2:71" x14ac:dyDescent="0.3">
      <c r="B36" s="269"/>
      <c r="C36" s="230"/>
      <c r="D36" s="233"/>
      <c r="E36" s="239"/>
      <c r="F36" s="121" t="s">
        <v>425</v>
      </c>
      <c r="G36" s="32"/>
      <c r="H36" s="13"/>
      <c r="I36" s="13"/>
      <c r="J36" s="14"/>
      <c r="K36" s="15">
        <f t="shared" si="37"/>
        <v>0</v>
      </c>
      <c r="L36" s="32"/>
      <c r="M36" s="13"/>
      <c r="N36" s="13"/>
      <c r="O36" s="14"/>
      <c r="P36" s="15">
        <f t="shared" si="26"/>
        <v>0</v>
      </c>
      <c r="Q36" s="32"/>
      <c r="R36" s="13"/>
      <c r="S36" s="13"/>
      <c r="T36" s="14"/>
      <c r="U36" s="15">
        <f t="shared" si="27"/>
        <v>0</v>
      </c>
      <c r="V36" s="32"/>
      <c r="W36" s="13"/>
      <c r="X36" s="13"/>
      <c r="Y36" s="14"/>
      <c r="Z36" s="15">
        <f t="shared" si="28"/>
        <v>0</v>
      </c>
      <c r="AA36" s="32"/>
      <c r="AB36" s="13"/>
      <c r="AC36" s="13"/>
      <c r="AD36" s="14"/>
      <c r="AE36" s="15">
        <f t="shared" si="29"/>
        <v>0</v>
      </c>
      <c r="AF36" s="32"/>
      <c r="AG36" s="13"/>
      <c r="AH36" s="13"/>
      <c r="AI36" s="14"/>
      <c r="AJ36" s="15">
        <f t="shared" si="30"/>
        <v>0</v>
      </c>
      <c r="AK36" s="32"/>
      <c r="AL36" s="13"/>
      <c r="AM36" s="13"/>
      <c r="AN36" s="14"/>
      <c r="AO36" s="15">
        <f t="shared" si="31"/>
        <v>0</v>
      </c>
      <c r="AP36" s="32"/>
      <c r="AQ36" s="13"/>
      <c r="AR36" s="13"/>
      <c r="AS36" s="14"/>
      <c r="AT36" s="15">
        <f t="shared" si="32"/>
        <v>0</v>
      </c>
      <c r="AU36" s="32"/>
      <c r="AV36" s="13"/>
      <c r="AW36" s="13"/>
      <c r="AX36" s="14"/>
      <c r="AY36" s="15">
        <f t="shared" si="33"/>
        <v>0</v>
      </c>
      <c r="AZ36" s="32"/>
      <c r="BA36" s="13"/>
      <c r="BB36" s="13"/>
      <c r="BC36" s="14"/>
      <c r="BD36" s="15">
        <f t="shared" si="34"/>
        <v>0</v>
      </c>
      <c r="BE36" s="32"/>
      <c r="BF36" s="13"/>
      <c r="BG36" s="13"/>
      <c r="BH36" s="14"/>
      <c r="BI36" s="15">
        <f t="shared" si="35"/>
        <v>0</v>
      </c>
      <c r="BJ36" s="32">
        <v>197</v>
      </c>
      <c r="BK36" s="13"/>
      <c r="BL36" s="13"/>
      <c r="BM36" s="14"/>
      <c r="BN36" s="15">
        <f t="shared" si="36"/>
        <v>197</v>
      </c>
      <c r="BO36" s="66">
        <f>SUM(G36,L36,Q36,V36,AA36,AF36,AK36,AP36,AU36,AZ36,BE36,BJ36)</f>
        <v>197</v>
      </c>
      <c r="BP36" s="13">
        <f>SUM(H36,M36,R36,W36,AB36,AG36,AL36,AQ36,AV36,BA36,BF36,BK36)</f>
        <v>0</v>
      </c>
      <c r="BQ36" s="13">
        <f>SUM(I36,N36,S36,X36,AC36,AH36,AM36,AR36,AW36,BB36,BG36,BL36)</f>
        <v>0</v>
      </c>
      <c r="BR36" s="14">
        <f>SUM(J36,O36,T36,Y36,AD36,AI36,AN36,AS36,AX36,BC36,BH36,BM36)</f>
        <v>0</v>
      </c>
      <c r="BS36" s="33">
        <f t="shared" si="12"/>
        <v>197</v>
      </c>
    </row>
    <row r="37" spans="2:71" x14ac:dyDescent="0.3">
      <c r="B37" s="269"/>
      <c r="C37" s="230"/>
      <c r="D37" s="233"/>
      <c r="E37" s="239"/>
      <c r="F37" s="121" t="s">
        <v>426</v>
      </c>
      <c r="G37" s="32"/>
      <c r="H37" s="13"/>
      <c r="I37" s="13"/>
      <c r="J37" s="14"/>
      <c r="K37" s="15">
        <f t="shared" si="37"/>
        <v>0</v>
      </c>
      <c r="L37" s="32"/>
      <c r="M37" s="13"/>
      <c r="N37" s="13"/>
      <c r="O37" s="14"/>
      <c r="P37" s="15">
        <f t="shared" si="26"/>
        <v>0</v>
      </c>
      <c r="Q37" s="32"/>
      <c r="R37" s="13"/>
      <c r="S37" s="13"/>
      <c r="T37" s="14"/>
      <c r="U37" s="15">
        <f t="shared" si="27"/>
        <v>0</v>
      </c>
      <c r="V37" s="32"/>
      <c r="W37" s="13"/>
      <c r="X37" s="13"/>
      <c r="Y37" s="14"/>
      <c r="Z37" s="15">
        <f t="shared" si="28"/>
        <v>0</v>
      </c>
      <c r="AA37" s="32"/>
      <c r="AB37" s="13"/>
      <c r="AC37" s="13"/>
      <c r="AD37" s="14"/>
      <c r="AE37" s="15">
        <f t="shared" si="29"/>
        <v>0</v>
      </c>
      <c r="AF37" s="32"/>
      <c r="AG37" s="13"/>
      <c r="AH37" s="13"/>
      <c r="AI37" s="14"/>
      <c r="AJ37" s="15">
        <f t="shared" si="30"/>
        <v>0</v>
      </c>
      <c r="AK37" s="32"/>
      <c r="AL37" s="13"/>
      <c r="AM37" s="13"/>
      <c r="AN37" s="14"/>
      <c r="AO37" s="15">
        <f t="shared" si="31"/>
        <v>0</v>
      </c>
      <c r="AP37" s="32"/>
      <c r="AQ37" s="13"/>
      <c r="AR37" s="13"/>
      <c r="AS37" s="14"/>
      <c r="AT37" s="15">
        <f t="shared" si="32"/>
        <v>0</v>
      </c>
      <c r="AU37" s="32"/>
      <c r="AV37" s="13"/>
      <c r="AW37" s="13"/>
      <c r="AX37" s="14"/>
      <c r="AY37" s="15">
        <f t="shared" si="33"/>
        <v>0</v>
      </c>
      <c r="AZ37" s="32"/>
      <c r="BA37" s="13"/>
      <c r="BB37" s="13"/>
      <c r="BC37" s="14"/>
      <c r="BD37" s="15">
        <f t="shared" si="34"/>
        <v>0</v>
      </c>
      <c r="BE37" s="32"/>
      <c r="BF37" s="13"/>
      <c r="BG37" s="13"/>
      <c r="BH37" s="14"/>
      <c r="BI37" s="15">
        <f t="shared" si="35"/>
        <v>0</v>
      </c>
      <c r="BJ37" s="32">
        <v>28</v>
      </c>
      <c r="BK37" s="13"/>
      <c r="BL37" s="13"/>
      <c r="BM37" s="14"/>
      <c r="BN37" s="15">
        <f t="shared" si="36"/>
        <v>28</v>
      </c>
      <c r="BO37" s="66">
        <f>SUM(G37,L37,Q37,V37,AA37,AF37,AK37,AP37,AU37,AZ37,BE37,BJ37)</f>
        <v>28</v>
      </c>
      <c r="BP37" s="13">
        <f>SUM(H37,M37,R37,W37,AB37,AG37,AL37,AQ37,AV37,BA37,BF37,BK37)</f>
        <v>0</v>
      </c>
      <c r="BQ37" s="13">
        <f>SUM(I37,N37,S37,X37,AC37,AH37,AM37,AR37,AW37,BB37,BG37,BL37)</f>
        <v>0</v>
      </c>
      <c r="BR37" s="14">
        <f>SUM(J37,O37,T37,Y37,AD37,AI37,AN37,AS37,AX37,BC37,BH37,BM37)</f>
        <v>0</v>
      </c>
      <c r="BS37" s="33">
        <f t="shared" si="12"/>
        <v>28</v>
      </c>
    </row>
    <row r="38" spans="2:71" x14ac:dyDescent="0.3">
      <c r="B38" s="269"/>
      <c r="C38" s="230"/>
      <c r="D38" s="233"/>
      <c r="E38" s="239"/>
      <c r="F38" s="121" t="s">
        <v>427</v>
      </c>
      <c r="G38" s="32"/>
      <c r="H38" s="13"/>
      <c r="I38" s="13"/>
      <c r="J38" s="14"/>
      <c r="K38" s="15">
        <f t="shared" si="37"/>
        <v>0</v>
      </c>
      <c r="L38" s="32"/>
      <c r="M38" s="13"/>
      <c r="N38" s="13"/>
      <c r="O38" s="14"/>
      <c r="P38" s="15">
        <f t="shared" si="26"/>
        <v>0</v>
      </c>
      <c r="Q38" s="32"/>
      <c r="R38" s="13"/>
      <c r="S38" s="13"/>
      <c r="T38" s="14"/>
      <c r="U38" s="15">
        <f t="shared" si="27"/>
        <v>0</v>
      </c>
      <c r="V38" s="32"/>
      <c r="W38" s="13"/>
      <c r="X38" s="13"/>
      <c r="Y38" s="14"/>
      <c r="Z38" s="15">
        <f t="shared" si="28"/>
        <v>0</v>
      </c>
      <c r="AA38" s="32"/>
      <c r="AB38" s="13"/>
      <c r="AC38" s="13"/>
      <c r="AD38" s="14"/>
      <c r="AE38" s="15">
        <f t="shared" si="29"/>
        <v>0</v>
      </c>
      <c r="AF38" s="32"/>
      <c r="AG38" s="13"/>
      <c r="AH38" s="13"/>
      <c r="AI38" s="14"/>
      <c r="AJ38" s="15">
        <f t="shared" si="30"/>
        <v>0</v>
      </c>
      <c r="AK38" s="32"/>
      <c r="AL38" s="13"/>
      <c r="AM38" s="13"/>
      <c r="AN38" s="14"/>
      <c r="AO38" s="15">
        <f t="shared" si="31"/>
        <v>0</v>
      </c>
      <c r="AP38" s="32"/>
      <c r="AQ38" s="13"/>
      <c r="AR38" s="13"/>
      <c r="AS38" s="14"/>
      <c r="AT38" s="15">
        <f t="shared" si="32"/>
        <v>0</v>
      </c>
      <c r="AU38" s="32"/>
      <c r="AV38" s="13"/>
      <c r="AW38" s="13"/>
      <c r="AX38" s="14"/>
      <c r="AY38" s="15">
        <f t="shared" si="33"/>
        <v>0</v>
      </c>
      <c r="AZ38" s="32"/>
      <c r="BA38" s="13"/>
      <c r="BB38" s="13"/>
      <c r="BC38" s="14"/>
      <c r="BD38" s="15">
        <f t="shared" si="34"/>
        <v>0</v>
      </c>
      <c r="BE38" s="32"/>
      <c r="BF38" s="13"/>
      <c r="BG38" s="13"/>
      <c r="BH38" s="14"/>
      <c r="BI38" s="15">
        <f t="shared" si="35"/>
        <v>0</v>
      </c>
      <c r="BJ38" s="32">
        <v>113</v>
      </c>
      <c r="BK38" s="13"/>
      <c r="BL38" s="13"/>
      <c r="BM38" s="14"/>
      <c r="BN38" s="15">
        <f t="shared" si="36"/>
        <v>113</v>
      </c>
      <c r="BO38" s="66">
        <f>SUM(G38,L38,Q38,V38,AA38,AF38,AK38,AP38,AU38,AZ38,BE38,BJ38)</f>
        <v>113</v>
      </c>
      <c r="BP38" s="13">
        <f>SUM(H38,M38,R38,W38,AB38,AG38,AL38,AQ38,AV38,BA38,BF38,BK38)</f>
        <v>0</v>
      </c>
      <c r="BQ38" s="13">
        <f>SUM(I38,N38,S38,X38,AC38,AH38,AM38,AR38,AW38,BB38,BG38,BL38)</f>
        <v>0</v>
      </c>
      <c r="BR38" s="14">
        <f>SUM(J38,O38,T38,Y38,AD38,AI38,AN38,AS38,AX38,BC38,BH38,BM38)</f>
        <v>0</v>
      </c>
      <c r="BS38" s="33">
        <f t="shared" si="12"/>
        <v>113</v>
      </c>
    </row>
    <row r="39" spans="2:71" x14ac:dyDescent="0.3">
      <c r="B39" s="269"/>
      <c r="C39" s="230"/>
      <c r="D39" s="233"/>
      <c r="E39" s="239"/>
      <c r="F39" s="121" t="s">
        <v>428</v>
      </c>
      <c r="G39" s="32"/>
      <c r="H39" s="13"/>
      <c r="I39" s="13"/>
      <c r="J39" s="14"/>
      <c r="K39" s="15">
        <f t="shared" si="37"/>
        <v>0</v>
      </c>
      <c r="L39" s="32"/>
      <c r="M39" s="13"/>
      <c r="N39" s="13"/>
      <c r="O39" s="14"/>
      <c r="P39" s="15">
        <f t="shared" si="26"/>
        <v>0</v>
      </c>
      <c r="Q39" s="32"/>
      <c r="R39" s="13"/>
      <c r="S39" s="13"/>
      <c r="T39" s="14"/>
      <c r="U39" s="15">
        <f t="shared" si="27"/>
        <v>0</v>
      </c>
      <c r="V39" s="32"/>
      <c r="W39" s="13"/>
      <c r="X39" s="13"/>
      <c r="Y39" s="14"/>
      <c r="Z39" s="15">
        <f t="shared" si="28"/>
        <v>0</v>
      </c>
      <c r="AA39" s="32"/>
      <c r="AB39" s="13"/>
      <c r="AC39" s="13"/>
      <c r="AD39" s="14"/>
      <c r="AE39" s="15">
        <f t="shared" si="29"/>
        <v>0</v>
      </c>
      <c r="AF39" s="32"/>
      <c r="AG39" s="13"/>
      <c r="AH39" s="13"/>
      <c r="AI39" s="14"/>
      <c r="AJ39" s="15">
        <f t="shared" si="30"/>
        <v>0</v>
      </c>
      <c r="AK39" s="32"/>
      <c r="AL39" s="13"/>
      <c r="AM39" s="13"/>
      <c r="AN39" s="14"/>
      <c r="AO39" s="15">
        <f t="shared" si="31"/>
        <v>0</v>
      </c>
      <c r="AP39" s="32"/>
      <c r="AQ39" s="13"/>
      <c r="AR39" s="13"/>
      <c r="AS39" s="14"/>
      <c r="AT39" s="15">
        <f t="shared" si="32"/>
        <v>0</v>
      </c>
      <c r="AU39" s="32"/>
      <c r="AV39" s="13"/>
      <c r="AW39" s="13"/>
      <c r="AX39" s="14"/>
      <c r="AY39" s="15">
        <f t="shared" si="33"/>
        <v>0</v>
      </c>
      <c r="AZ39" s="32"/>
      <c r="BA39" s="13"/>
      <c r="BB39" s="13"/>
      <c r="BC39" s="14"/>
      <c r="BD39" s="15">
        <f t="shared" si="34"/>
        <v>0</v>
      </c>
      <c r="BE39" s="32"/>
      <c r="BF39" s="13"/>
      <c r="BG39" s="13"/>
      <c r="BH39" s="14"/>
      <c r="BI39" s="15">
        <f t="shared" si="35"/>
        <v>0</v>
      </c>
      <c r="BJ39" s="32">
        <v>23</v>
      </c>
      <c r="BK39" s="13"/>
      <c r="BL39" s="13"/>
      <c r="BM39" s="14"/>
      <c r="BN39" s="15">
        <f t="shared" si="36"/>
        <v>23</v>
      </c>
      <c r="BO39" s="66">
        <f>SUM(G39,L39,Q39,V39,AA39,AF39,AK39,AP39,AU39,AZ39,BE39,BJ39)</f>
        <v>23</v>
      </c>
      <c r="BP39" s="13">
        <f>SUM(H39,M39,R39,W39,AB39,AG39,AL39,AQ39,AV39,BA39,BF39,BK39)</f>
        <v>0</v>
      </c>
      <c r="BQ39" s="13">
        <f>SUM(I39,N39,S39,X39,AC39,AH39,AM39,AR39,AW39,BB39,BG39,BL39)</f>
        <v>0</v>
      </c>
      <c r="BR39" s="14">
        <f>SUM(J39,O39,T39,Y39,AD39,AI39,AN39,AS39,AX39,BC39,BH39,BM39)</f>
        <v>0</v>
      </c>
      <c r="BS39" s="33">
        <f t="shared" si="12"/>
        <v>23</v>
      </c>
    </row>
    <row r="40" spans="2:71" x14ac:dyDescent="0.3">
      <c r="B40" s="269"/>
      <c r="C40" s="230"/>
      <c r="D40" s="233"/>
      <c r="E40" s="239"/>
      <c r="F40" s="121" t="s">
        <v>429</v>
      </c>
      <c r="G40" s="32"/>
      <c r="H40" s="13"/>
      <c r="I40" s="13"/>
      <c r="J40" s="14"/>
      <c r="K40" s="15">
        <f t="shared" si="37"/>
        <v>0</v>
      </c>
      <c r="L40" s="32"/>
      <c r="M40" s="13"/>
      <c r="N40" s="13"/>
      <c r="O40" s="14"/>
      <c r="P40" s="15">
        <f t="shared" si="26"/>
        <v>0</v>
      </c>
      <c r="Q40" s="32"/>
      <c r="R40" s="13"/>
      <c r="S40" s="13"/>
      <c r="T40" s="14"/>
      <c r="U40" s="15">
        <f t="shared" si="27"/>
        <v>0</v>
      </c>
      <c r="V40" s="32"/>
      <c r="W40" s="13"/>
      <c r="X40" s="13"/>
      <c r="Y40" s="14"/>
      <c r="Z40" s="15">
        <f t="shared" si="28"/>
        <v>0</v>
      </c>
      <c r="AA40" s="32"/>
      <c r="AB40" s="13"/>
      <c r="AC40" s="13"/>
      <c r="AD40" s="14"/>
      <c r="AE40" s="15">
        <f t="shared" si="29"/>
        <v>0</v>
      </c>
      <c r="AF40" s="32"/>
      <c r="AG40" s="13"/>
      <c r="AH40" s="13"/>
      <c r="AI40" s="14"/>
      <c r="AJ40" s="15">
        <f t="shared" si="30"/>
        <v>0</v>
      </c>
      <c r="AK40" s="32"/>
      <c r="AL40" s="13"/>
      <c r="AM40" s="13"/>
      <c r="AN40" s="14"/>
      <c r="AO40" s="15">
        <f t="shared" si="31"/>
        <v>0</v>
      </c>
      <c r="AP40" s="32"/>
      <c r="AQ40" s="13"/>
      <c r="AR40" s="13"/>
      <c r="AS40" s="14"/>
      <c r="AT40" s="15">
        <f t="shared" si="32"/>
        <v>0</v>
      </c>
      <c r="AU40" s="32"/>
      <c r="AV40" s="13"/>
      <c r="AW40" s="13"/>
      <c r="AX40" s="14"/>
      <c r="AY40" s="15">
        <f t="shared" si="33"/>
        <v>0</v>
      </c>
      <c r="AZ40" s="32"/>
      <c r="BA40" s="13"/>
      <c r="BB40" s="13"/>
      <c r="BC40" s="14"/>
      <c r="BD40" s="15">
        <f t="shared" si="34"/>
        <v>0</v>
      </c>
      <c r="BE40" s="32"/>
      <c r="BF40" s="13"/>
      <c r="BG40" s="13"/>
      <c r="BH40" s="14"/>
      <c r="BI40" s="15">
        <f t="shared" si="35"/>
        <v>0</v>
      </c>
      <c r="BJ40" s="32">
        <v>1473</v>
      </c>
      <c r="BK40" s="13"/>
      <c r="BL40" s="13"/>
      <c r="BM40" s="14"/>
      <c r="BN40" s="15">
        <f t="shared" si="36"/>
        <v>1473</v>
      </c>
      <c r="BO40" s="66">
        <f>SUM(G40,L40,Q40,V40,AA40,AF40,AK40,AP40,AU40,AZ40,BE40,BJ40)</f>
        <v>1473</v>
      </c>
      <c r="BP40" s="13">
        <f>SUM(H40,M40,R40,W40,AB40,AG40,AL40,AQ40,AV40,BA40,BF40,BK40)</f>
        <v>0</v>
      </c>
      <c r="BQ40" s="13">
        <f>SUM(I40,N40,S40,X40,AC40,AH40,AM40,AR40,AW40,BB40,BG40,BL40)</f>
        <v>0</v>
      </c>
      <c r="BR40" s="14">
        <f>SUM(J40,O40,T40,Y40,AD40,AI40,AN40,AS40,AX40,BC40,BH40,BM40)</f>
        <v>0</v>
      </c>
      <c r="BS40" s="33">
        <f t="shared" si="12"/>
        <v>1473</v>
      </c>
    </row>
    <row r="41" spans="2:71" x14ac:dyDescent="0.3">
      <c r="B41" s="269"/>
      <c r="C41" s="230"/>
      <c r="D41" s="233"/>
      <c r="E41" s="239"/>
      <c r="F41" s="121" t="s">
        <v>430</v>
      </c>
      <c r="G41" s="32"/>
      <c r="H41" s="13"/>
      <c r="I41" s="13"/>
      <c r="J41" s="14"/>
      <c r="K41" s="15">
        <f t="shared" si="37"/>
        <v>0</v>
      </c>
      <c r="L41" s="32"/>
      <c r="M41" s="13"/>
      <c r="N41" s="13"/>
      <c r="O41" s="14"/>
      <c r="P41" s="15">
        <f t="shared" si="26"/>
        <v>0</v>
      </c>
      <c r="Q41" s="32"/>
      <c r="R41" s="13"/>
      <c r="S41" s="13"/>
      <c r="T41" s="14"/>
      <c r="U41" s="15">
        <f t="shared" si="27"/>
        <v>0</v>
      </c>
      <c r="V41" s="32"/>
      <c r="W41" s="13"/>
      <c r="X41" s="13"/>
      <c r="Y41" s="14"/>
      <c r="Z41" s="15">
        <f t="shared" si="28"/>
        <v>0</v>
      </c>
      <c r="AA41" s="32"/>
      <c r="AB41" s="13"/>
      <c r="AC41" s="13"/>
      <c r="AD41" s="14"/>
      <c r="AE41" s="15">
        <f t="shared" si="29"/>
        <v>0</v>
      </c>
      <c r="AF41" s="32"/>
      <c r="AG41" s="13"/>
      <c r="AH41" s="13"/>
      <c r="AI41" s="14"/>
      <c r="AJ41" s="15">
        <f t="shared" si="30"/>
        <v>0</v>
      </c>
      <c r="AK41" s="32"/>
      <c r="AL41" s="13"/>
      <c r="AM41" s="13"/>
      <c r="AN41" s="14"/>
      <c r="AO41" s="15">
        <f t="shared" si="31"/>
        <v>0</v>
      </c>
      <c r="AP41" s="32"/>
      <c r="AQ41" s="13"/>
      <c r="AR41" s="13"/>
      <c r="AS41" s="14"/>
      <c r="AT41" s="15">
        <f t="shared" si="32"/>
        <v>0</v>
      </c>
      <c r="AU41" s="32"/>
      <c r="AV41" s="13"/>
      <c r="AW41" s="13"/>
      <c r="AX41" s="14"/>
      <c r="AY41" s="15">
        <f t="shared" si="33"/>
        <v>0</v>
      </c>
      <c r="AZ41" s="32"/>
      <c r="BA41" s="13"/>
      <c r="BB41" s="13"/>
      <c r="BC41" s="14"/>
      <c r="BD41" s="15">
        <f t="shared" si="34"/>
        <v>0</v>
      </c>
      <c r="BE41" s="32"/>
      <c r="BF41" s="13"/>
      <c r="BG41" s="13"/>
      <c r="BH41" s="14"/>
      <c r="BI41" s="15">
        <f t="shared" si="35"/>
        <v>0</v>
      </c>
      <c r="BJ41" s="32">
        <v>287</v>
      </c>
      <c r="BK41" s="13"/>
      <c r="BL41" s="13"/>
      <c r="BM41" s="14"/>
      <c r="BN41" s="15">
        <f t="shared" si="36"/>
        <v>287</v>
      </c>
      <c r="BO41" s="66">
        <f>SUM(G41,L41,Q41,V41,AA41,AF41,AK41,AP41,AU41,AZ41,BE41,BJ41)</f>
        <v>287</v>
      </c>
      <c r="BP41" s="13">
        <f>SUM(H41,M41,R41,W41,AB41,AG41,AL41,AQ41,AV41,BA41,BF41,BK41)</f>
        <v>0</v>
      </c>
      <c r="BQ41" s="13">
        <f>SUM(I41,N41,S41,X41,AC41,AH41,AM41,AR41,AW41,BB41,BG41,BL41)</f>
        <v>0</v>
      </c>
      <c r="BR41" s="14">
        <f>SUM(J41,O41,T41,Y41,AD41,AI41,AN41,AS41,AX41,BC41,BH41,BM41)</f>
        <v>0</v>
      </c>
      <c r="BS41" s="33">
        <f t="shared" si="12"/>
        <v>287</v>
      </c>
    </row>
    <row r="42" spans="2:71" x14ac:dyDescent="0.3">
      <c r="B42" s="269"/>
      <c r="C42" s="230"/>
      <c r="D42" s="233"/>
      <c r="E42" s="239"/>
      <c r="F42" s="121" t="s">
        <v>431</v>
      </c>
      <c r="G42" s="32"/>
      <c r="H42" s="13"/>
      <c r="I42" s="13"/>
      <c r="J42" s="14"/>
      <c r="K42" s="15">
        <f t="shared" si="37"/>
        <v>0</v>
      </c>
      <c r="L42" s="32"/>
      <c r="M42" s="13"/>
      <c r="N42" s="13"/>
      <c r="O42" s="14"/>
      <c r="P42" s="15">
        <f t="shared" si="26"/>
        <v>0</v>
      </c>
      <c r="Q42" s="32"/>
      <c r="R42" s="13"/>
      <c r="S42" s="13"/>
      <c r="T42" s="14"/>
      <c r="U42" s="15">
        <f t="shared" si="27"/>
        <v>0</v>
      </c>
      <c r="V42" s="32"/>
      <c r="W42" s="13"/>
      <c r="X42" s="13"/>
      <c r="Y42" s="14"/>
      <c r="Z42" s="15">
        <f t="shared" si="28"/>
        <v>0</v>
      </c>
      <c r="AA42" s="32"/>
      <c r="AB42" s="13"/>
      <c r="AC42" s="13"/>
      <c r="AD42" s="14"/>
      <c r="AE42" s="15">
        <f t="shared" si="29"/>
        <v>0</v>
      </c>
      <c r="AF42" s="32"/>
      <c r="AG42" s="13"/>
      <c r="AH42" s="13"/>
      <c r="AI42" s="14"/>
      <c r="AJ42" s="15">
        <f t="shared" si="30"/>
        <v>0</v>
      </c>
      <c r="AK42" s="32"/>
      <c r="AL42" s="13"/>
      <c r="AM42" s="13"/>
      <c r="AN42" s="14"/>
      <c r="AO42" s="15">
        <f t="shared" si="31"/>
        <v>0</v>
      </c>
      <c r="AP42" s="32"/>
      <c r="AQ42" s="13"/>
      <c r="AR42" s="13"/>
      <c r="AS42" s="14"/>
      <c r="AT42" s="15">
        <f t="shared" si="32"/>
        <v>0</v>
      </c>
      <c r="AU42" s="32"/>
      <c r="AV42" s="13"/>
      <c r="AW42" s="13"/>
      <c r="AX42" s="14"/>
      <c r="AY42" s="15">
        <f t="shared" si="33"/>
        <v>0</v>
      </c>
      <c r="AZ42" s="32"/>
      <c r="BA42" s="13"/>
      <c r="BB42" s="13"/>
      <c r="BC42" s="14"/>
      <c r="BD42" s="15">
        <f t="shared" si="34"/>
        <v>0</v>
      </c>
      <c r="BE42" s="32"/>
      <c r="BF42" s="13"/>
      <c r="BG42" s="13"/>
      <c r="BH42" s="14"/>
      <c r="BI42" s="15">
        <f t="shared" si="35"/>
        <v>0</v>
      </c>
      <c r="BJ42" s="32">
        <v>1212</v>
      </c>
      <c r="BK42" s="13"/>
      <c r="BL42" s="13"/>
      <c r="BM42" s="14"/>
      <c r="BN42" s="15">
        <f t="shared" si="36"/>
        <v>1212</v>
      </c>
      <c r="BO42" s="66">
        <f>SUM(G42,L42,Q42,V42,AA42,AF42,AK42,AP42,AU42,AZ42,BE42,BJ42)</f>
        <v>1212</v>
      </c>
      <c r="BP42" s="13">
        <f>SUM(H42,M42,R42,W42,AB42,AG42,AL42,AQ42,AV42,BA42,BF42,BK42)</f>
        <v>0</v>
      </c>
      <c r="BQ42" s="13">
        <f>SUM(I42,N42,S42,X42,AC42,AH42,AM42,AR42,AW42,BB42,BG42,BL42)</f>
        <v>0</v>
      </c>
      <c r="BR42" s="14">
        <f>SUM(J42,O42,T42,Y42,AD42,AI42,AN42,AS42,AX42,BC42,BH42,BM42)</f>
        <v>0</v>
      </c>
      <c r="BS42" s="33">
        <f t="shared" si="12"/>
        <v>1212</v>
      </c>
    </row>
    <row r="43" spans="2:71" x14ac:dyDescent="0.3">
      <c r="B43" s="269"/>
      <c r="C43" s="230"/>
      <c r="D43" s="233"/>
      <c r="E43" s="239"/>
      <c r="F43" s="121" t="s">
        <v>432</v>
      </c>
      <c r="G43" s="32"/>
      <c r="H43" s="13"/>
      <c r="I43" s="13"/>
      <c r="J43" s="14"/>
      <c r="K43" s="15">
        <f t="shared" si="37"/>
        <v>0</v>
      </c>
      <c r="L43" s="32"/>
      <c r="M43" s="13"/>
      <c r="N43" s="13"/>
      <c r="O43" s="14"/>
      <c r="P43" s="15">
        <f t="shared" si="26"/>
        <v>0</v>
      </c>
      <c r="Q43" s="32"/>
      <c r="R43" s="13"/>
      <c r="S43" s="13"/>
      <c r="T43" s="14"/>
      <c r="U43" s="15">
        <f t="shared" si="27"/>
        <v>0</v>
      </c>
      <c r="V43" s="32"/>
      <c r="W43" s="13"/>
      <c r="X43" s="13"/>
      <c r="Y43" s="14"/>
      <c r="Z43" s="15">
        <f t="shared" si="28"/>
        <v>0</v>
      </c>
      <c r="AA43" s="32"/>
      <c r="AB43" s="13"/>
      <c r="AC43" s="13"/>
      <c r="AD43" s="14"/>
      <c r="AE43" s="15">
        <f t="shared" si="29"/>
        <v>0</v>
      </c>
      <c r="AF43" s="32"/>
      <c r="AG43" s="13"/>
      <c r="AH43" s="13"/>
      <c r="AI43" s="14"/>
      <c r="AJ43" s="15">
        <f t="shared" si="30"/>
        <v>0</v>
      </c>
      <c r="AK43" s="32"/>
      <c r="AL43" s="13"/>
      <c r="AM43" s="13"/>
      <c r="AN43" s="14"/>
      <c r="AO43" s="15">
        <f t="shared" si="31"/>
        <v>0</v>
      </c>
      <c r="AP43" s="32"/>
      <c r="AQ43" s="13"/>
      <c r="AR43" s="13"/>
      <c r="AS43" s="14"/>
      <c r="AT43" s="15">
        <f t="shared" si="32"/>
        <v>0</v>
      </c>
      <c r="AU43" s="32"/>
      <c r="AV43" s="13"/>
      <c r="AW43" s="13"/>
      <c r="AX43" s="14"/>
      <c r="AY43" s="15">
        <f t="shared" si="33"/>
        <v>0</v>
      </c>
      <c r="AZ43" s="32"/>
      <c r="BA43" s="13"/>
      <c r="BB43" s="13"/>
      <c r="BC43" s="14"/>
      <c r="BD43" s="15">
        <f t="shared" si="34"/>
        <v>0</v>
      </c>
      <c r="BE43" s="32"/>
      <c r="BF43" s="13"/>
      <c r="BG43" s="13"/>
      <c r="BH43" s="14"/>
      <c r="BI43" s="15">
        <f t="shared" si="35"/>
        <v>0</v>
      </c>
      <c r="BJ43" s="32">
        <v>252</v>
      </c>
      <c r="BK43" s="13"/>
      <c r="BL43" s="13"/>
      <c r="BM43" s="14"/>
      <c r="BN43" s="15">
        <f t="shared" si="36"/>
        <v>252</v>
      </c>
      <c r="BO43" s="66">
        <f>SUM(G43,L43,Q43,V43,AA43,AF43,AK43,AP43,AU43,AZ43,BE43,BJ43)</f>
        <v>252</v>
      </c>
      <c r="BP43" s="13">
        <f>SUM(H43,M43,R43,W43,AB43,AG43,AL43,AQ43,AV43,BA43,BF43,BK43)</f>
        <v>0</v>
      </c>
      <c r="BQ43" s="13">
        <f>SUM(I43,N43,S43,X43,AC43,AH43,AM43,AR43,AW43,BB43,BG43,BL43)</f>
        <v>0</v>
      </c>
      <c r="BR43" s="14">
        <f>SUM(J43,O43,T43,Y43,AD43,AI43,AN43,AS43,AX43,BC43,BH43,BM43)</f>
        <v>0</v>
      </c>
      <c r="BS43" s="33">
        <f t="shared" si="12"/>
        <v>252</v>
      </c>
    </row>
    <row r="44" spans="2:71" x14ac:dyDescent="0.3">
      <c r="B44" s="269"/>
      <c r="C44" s="230"/>
      <c r="D44" s="233"/>
      <c r="E44" s="239"/>
      <c r="F44" s="178" t="s">
        <v>311</v>
      </c>
      <c r="G44" s="179"/>
      <c r="H44" s="180"/>
      <c r="I44" s="180"/>
      <c r="J44" s="181"/>
      <c r="K44" s="182">
        <f t="shared" si="37"/>
        <v>0</v>
      </c>
      <c r="L44" s="179"/>
      <c r="M44" s="180"/>
      <c r="N44" s="180"/>
      <c r="O44" s="181"/>
      <c r="P44" s="182">
        <f t="shared" si="26"/>
        <v>0</v>
      </c>
      <c r="Q44" s="179">
        <v>200</v>
      </c>
      <c r="R44" s="180"/>
      <c r="S44" s="180"/>
      <c r="T44" s="181"/>
      <c r="U44" s="182">
        <f t="shared" si="27"/>
        <v>200</v>
      </c>
      <c r="V44" s="179">
        <v>343</v>
      </c>
      <c r="W44" s="180"/>
      <c r="X44" s="180"/>
      <c r="Y44" s="181"/>
      <c r="Z44" s="182">
        <f t="shared" si="28"/>
        <v>343</v>
      </c>
      <c r="AA44" s="179">
        <v>110</v>
      </c>
      <c r="AB44" s="180"/>
      <c r="AC44" s="180"/>
      <c r="AD44" s="181"/>
      <c r="AE44" s="182">
        <f t="shared" si="29"/>
        <v>110</v>
      </c>
      <c r="AF44" s="179"/>
      <c r="AG44" s="180"/>
      <c r="AH44" s="180"/>
      <c r="AI44" s="181"/>
      <c r="AJ44" s="182">
        <f t="shared" si="30"/>
        <v>0</v>
      </c>
      <c r="AK44" s="179"/>
      <c r="AL44" s="180"/>
      <c r="AM44" s="180"/>
      <c r="AN44" s="181"/>
      <c r="AO44" s="182">
        <f t="shared" si="31"/>
        <v>0</v>
      </c>
      <c r="AP44" s="179"/>
      <c r="AQ44" s="180"/>
      <c r="AR44" s="180"/>
      <c r="AS44" s="181"/>
      <c r="AT44" s="182">
        <f t="shared" si="32"/>
        <v>0</v>
      </c>
      <c r="AU44" s="179"/>
      <c r="AV44" s="180"/>
      <c r="AW44" s="180"/>
      <c r="AX44" s="181"/>
      <c r="AY44" s="182">
        <f t="shared" si="33"/>
        <v>0</v>
      </c>
      <c r="AZ44" s="179">
        <v>796</v>
      </c>
      <c r="BA44" s="180"/>
      <c r="BB44" s="180"/>
      <c r="BC44" s="181"/>
      <c r="BD44" s="182">
        <f t="shared" si="34"/>
        <v>796</v>
      </c>
      <c r="BE44" s="179">
        <v>516</v>
      </c>
      <c r="BF44" s="180"/>
      <c r="BG44" s="180"/>
      <c r="BH44" s="181"/>
      <c r="BI44" s="182">
        <f t="shared" si="35"/>
        <v>516</v>
      </c>
      <c r="BJ44" s="179">
        <v>6</v>
      </c>
      <c r="BK44" s="180"/>
      <c r="BL44" s="180"/>
      <c r="BM44" s="181"/>
      <c r="BN44" s="182">
        <f t="shared" si="36"/>
        <v>6</v>
      </c>
      <c r="BO44" s="184">
        <f>SUM(G44,L44,Q44,V44,AA44,AF44,AK44,AP44,AU44,AZ44,BE44,BJ44)</f>
        <v>1971</v>
      </c>
      <c r="BP44" s="180">
        <f>SUM(H44,M44,R44,W44,AB44,AG44,AL44,AQ44,AV44,BA44,BF44,BK44)</f>
        <v>0</v>
      </c>
      <c r="BQ44" s="180">
        <f>SUM(I44,N44,S44,X44,AC44,AH44,AM44,AR44,AW44,BB44,BG44,BL44)</f>
        <v>0</v>
      </c>
      <c r="BR44" s="181">
        <f>SUM(J44,O44,T44,Y44,AD44,AI44,AN44,AS44,AX44,BC44,BH44,BM44)</f>
        <v>0</v>
      </c>
      <c r="BS44" s="183">
        <f t="shared" si="12"/>
        <v>1971</v>
      </c>
    </row>
    <row r="45" spans="2:71" x14ac:dyDescent="0.3">
      <c r="B45" s="269"/>
      <c r="C45" s="230"/>
      <c r="D45" s="233"/>
      <c r="E45" s="239"/>
      <c r="F45" s="178" t="s">
        <v>277</v>
      </c>
      <c r="G45" s="179"/>
      <c r="H45" s="180"/>
      <c r="I45" s="180"/>
      <c r="J45" s="181"/>
      <c r="K45" s="182">
        <f t="shared" si="37"/>
        <v>0</v>
      </c>
      <c r="L45" s="179"/>
      <c r="M45" s="180"/>
      <c r="N45" s="180"/>
      <c r="O45" s="181"/>
      <c r="P45" s="182">
        <f t="shared" si="26"/>
        <v>0</v>
      </c>
      <c r="Q45" s="179">
        <v>14</v>
      </c>
      <c r="R45" s="180"/>
      <c r="S45" s="180"/>
      <c r="T45" s="181"/>
      <c r="U45" s="182">
        <f t="shared" si="27"/>
        <v>14</v>
      </c>
      <c r="V45" s="179">
        <v>28</v>
      </c>
      <c r="W45" s="180"/>
      <c r="X45" s="180"/>
      <c r="Y45" s="181"/>
      <c r="Z45" s="182">
        <f t="shared" si="28"/>
        <v>28</v>
      </c>
      <c r="AA45" s="179">
        <v>14</v>
      </c>
      <c r="AB45" s="180"/>
      <c r="AC45" s="180"/>
      <c r="AD45" s="181"/>
      <c r="AE45" s="182">
        <f t="shared" si="29"/>
        <v>14</v>
      </c>
      <c r="AF45" s="179"/>
      <c r="AG45" s="180"/>
      <c r="AH45" s="180"/>
      <c r="AI45" s="181"/>
      <c r="AJ45" s="182">
        <f t="shared" si="30"/>
        <v>0</v>
      </c>
      <c r="AK45" s="179"/>
      <c r="AL45" s="180"/>
      <c r="AM45" s="180"/>
      <c r="AN45" s="181"/>
      <c r="AO45" s="182">
        <f t="shared" si="31"/>
        <v>0</v>
      </c>
      <c r="AP45" s="179"/>
      <c r="AQ45" s="180"/>
      <c r="AR45" s="180"/>
      <c r="AS45" s="181"/>
      <c r="AT45" s="182">
        <f t="shared" si="32"/>
        <v>0</v>
      </c>
      <c r="AU45" s="179"/>
      <c r="AV45" s="180"/>
      <c r="AW45" s="180"/>
      <c r="AX45" s="181"/>
      <c r="AY45" s="182">
        <f t="shared" si="33"/>
        <v>0</v>
      </c>
      <c r="AZ45" s="179">
        <v>72</v>
      </c>
      <c r="BA45" s="180"/>
      <c r="BB45" s="180"/>
      <c r="BC45" s="181"/>
      <c r="BD45" s="182">
        <f t="shared" si="34"/>
        <v>72</v>
      </c>
      <c r="BE45" s="179">
        <v>62</v>
      </c>
      <c r="BF45" s="180"/>
      <c r="BG45" s="180"/>
      <c r="BH45" s="181"/>
      <c r="BI45" s="182">
        <f t="shared" si="35"/>
        <v>62</v>
      </c>
      <c r="BJ45" s="179"/>
      <c r="BK45" s="180"/>
      <c r="BL45" s="180"/>
      <c r="BM45" s="181"/>
      <c r="BN45" s="182">
        <f t="shared" si="36"/>
        <v>0</v>
      </c>
      <c r="BO45" s="184">
        <f>SUM(G45,L45,Q45,V45,AA45,AF45,AK45,AP45,AU45,AZ45,BE45,BJ45)</f>
        <v>190</v>
      </c>
      <c r="BP45" s="180">
        <f>SUM(H45,M45,R45,W45,AB45,AG45,AL45,AQ45,AV45,BA45,BF45,BK45)</f>
        <v>0</v>
      </c>
      <c r="BQ45" s="180">
        <f>SUM(I45,N45,S45,X45,AC45,AH45,AM45,AR45,AW45,BB45,BG45,BL45)</f>
        <v>0</v>
      </c>
      <c r="BR45" s="181">
        <f>SUM(J45,O45,T45,Y45,AD45,AI45,AN45,AS45,AX45,BC45,BH45,BM45)</f>
        <v>0</v>
      </c>
      <c r="BS45" s="183">
        <f t="shared" si="12"/>
        <v>190</v>
      </c>
    </row>
    <row r="46" spans="2:71" x14ac:dyDescent="0.3">
      <c r="B46" s="269"/>
      <c r="C46" s="230"/>
      <c r="D46" s="233"/>
      <c r="E46" s="239"/>
      <c r="F46" s="178" t="s">
        <v>278</v>
      </c>
      <c r="G46" s="179"/>
      <c r="H46" s="180"/>
      <c r="I46" s="180"/>
      <c r="J46" s="181"/>
      <c r="K46" s="182">
        <f t="shared" si="37"/>
        <v>0</v>
      </c>
      <c r="L46" s="179"/>
      <c r="M46" s="180"/>
      <c r="N46" s="180"/>
      <c r="O46" s="181"/>
      <c r="P46" s="182">
        <f t="shared" si="26"/>
        <v>0</v>
      </c>
      <c r="Q46" s="179">
        <v>133</v>
      </c>
      <c r="R46" s="180"/>
      <c r="S46" s="180"/>
      <c r="T46" s="181"/>
      <c r="U46" s="182">
        <f t="shared" si="27"/>
        <v>133</v>
      </c>
      <c r="V46" s="179">
        <v>194</v>
      </c>
      <c r="W46" s="180"/>
      <c r="X46" s="180"/>
      <c r="Y46" s="181"/>
      <c r="Z46" s="182">
        <f t="shared" si="28"/>
        <v>194</v>
      </c>
      <c r="AA46" s="179">
        <v>72</v>
      </c>
      <c r="AB46" s="180"/>
      <c r="AC46" s="180"/>
      <c r="AD46" s="181"/>
      <c r="AE46" s="182">
        <f t="shared" si="29"/>
        <v>72</v>
      </c>
      <c r="AF46" s="179"/>
      <c r="AG46" s="180"/>
      <c r="AH46" s="180"/>
      <c r="AI46" s="181"/>
      <c r="AJ46" s="182">
        <f t="shared" si="30"/>
        <v>0</v>
      </c>
      <c r="AK46" s="179"/>
      <c r="AL46" s="180"/>
      <c r="AM46" s="180"/>
      <c r="AN46" s="181"/>
      <c r="AO46" s="182">
        <f t="shared" si="31"/>
        <v>0</v>
      </c>
      <c r="AP46" s="179"/>
      <c r="AQ46" s="180"/>
      <c r="AR46" s="180"/>
      <c r="AS46" s="181"/>
      <c r="AT46" s="182">
        <f t="shared" si="32"/>
        <v>0</v>
      </c>
      <c r="AU46" s="179"/>
      <c r="AV46" s="180"/>
      <c r="AW46" s="180"/>
      <c r="AX46" s="181"/>
      <c r="AY46" s="182">
        <f t="shared" si="33"/>
        <v>0</v>
      </c>
      <c r="AZ46" s="179">
        <v>458</v>
      </c>
      <c r="BA46" s="180"/>
      <c r="BB46" s="180"/>
      <c r="BC46" s="181"/>
      <c r="BD46" s="182">
        <f t="shared" si="34"/>
        <v>458</v>
      </c>
      <c r="BE46" s="179">
        <v>295</v>
      </c>
      <c r="BF46" s="180"/>
      <c r="BG46" s="180"/>
      <c r="BH46" s="181"/>
      <c r="BI46" s="182">
        <f t="shared" si="35"/>
        <v>295</v>
      </c>
      <c r="BJ46" s="179">
        <v>3</v>
      </c>
      <c r="BK46" s="180"/>
      <c r="BL46" s="180"/>
      <c r="BM46" s="181"/>
      <c r="BN46" s="182">
        <f t="shared" si="36"/>
        <v>3</v>
      </c>
      <c r="BO46" s="184">
        <f>SUM(G46,L46,Q46,V46,AA46,AF46,AK46,AP46,AU46,AZ46,BE46,BJ46)</f>
        <v>1155</v>
      </c>
      <c r="BP46" s="180">
        <f>SUM(H46,M46,R46,W46,AB46,AG46,AL46,AQ46,AV46,BA46,BF46,BK46)</f>
        <v>0</v>
      </c>
      <c r="BQ46" s="180">
        <f>SUM(I46,N46,S46,X46,AC46,AH46,AM46,AR46,AW46,BB46,BG46,BL46)</f>
        <v>0</v>
      </c>
      <c r="BR46" s="181">
        <f>SUM(J46,O46,T46,Y46,AD46,AI46,AN46,AS46,AX46,BC46,BH46,BM46)</f>
        <v>0</v>
      </c>
      <c r="BS46" s="183">
        <f t="shared" si="12"/>
        <v>1155</v>
      </c>
    </row>
    <row r="47" spans="2:71" x14ac:dyDescent="0.3">
      <c r="B47" s="269"/>
      <c r="C47" s="230"/>
      <c r="D47" s="233"/>
      <c r="E47" s="239"/>
      <c r="F47" s="178" t="s">
        <v>279</v>
      </c>
      <c r="G47" s="179"/>
      <c r="H47" s="180"/>
      <c r="I47" s="180"/>
      <c r="J47" s="181"/>
      <c r="K47" s="182">
        <f t="shared" si="37"/>
        <v>0</v>
      </c>
      <c r="L47" s="179"/>
      <c r="M47" s="180"/>
      <c r="N47" s="180"/>
      <c r="O47" s="181"/>
      <c r="P47" s="182">
        <f t="shared" si="26"/>
        <v>0</v>
      </c>
      <c r="Q47" s="179">
        <v>9</v>
      </c>
      <c r="R47" s="180"/>
      <c r="S47" s="180"/>
      <c r="T47" s="181"/>
      <c r="U47" s="182">
        <f t="shared" si="27"/>
        <v>9</v>
      </c>
      <c r="V47" s="179">
        <v>18</v>
      </c>
      <c r="W47" s="180"/>
      <c r="X47" s="180"/>
      <c r="Y47" s="181"/>
      <c r="Z47" s="182">
        <f t="shared" si="28"/>
        <v>18</v>
      </c>
      <c r="AA47" s="179">
        <v>10</v>
      </c>
      <c r="AB47" s="180"/>
      <c r="AC47" s="180"/>
      <c r="AD47" s="181"/>
      <c r="AE47" s="182">
        <f t="shared" si="29"/>
        <v>10</v>
      </c>
      <c r="AF47" s="179"/>
      <c r="AG47" s="180"/>
      <c r="AH47" s="180"/>
      <c r="AI47" s="181"/>
      <c r="AJ47" s="182">
        <f t="shared" si="30"/>
        <v>0</v>
      </c>
      <c r="AK47" s="179"/>
      <c r="AL47" s="180"/>
      <c r="AM47" s="180"/>
      <c r="AN47" s="181"/>
      <c r="AO47" s="182">
        <f t="shared" si="31"/>
        <v>0</v>
      </c>
      <c r="AP47" s="179"/>
      <c r="AQ47" s="180"/>
      <c r="AR47" s="180"/>
      <c r="AS47" s="181"/>
      <c r="AT47" s="182">
        <f t="shared" si="32"/>
        <v>0</v>
      </c>
      <c r="AU47" s="179"/>
      <c r="AV47" s="180"/>
      <c r="AW47" s="180"/>
      <c r="AX47" s="181"/>
      <c r="AY47" s="182">
        <f t="shared" si="33"/>
        <v>0</v>
      </c>
      <c r="AZ47" s="179">
        <v>49</v>
      </c>
      <c r="BA47" s="180"/>
      <c r="BB47" s="180"/>
      <c r="BC47" s="181"/>
      <c r="BD47" s="182">
        <f t="shared" si="34"/>
        <v>49</v>
      </c>
      <c r="BE47" s="179">
        <v>47</v>
      </c>
      <c r="BF47" s="180"/>
      <c r="BG47" s="180"/>
      <c r="BH47" s="181"/>
      <c r="BI47" s="182">
        <f t="shared" si="35"/>
        <v>47</v>
      </c>
      <c r="BJ47" s="179"/>
      <c r="BK47" s="180"/>
      <c r="BL47" s="180"/>
      <c r="BM47" s="181"/>
      <c r="BN47" s="182">
        <f t="shared" si="36"/>
        <v>0</v>
      </c>
      <c r="BO47" s="184">
        <f>SUM(G47,L47,Q47,V47,AA47,AF47,AK47,AP47,AU47,AZ47,BE47,BJ47)</f>
        <v>133</v>
      </c>
      <c r="BP47" s="180">
        <f>SUM(H47,M47,R47,W47,AB47,AG47,AL47,AQ47,AV47,BA47,BF47,BK47)</f>
        <v>0</v>
      </c>
      <c r="BQ47" s="180">
        <f>SUM(I47,N47,S47,X47,AC47,AH47,AM47,AR47,AW47,BB47,BG47,BL47)</f>
        <v>0</v>
      </c>
      <c r="BR47" s="181">
        <f>SUM(J47,O47,T47,Y47,AD47,AI47,AN47,AS47,AX47,BC47,BH47,BM47)</f>
        <v>0</v>
      </c>
      <c r="BS47" s="183">
        <f t="shared" si="12"/>
        <v>133</v>
      </c>
    </row>
    <row r="48" spans="2:71" x14ac:dyDescent="0.3">
      <c r="B48" s="269"/>
      <c r="C48" s="230"/>
      <c r="D48" s="233"/>
      <c r="E48" s="239"/>
      <c r="F48" s="178" t="s">
        <v>315</v>
      </c>
      <c r="G48" s="179"/>
      <c r="H48" s="180"/>
      <c r="I48" s="180"/>
      <c r="J48" s="181"/>
      <c r="K48" s="182">
        <f t="shared" si="37"/>
        <v>0</v>
      </c>
      <c r="L48" s="193">
        <v>3</v>
      </c>
      <c r="M48" s="180"/>
      <c r="N48" s="180"/>
      <c r="O48" s="181"/>
      <c r="P48" s="182">
        <f t="shared" si="26"/>
        <v>3</v>
      </c>
      <c r="Q48" s="179">
        <v>1940</v>
      </c>
      <c r="R48" s="180"/>
      <c r="S48" s="180"/>
      <c r="T48" s="181"/>
      <c r="U48" s="182">
        <f t="shared" si="27"/>
        <v>1940</v>
      </c>
      <c r="V48" s="179">
        <v>3744</v>
      </c>
      <c r="W48" s="180"/>
      <c r="X48" s="180"/>
      <c r="Y48" s="181"/>
      <c r="Z48" s="182">
        <f t="shared" si="28"/>
        <v>3744</v>
      </c>
      <c r="AA48" s="179">
        <v>1236</v>
      </c>
      <c r="AB48" s="180"/>
      <c r="AC48" s="180"/>
      <c r="AD48" s="181"/>
      <c r="AE48" s="182">
        <f t="shared" si="29"/>
        <v>1236</v>
      </c>
      <c r="AF48" s="179"/>
      <c r="AG48" s="180"/>
      <c r="AH48" s="180"/>
      <c r="AI48" s="181"/>
      <c r="AJ48" s="182">
        <f t="shared" si="30"/>
        <v>0</v>
      </c>
      <c r="AK48" s="179"/>
      <c r="AL48" s="180"/>
      <c r="AM48" s="180"/>
      <c r="AN48" s="181"/>
      <c r="AO48" s="182">
        <f t="shared" si="31"/>
        <v>0</v>
      </c>
      <c r="AP48" s="179"/>
      <c r="AQ48" s="180"/>
      <c r="AR48" s="180"/>
      <c r="AS48" s="181"/>
      <c r="AT48" s="182">
        <f t="shared" si="32"/>
        <v>0</v>
      </c>
      <c r="AU48" s="179"/>
      <c r="AV48" s="180"/>
      <c r="AW48" s="180"/>
      <c r="AX48" s="181"/>
      <c r="AY48" s="182">
        <f t="shared" si="33"/>
        <v>0</v>
      </c>
      <c r="AZ48" s="179">
        <v>7214</v>
      </c>
      <c r="BA48" s="180"/>
      <c r="BB48" s="180"/>
      <c r="BC48" s="181"/>
      <c r="BD48" s="182">
        <f t="shared" si="34"/>
        <v>7214</v>
      </c>
      <c r="BE48" s="179">
        <v>4882</v>
      </c>
      <c r="BF48" s="180"/>
      <c r="BG48" s="180"/>
      <c r="BH48" s="181"/>
      <c r="BI48" s="182">
        <f t="shared" si="35"/>
        <v>4882</v>
      </c>
      <c r="BJ48" s="179">
        <v>25</v>
      </c>
      <c r="BK48" s="180"/>
      <c r="BL48" s="180"/>
      <c r="BM48" s="181"/>
      <c r="BN48" s="182">
        <f t="shared" si="36"/>
        <v>25</v>
      </c>
      <c r="BO48" s="184">
        <f>SUM(G48,L48,Q48,V48,AA48,AF48,AK48,AP48,AU48,AZ48,BE48,BJ48)</f>
        <v>19044</v>
      </c>
      <c r="BP48" s="180">
        <f>SUM(H48,M48,R48,W48,AB48,AG48,AL48,AQ48,AV48,BA48,BF48,BK48)</f>
        <v>0</v>
      </c>
      <c r="BQ48" s="180">
        <f>SUM(I48,N48,S48,X48,AC48,AH48,AM48,AR48,AW48,BB48,BG48,BL48)</f>
        <v>0</v>
      </c>
      <c r="BR48" s="181">
        <f>SUM(J48,O48,T48,Y48,AD48,AI48,AN48,AS48,AX48,BC48,BH48,BM48)</f>
        <v>0</v>
      </c>
      <c r="BS48" s="183">
        <f t="shared" si="12"/>
        <v>19044</v>
      </c>
    </row>
    <row r="49" spans="2:71" x14ac:dyDescent="0.3">
      <c r="B49" s="269"/>
      <c r="C49" s="230"/>
      <c r="D49" s="233"/>
      <c r="E49" s="239"/>
      <c r="F49" s="178" t="s">
        <v>316</v>
      </c>
      <c r="G49" s="179"/>
      <c r="H49" s="180"/>
      <c r="I49" s="180"/>
      <c r="J49" s="181"/>
      <c r="K49" s="182">
        <f t="shared" si="37"/>
        <v>0</v>
      </c>
      <c r="L49" s="179"/>
      <c r="M49" s="180"/>
      <c r="N49" s="180"/>
      <c r="O49" s="181"/>
      <c r="P49" s="182">
        <f t="shared" si="26"/>
        <v>0</v>
      </c>
      <c r="Q49" s="179">
        <v>184</v>
      </c>
      <c r="R49" s="180"/>
      <c r="S49" s="180"/>
      <c r="T49" s="181"/>
      <c r="U49" s="182">
        <f t="shared" si="27"/>
        <v>184</v>
      </c>
      <c r="V49" s="179">
        <v>441</v>
      </c>
      <c r="W49" s="180"/>
      <c r="X49" s="180"/>
      <c r="Y49" s="181"/>
      <c r="Z49" s="182">
        <f t="shared" si="28"/>
        <v>441</v>
      </c>
      <c r="AA49" s="179">
        <v>124</v>
      </c>
      <c r="AB49" s="180"/>
      <c r="AC49" s="180"/>
      <c r="AD49" s="181"/>
      <c r="AE49" s="182">
        <f t="shared" si="29"/>
        <v>124</v>
      </c>
      <c r="AF49" s="179"/>
      <c r="AG49" s="180"/>
      <c r="AH49" s="180"/>
      <c r="AI49" s="181"/>
      <c r="AJ49" s="182">
        <f t="shared" si="30"/>
        <v>0</v>
      </c>
      <c r="AK49" s="179"/>
      <c r="AL49" s="180"/>
      <c r="AM49" s="180"/>
      <c r="AN49" s="181"/>
      <c r="AO49" s="182">
        <f t="shared" si="31"/>
        <v>0</v>
      </c>
      <c r="AP49" s="179"/>
      <c r="AQ49" s="180"/>
      <c r="AR49" s="180"/>
      <c r="AS49" s="181"/>
      <c r="AT49" s="182">
        <f t="shared" si="32"/>
        <v>0</v>
      </c>
      <c r="AU49" s="179"/>
      <c r="AV49" s="180"/>
      <c r="AW49" s="180"/>
      <c r="AX49" s="181"/>
      <c r="AY49" s="182">
        <f t="shared" si="33"/>
        <v>0</v>
      </c>
      <c r="AZ49" s="179">
        <v>687</v>
      </c>
      <c r="BA49" s="180"/>
      <c r="BB49" s="180"/>
      <c r="BC49" s="181"/>
      <c r="BD49" s="182">
        <f t="shared" si="34"/>
        <v>687</v>
      </c>
      <c r="BE49" s="179">
        <v>710</v>
      </c>
      <c r="BF49" s="180"/>
      <c r="BG49" s="180"/>
      <c r="BH49" s="181"/>
      <c r="BI49" s="182">
        <f t="shared" si="35"/>
        <v>710</v>
      </c>
      <c r="BJ49" s="179">
        <v>7</v>
      </c>
      <c r="BK49" s="180"/>
      <c r="BL49" s="180"/>
      <c r="BM49" s="181"/>
      <c r="BN49" s="182">
        <f t="shared" si="36"/>
        <v>7</v>
      </c>
      <c r="BO49" s="184">
        <f>SUM(G49,L49,Q49,V49,AA49,AF49,AK49,AP49,AU49,AZ49,BE49,BJ49)</f>
        <v>2153</v>
      </c>
      <c r="BP49" s="180">
        <f>SUM(H49,M49,R49,W49,AB49,AG49,AL49,AQ49,AV49,BA49,BF49,BK49)</f>
        <v>0</v>
      </c>
      <c r="BQ49" s="180">
        <f>SUM(I49,N49,S49,X49,AC49,AH49,AM49,AR49,AW49,BB49,BG49,BL49)</f>
        <v>0</v>
      </c>
      <c r="BR49" s="181">
        <f>SUM(J49,O49,T49,Y49,AD49,AI49,AN49,AS49,AX49,BC49,BH49,BM49)</f>
        <v>0</v>
      </c>
      <c r="BS49" s="183">
        <f t="shared" si="12"/>
        <v>2153</v>
      </c>
    </row>
    <row r="50" spans="2:71" x14ac:dyDescent="0.3">
      <c r="B50" s="269"/>
      <c r="C50" s="230"/>
      <c r="D50" s="233"/>
      <c r="E50" s="239"/>
      <c r="F50" s="178" t="s">
        <v>317</v>
      </c>
      <c r="G50" s="179"/>
      <c r="H50" s="180"/>
      <c r="I50" s="180"/>
      <c r="J50" s="181"/>
      <c r="K50" s="182">
        <f t="shared" si="37"/>
        <v>0</v>
      </c>
      <c r="L50" s="193">
        <v>2</v>
      </c>
      <c r="M50" s="180"/>
      <c r="N50" s="180"/>
      <c r="O50" s="181"/>
      <c r="P50" s="182">
        <f t="shared" si="26"/>
        <v>2</v>
      </c>
      <c r="Q50" s="179">
        <v>1626</v>
      </c>
      <c r="R50" s="180"/>
      <c r="S50" s="180"/>
      <c r="T50" s="181"/>
      <c r="U50" s="182">
        <f t="shared" si="27"/>
        <v>1626</v>
      </c>
      <c r="V50" s="179">
        <v>3103</v>
      </c>
      <c r="W50" s="180"/>
      <c r="X50" s="180"/>
      <c r="Y50" s="181"/>
      <c r="Z50" s="182">
        <f t="shared" si="28"/>
        <v>3103</v>
      </c>
      <c r="AA50" s="179">
        <v>1024</v>
      </c>
      <c r="AB50" s="180"/>
      <c r="AC50" s="180"/>
      <c r="AD50" s="181"/>
      <c r="AE50" s="182">
        <f t="shared" si="29"/>
        <v>1024</v>
      </c>
      <c r="AF50" s="179"/>
      <c r="AG50" s="180"/>
      <c r="AH50" s="180"/>
      <c r="AI50" s="181"/>
      <c r="AJ50" s="182">
        <f t="shared" si="30"/>
        <v>0</v>
      </c>
      <c r="AK50" s="179"/>
      <c r="AL50" s="180"/>
      <c r="AM50" s="180"/>
      <c r="AN50" s="181"/>
      <c r="AO50" s="182">
        <f t="shared" si="31"/>
        <v>0</v>
      </c>
      <c r="AP50" s="179"/>
      <c r="AQ50" s="180"/>
      <c r="AR50" s="180"/>
      <c r="AS50" s="181"/>
      <c r="AT50" s="182">
        <f t="shared" si="32"/>
        <v>0</v>
      </c>
      <c r="AU50" s="179"/>
      <c r="AV50" s="180"/>
      <c r="AW50" s="180"/>
      <c r="AX50" s="181"/>
      <c r="AY50" s="182">
        <f t="shared" si="33"/>
        <v>0</v>
      </c>
      <c r="AZ50" s="179">
        <v>5955</v>
      </c>
      <c r="BA50" s="180"/>
      <c r="BB50" s="180"/>
      <c r="BC50" s="181"/>
      <c r="BD50" s="182">
        <f t="shared" si="34"/>
        <v>5955</v>
      </c>
      <c r="BE50" s="179">
        <v>4087</v>
      </c>
      <c r="BF50" s="180"/>
      <c r="BG50" s="180"/>
      <c r="BH50" s="181"/>
      <c r="BI50" s="182">
        <f t="shared" si="35"/>
        <v>4087</v>
      </c>
      <c r="BJ50" s="179">
        <v>20</v>
      </c>
      <c r="BK50" s="180"/>
      <c r="BL50" s="180"/>
      <c r="BM50" s="181"/>
      <c r="BN50" s="182">
        <f t="shared" si="36"/>
        <v>20</v>
      </c>
      <c r="BO50" s="184">
        <f>SUM(G50,L50,Q50,V50,AA50,AF50,AK50,AP50,AU50,AZ50,BE50,BJ50)</f>
        <v>15817</v>
      </c>
      <c r="BP50" s="180">
        <f>SUM(H50,M50,R50,W50,AB50,AG50,AL50,AQ50,AV50,BA50,BF50,BK50)</f>
        <v>0</v>
      </c>
      <c r="BQ50" s="180">
        <f>SUM(I50,N50,S50,X50,AC50,AH50,AM50,AR50,AW50,BB50,BG50,BL50)</f>
        <v>0</v>
      </c>
      <c r="BR50" s="181">
        <f>SUM(J50,O50,T50,Y50,AD50,AI50,AN50,AS50,AX50,BC50,BH50,BM50)</f>
        <v>0</v>
      </c>
      <c r="BS50" s="183">
        <f t="shared" si="12"/>
        <v>15817</v>
      </c>
    </row>
    <row r="51" spans="2:71" x14ac:dyDescent="0.3">
      <c r="B51" s="269"/>
      <c r="C51" s="230"/>
      <c r="D51" s="233"/>
      <c r="E51" s="239"/>
      <c r="F51" s="185" t="s">
        <v>318</v>
      </c>
      <c r="G51" s="186"/>
      <c r="H51" s="187"/>
      <c r="I51" s="187"/>
      <c r="J51" s="188"/>
      <c r="K51" s="189">
        <f t="shared" si="37"/>
        <v>0</v>
      </c>
      <c r="L51" s="186"/>
      <c r="M51" s="187"/>
      <c r="N51" s="187"/>
      <c r="O51" s="188"/>
      <c r="P51" s="189">
        <f t="shared" si="26"/>
        <v>0</v>
      </c>
      <c r="Q51" s="186">
        <v>163</v>
      </c>
      <c r="R51" s="187"/>
      <c r="S51" s="187"/>
      <c r="T51" s="188"/>
      <c r="U51" s="189">
        <f t="shared" si="27"/>
        <v>163</v>
      </c>
      <c r="V51" s="186">
        <v>379</v>
      </c>
      <c r="W51" s="187"/>
      <c r="X51" s="187"/>
      <c r="Y51" s="188"/>
      <c r="Z51" s="189">
        <f t="shared" si="28"/>
        <v>379</v>
      </c>
      <c r="AA51" s="186">
        <v>110</v>
      </c>
      <c r="AB51" s="187"/>
      <c r="AC51" s="187"/>
      <c r="AD51" s="188"/>
      <c r="AE51" s="189">
        <f t="shared" si="29"/>
        <v>110</v>
      </c>
      <c r="AF51" s="186"/>
      <c r="AG51" s="187"/>
      <c r="AH51" s="187"/>
      <c r="AI51" s="188"/>
      <c r="AJ51" s="189">
        <f t="shared" si="30"/>
        <v>0</v>
      </c>
      <c r="AK51" s="186"/>
      <c r="AL51" s="187"/>
      <c r="AM51" s="187"/>
      <c r="AN51" s="188"/>
      <c r="AO51" s="189">
        <f t="shared" si="31"/>
        <v>0</v>
      </c>
      <c r="AP51" s="186"/>
      <c r="AQ51" s="187"/>
      <c r="AR51" s="187"/>
      <c r="AS51" s="188"/>
      <c r="AT51" s="189">
        <f t="shared" si="32"/>
        <v>0</v>
      </c>
      <c r="AU51" s="186"/>
      <c r="AV51" s="187"/>
      <c r="AW51" s="187"/>
      <c r="AX51" s="188"/>
      <c r="AY51" s="189">
        <f t="shared" si="33"/>
        <v>0</v>
      </c>
      <c r="AZ51" s="186">
        <v>585</v>
      </c>
      <c r="BA51" s="187"/>
      <c r="BB51" s="187"/>
      <c r="BC51" s="188"/>
      <c r="BD51" s="189">
        <f t="shared" si="34"/>
        <v>585</v>
      </c>
      <c r="BE51" s="186">
        <v>638</v>
      </c>
      <c r="BF51" s="187"/>
      <c r="BG51" s="187"/>
      <c r="BH51" s="188"/>
      <c r="BI51" s="189">
        <f t="shared" si="35"/>
        <v>638</v>
      </c>
      <c r="BJ51" s="186">
        <v>7</v>
      </c>
      <c r="BK51" s="187"/>
      <c r="BL51" s="187"/>
      <c r="BM51" s="188"/>
      <c r="BN51" s="189">
        <f t="shared" si="36"/>
        <v>7</v>
      </c>
      <c r="BO51" s="191">
        <f>SUM(G51,L51,Q51,V51,AA51,AF51,AK51,AP51,AU51,AZ51,BE51,BJ51)</f>
        <v>1882</v>
      </c>
      <c r="BP51" s="187">
        <f>SUM(H51,M51,R51,W51,AB51,AG51,AL51,AQ51,AV51,BA51,BF51,BK51)</f>
        <v>0</v>
      </c>
      <c r="BQ51" s="187">
        <f>SUM(I51,N51,S51,X51,AC51,AH51,AM51,AR51,AW51,BB51,BG51,BL51)</f>
        <v>0</v>
      </c>
      <c r="BR51" s="188">
        <f>SUM(J51,O51,T51,Y51,AD51,AI51,AN51,AS51,AX51,BC51,BH51,BM51)</f>
        <v>0</v>
      </c>
      <c r="BS51" s="190">
        <f t="shared" si="12"/>
        <v>1882</v>
      </c>
    </row>
    <row r="52" spans="2:71" x14ac:dyDescent="0.3">
      <c r="B52" s="269"/>
      <c r="C52" s="230"/>
      <c r="D52" s="233"/>
      <c r="E52" s="240"/>
      <c r="F52" s="125" t="s">
        <v>54</v>
      </c>
      <c r="G52" s="126">
        <f>SUM(G24:G51)</f>
        <v>1487</v>
      </c>
      <c r="H52" s="127">
        <f>SUM(H24:H51)</f>
        <v>0</v>
      </c>
      <c r="I52" s="127">
        <f>SUM(I24:I51)</f>
        <v>0</v>
      </c>
      <c r="J52" s="128">
        <f>SUM(J24:J51)</f>
        <v>0</v>
      </c>
      <c r="K52" s="129">
        <f t="shared" si="0"/>
        <v>1487</v>
      </c>
      <c r="L52" s="126">
        <f>SUM(L24:L51)</f>
        <v>1997</v>
      </c>
      <c r="M52" s="127">
        <f>SUM(M24:M51)</f>
        <v>0</v>
      </c>
      <c r="N52" s="127">
        <f>SUM(N24:N51)</f>
        <v>0</v>
      </c>
      <c r="O52" s="128">
        <f>SUM(O24:O51)</f>
        <v>0</v>
      </c>
      <c r="P52" s="129">
        <f t="shared" si="26"/>
        <v>1997</v>
      </c>
      <c r="Q52" s="126">
        <f>SUM(Q24:Q51)</f>
        <v>10733</v>
      </c>
      <c r="R52" s="127">
        <f>SUM(R24:R51)</f>
        <v>0</v>
      </c>
      <c r="S52" s="127">
        <f>SUM(S24:S51)</f>
        <v>0</v>
      </c>
      <c r="T52" s="128">
        <f>SUM(T24:T51)</f>
        <v>0</v>
      </c>
      <c r="U52" s="129">
        <f t="shared" si="27"/>
        <v>10733</v>
      </c>
      <c r="V52" s="126">
        <f>SUM(V24:V51)</f>
        <v>18122</v>
      </c>
      <c r="W52" s="127">
        <f>SUM(W24:W51)</f>
        <v>0</v>
      </c>
      <c r="X52" s="127">
        <f>SUM(X24:X51)</f>
        <v>0</v>
      </c>
      <c r="Y52" s="128">
        <f>SUM(Y24:Y51)</f>
        <v>0</v>
      </c>
      <c r="Z52" s="129">
        <f t="shared" si="28"/>
        <v>18122</v>
      </c>
      <c r="AA52" s="126">
        <f>SUM(AA24:AA51)</f>
        <v>5825</v>
      </c>
      <c r="AB52" s="127">
        <f>SUM(AB24:AB51)</f>
        <v>0</v>
      </c>
      <c r="AC52" s="127">
        <f>SUM(AC24:AC51)</f>
        <v>0</v>
      </c>
      <c r="AD52" s="128">
        <f>SUM(AD24:AD51)</f>
        <v>0</v>
      </c>
      <c r="AE52" s="129">
        <f t="shared" si="29"/>
        <v>5825</v>
      </c>
      <c r="AF52" s="126">
        <f>SUM(AF24:AF51)</f>
        <v>2081</v>
      </c>
      <c r="AG52" s="127">
        <f>SUM(AG24:AG51)</f>
        <v>0</v>
      </c>
      <c r="AH52" s="127">
        <f>SUM(AH24:AH51)</f>
        <v>0</v>
      </c>
      <c r="AI52" s="128">
        <f>SUM(AI24:AI51)</f>
        <v>0</v>
      </c>
      <c r="AJ52" s="129">
        <f t="shared" si="30"/>
        <v>2081</v>
      </c>
      <c r="AK52" s="126">
        <f>SUM(AK24:AK51)</f>
        <v>700</v>
      </c>
      <c r="AL52" s="127">
        <f>SUM(AL24:AL51)</f>
        <v>0</v>
      </c>
      <c r="AM52" s="127">
        <f>SUM(AM24:AM51)</f>
        <v>0</v>
      </c>
      <c r="AN52" s="128">
        <f>SUM(AN24:AN51)</f>
        <v>0</v>
      </c>
      <c r="AO52" s="129">
        <f t="shared" si="31"/>
        <v>700</v>
      </c>
      <c r="AP52" s="126">
        <f>SUM(AP24:AP51)</f>
        <v>855</v>
      </c>
      <c r="AQ52" s="127">
        <f>SUM(AQ24:AQ51)</f>
        <v>0</v>
      </c>
      <c r="AR52" s="127">
        <f>SUM(AR24:AR51)</f>
        <v>0</v>
      </c>
      <c r="AS52" s="128">
        <f>SUM(AS24:AS51)</f>
        <v>0</v>
      </c>
      <c r="AT52" s="129">
        <f t="shared" si="32"/>
        <v>855</v>
      </c>
      <c r="AU52" s="126">
        <f>SUM(AU24:AU51)</f>
        <v>1880</v>
      </c>
      <c r="AV52" s="127">
        <f>SUM(AV24:AV51)</f>
        <v>0</v>
      </c>
      <c r="AW52" s="127">
        <f>SUM(AW24:AW51)</f>
        <v>0</v>
      </c>
      <c r="AX52" s="128">
        <f>SUM(AX24:AX51)</f>
        <v>0</v>
      </c>
      <c r="AY52" s="129">
        <f t="shared" si="33"/>
        <v>1880</v>
      </c>
      <c r="AZ52" s="126">
        <f>SUM(AZ24:AZ51)</f>
        <v>32015</v>
      </c>
      <c r="BA52" s="127">
        <f>SUM(BA24:BA51)</f>
        <v>0</v>
      </c>
      <c r="BB52" s="127">
        <f>SUM(BB24:BB51)</f>
        <v>0</v>
      </c>
      <c r="BC52" s="128">
        <f>SUM(BC24:BC51)</f>
        <v>0</v>
      </c>
      <c r="BD52" s="129">
        <f t="shared" si="34"/>
        <v>32015</v>
      </c>
      <c r="BE52" s="126">
        <f>SUM(BE24:BE51)</f>
        <v>21076</v>
      </c>
      <c r="BF52" s="127">
        <f>SUM(BF24:BF51)</f>
        <v>0</v>
      </c>
      <c r="BG52" s="127">
        <f>SUM(BG24:BG51)</f>
        <v>0</v>
      </c>
      <c r="BH52" s="128">
        <f>SUM(BH24:BH51)</f>
        <v>0</v>
      </c>
      <c r="BI52" s="129">
        <f t="shared" si="35"/>
        <v>21076</v>
      </c>
      <c r="BJ52" s="126">
        <f>SUM(BJ24:BJ51)</f>
        <v>7594</v>
      </c>
      <c r="BK52" s="127">
        <f>SUM(BK24:BK51)</f>
        <v>0</v>
      </c>
      <c r="BL52" s="127">
        <f>SUM(BL24:BL51)</f>
        <v>0</v>
      </c>
      <c r="BM52" s="128">
        <f>SUM(BM24:BM51)</f>
        <v>0</v>
      </c>
      <c r="BN52" s="129">
        <f t="shared" si="36"/>
        <v>7594</v>
      </c>
      <c r="BO52" s="131">
        <f>SUM(BO24:BO51)</f>
        <v>104365</v>
      </c>
      <c r="BP52" s="127">
        <f>SUM(BP24:BP51)</f>
        <v>0</v>
      </c>
      <c r="BQ52" s="127">
        <f>SUM(BQ24:BQ51)</f>
        <v>0</v>
      </c>
      <c r="BR52" s="128">
        <f>SUM(BR24:BR51)</f>
        <v>0</v>
      </c>
      <c r="BS52" s="130">
        <f t="shared" si="12"/>
        <v>104365</v>
      </c>
    </row>
    <row r="53" spans="2:71" x14ac:dyDescent="0.3">
      <c r="B53" s="269"/>
      <c r="C53" s="230"/>
      <c r="D53" s="233"/>
      <c r="E53" s="241" t="s">
        <v>43</v>
      </c>
      <c r="F53" s="120" t="s">
        <v>49</v>
      </c>
      <c r="G53" s="30">
        <v>439</v>
      </c>
      <c r="H53" s="7"/>
      <c r="I53" s="7"/>
      <c r="J53" s="8"/>
      <c r="K53" s="9">
        <f t="shared" si="0"/>
        <v>439</v>
      </c>
      <c r="L53" s="30">
        <v>572</v>
      </c>
      <c r="M53" s="7"/>
      <c r="N53" s="7"/>
      <c r="O53" s="8"/>
      <c r="P53" s="9">
        <f t="shared" si="26"/>
        <v>572</v>
      </c>
      <c r="Q53" s="30">
        <f>349-268</f>
        <v>81</v>
      </c>
      <c r="R53" s="7"/>
      <c r="S53" s="7"/>
      <c r="T53" s="8"/>
      <c r="U53" s="9">
        <f t="shared" si="27"/>
        <v>81</v>
      </c>
      <c r="V53" s="30">
        <v>381</v>
      </c>
      <c r="W53" s="7"/>
      <c r="X53" s="7"/>
      <c r="Y53" s="8"/>
      <c r="Z53" s="9">
        <f t="shared" si="28"/>
        <v>381</v>
      </c>
      <c r="AA53" s="30">
        <v>328</v>
      </c>
      <c r="AB53" s="7"/>
      <c r="AC53" s="7"/>
      <c r="AD53" s="8"/>
      <c r="AE53" s="9">
        <f t="shared" si="29"/>
        <v>328</v>
      </c>
      <c r="AF53" s="30">
        <v>504</v>
      </c>
      <c r="AG53" s="7"/>
      <c r="AH53" s="7"/>
      <c r="AI53" s="8"/>
      <c r="AJ53" s="9">
        <f t="shared" si="30"/>
        <v>504</v>
      </c>
      <c r="AK53" s="30"/>
      <c r="AL53" s="7"/>
      <c r="AM53" s="7"/>
      <c r="AN53" s="8"/>
      <c r="AO53" s="9">
        <f t="shared" si="31"/>
        <v>0</v>
      </c>
      <c r="AP53" s="30"/>
      <c r="AQ53" s="7"/>
      <c r="AR53" s="7"/>
      <c r="AS53" s="8"/>
      <c r="AT53" s="9">
        <f t="shared" si="32"/>
        <v>0</v>
      </c>
      <c r="AU53" s="30"/>
      <c r="AV53" s="7"/>
      <c r="AW53" s="7"/>
      <c r="AX53" s="8"/>
      <c r="AY53" s="9">
        <f t="shared" si="33"/>
        <v>0</v>
      </c>
      <c r="AZ53" s="30">
        <v>946</v>
      </c>
      <c r="BA53" s="7"/>
      <c r="BB53" s="7"/>
      <c r="BC53" s="8"/>
      <c r="BD53" s="9">
        <f t="shared" si="34"/>
        <v>946</v>
      </c>
      <c r="BE53" s="30">
        <v>492</v>
      </c>
      <c r="BF53" s="7"/>
      <c r="BG53" s="7"/>
      <c r="BH53" s="8"/>
      <c r="BI53" s="9">
        <f t="shared" si="35"/>
        <v>492</v>
      </c>
      <c r="BJ53" s="30">
        <v>207</v>
      </c>
      <c r="BK53" s="7"/>
      <c r="BL53" s="7"/>
      <c r="BM53" s="8"/>
      <c r="BN53" s="9">
        <f t="shared" si="36"/>
        <v>207</v>
      </c>
      <c r="BO53" s="65">
        <f>SUM(G53,L53,Q53,V53,AA53,AF53,AK53,AP53,AU53,AZ53,BE53,BJ53)</f>
        <v>3950</v>
      </c>
      <c r="BP53" s="7">
        <f>SUM(H53,M53,R53,W53,AB53,AG53,AL53,AQ53,AV53,BA53,BF53,BK53)</f>
        <v>0</v>
      </c>
      <c r="BQ53" s="7">
        <f>SUM(I53,N53,S53,X53,AC53,AH53,AM53,AR53,AW53,BB53,BG53,BL53)</f>
        <v>0</v>
      </c>
      <c r="BR53" s="8">
        <f>SUM(J53,O53,T53,Y53,AD53,AI53,AN53,AS53,AX53,BC53,BH53,BM53)</f>
        <v>0</v>
      </c>
      <c r="BS53" s="31">
        <f t="shared" si="12"/>
        <v>3950</v>
      </c>
    </row>
    <row r="54" spans="2:71" x14ac:dyDescent="0.3">
      <c r="B54" s="269"/>
      <c r="C54" s="230"/>
      <c r="D54" s="233"/>
      <c r="E54" s="239"/>
      <c r="F54" s="121" t="s">
        <v>50</v>
      </c>
      <c r="G54" s="32">
        <v>31</v>
      </c>
      <c r="H54" s="13"/>
      <c r="I54" s="13"/>
      <c r="J54" s="14"/>
      <c r="K54" s="15">
        <f t="shared" si="0"/>
        <v>31</v>
      </c>
      <c r="L54" s="32">
        <v>80</v>
      </c>
      <c r="M54" s="13"/>
      <c r="N54" s="13"/>
      <c r="O54" s="14"/>
      <c r="P54" s="15">
        <f t="shared" si="26"/>
        <v>80</v>
      </c>
      <c r="Q54" s="32">
        <f>74-67</f>
        <v>7</v>
      </c>
      <c r="R54" s="13"/>
      <c r="S54" s="13"/>
      <c r="T54" s="14"/>
      <c r="U54" s="15">
        <f t="shared" si="27"/>
        <v>7</v>
      </c>
      <c r="V54" s="32">
        <v>81</v>
      </c>
      <c r="W54" s="13"/>
      <c r="X54" s="13"/>
      <c r="Y54" s="14"/>
      <c r="Z54" s="15">
        <f t="shared" si="28"/>
        <v>81</v>
      </c>
      <c r="AA54" s="32">
        <v>62</v>
      </c>
      <c r="AB54" s="13"/>
      <c r="AC54" s="13"/>
      <c r="AD54" s="14"/>
      <c r="AE54" s="15">
        <f t="shared" si="29"/>
        <v>62</v>
      </c>
      <c r="AF54" s="32">
        <v>137</v>
      </c>
      <c r="AG54" s="13"/>
      <c r="AH54" s="13"/>
      <c r="AI54" s="14"/>
      <c r="AJ54" s="15">
        <f t="shared" si="30"/>
        <v>137</v>
      </c>
      <c r="AK54" s="32"/>
      <c r="AL54" s="13"/>
      <c r="AM54" s="13"/>
      <c r="AN54" s="14"/>
      <c r="AO54" s="15">
        <f t="shared" si="31"/>
        <v>0</v>
      </c>
      <c r="AP54" s="32"/>
      <c r="AQ54" s="13"/>
      <c r="AR54" s="13"/>
      <c r="AS54" s="14"/>
      <c r="AT54" s="15">
        <f t="shared" si="32"/>
        <v>0</v>
      </c>
      <c r="AU54" s="32"/>
      <c r="AV54" s="13"/>
      <c r="AW54" s="13"/>
      <c r="AX54" s="14"/>
      <c r="AY54" s="15">
        <f t="shared" si="33"/>
        <v>0</v>
      </c>
      <c r="AZ54" s="32">
        <v>221</v>
      </c>
      <c r="BA54" s="13"/>
      <c r="BB54" s="13"/>
      <c r="BC54" s="14"/>
      <c r="BD54" s="15">
        <f t="shared" si="34"/>
        <v>221</v>
      </c>
      <c r="BE54" s="32">
        <v>127</v>
      </c>
      <c r="BF54" s="13"/>
      <c r="BG54" s="13"/>
      <c r="BH54" s="14"/>
      <c r="BI54" s="15">
        <f t="shared" si="35"/>
        <v>127</v>
      </c>
      <c r="BJ54" s="32">
        <v>50</v>
      </c>
      <c r="BK54" s="13"/>
      <c r="BL54" s="13"/>
      <c r="BM54" s="14"/>
      <c r="BN54" s="15">
        <f t="shared" si="36"/>
        <v>50</v>
      </c>
      <c r="BO54" s="66">
        <f>SUM(G54,L54,Q54,V54,AA54,AF54,AK54,AP54,AU54,AZ54,BE54,BJ54)</f>
        <v>796</v>
      </c>
      <c r="BP54" s="13">
        <f>SUM(H54,M54,R54,W54,AB54,AG54,AL54,AQ54,AV54,BA54,BF54,BK54)</f>
        <v>0</v>
      </c>
      <c r="BQ54" s="13">
        <f>SUM(I54,N54,S54,X54,AC54,AH54,AM54,AR54,AW54,BB54,BG54,BL54)</f>
        <v>0</v>
      </c>
      <c r="BR54" s="14">
        <f>SUM(J54,O54,T54,Y54,AD54,AI54,AN54,AS54,AX54,BC54,BH54,BM54)</f>
        <v>0</v>
      </c>
      <c r="BS54" s="33">
        <f t="shared" si="12"/>
        <v>796</v>
      </c>
    </row>
    <row r="55" spans="2:71" x14ac:dyDescent="0.3">
      <c r="B55" s="269"/>
      <c r="C55" s="230"/>
      <c r="D55" s="233"/>
      <c r="E55" s="239"/>
      <c r="F55" s="121" t="s">
        <v>51</v>
      </c>
      <c r="G55" s="32">
        <v>296</v>
      </c>
      <c r="H55" s="13"/>
      <c r="I55" s="13"/>
      <c r="J55" s="14"/>
      <c r="K55" s="15">
        <f t="shared" si="0"/>
        <v>296</v>
      </c>
      <c r="L55" s="32">
        <v>376</v>
      </c>
      <c r="M55" s="13"/>
      <c r="N55" s="13"/>
      <c r="O55" s="14"/>
      <c r="P55" s="15">
        <f t="shared" si="26"/>
        <v>376</v>
      </c>
      <c r="Q55" s="32">
        <f>54</f>
        <v>54</v>
      </c>
      <c r="R55" s="13"/>
      <c r="S55" s="13"/>
      <c r="T55" s="14"/>
      <c r="U55" s="15">
        <f t="shared" si="27"/>
        <v>54</v>
      </c>
      <c r="V55" s="32"/>
      <c r="W55" s="13"/>
      <c r="X55" s="13"/>
      <c r="Y55" s="14"/>
      <c r="Z55" s="15">
        <f t="shared" si="28"/>
        <v>0</v>
      </c>
      <c r="AA55" s="32"/>
      <c r="AB55" s="13"/>
      <c r="AC55" s="13"/>
      <c r="AD55" s="14"/>
      <c r="AE55" s="15">
        <f t="shared" si="29"/>
        <v>0</v>
      </c>
      <c r="AF55" s="32">
        <v>343</v>
      </c>
      <c r="AG55" s="13"/>
      <c r="AH55" s="13"/>
      <c r="AI55" s="14"/>
      <c r="AJ55" s="15">
        <f t="shared" si="30"/>
        <v>343</v>
      </c>
      <c r="AK55" s="32"/>
      <c r="AL55" s="13"/>
      <c r="AM55" s="13"/>
      <c r="AN55" s="14"/>
      <c r="AO55" s="15">
        <f t="shared" si="31"/>
        <v>0</v>
      </c>
      <c r="AP55" s="32"/>
      <c r="AQ55" s="13"/>
      <c r="AR55" s="13"/>
      <c r="AS55" s="14"/>
      <c r="AT55" s="15">
        <f t="shared" si="32"/>
        <v>0</v>
      </c>
      <c r="AU55" s="32"/>
      <c r="AV55" s="13"/>
      <c r="AW55" s="13"/>
      <c r="AX55" s="14"/>
      <c r="AY55" s="15">
        <f t="shared" si="33"/>
        <v>0</v>
      </c>
      <c r="AZ55" s="32">
        <v>624</v>
      </c>
      <c r="BA55" s="13"/>
      <c r="BB55" s="13"/>
      <c r="BC55" s="14"/>
      <c r="BD55" s="15">
        <f t="shared" si="34"/>
        <v>624</v>
      </c>
      <c r="BE55" s="32">
        <v>333</v>
      </c>
      <c r="BF55" s="13"/>
      <c r="BG55" s="13"/>
      <c r="BH55" s="14"/>
      <c r="BI55" s="15">
        <f t="shared" si="35"/>
        <v>333</v>
      </c>
      <c r="BJ55" s="32">
        <v>116</v>
      </c>
      <c r="BK55" s="13"/>
      <c r="BL55" s="13"/>
      <c r="BM55" s="14"/>
      <c r="BN55" s="15">
        <f t="shared" si="36"/>
        <v>116</v>
      </c>
      <c r="BO55" s="66">
        <f>SUM(G55,L55,Q55,V55,AA55,AF55,AK55,AP55,AU55,AZ55,BE55,BJ55)</f>
        <v>2142</v>
      </c>
      <c r="BP55" s="13">
        <f>SUM(H55,M55,R55,W55,AB55,AG55,AL55,AQ55,AV55,BA55,BF55,BK55)</f>
        <v>0</v>
      </c>
      <c r="BQ55" s="13">
        <f>SUM(I55,N55,S55,X55,AC55,AH55,AM55,AR55,AW55,BB55,BG55,BL55)</f>
        <v>0</v>
      </c>
      <c r="BR55" s="14">
        <f>SUM(J55,O55,T55,Y55,AD55,AI55,AN55,AS55,AX55,BC55,BH55,BM55)</f>
        <v>0</v>
      </c>
      <c r="BS55" s="33">
        <f t="shared" si="12"/>
        <v>2142</v>
      </c>
    </row>
    <row r="56" spans="2:71" x14ac:dyDescent="0.3">
      <c r="B56" s="269"/>
      <c r="C56" s="230"/>
      <c r="D56" s="233"/>
      <c r="E56" s="239"/>
      <c r="F56" s="132" t="s">
        <v>52</v>
      </c>
      <c r="G56" s="32">
        <v>25</v>
      </c>
      <c r="H56" s="13"/>
      <c r="I56" s="13"/>
      <c r="J56" s="14"/>
      <c r="K56" s="15">
        <f t="shared" si="0"/>
        <v>25</v>
      </c>
      <c r="L56" s="32">
        <v>63</v>
      </c>
      <c r="M56" s="13"/>
      <c r="N56" s="13"/>
      <c r="O56" s="14"/>
      <c r="P56" s="15">
        <f t="shared" si="26"/>
        <v>63</v>
      </c>
      <c r="Q56" s="32">
        <f>6</f>
        <v>6</v>
      </c>
      <c r="R56" s="13"/>
      <c r="S56" s="13"/>
      <c r="T56" s="14"/>
      <c r="U56" s="15">
        <f t="shared" si="27"/>
        <v>6</v>
      </c>
      <c r="V56" s="32"/>
      <c r="W56" s="13"/>
      <c r="X56" s="13"/>
      <c r="Y56" s="14"/>
      <c r="Z56" s="15">
        <f t="shared" si="28"/>
        <v>0</v>
      </c>
      <c r="AA56" s="32"/>
      <c r="AB56" s="13"/>
      <c r="AC56" s="13"/>
      <c r="AD56" s="14"/>
      <c r="AE56" s="15">
        <f t="shared" si="29"/>
        <v>0</v>
      </c>
      <c r="AF56" s="32">
        <v>89</v>
      </c>
      <c r="AG56" s="13"/>
      <c r="AH56" s="13"/>
      <c r="AI56" s="14"/>
      <c r="AJ56" s="15">
        <f t="shared" si="30"/>
        <v>89</v>
      </c>
      <c r="AK56" s="32"/>
      <c r="AL56" s="13"/>
      <c r="AM56" s="13"/>
      <c r="AN56" s="14"/>
      <c r="AO56" s="15">
        <f t="shared" si="31"/>
        <v>0</v>
      </c>
      <c r="AP56" s="32"/>
      <c r="AQ56" s="13"/>
      <c r="AR56" s="13"/>
      <c r="AS56" s="14"/>
      <c r="AT56" s="15">
        <f t="shared" si="32"/>
        <v>0</v>
      </c>
      <c r="AU56" s="32"/>
      <c r="AV56" s="13"/>
      <c r="AW56" s="13"/>
      <c r="AX56" s="14"/>
      <c r="AY56" s="15">
        <f t="shared" si="33"/>
        <v>0</v>
      </c>
      <c r="AZ56" s="32">
        <v>151</v>
      </c>
      <c r="BA56" s="13"/>
      <c r="BB56" s="13"/>
      <c r="BC56" s="14"/>
      <c r="BD56" s="15">
        <f t="shared" si="34"/>
        <v>151</v>
      </c>
      <c r="BE56" s="32">
        <v>87</v>
      </c>
      <c r="BF56" s="13"/>
      <c r="BG56" s="13"/>
      <c r="BH56" s="14"/>
      <c r="BI56" s="15">
        <f t="shared" si="35"/>
        <v>87</v>
      </c>
      <c r="BJ56" s="32">
        <v>36</v>
      </c>
      <c r="BK56" s="13"/>
      <c r="BL56" s="13"/>
      <c r="BM56" s="14"/>
      <c r="BN56" s="15">
        <f t="shared" si="36"/>
        <v>36</v>
      </c>
      <c r="BO56" s="66">
        <f>SUM(G56,L56,Q56,V56,AA56,AF56,AK56,AP56,AU56,AZ56,BE56,BJ56)</f>
        <v>457</v>
      </c>
      <c r="BP56" s="13">
        <f>SUM(H56,M56,R56,W56,AB56,AG56,AL56,AQ56,AV56,BA56,BF56,BK56)</f>
        <v>0</v>
      </c>
      <c r="BQ56" s="13">
        <f>SUM(I56,N56,S56,X56,AC56,AH56,AM56,AR56,AW56,BB56,BG56,BL56)</f>
        <v>0</v>
      </c>
      <c r="BR56" s="14">
        <f>SUM(J56,O56,T56,Y56,AD56,AI56,AN56,AS56,AX56,BC56,BH56,BM56)</f>
        <v>0</v>
      </c>
      <c r="BS56" s="33">
        <f t="shared" si="12"/>
        <v>457</v>
      </c>
    </row>
    <row r="57" spans="2:71" x14ac:dyDescent="0.3">
      <c r="B57" s="269"/>
      <c r="C57" s="230"/>
      <c r="D57" s="233"/>
      <c r="E57" s="239"/>
      <c r="F57" s="123" t="s">
        <v>433</v>
      </c>
      <c r="G57" s="32"/>
      <c r="H57" s="13"/>
      <c r="I57" s="13"/>
      <c r="J57" s="14"/>
      <c r="K57" s="15">
        <f t="shared" si="0"/>
        <v>0</v>
      </c>
      <c r="L57" s="32"/>
      <c r="M57" s="13"/>
      <c r="N57" s="13"/>
      <c r="O57" s="14"/>
      <c r="P57" s="15">
        <f t="shared" si="26"/>
        <v>0</v>
      </c>
      <c r="Q57" s="32">
        <v>268</v>
      </c>
      <c r="R57" s="13"/>
      <c r="S57" s="13"/>
      <c r="T57" s="14"/>
      <c r="U57" s="15">
        <f t="shared" si="27"/>
        <v>268</v>
      </c>
      <c r="V57" s="32"/>
      <c r="W57" s="13"/>
      <c r="X57" s="13"/>
      <c r="Y57" s="14"/>
      <c r="Z57" s="15">
        <f t="shared" si="28"/>
        <v>0</v>
      </c>
      <c r="AA57" s="32"/>
      <c r="AB57" s="13"/>
      <c r="AC57" s="13"/>
      <c r="AD57" s="14"/>
      <c r="AE57" s="15">
        <f t="shared" si="29"/>
        <v>0</v>
      </c>
      <c r="AF57" s="32"/>
      <c r="AG57" s="13"/>
      <c r="AH57" s="13"/>
      <c r="AI57" s="14"/>
      <c r="AJ57" s="15">
        <f t="shared" si="30"/>
        <v>0</v>
      </c>
      <c r="AK57" s="32"/>
      <c r="AL57" s="13"/>
      <c r="AM57" s="13"/>
      <c r="AN57" s="14"/>
      <c r="AO57" s="15">
        <f t="shared" si="31"/>
        <v>0</v>
      </c>
      <c r="AP57" s="32"/>
      <c r="AQ57" s="13"/>
      <c r="AR57" s="13"/>
      <c r="AS57" s="14"/>
      <c r="AT57" s="15">
        <f t="shared" si="32"/>
        <v>0</v>
      </c>
      <c r="AU57" s="32"/>
      <c r="AV57" s="13"/>
      <c r="AW57" s="13"/>
      <c r="AX57" s="14"/>
      <c r="AY57" s="15">
        <f t="shared" si="33"/>
        <v>0</v>
      </c>
      <c r="AZ57" s="32"/>
      <c r="BA57" s="13"/>
      <c r="BB57" s="13"/>
      <c r="BC57" s="14"/>
      <c r="BD57" s="15">
        <f t="shared" si="34"/>
        <v>0</v>
      </c>
      <c r="BE57" s="32"/>
      <c r="BF57" s="13"/>
      <c r="BG57" s="13"/>
      <c r="BH57" s="14"/>
      <c r="BI57" s="15">
        <f t="shared" si="35"/>
        <v>0</v>
      </c>
      <c r="BJ57" s="32"/>
      <c r="BK57" s="13"/>
      <c r="BL57" s="13"/>
      <c r="BM57" s="14"/>
      <c r="BN57" s="15">
        <f t="shared" si="36"/>
        <v>0</v>
      </c>
      <c r="BO57" s="66">
        <f>SUM(G57,L57,Q57,V57,AA57,AF57,AK57,AP57,AU57,AZ57,BE57,BJ57)</f>
        <v>268</v>
      </c>
      <c r="BP57" s="13">
        <f>SUM(H57,M57,R57,W57,AB57,AG57,AL57,AQ57,AV57,BA57,BF57,BK57)</f>
        <v>0</v>
      </c>
      <c r="BQ57" s="13">
        <f>SUM(I57,N57,S57,X57,AC57,AH57,AM57,AR57,AW57,BB57,BG57,BL57)</f>
        <v>0</v>
      </c>
      <c r="BR57" s="14">
        <f>SUM(J57,O57,T57,Y57,AD57,AI57,AN57,AS57,AX57,BC57,BH57,BM57)</f>
        <v>0</v>
      </c>
      <c r="BS57" s="33">
        <f t="shared" si="12"/>
        <v>268</v>
      </c>
    </row>
    <row r="58" spans="2:71" x14ac:dyDescent="0.3">
      <c r="B58" s="269"/>
      <c r="C58" s="230"/>
      <c r="D58" s="233"/>
      <c r="E58" s="239"/>
      <c r="F58" s="121" t="s">
        <v>434</v>
      </c>
      <c r="G58" s="32"/>
      <c r="H58" s="13"/>
      <c r="I58" s="13"/>
      <c r="J58" s="14"/>
      <c r="K58" s="15">
        <f t="shared" si="0"/>
        <v>0</v>
      </c>
      <c r="L58" s="32"/>
      <c r="M58" s="13"/>
      <c r="N58" s="13"/>
      <c r="O58" s="14"/>
      <c r="P58" s="15">
        <f t="shared" si="26"/>
        <v>0</v>
      </c>
      <c r="Q58" s="32">
        <v>67</v>
      </c>
      <c r="R58" s="13"/>
      <c r="S58" s="13"/>
      <c r="T58" s="14"/>
      <c r="U58" s="15">
        <f t="shared" si="27"/>
        <v>67</v>
      </c>
      <c r="V58" s="32"/>
      <c r="W58" s="13"/>
      <c r="X58" s="13"/>
      <c r="Y58" s="14"/>
      <c r="Z58" s="15">
        <f t="shared" si="28"/>
        <v>0</v>
      </c>
      <c r="AA58" s="32"/>
      <c r="AB58" s="13"/>
      <c r="AC58" s="13"/>
      <c r="AD58" s="14"/>
      <c r="AE58" s="15">
        <f t="shared" si="29"/>
        <v>0</v>
      </c>
      <c r="AF58" s="32"/>
      <c r="AG58" s="13"/>
      <c r="AH58" s="13"/>
      <c r="AI58" s="14"/>
      <c r="AJ58" s="15">
        <f t="shared" si="30"/>
        <v>0</v>
      </c>
      <c r="AK58" s="32"/>
      <c r="AL58" s="13"/>
      <c r="AM58" s="13"/>
      <c r="AN58" s="14"/>
      <c r="AO58" s="15">
        <f t="shared" si="31"/>
        <v>0</v>
      </c>
      <c r="AP58" s="32"/>
      <c r="AQ58" s="13"/>
      <c r="AR58" s="13"/>
      <c r="AS58" s="14"/>
      <c r="AT58" s="15">
        <f t="shared" si="32"/>
        <v>0</v>
      </c>
      <c r="AU58" s="32"/>
      <c r="AV58" s="13"/>
      <c r="AW58" s="13"/>
      <c r="AX58" s="14"/>
      <c r="AY58" s="15">
        <f t="shared" si="33"/>
        <v>0</v>
      </c>
      <c r="AZ58" s="32"/>
      <c r="BA58" s="13"/>
      <c r="BB58" s="13"/>
      <c r="BC58" s="14"/>
      <c r="BD58" s="15">
        <f t="shared" si="34"/>
        <v>0</v>
      </c>
      <c r="BE58" s="32"/>
      <c r="BF58" s="13"/>
      <c r="BG58" s="13"/>
      <c r="BH58" s="14"/>
      <c r="BI58" s="15">
        <f t="shared" si="35"/>
        <v>0</v>
      </c>
      <c r="BJ58" s="32"/>
      <c r="BK58" s="13"/>
      <c r="BL58" s="13"/>
      <c r="BM58" s="14"/>
      <c r="BN58" s="15">
        <f t="shared" si="36"/>
        <v>0</v>
      </c>
      <c r="BO58" s="66">
        <f>SUM(G58,L58,Q58,V58,AA58,AF58,AK58,AP58,AU58,AZ58,BE58,BJ58)</f>
        <v>67</v>
      </c>
      <c r="BP58" s="13">
        <f>SUM(H58,M58,R58,W58,AB58,AG58,AL58,AQ58,AV58,BA58,BF58,BK58)</f>
        <v>0</v>
      </c>
      <c r="BQ58" s="13">
        <f>SUM(I58,N58,S58,X58,AC58,AH58,AM58,AR58,AW58,BB58,BG58,BL58)</f>
        <v>0</v>
      </c>
      <c r="BR58" s="14">
        <f>SUM(J58,O58,T58,Y58,AD58,AI58,AN58,AS58,AX58,BC58,BH58,BM58)</f>
        <v>0</v>
      </c>
      <c r="BS58" s="33">
        <f t="shared" si="12"/>
        <v>67</v>
      </c>
    </row>
    <row r="59" spans="2:71" x14ac:dyDescent="0.3">
      <c r="B59" s="269"/>
      <c r="C59" s="230"/>
      <c r="D59" s="233"/>
      <c r="E59" s="239"/>
      <c r="F59" s="121" t="s">
        <v>129</v>
      </c>
      <c r="G59" s="32"/>
      <c r="H59" s="13"/>
      <c r="I59" s="13"/>
      <c r="J59" s="14"/>
      <c r="K59" s="15">
        <f t="shared" ref="K59:K62" si="38">SUM(G59:J59)</f>
        <v>0</v>
      </c>
      <c r="L59" s="32"/>
      <c r="M59" s="13"/>
      <c r="N59" s="13"/>
      <c r="O59" s="14"/>
      <c r="P59" s="15">
        <f t="shared" ref="P59:P66" si="39">SUM(L59:O59)</f>
        <v>0</v>
      </c>
      <c r="Q59" s="32"/>
      <c r="R59" s="13"/>
      <c r="S59" s="13"/>
      <c r="T59" s="14"/>
      <c r="U59" s="15">
        <f t="shared" ref="U59:U66" si="40">SUM(Q59:T59)</f>
        <v>0</v>
      </c>
      <c r="V59" s="32"/>
      <c r="W59" s="13"/>
      <c r="X59" s="13"/>
      <c r="Y59" s="14"/>
      <c r="Z59" s="15">
        <f t="shared" ref="Z59:Z66" si="41">SUM(V59:Y59)</f>
        <v>0</v>
      </c>
      <c r="AA59" s="32"/>
      <c r="AB59" s="13"/>
      <c r="AC59" s="13"/>
      <c r="AD59" s="14"/>
      <c r="AE59" s="15">
        <f t="shared" ref="AE59:AE66" si="42">SUM(AA59:AD59)</f>
        <v>0</v>
      </c>
      <c r="AF59" s="32"/>
      <c r="AG59" s="13"/>
      <c r="AH59" s="13"/>
      <c r="AI59" s="14"/>
      <c r="AJ59" s="15">
        <f t="shared" ref="AJ59:AJ66" si="43">SUM(AF59:AI59)</f>
        <v>0</v>
      </c>
      <c r="AK59" s="32">
        <v>1804</v>
      </c>
      <c r="AL59" s="13"/>
      <c r="AM59" s="13"/>
      <c r="AN59" s="14"/>
      <c r="AO59" s="15">
        <f t="shared" ref="AO59:AO66" si="44">SUM(AK59:AN59)</f>
        <v>1804</v>
      </c>
      <c r="AP59" s="32">
        <v>2819</v>
      </c>
      <c r="AQ59" s="13"/>
      <c r="AR59" s="13"/>
      <c r="AS59" s="14"/>
      <c r="AT59" s="15">
        <f t="shared" ref="AT59:AT66" si="45">SUM(AP59:AS59)</f>
        <v>2819</v>
      </c>
      <c r="AU59" s="193">
        <f>268+4237</f>
        <v>4505</v>
      </c>
      <c r="AV59" s="13"/>
      <c r="AW59" s="13"/>
      <c r="AX59" s="14"/>
      <c r="AY59" s="15">
        <f t="shared" ref="AY59:AY66" si="46">SUM(AU59:AX59)</f>
        <v>4505</v>
      </c>
      <c r="AZ59" s="32"/>
      <c r="BA59" s="13"/>
      <c r="BB59" s="13"/>
      <c r="BC59" s="14"/>
      <c r="BD59" s="15">
        <f t="shared" ref="BD59:BD66" si="47">SUM(AZ59:BC59)</f>
        <v>0</v>
      </c>
      <c r="BE59" s="32"/>
      <c r="BF59" s="13"/>
      <c r="BG59" s="13"/>
      <c r="BH59" s="14"/>
      <c r="BI59" s="15">
        <f t="shared" ref="BI59:BI66" si="48">SUM(BE59:BH59)</f>
        <v>0</v>
      </c>
      <c r="BJ59" s="32"/>
      <c r="BK59" s="13"/>
      <c r="BL59" s="13"/>
      <c r="BM59" s="14"/>
      <c r="BN59" s="15">
        <f t="shared" ref="BN59:BN66" si="49">SUM(BJ59:BM59)</f>
        <v>0</v>
      </c>
      <c r="BO59" s="66">
        <f>SUM(G59,L59,Q59,V59,AA59,AF59,AK59,AP59,AU59,AZ59,BE59,BJ59)</f>
        <v>9128</v>
      </c>
      <c r="BP59" s="13">
        <f>SUM(H59,M59,R59,W59,AB59,AG59,AL59,AQ59,AV59,BA59,BF59,BK59)</f>
        <v>0</v>
      </c>
      <c r="BQ59" s="13">
        <f>SUM(I59,N59,S59,X59,AC59,AH59,AM59,AR59,AW59,BB59,BG59,BL59)</f>
        <v>0</v>
      </c>
      <c r="BR59" s="14">
        <f>SUM(J59,O59,T59,Y59,AD59,AI59,AN59,AS59,AX59,BC59,BH59,BM59)</f>
        <v>0</v>
      </c>
      <c r="BS59" s="33">
        <f t="shared" si="12"/>
        <v>9128</v>
      </c>
    </row>
    <row r="60" spans="2:71" x14ac:dyDescent="0.3">
      <c r="B60" s="269"/>
      <c r="C60" s="230"/>
      <c r="D60" s="233"/>
      <c r="E60" s="239"/>
      <c r="F60" s="121" t="s">
        <v>130</v>
      </c>
      <c r="G60" s="32"/>
      <c r="H60" s="13"/>
      <c r="I60" s="13"/>
      <c r="J60" s="14"/>
      <c r="K60" s="15">
        <f t="shared" si="38"/>
        <v>0</v>
      </c>
      <c r="L60" s="32"/>
      <c r="M60" s="13"/>
      <c r="N60" s="13"/>
      <c r="O60" s="14"/>
      <c r="P60" s="15">
        <f t="shared" si="39"/>
        <v>0</v>
      </c>
      <c r="Q60" s="32"/>
      <c r="R60" s="13"/>
      <c r="S60" s="13"/>
      <c r="T60" s="14"/>
      <c r="U60" s="15">
        <f t="shared" si="40"/>
        <v>0</v>
      </c>
      <c r="V60" s="32"/>
      <c r="W60" s="13"/>
      <c r="X60" s="13"/>
      <c r="Y60" s="14"/>
      <c r="Z60" s="15">
        <f t="shared" si="41"/>
        <v>0</v>
      </c>
      <c r="AA60" s="32"/>
      <c r="AB60" s="13"/>
      <c r="AC60" s="13"/>
      <c r="AD60" s="14"/>
      <c r="AE60" s="15">
        <f t="shared" si="42"/>
        <v>0</v>
      </c>
      <c r="AF60" s="32"/>
      <c r="AG60" s="13"/>
      <c r="AH60" s="13"/>
      <c r="AI60" s="14"/>
      <c r="AJ60" s="15">
        <f t="shared" si="43"/>
        <v>0</v>
      </c>
      <c r="AK60" s="32">
        <v>512</v>
      </c>
      <c r="AL60" s="13"/>
      <c r="AM60" s="13"/>
      <c r="AN60" s="14"/>
      <c r="AO60" s="15">
        <f t="shared" si="44"/>
        <v>512</v>
      </c>
      <c r="AP60" s="32">
        <v>1102</v>
      </c>
      <c r="AQ60" s="13"/>
      <c r="AR60" s="13"/>
      <c r="AS60" s="14"/>
      <c r="AT60" s="15">
        <f t="shared" si="45"/>
        <v>1102</v>
      </c>
      <c r="AU60" s="193">
        <f>1668+94</f>
        <v>1762</v>
      </c>
      <c r="AV60" s="13"/>
      <c r="AW60" s="13"/>
      <c r="AX60" s="14"/>
      <c r="AY60" s="15">
        <f t="shared" si="46"/>
        <v>1762</v>
      </c>
      <c r="AZ60" s="32"/>
      <c r="BA60" s="13"/>
      <c r="BB60" s="13"/>
      <c r="BC60" s="14"/>
      <c r="BD60" s="15">
        <f t="shared" si="47"/>
        <v>0</v>
      </c>
      <c r="BE60" s="32"/>
      <c r="BF60" s="13"/>
      <c r="BG60" s="13"/>
      <c r="BH60" s="14"/>
      <c r="BI60" s="15">
        <f t="shared" si="48"/>
        <v>0</v>
      </c>
      <c r="BJ60" s="32"/>
      <c r="BK60" s="13"/>
      <c r="BL60" s="13"/>
      <c r="BM60" s="14"/>
      <c r="BN60" s="15">
        <f t="shared" si="49"/>
        <v>0</v>
      </c>
      <c r="BO60" s="66">
        <f>SUM(G60,L60,Q60,V60,AA60,AF60,AK60,AP60,AU60,AZ60,BE60,BJ60)</f>
        <v>3376</v>
      </c>
      <c r="BP60" s="13">
        <f>SUM(H60,M60,R60,W60,AB60,AG60,AL60,AQ60,AV60,BA60,BF60,BK60)</f>
        <v>0</v>
      </c>
      <c r="BQ60" s="13">
        <f>SUM(I60,N60,S60,X60,AC60,AH60,AM60,AR60,AW60,BB60,BG60,BL60)</f>
        <v>0</v>
      </c>
      <c r="BR60" s="14">
        <f>SUM(J60,O60,T60,Y60,AD60,AI60,AN60,AS60,AX60,BC60,BH60,BM60)</f>
        <v>0</v>
      </c>
      <c r="BS60" s="33">
        <f t="shared" si="12"/>
        <v>3376</v>
      </c>
    </row>
    <row r="61" spans="2:71" x14ac:dyDescent="0.3">
      <c r="B61" s="269"/>
      <c r="C61" s="230"/>
      <c r="D61" s="233"/>
      <c r="E61" s="239"/>
      <c r="F61" s="121" t="s">
        <v>141</v>
      </c>
      <c r="G61" s="32"/>
      <c r="H61" s="13"/>
      <c r="I61" s="13"/>
      <c r="J61" s="14"/>
      <c r="K61" s="15">
        <f t="shared" si="38"/>
        <v>0</v>
      </c>
      <c r="L61" s="32"/>
      <c r="M61" s="13"/>
      <c r="N61" s="13"/>
      <c r="O61" s="14"/>
      <c r="P61" s="15">
        <f t="shared" si="39"/>
        <v>0</v>
      </c>
      <c r="Q61" s="32"/>
      <c r="R61" s="13"/>
      <c r="S61" s="13"/>
      <c r="T61" s="14"/>
      <c r="U61" s="15">
        <f t="shared" si="40"/>
        <v>0</v>
      </c>
      <c r="V61" s="32"/>
      <c r="W61" s="13"/>
      <c r="X61" s="13"/>
      <c r="Y61" s="14"/>
      <c r="Z61" s="15">
        <f t="shared" si="41"/>
        <v>0</v>
      </c>
      <c r="AA61" s="32"/>
      <c r="AB61" s="13"/>
      <c r="AC61" s="13"/>
      <c r="AD61" s="14"/>
      <c r="AE61" s="15">
        <f t="shared" si="42"/>
        <v>0</v>
      </c>
      <c r="AF61" s="32"/>
      <c r="AG61" s="13"/>
      <c r="AH61" s="13"/>
      <c r="AI61" s="14"/>
      <c r="AJ61" s="15">
        <f t="shared" si="43"/>
        <v>0</v>
      </c>
      <c r="AK61" s="32">
        <v>1337</v>
      </c>
      <c r="AL61" s="13"/>
      <c r="AM61" s="13"/>
      <c r="AN61" s="14"/>
      <c r="AO61" s="15">
        <f t="shared" si="44"/>
        <v>1337</v>
      </c>
      <c r="AP61" s="32">
        <v>2217</v>
      </c>
      <c r="AQ61" s="13"/>
      <c r="AR61" s="13"/>
      <c r="AS61" s="14"/>
      <c r="AT61" s="15">
        <f t="shared" si="45"/>
        <v>2217</v>
      </c>
      <c r="AU61" s="193">
        <f>3473+211</f>
        <v>3684</v>
      </c>
      <c r="AV61" s="13"/>
      <c r="AW61" s="13"/>
      <c r="AX61" s="14"/>
      <c r="AY61" s="15">
        <f t="shared" si="46"/>
        <v>3684</v>
      </c>
      <c r="AZ61" s="32"/>
      <c r="BA61" s="13"/>
      <c r="BB61" s="13"/>
      <c r="BC61" s="14"/>
      <c r="BD61" s="15">
        <f t="shared" si="47"/>
        <v>0</v>
      </c>
      <c r="BE61" s="32"/>
      <c r="BF61" s="13"/>
      <c r="BG61" s="13"/>
      <c r="BH61" s="14"/>
      <c r="BI61" s="15">
        <f t="shared" si="48"/>
        <v>0</v>
      </c>
      <c r="BJ61" s="32"/>
      <c r="BK61" s="13"/>
      <c r="BL61" s="13"/>
      <c r="BM61" s="14"/>
      <c r="BN61" s="15">
        <f t="shared" si="49"/>
        <v>0</v>
      </c>
      <c r="BO61" s="66">
        <f>SUM(G61,L61,Q61,V61,AA61,AF61,AK61,AP61,AU61,AZ61,BE61,BJ61)</f>
        <v>7238</v>
      </c>
      <c r="BP61" s="13">
        <f>SUM(H61,M61,R61,W61,AB61,AG61,AL61,AQ61,AV61,BA61,BF61,BK61)</f>
        <v>0</v>
      </c>
      <c r="BQ61" s="13">
        <f>SUM(I61,N61,S61,X61,AC61,AH61,AM61,AR61,AW61,BB61,BG61,BL61)</f>
        <v>0</v>
      </c>
      <c r="BR61" s="14">
        <f>SUM(J61,O61,T61,Y61,AD61,AI61,AN61,AS61,AX61,BC61,BH61,BM61)</f>
        <v>0</v>
      </c>
      <c r="BS61" s="33">
        <f t="shared" si="12"/>
        <v>7238</v>
      </c>
    </row>
    <row r="62" spans="2:71" x14ac:dyDescent="0.3">
      <c r="B62" s="269"/>
      <c r="C62" s="230"/>
      <c r="D62" s="233"/>
      <c r="E62" s="239"/>
      <c r="F62" s="123" t="s">
        <v>142</v>
      </c>
      <c r="G62" s="34"/>
      <c r="H62" s="16"/>
      <c r="I62" s="16"/>
      <c r="J62" s="17"/>
      <c r="K62" s="18">
        <f t="shared" si="38"/>
        <v>0</v>
      </c>
      <c r="L62" s="34"/>
      <c r="M62" s="16"/>
      <c r="N62" s="16"/>
      <c r="O62" s="17"/>
      <c r="P62" s="18">
        <f t="shared" si="39"/>
        <v>0</v>
      </c>
      <c r="Q62" s="34"/>
      <c r="R62" s="16"/>
      <c r="S62" s="16"/>
      <c r="T62" s="17"/>
      <c r="U62" s="18">
        <f t="shared" si="40"/>
        <v>0</v>
      </c>
      <c r="V62" s="34"/>
      <c r="W62" s="16"/>
      <c r="X62" s="16"/>
      <c r="Y62" s="17"/>
      <c r="Z62" s="18">
        <f t="shared" si="41"/>
        <v>0</v>
      </c>
      <c r="AA62" s="34"/>
      <c r="AB62" s="16"/>
      <c r="AC62" s="16"/>
      <c r="AD62" s="17"/>
      <c r="AE62" s="18">
        <f t="shared" si="42"/>
        <v>0</v>
      </c>
      <c r="AF62" s="34"/>
      <c r="AG62" s="16"/>
      <c r="AH62" s="16"/>
      <c r="AI62" s="17"/>
      <c r="AJ62" s="18">
        <f t="shared" si="43"/>
        <v>0</v>
      </c>
      <c r="AK62" s="34">
        <v>404</v>
      </c>
      <c r="AL62" s="16"/>
      <c r="AM62" s="16"/>
      <c r="AN62" s="17"/>
      <c r="AO62" s="18">
        <f t="shared" si="44"/>
        <v>404</v>
      </c>
      <c r="AP62" s="34">
        <v>921</v>
      </c>
      <c r="AQ62" s="16"/>
      <c r="AR62" s="16"/>
      <c r="AS62" s="17"/>
      <c r="AT62" s="18">
        <f t="shared" si="45"/>
        <v>921</v>
      </c>
      <c r="AU62" s="193">
        <f>1413+76</f>
        <v>1489</v>
      </c>
      <c r="AV62" s="16"/>
      <c r="AW62" s="16"/>
      <c r="AX62" s="17"/>
      <c r="AY62" s="18">
        <f t="shared" si="46"/>
        <v>1489</v>
      </c>
      <c r="AZ62" s="34"/>
      <c r="BA62" s="16"/>
      <c r="BB62" s="16"/>
      <c r="BC62" s="17"/>
      <c r="BD62" s="18">
        <f t="shared" si="47"/>
        <v>0</v>
      </c>
      <c r="BE62" s="34"/>
      <c r="BF62" s="16"/>
      <c r="BG62" s="16"/>
      <c r="BH62" s="17"/>
      <c r="BI62" s="18">
        <f t="shared" si="48"/>
        <v>0</v>
      </c>
      <c r="BJ62" s="34"/>
      <c r="BK62" s="16"/>
      <c r="BL62" s="16"/>
      <c r="BM62" s="17"/>
      <c r="BN62" s="18">
        <f t="shared" si="49"/>
        <v>0</v>
      </c>
      <c r="BO62" s="70">
        <f>SUM(G62,L62,Q62,V62,AA62,AF62,AK62,AP62,AU62,AZ62,BE62,BJ62)</f>
        <v>2814</v>
      </c>
      <c r="BP62" s="16">
        <f>SUM(H62,M62,R62,W62,AB62,AG62,AL62,AQ62,AV62,BA62,BF62,BK62)</f>
        <v>0</v>
      </c>
      <c r="BQ62" s="16">
        <f>SUM(I62,N62,S62,X62,AC62,AH62,AM62,AR62,AW62,BB62,BG62,BL62)</f>
        <v>0</v>
      </c>
      <c r="BR62" s="17">
        <f>SUM(J62,O62,T62,Y62,AD62,AI62,AN62,AS62,AX62,BC62,BH62,BM62)</f>
        <v>0</v>
      </c>
      <c r="BS62" s="35">
        <f t="shared" si="12"/>
        <v>2814</v>
      </c>
    </row>
    <row r="63" spans="2:71" x14ac:dyDescent="0.3">
      <c r="B63" s="269"/>
      <c r="C63" s="230"/>
      <c r="D63" s="233"/>
      <c r="E63" s="239"/>
      <c r="F63" s="171" t="s">
        <v>276</v>
      </c>
      <c r="G63" s="172"/>
      <c r="H63" s="173"/>
      <c r="I63" s="173"/>
      <c r="J63" s="174"/>
      <c r="K63" s="175">
        <f t="shared" ref="K63" si="50">SUM(G63:J63)</f>
        <v>0</v>
      </c>
      <c r="L63" s="172"/>
      <c r="M63" s="173"/>
      <c r="N63" s="173"/>
      <c r="O63" s="174"/>
      <c r="P63" s="175">
        <f t="shared" si="39"/>
        <v>0</v>
      </c>
      <c r="Q63" s="172"/>
      <c r="R63" s="173"/>
      <c r="S63" s="173"/>
      <c r="T63" s="174"/>
      <c r="U63" s="175">
        <f t="shared" si="40"/>
        <v>0</v>
      </c>
      <c r="V63" s="172"/>
      <c r="W63" s="173"/>
      <c r="X63" s="173"/>
      <c r="Y63" s="174"/>
      <c r="Z63" s="175">
        <f t="shared" si="41"/>
        <v>0</v>
      </c>
      <c r="AA63" s="172"/>
      <c r="AB63" s="173"/>
      <c r="AC63" s="173"/>
      <c r="AD63" s="174"/>
      <c r="AE63" s="175">
        <f t="shared" si="42"/>
        <v>0</v>
      </c>
      <c r="AF63" s="172"/>
      <c r="AG63" s="173"/>
      <c r="AH63" s="173"/>
      <c r="AI63" s="174"/>
      <c r="AJ63" s="175">
        <f t="shared" si="43"/>
        <v>0</v>
      </c>
      <c r="AK63" s="172">
        <v>742</v>
      </c>
      <c r="AL63" s="173"/>
      <c r="AM63" s="173"/>
      <c r="AN63" s="174"/>
      <c r="AO63" s="175">
        <f t="shared" si="44"/>
        <v>742</v>
      </c>
      <c r="AP63" s="194">
        <f>1833+10</f>
        <v>1843</v>
      </c>
      <c r="AQ63" s="173"/>
      <c r="AR63" s="173"/>
      <c r="AS63" s="174"/>
      <c r="AT63" s="175">
        <f t="shared" si="45"/>
        <v>1843</v>
      </c>
      <c r="AU63" s="194">
        <f>130+1802</f>
        <v>1932</v>
      </c>
      <c r="AV63" s="173"/>
      <c r="AW63" s="173"/>
      <c r="AX63" s="174"/>
      <c r="AY63" s="175">
        <f t="shared" si="46"/>
        <v>1932</v>
      </c>
      <c r="AZ63" s="172"/>
      <c r="BA63" s="173"/>
      <c r="BB63" s="173"/>
      <c r="BC63" s="174"/>
      <c r="BD63" s="175">
        <f t="shared" si="47"/>
        <v>0</v>
      </c>
      <c r="BE63" s="172"/>
      <c r="BF63" s="173"/>
      <c r="BG63" s="173"/>
      <c r="BH63" s="174"/>
      <c r="BI63" s="175">
        <f t="shared" si="48"/>
        <v>0</v>
      </c>
      <c r="BJ63" s="172"/>
      <c r="BK63" s="173"/>
      <c r="BL63" s="173"/>
      <c r="BM63" s="174"/>
      <c r="BN63" s="175">
        <f t="shared" si="49"/>
        <v>0</v>
      </c>
      <c r="BO63" s="177">
        <f>SUM(G63,L63,Q63,V63,AA63,AF63,AK63,AP63,AU63,AZ63,BE63,BJ63)</f>
        <v>4517</v>
      </c>
      <c r="BP63" s="173">
        <f>SUM(H63,M63,R63,W63,AB63,AG63,AL63,AQ63,AV63,BA63,BF63,BK63)</f>
        <v>0</v>
      </c>
      <c r="BQ63" s="173">
        <f>SUM(I63,N63,S63,X63,AC63,AH63,AM63,AR63,AW63,BB63,BG63,BL63)</f>
        <v>0</v>
      </c>
      <c r="BR63" s="174">
        <f>SUM(J63,O63,T63,Y63,AD63,AI63,AN63,AS63,AX63,BC63,BH63,BM63)</f>
        <v>0</v>
      </c>
      <c r="BS63" s="176">
        <f t="shared" si="12"/>
        <v>4517</v>
      </c>
    </row>
    <row r="64" spans="2:71" x14ac:dyDescent="0.3">
      <c r="B64" s="269"/>
      <c r="C64" s="230"/>
      <c r="D64" s="233"/>
      <c r="E64" s="239"/>
      <c r="F64" s="178" t="s">
        <v>277</v>
      </c>
      <c r="G64" s="179"/>
      <c r="H64" s="180"/>
      <c r="I64" s="180"/>
      <c r="J64" s="181"/>
      <c r="K64" s="182">
        <f t="shared" ref="K64" si="51">SUM(G64:J64)</f>
        <v>0</v>
      </c>
      <c r="L64" s="179"/>
      <c r="M64" s="180"/>
      <c r="N64" s="180"/>
      <c r="O64" s="181"/>
      <c r="P64" s="182">
        <f t="shared" si="39"/>
        <v>0</v>
      </c>
      <c r="Q64" s="179"/>
      <c r="R64" s="180"/>
      <c r="S64" s="180"/>
      <c r="T64" s="181"/>
      <c r="U64" s="182">
        <f t="shared" si="40"/>
        <v>0</v>
      </c>
      <c r="V64" s="179"/>
      <c r="W64" s="180"/>
      <c r="X64" s="180"/>
      <c r="Y64" s="181"/>
      <c r="Z64" s="182">
        <f t="shared" si="41"/>
        <v>0</v>
      </c>
      <c r="AA64" s="179"/>
      <c r="AB64" s="180"/>
      <c r="AC64" s="180"/>
      <c r="AD64" s="181"/>
      <c r="AE64" s="182">
        <f t="shared" si="42"/>
        <v>0</v>
      </c>
      <c r="AF64" s="179"/>
      <c r="AG64" s="180"/>
      <c r="AH64" s="180"/>
      <c r="AI64" s="181"/>
      <c r="AJ64" s="182">
        <f t="shared" si="43"/>
        <v>0</v>
      </c>
      <c r="AK64" s="179">
        <v>120</v>
      </c>
      <c r="AL64" s="180"/>
      <c r="AM64" s="180"/>
      <c r="AN64" s="181"/>
      <c r="AO64" s="182">
        <f t="shared" si="44"/>
        <v>120</v>
      </c>
      <c r="AP64" s="179">
        <v>337</v>
      </c>
      <c r="AQ64" s="180"/>
      <c r="AR64" s="180"/>
      <c r="AS64" s="181"/>
      <c r="AT64" s="182">
        <f t="shared" si="45"/>
        <v>337</v>
      </c>
      <c r="AU64" s="193">
        <f>28+367</f>
        <v>395</v>
      </c>
      <c r="AV64" s="180"/>
      <c r="AW64" s="180"/>
      <c r="AX64" s="181"/>
      <c r="AY64" s="182">
        <f t="shared" si="46"/>
        <v>395</v>
      </c>
      <c r="AZ64" s="179"/>
      <c r="BA64" s="180"/>
      <c r="BB64" s="180"/>
      <c r="BC64" s="181"/>
      <c r="BD64" s="182">
        <f t="shared" si="47"/>
        <v>0</v>
      </c>
      <c r="BE64" s="179"/>
      <c r="BF64" s="180"/>
      <c r="BG64" s="180"/>
      <c r="BH64" s="181"/>
      <c r="BI64" s="182">
        <f t="shared" si="48"/>
        <v>0</v>
      </c>
      <c r="BJ64" s="179"/>
      <c r="BK64" s="180"/>
      <c r="BL64" s="180"/>
      <c r="BM64" s="181"/>
      <c r="BN64" s="182">
        <f t="shared" si="49"/>
        <v>0</v>
      </c>
      <c r="BO64" s="184">
        <f>SUM(G64,L64,Q64,V64,AA64,AF64,AK64,AP64,AU64,AZ64,BE64,BJ64)</f>
        <v>852</v>
      </c>
      <c r="BP64" s="180">
        <f>SUM(H64,M64,R64,W64,AB64,AG64,AL64,AQ64,AV64,BA64,BF64,BK64)</f>
        <v>0</v>
      </c>
      <c r="BQ64" s="180">
        <f>SUM(I64,N64,S64,X64,AC64,AH64,AM64,AR64,AW64,BB64,BG64,BL64)</f>
        <v>0</v>
      </c>
      <c r="BR64" s="181">
        <f>SUM(J64,O64,T64,Y64,AD64,AI64,AN64,AS64,AX64,BC64,BH64,BM64)</f>
        <v>0</v>
      </c>
      <c r="BS64" s="183">
        <f t="shared" si="12"/>
        <v>852</v>
      </c>
    </row>
    <row r="65" spans="2:71" x14ac:dyDescent="0.3">
      <c r="B65" s="269"/>
      <c r="C65" s="230"/>
      <c r="D65" s="233"/>
      <c r="E65" s="239"/>
      <c r="F65" s="178" t="s">
        <v>278</v>
      </c>
      <c r="G65" s="179"/>
      <c r="H65" s="180"/>
      <c r="I65" s="180"/>
      <c r="J65" s="181"/>
      <c r="K65" s="182">
        <f t="shared" ref="K65" si="52">SUM(G65:J65)</f>
        <v>0</v>
      </c>
      <c r="L65" s="179"/>
      <c r="M65" s="180"/>
      <c r="N65" s="180"/>
      <c r="O65" s="181"/>
      <c r="P65" s="182">
        <f t="shared" si="39"/>
        <v>0</v>
      </c>
      <c r="Q65" s="179"/>
      <c r="R65" s="180"/>
      <c r="S65" s="180"/>
      <c r="T65" s="181"/>
      <c r="U65" s="182">
        <f t="shared" si="40"/>
        <v>0</v>
      </c>
      <c r="V65" s="179"/>
      <c r="W65" s="180"/>
      <c r="X65" s="180"/>
      <c r="Y65" s="181"/>
      <c r="Z65" s="182">
        <f t="shared" si="41"/>
        <v>0</v>
      </c>
      <c r="AA65" s="179"/>
      <c r="AB65" s="180"/>
      <c r="AC65" s="180"/>
      <c r="AD65" s="181"/>
      <c r="AE65" s="182">
        <f t="shared" si="42"/>
        <v>0</v>
      </c>
      <c r="AF65" s="179"/>
      <c r="AG65" s="180"/>
      <c r="AH65" s="180"/>
      <c r="AI65" s="181"/>
      <c r="AJ65" s="182">
        <f t="shared" si="43"/>
        <v>0</v>
      </c>
      <c r="AK65" s="179">
        <v>491</v>
      </c>
      <c r="AL65" s="180"/>
      <c r="AM65" s="180"/>
      <c r="AN65" s="181"/>
      <c r="AO65" s="182">
        <f t="shared" si="44"/>
        <v>491</v>
      </c>
      <c r="AP65" s="193">
        <f>1317+8</f>
        <v>1325</v>
      </c>
      <c r="AQ65" s="180"/>
      <c r="AR65" s="180"/>
      <c r="AS65" s="181"/>
      <c r="AT65" s="182">
        <f t="shared" si="45"/>
        <v>1325</v>
      </c>
      <c r="AU65" s="193">
        <f>98+1349</f>
        <v>1447</v>
      </c>
      <c r="AV65" s="180"/>
      <c r="AW65" s="180"/>
      <c r="AX65" s="181"/>
      <c r="AY65" s="182">
        <f t="shared" si="46"/>
        <v>1447</v>
      </c>
      <c r="AZ65" s="179"/>
      <c r="BA65" s="180"/>
      <c r="BB65" s="180"/>
      <c r="BC65" s="181"/>
      <c r="BD65" s="182">
        <f t="shared" si="47"/>
        <v>0</v>
      </c>
      <c r="BE65" s="179"/>
      <c r="BF65" s="180"/>
      <c r="BG65" s="180"/>
      <c r="BH65" s="181"/>
      <c r="BI65" s="182">
        <f t="shared" si="48"/>
        <v>0</v>
      </c>
      <c r="BJ65" s="179"/>
      <c r="BK65" s="180"/>
      <c r="BL65" s="180"/>
      <c r="BM65" s="181"/>
      <c r="BN65" s="182">
        <f t="shared" si="49"/>
        <v>0</v>
      </c>
      <c r="BO65" s="184">
        <f>SUM(G65,L65,Q65,V65,AA65,AF65,AK65,AP65,AU65,AZ65,BE65,BJ65)</f>
        <v>3263</v>
      </c>
      <c r="BP65" s="180">
        <f>SUM(H65,M65,R65,W65,AB65,AG65,AL65,AQ65,AV65,BA65,BF65,BK65)</f>
        <v>0</v>
      </c>
      <c r="BQ65" s="180">
        <f>SUM(I65,N65,S65,X65,AC65,AH65,AM65,AR65,AW65,BB65,BG65,BL65)</f>
        <v>0</v>
      </c>
      <c r="BR65" s="181">
        <f>SUM(J65,O65,T65,Y65,AD65,AI65,AN65,AS65,AX65,BC65,BH65,BM65)</f>
        <v>0</v>
      </c>
      <c r="BS65" s="183">
        <f t="shared" si="12"/>
        <v>3263</v>
      </c>
    </row>
    <row r="66" spans="2:71" x14ac:dyDescent="0.3">
      <c r="B66" s="269"/>
      <c r="C66" s="230"/>
      <c r="D66" s="233"/>
      <c r="E66" s="239"/>
      <c r="F66" s="185" t="s">
        <v>279</v>
      </c>
      <c r="G66" s="186"/>
      <c r="H66" s="187"/>
      <c r="I66" s="187"/>
      <c r="J66" s="188"/>
      <c r="K66" s="189">
        <f t="shared" ref="K66" si="53">SUM(G66:J66)</f>
        <v>0</v>
      </c>
      <c r="L66" s="186"/>
      <c r="M66" s="187"/>
      <c r="N66" s="187"/>
      <c r="O66" s="188"/>
      <c r="P66" s="189">
        <f t="shared" si="39"/>
        <v>0</v>
      </c>
      <c r="Q66" s="186"/>
      <c r="R66" s="187"/>
      <c r="S66" s="187"/>
      <c r="T66" s="188"/>
      <c r="U66" s="189">
        <f t="shared" si="40"/>
        <v>0</v>
      </c>
      <c r="V66" s="186"/>
      <c r="W66" s="187"/>
      <c r="X66" s="187"/>
      <c r="Y66" s="188"/>
      <c r="Z66" s="189">
        <f t="shared" si="41"/>
        <v>0</v>
      </c>
      <c r="AA66" s="186"/>
      <c r="AB66" s="187"/>
      <c r="AC66" s="187"/>
      <c r="AD66" s="188"/>
      <c r="AE66" s="189">
        <f t="shared" si="42"/>
        <v>0</v>
      </c>
      <c r="AF66" s="186"/>
      <c r="AG66" s="187"/>
      <c r="AH66" s="187"/>
      <c r="AI66" s="188"/>
      <c r="AJ66" s="189">
        <f t="shared" si="43"/>
        <v>0</v>
      </c>
      <c r="AK66" s="186">
        <v>79</v>
      </c>
      <c r="AL66" s="187"/>
      <c r="AM66" s="187"/>
      <c r="AN66" s="188"/>
      <c r="AO66" s="189">
        <f t="shared" si="44"/>
        <v>79</v>
      </c>
      <c r="AP66" s="275">
        <f>269</f>
        <v>269</v>
      </c>
      <c r="AQ66" s="187"/>
      <c r="AR66" s="187"/>
      <c r="AS66" s="188"/>
      <c r="AT66" s="189">
        <f t="shared" si="45"/>
        <v>269</v>
      </c>
      <c r="AU66" s="275">
        <f>16+345</f>
        <v>361</v>
      </c>
      <c r="AV66" s="187"/>
      <c r="AW66" s="187"/>
      <c r="AX66" s="188"/>
      <c r="AY66" s="189">
        <f t="shared" si="46"/>
        <v>361</v>
      </c>
      <c r="AZ66" s="186"/>
      <c r="BA66" s="187"/>
      <c r="BB66" s="187"/>
      <c r="BC66" s="188"/>
      <c r="BD66" s="189">
        <f t="shared" si="47"/>
        <v>0</v>
      </c>
      <c r="BE66" s="186"/>
      <c r="BF66" s="187"/>
      <c r="BG66" s="187"/>
      <c r="BH66" s="188"/>
      <c r="BI66" s="189">
        <f t="shared" si="48"/>
        <v>0</v>
      </c>
      <c r="BJ66" s="186"/>
      <c r="BK66" s="187"/>
      <c r="BL66" s="187"/>
      <c r="BM66" s="188"/>
      <c r="BN66" s="189">
        <f t="shared" si="49"/>
        <v>0</v>
      </c>
      <c r="BO66" s="191">
        <f>SUM(G66,L66,Q66,V66,AA66,AF66,AK66,AP66,AU66,AZ66,BE66,BJ66)</f>
        <v>709</v>
      </c>
      <c r="BP66" s="187">
        <f>SUM(H66,M66,R66,W66,AB66,AG66,AL66,AQ66,AV66,BA66,BF66,BK66)</f>
        <v>0</v>
      </c>
      <c r="BQ66" s="187">
        <f>SUM(I66,N66,S66,X66,AC66,AH66,AM66,AR66,AW66,BB66,BG66,BL66)</f>
        <v>0</v>
      </c>
      <c r="BR66" s="188">
        <f>SUM(J66,O66,T66,Y66,AD66,AI66,AN66,AS66,AX66,BC66,BH66,BM66)</f>
        <v>0</v>
      </c>
      <c r="BS66" s="190">
        <f t="shared" si="12"/>
        <v>709</v>
      </c>
    </row>
    <row r="67" spans="2:71" x14ac:dyDescent="0.3">
      <c r="B67" s="269"/>
      <c r="C67" s="230"/>
      <c r="D67" s="233"/>
      <c r="E67" s="240"/>
      <c r="F67" s="125" t="s">
        <v>54</v>
      </c>
      <c r="G67" s="126">
        <f>SUM(G53:G66)</f>
        <v>791</v>
      </c>
      <c r="H67" s="127">
        <f>SUM(H53:H66)</f>
        <v>0</v>
      </c>
      <c r="I67" s="127">
        <f>SUM(I53:I66)</f>
        <v>0</v>
      </c>
      <c r="J67" s="128">
        <f>SUM(J53:J66)</f>
        <v>0</v>
      </c>
      <c r="K67" s="129">
        <f t="shared" si="0"/>
        <v>791</v>
      </c>
      <c r="L67" s="126">
        <f>SUM(L53:L66)</f>
        <v>1091</v>
      </c>
      <c r="M67" s="127">
        <f>SUM(M53:M66)</f>
        <v>0</v>
      </c>
      <c r="N67" s="127">
        <f>SUM(N53:N66)</f>
        <v>0</v>
      </c>
      <c r="O67" s="128">
        <f>SUM(O53:O66)</f>
        <v>0</v>
      </c>
      <c r="P67" s="129">
        <f t="shared" ref="P67:P125" si="54">SUM(L67:O67)</f>
        <v>1091</v>
      </c>
      <c r="Q67" s="126">
        <f>SUM(Q53:Q66)</f>
        <v>483</v>
      </c>
      <c r="R67" s="127">
        <f>SUM(R53:R66)</f>
        <v>0</v>
      </c>
      <c r="S67" s="127">
        <f>SUM(S53:S66)</f>
        <v>0</v>
      </c>
      <c r="T67" s="128">
        <f>SUM(T53:T66)</f>
        <v>0</v>
      </c>
      <c r="U67" s="129">
        <f t="shared" ref="U67:U125" si="55">SUM(Q67:T67)</f>
        <v>483</v>
      </c>
      <c r="V67" s="126">
        <f>SUM(V53:V66)</f>
        <v>462</v>
      </c>
      <c r="W67" s="127">
        <f>SUM(W53:W66)</f>
        <v>0</v>
      </c>
      <c r="X67" s="127">
        <f>SUM(X53:X66)</f>
        <v>0</v>
      </c>
      <c r="Y67" s="128">
        <f>SUM(Y53:Y66)</f>
        <v>0</v>
      </c>
      <c r="Z67" s="129">
        <f t="shared" ref="Z67:Z125" si="56">SUM(V67:Y67)</f>
        <v>462</v>
      </c>
      <c r="AA67" s="126">
        <f>SUM(AA53:AA66)</f>
        <v>390</v>
      </c>
      <c r="AB67" s="127">
        <f>SUM(AB53:AB66)</f>
        <v>0</v>
      </c>
      <c r="AC67" s="127">
        <f>SUM(AC53:AC66)</f>
        <v>0</v>
      </c>
      <c r="AD67" s="128">
        <f>SUM(AD53:AD66)</f>
        <v>0</v>
      </c>
      <c r="AE67" s="129">
        <f t="shared" ref="AE67:AE125" si="57">SUM(AA67:AD67)</f>
        <v>390</v>
      </c>
      <c r="AF67" s="126">
        <f>SUM(AF53:AF66)</f>
        <v>1073</v>
      </c>
      <c r="AG67" s="127">
        <f>SUM(AG53:AG66)</f>
        <v>0</v>
      </c>
      <c r="AH67" s="127">
        <f>SUM(AH53:AH66)</f>
        <v>0</v>
      </c>
      <c r="AI67" s="128">
        <f>SUM(AI53:AI66)</f>
        <v>0</v>
      </c>
      <c r="AJ67" s="129">
        <f t="shared" ref="AJ67:AJ125" si="58">SUM(AF67:AI67)</f>
        <v>1073</v>
      </c>
      <c r="AK67" s="126">
        <f>SUM(AK53:AK66)</f>
        <v>5489</v>
      </c>
      <c r="AL67" s="127">
        <f>SUM(AL53:AL66)</f>
        <v>0</v>
      </c>
      <c r="AM67" s="127">
        <f>SUM(AM53:AM66)</f>
        <v>0</v>
      </c>
      <c r="AN67" s="128">
        <f>SUM(AN53:AN66)</f>
        <v>0</v>
      </c>
      <c r="AO67" s="129">
        <f t="shared" ref="AO67:AO125" si="59">SUM(AK67:AN67)</f>
        <v>5489</v>
      </c>
      <c r="AP67" s="126">
        <f>SUM(AP53:AP66)</f>
        <v>10833</v>
      </c>
      <c r="AQ67" s="127">
        <f>SUM(AQ53:AQ66)</f>
        <v>0</v>
      </c>
      <c r="AR67" s="127">
        <f>SUM(AR53:AR66)</f>
        <v>0</v>
      </c>
      <c r="AS67" s="128">
        <f>SUM(AS53:AS66)</f>
        <v>0</v>
      </c>
      <c r="AT67" s="129">
        <f t="shared" ref="AT67:AT125" si="60">SUM(AP67:AS67)</f>
        <v>10833</v>
      </c>
      <c r="AU67" s="126">
        <f>SUM(AU53:AU66)</f>
        <v>15575</v>
      </c>
      <c r="AV67" s="127">
        <f>SUM(AV53:AV66)</f>
        <v>0</v>
      </c>
      <c r="AW67" s="127">
        <f>SUM(AW53:AW66)</f>
        <v>0</v>
      </c>
      <c r="AX67" s="128">
        <f>SUM(AX53:AX66)</f>
        <v>0</v>
      </c>
      <c r="AY67" s="129">
        <f t="shared" ref="AY67:AY125" si="61">SUM(AU67:AX67)</f>
        <v>15575</v>
      </c>
      <c r="AZ67" s="126">
        <f>SUM(AZ53:AZ66)</f>
        <v>1942</v>
      </c>
      <c r="BA67" s="127">
        <f>SUM(BA53:BA66)</f>
        <v>0</v>
      </c>
      <c r="BB67" s="127">
        <f>SUM(BB53:BB66)</f>
        <v>0</v>
      </c>
      <c r="BC67" s="128">
        <f>SUM(BC53:BC66)</f>
        <v>0</v>
      </c>
      <c r="BD67" s="129">
        <f t="shared" ref="BD67:BD125" si="62">SUM(AZ67:BC67)</f>
        <v>1942</v>
      </c>
      <c r="BE67" s="126">
        <f>SUM(BE53:BE66)</f>
        <v>1039</v>
      </c>
      <c r="BF67" s="127">
        <f>SUM(BF53:BF66)</f>
        <v>0</v>
      </c>
      <c r="BG67" s="127">
        <f>SUM(BG53:BG66)</f>
        <v>0</v>
      </c>
      <c r="BH67" s="128">
        <f>SUM(BH53:BH66)</f>
        <v>0</v>
      </c>
      <c r="BI67" s="129">
        <f t="shared" ref="BI67:BI125" si="63">SUM(BE67:BH67)</f>
        <v>1039</v>
      </c>
      <c r="BJ67" s="126">
        <f>SUM(BJ53:BJ66)</f>
        <v>409</v>
      </c>
      <c r="BK67" s="127">
        <f>SUM(BK53:BK66)</f>
        <v>0</v>
      </c>
      <c r="BL67" s="127">
        <f>SUM(BL53:BL66)</f>
        <v>0</v>
      </c>
      <c r="BM67" s="128">
        <f>SUM(BM53:BM66)</f>
        <v>0</v>
      </c>
      <c r="BN67" s="129">
        <f t="shared" ref="BN67:BN125" si="64">SUM(BJ67:BM67)</f>
        <v>409</v>
      </c>
      <c r="BO67" s="131">
        <f>SUM(BO53:BO66)</f>
        <v>39577</v>
      </c>
      <c r="BP67" s="127">
        <f>SUM(BP53:BP66)</f>
        <v>0</v>
      </c>
      <c r="BQ67" s="127">
        <f>SUM(BQ53:BQ66)</f>
        <v>0</v>
      </c>
      <c r="BR67" s="128">
        <f>SUM(BR53:BR66)</f>
        <v>0</v>
      </c>
      <c r="BS67" s="130">
        <f t="shared" si="12"/>
        <v>39577</v>
      </c>
    </row>
    <row r="68" spans="2:71" x14ac:dyDescent="0.3">
      <c r="B68" s="269"/>
      <c r="C68" s="230"/>
      <c r="D68" s="233"/>
      <c r="E68" s="241" t="s">
        <v>44</v>
      </c>
      <c r="F68" s="120" t="s">
        <v>49</v>
      </c>
      <c r="G68" s="30">
        <v>207</v>
      </c>
      <c r="H68" s="7"/>
      <c r="I68" s="7"/>
      <c r="J68" s="8"/>
      <c r="K68" s="9">
        <f t="shared" si="0"/>
        <v>207</v>
      </c>
      <c r="L68" s="30">
        <v>317</v>
      </c>
      <c r="M68" s="7"/>
      <c r="N68" s="7"/>
      <c r="O68" s="8"/>
      <c r="P68" s="9">
        <f t="shared" si="54"/>
        <v>317</v>
      </c>
      <c r="Q68" s="30">
        <f>254-208</f>
        <v>46</v>
      </c>
      <c r="R68" s="7"/>
      <c r="S68" s="7"/>
      <c r="T68" s="8"/>
      <c r="U68" s="9">
        <f t="shared" si="55"/>
        <v>46</v>
      </c>
      <c r="V68" s="30">
        <v>214</v>
      </c>
      <c r="W68" s="7"/>
      <c r="X68" s="7"/>
      <c r="Y68" s="8"/>
      <c r="Z68" s="9">
        <f t="shared" si="56"/>
        <v>214</v>
      </c>
      <c r="AA68" s="30">
        <v>178</v>
      </c>
      <c r="AB68" s="7"/>
      <c r="AC68" s="7"/>
      <c r="AD68" s="8"/>
      <c r="AE68" s="9">
        <f t="shared" si="57"/>
        <v>178</v>
      </c>
      <c r="AF68" s="30">
        <v>294</v>
      </c>
      <c r="AG68" s="7"/>
      <c r="AH68" s="7"/>
      <c r="AI68" s="8"/>
      <c r="AJ68" s="9">
        <f t="shared" si="58"/>
        <v>294</v>
      </c>
      <c r="AK68" s="30">
        <v>120</v>
      </c>
      <c r="AL68" s="7"/>
      <c r="AM68" s="7"/>
      <c r="AN68" s="8"/>
      <c r="AO68" s="9">
        <f t="shared" si="59"/>
        <v>120</v>
      </c>
      <c r="AP68" s="30">
        <v>131</v>
      </c>
      <c r="AQ68" s="7"/>
      <c r="AR68" s="7"/>
      <c r="AS68" s="8"/>
      <c r="AT68" s="9">
        <f t="shared" si="60"/>
        <v>131</v>
      </c>
      <c r="AU68" s="30">
        <v>276</v>
      </c>
      <c r="AV68" s="7"/>
      <c r="AW68" s="7"/>
      <c r="AX68" s="8"/>
      <c r="AY68" s="9">
        <f t="shared" si="61"/>
        <v>276</v>
      </c>
      <c r="AZ68" s="30">
        <v>457</v>
      </c>
      <c r="BA68" s="7"/>
      <c r="BB68" s="7"/>
      <c r="BC68" s="8"/>
      <c r="BD68" s="9">
        <f t="shared" si="62"/>
        <v>457</v>
      </c>
      <c r="BE68" s="30">
        <v>243</v>
      </c>
      <c r="BF68" s="7"/>
      <c r="BG68" s="7"/>
      <c r="BH68" s="8"/>
      <c r="BI68" s="9">
        <f t="shared" si="63"/>
        <v>243</v>
      </c>
      <c r="BJ68" s="30">
        <v>124</v>
      </c>
      <c r="BK68" s="7"/>
      <c r="BL68" s="7"/>
      <c r="BM68" s="8"/>
      <c r="BN68" s="9">
        <f t="shared" si="64"/>
        <v>124</v>
      </c>
      <c r="BO68" s="65">
        <f>SUM(G68,L68,Q68,V68,AA68,AF68,AK68,AP68,AU68,AZ68,BE68,BJ68)</f>
        <v>2607</v>
      </c>
      <c r="BP68" s="7">
        <f>SUM(H68,M68,R68,W68,AB68,AG68,AL68,AQ68,AV68,BA68,BF68,BK68)</f>
        <v>0</v>
      </c>
      <c r="BQ68" s="7">
        <f>SUM(I68,N68,S68,X68,AC68,AH68,AM68,AR68,AW68,BB68,BG68,BL68)</f>
        <v>0</v>
      </c>
      <c r="BR68" s="8">
        <f>SUM(J68,O68,T68,Y68,AD68,AI68,AN68,AS68,AX68,BC68,BH68,BM68)</f>
        <v>0</v>
      </c>
      <c r="BS68" s="31">
        <f t="shared" si="12"/>
        <v>2607</v>
      </c>
    </row>
    <row r="69" spans="2:71" x14ac:dyDescent="0.3">
      <c r="B69" s="269"/>
      <c r="C69" s="230"/>
      <c r="D69" s="233"/>
      <c r="E69" s="239"/>
      <c r="F69" s="121" t="s">
        <v>50</v>
      </c>
      <c r="G69" s="32">
        <v>23</v>
      </c>
      <c r="H69" s="13"/>
      <c r="I69" s="13"/>
      <c r="J69" s="14"/>
      <c r="K69" s="15">
        <f t="shared" si="0"/>
        <v>23</v>
      </c>
      <c r="L69" s="32">
        <v>30</v>
      </c>
      <c r="M69" s="13"/>
      <c r="N69" s="13"/>
      <c r="O69" s="14"/>
      <c r="P69" s="15">
        <f t="shared" si="54"/>
        <v>30</v>
      </c>
      <c r="Q69" s="32">
        <f>56-54</f>
        <v>2</v>
      </c>
      <c r="R69" s="13"/>
      <c r="S69" s="13"/>
      <c r="T69" s="14"/>
      <c r="U69" s="15">
        <f t="shared" si="55"/>
        <v>2</v>
      </c>
      <c r="V69" s="32">
        <v>49</v>
      </c>
      <c r="W69" s="13"/>
      <c r="X69" s="13"/>
      <c r="Y69" s="14"/>
      <c r="Z69" s="15">
        <f t="shared" si="56"/>
        <v>49</v>
      </c>
      <c r="AA69" s="32">
        <v>45</v>
      </c>
      <c r="AB69" s="13"/>
      <c r="AC69" s="13"/>
      <c r="AD69" s="14"/>
      <c r="AE69" s="15">
        <f t="shared" si="57"/>
        <v>45</v>
      </c>
      <c r="AF69" s="32">
        <v>78</v>
      </c>
      <c r="AG69" s="13"/>
      <c r="AH69" s="13"/>
      <c r="AI69" s="14"/>
      <c r="AJ69" s="15">
        <f t="shared" si="58"/>
        <v>78</v>
      </c>
      <c r="AK69" s="32">
        <v>24</v>
      </c>
      <c r="AL69" s="13"/>
      <c r="AM69" s="13"/>
      <c r="AN69" s="14"/>
      <c r="AO69" s="15">
        <f t="shared" si="59"/>
        <v>24</v>
      </c>
      <c r="AP69" s="32">
        <v>32</v>
      </c>
      <c r="AQ69" s="13"/>
      <c r="AR69" s="13"/>
      <c r="AS69" s="14"/>
      <c r="AT69" s="15">
        <f t="shared" si="60"/>
        <v>32</v>
      </c>
      <c r="AU69" s="32">
        <v>75</v>
      </c>
      <c r="AV69" s="13"/>
      <c r="AW69" s="13"/>
      <c r="AX69" s="14"/>
      <c r="AY69" s="15">
        <f t="shared" si="61"/>
        <v>75</v>
      </c>
      <c r="AZ69" s="32">
        <v>114</v>
      </c>
      <c r="BA69" s="13"/>
      <c r="BB69" s="13"/>
      <c r="BC69" s="14"/>
      <c r="BD69" s="15">
        <f t="shared" si="62"/>
        <v>114</v>
      </c>
      <c r="BE69" s="32">
        <v>61</v>
      </c>
      <c r="BF69" s="13"/>
      <c r="BG69" s="13"/>
      <c r="BH69" s="14"/>
      <c r="BI69" s="15">
        <f t="shared" si="63"/>
        <v>61</v>
      </c>
      <c r="BJ69" s="32">
        <v>13</v>
      </c>
      <c r="BK69" s="13"/>
      <c r="BL69" s="13"/>
      <c r="BM69" s="14"/>
      <c r="BN69" s="15">
        <f t="shared" si="64"/>
        <v>13</v>
      </c>
      <c r="BO69" s="66">
        <f>SUM(G69,L69,Q69,V69,AA69,AF69,AK69,AP69,AU69,AZ69,BE69,BJ69)</f>
        <v>546</v>
      </c>
      <c r="BP69" s="13">
        <f>SUM(H69,M69,R69,W69,AB69,AG69,AL69,AQ69,AV69,BA69,BF69,BK69)</f>
        <v>0</v>
      </c>
      <c r="BQ69" s="13">
        <f>SUM(I69,N69,S69,X69,AC69,AH69,AM69,AR69,AW69,BB69,BG69,BL69)</f>
        <v>0</v>
      </c>
      <c r="BR69" s="14">
        <f>SUM(J69,O69,T69,Y69,AD69,AI69,AN69,AS69,AX69,BC69,BH69,BM69)</f>
        <v>0</v>
      </c>
      <c r="BS69" s="33">
        <f t="shared" si="12"/>
        <v>546</v>
      </c>
    </row>
    <row r="70" spans="2:71" x14ac:dyDescent="0.3">
      <c r="B70" s="269"/>
      <c r="C70" s="230"/>
      <c r="D70" s="233"/>
      <c r="E70" s="239"/>
      <c r="F70" s="121" t="s">
        <v>51</v>
      </c>
      <c r="G70" s="32">
        <v>137</v>
      </c>
      <c r="H70" s="13"/>
      <c r="I70" s="13"/>
      <c r="J70" s="14"/>
      <c r="K70" s="15">
        <f t="shared" ref="K70:K71" si="65">SUM(G70:J70)</f>
        <v>137</v>
      </c>
      <c r="L70" s="32">
        <v>205</v>
      </c>
      <c r="M70" s="13"/>
      <c r="N70" s="13"/>
      <c r="O70" s="14"/>
      <c r="P70" s="15">
        <f t="shared" ref="P70:P71" si="66">SUM(L70:O70)</f>
        <v>205</v>
      </c>
      <c r="Q70" s="32">
        <f>31</f>
        <v>31</v>
      </c>
      <c r="R70" s="13"/>
      <c r="S70" s="13"/>
      <c r="T70" s="14"/>
      <c r="U70" s="15">
        <f t="shared" ref="U70:U71" si="67">SUM(Q70:T70)</f>
        <v>31</v>
      </c>
      <c r="V70" s="32"/>
      <c r="W70" s="13"/>
      <c r="X70" s="13"/>
      <c r="Y70" s="14"/>
      <c r="Z70" s="15">
        <f t="shared" ref="Z70:Z71" si="68">SUM(V70:Y70)</f>
        <v>0</v>
      </c>
      <c r="AA70" s="32"/>
      <c r="AB70" s="13"/>
      <c r="AC70" s="13"/>
      <c r="AD70" s="14"/>
      <c r="AE70" s="15">
        <f t="shared" ref="AE70:AE71" si="69">SUM(AA70:AD70)</f>
        <v>0</v>
      </c>
      <c r="AF70" s="32">
        <v>191</v>
      </c>
      <c r="AG70" s="13"/>
      <c r="AH70" s="13"/>
      <c r="AI70" s="14"/>
      <c r="AJ70" s="15">
        <f t="shared" ref="AJ70:AJ71" si="70">SUM(AF70:AI70)</f>
        <v>191</v>
      </c>
      <c r="AK70" s="32">
        <v>74</v>
      </c>
      <c r="AL70" s="13"/>
      <c r="AM70" s="13"/>
      <c r="AN70" s="14"/>
      <c r="AO70" s="15">
        <f t="shared" ref="AO70:AO71" si="71">SUM(AK70:AN70)</f>
        <v>74</v>
      </c>
      <c r="AP70" s="32">
        <v>84</v>
      </c>
      <c r="AQ70" s="13"/>
      <c r="AR70" s="13"/>
      <c r="AS70" s="14"/>
      <c r="AT70" s="15">
        <f t="shared" ref="AT70:AT71" si="72">SUM(AP70:AS70)</f>
        <v>84</v>
      </c>
      <c r="AU70" s="32">
        <v>186</v>
      </c>
      <c r="AV70" s="13"/>
      <c r="AW70" s="13"/>
      <c r="AX70" s="14"/>
      <c r="AY70" s="15">
        <f t="shared" ref="AY70:AY71" si="73">SUM(AU70:AX70)</f>
        <v>186</v>
      </c>
      <c r="AZ70" s="32">
        <v>297</v>
      </c>
      <c r="BA70" s="13"/>
      <c r="BB70" s="13"/>
      <c r="BC70" s="14"/>
      <c r="BD70" s="15">
        <f t="shared" ref="BD70:BD71" si="74">SUM(AZ70:BC70)</f>
        <v>297</v>
      </c>
      <c r="BE70" s="32">
        <v>148</v>
      </c>
      <c r="BF70" s="13"/>
      <c r="BG70" s="13"/>
      <c r="BH70" s="14"/>
      <c r="BI70" s="15">
        <f t="shared" ref="BI70:BI71" si="75">SUM(BE70:BH70)</f>
        <v>148</v>
      </c>
      <c r="BJ70" s="32">
        <v>78</v>
      </c>
      <c r="BK70" s="13"/>
      <c r="BL70" s="13"/>
      <c r="BM70" s="14"/>
      <c r="BN70" s="15">
        <f t="shared" ref="BN70:BN71" si="76">SUM(BJ70:BM70)</f>
        <v>78</v>
      </c>
      <c r="BO70" s="66">
        <f>SUM(G70,L70,Q70,V70,AA70,AF70,AK70,AP70,AU70,AZ70,BE70,BJ70)</f>
        <v>1431</v>
      </c>
      <c r="BP70" s="13">
        <f>SUM(H70,M70,R70,W70,AB70,AG70,AL70,AQ70,AV70,BA70,BF70,BK70)</f>
        <v>0</v>
      </c>
      <c r="BQ70" s="13">
        <f>SUM(I70,N70,S70,X70,AC70,AH70,AM70,AR70,AW70,BB70,BG70,BL70)</f>
        <v>0</v>
      </c>
      <c r="BR70" s="14">
        <f>SUM(J70,O70,T70,Y70,AD70,AI70,AN70,AS70,AX70,BC70,BH70,BM70)</f>
        <v>0</v>
      </c>
      <c r="BS70" s="33">
        <f t="shared" si="12"/>
        <v>1431</v>
      </c>
    </row>
    <row r="71" spans="2:71" x14ac:dyDescent="0.3">
      <c r="B71" s="269"/>
      <c r="C71" s="230"/>
      <c r="D71" s="233"/>
      <c r="E71" s="239"/>
      <c r="F71" s="123" t="s">
        <v>52</v>
      </c>
      <c r="G71" s="34">
        <v>15</v>
      </c>
      <c r="H71" s="16"/>
      <c r="I71" s="16"/>
      <c r="J71" s="17"/>
      <c r="K71" s="18">
        <f t="shared" si="65"/>
        <v>15</v>
      </c>
      <c r="L71" s="34">
        <v>22</v>
      </c>
      <c r="M71" s="16"/>
      <c r="N71" s="16"/>
      <c r="O71" s="17"/>
      <c r="P71" s="18">
        <f t="shared" si="66"/>
        <v>22</v>
      </c>
      <c r="Q71" s="34">
        <f>2</f>
        <v>2</v>
      </c>
      <c r="R71" s="16"/>
      <c r="S71" s="16"/>
      <c r="T71" s="17"/>
      <c r="U71" s="18">
        <f t="shared" si="67"/>
        <v>2</v>
      </c>
      <c r="V71" s="34"/>
      <c r="W71" s="16"/>
      <c r="X71" s="16"/>
      <c r="Y71" s="17"/>
      <c r="Z71" s="18">
        <f t="shared" si="68"/>
        <v>0</v>
      </c>
      <c r="AA71" s="34"/>
      <c r="AB71" s="16"/>
      <c r="AC71" s="16"/>
      <c r="AD71" s="17"/>
      <c r="AE71" s="18">
        <f t="shared" si="69"/>
        <v>0</v>
      </c>
      <c r="AF71" s="34">
        <v>55</v>
      </c>
      <c r="AG71" s="16"/>
      <c r="AH71" s="16"/>
      <c r="AI71" s="17"/>
      <c r="AJ71" s="18">
        <f t="shared" si="70"/>
        <v>55</v>
      </c>
      <c r="AK71" s="34">
        <v>19</v>
      </c>
      <c r="AL71" s="16"/>
      <c r="AM71" s="16"/>
      <c r="AN71" s="17"/>
      <c r="AO71" s="18">
        <f t="shared" si="71"/>
        <v>19</v>
      </c>
      <c r="AP71" s="34">
        <v>21</v>
      </c>
      <c r="AQ71" s="16"/>
      <c r="AR71" s="16"/>
      <c r="AS71" s="17"/>
      <c r="AT71" s="18">
        <f t="shared" si="72"/>
        <v>21</v>
      </c>
      <c r="AU71" s="34">
        <v>57</v>
      </c>
      <c r="AV71" s="16"/>
      <c r="AW71" s="16"/>
      <c r="AX71" s="17"/>
      <c r="AY71" s="18">
        <f t="shared" si="73"/>
        <v>57</v>
      </c>
      <c r="AZ71" s="34">
        <v>82</v>
      </c>
      <c r="BA71" s="16"/>
      <c r="BB71" s="16"/>
      <c r="BC71" s="17"/>
      <c r="BD71" s="18">
        <f t="shared" si="74"/>
        <v>82</v>
      </c>
      <c r="BE71" s="34">
        <v>41</v>
      </c>
      <c r="BF71" s="16"/>
      <c r="BG71" s="16"/>
      <c r="BH71" s="17"/>
      <c r="BI71" s="18">
        <f t="shared" si="75"/>
        <v>41</v>
      </c>
      <c r="BJ71" s="34">
        <v>11</v>
      </c>
      <c r="BK71" s="16"/>
      <c r="BL71" s="16"/>
      <c r="BM71" s="17"/>
      <c r="BN71" s="18">
        <f t="shared" si="76"/>
        <v>11</v>
      </c>
      <c r="BO71" s="70">
        <f>SUM(G71,L71,Q71,V71,AA71,AF71,AK71,AP71,AU71,AZ71,BE71,BJ71)</f>
        <v>325</v>
      </c>
      <c r="BP71" s="16">
        <f>SUM(H71,M71,R71,W71,AB71,AG71,AL71,AQ71,AV71,BA71,BF71,BK71)</f>
        <v>0</v>
      </c>
      <c r="BQ71" s="16">
        <f>SUM(I71,N71,S71,X71,AC71,AH71,AM71,AR71,AW71,BB71,BG71,BL71)</f>
        <v>0</v>
      </c>
      <c r="BR71" s="17">
        <f>SUM(J71,O71,T71,Y71,AD71,AI71,AN71,AS71,AX71,BC71,BH71,BM71)</f>
        <v>0</v>
      </c>
      <c r="BS71" s="35">
        <f t="shared" si="12"/>
        <v>325</v>
      </c>
    </row>
    <row r="72" spans="2:71" x14ac:dyDescent="0.3">
      <c r="B72" s="269"/>
      <c r="C72" s="230"/>
      <c r="D72" s="233"/>
      <c r="E72" s="239"/>
      <c r="F72" s="123" t="s">
        <v>433</v>
      </c>
      <c r="G72" s="34"/>
      <c r="H72" s="16"/>
      <c r="I72" s="16"/>
      <c r="J72" s="17"/>
      <c r="K72" s="18">
        <f t="shared" si="0"/>
        <v>0</v>
      </c>
      <c r="L72" s="34"/>
      <c r="M72" s="16"/>
      <c r="N72" s="16"/>
      <c r="O72" s="17"/>
      <c r="P72" s="18">
        <f t="shared" si="54"/>
        <v>0</v>
      </c>
      <c r="Q72" s="34">
        <v>208</v>
      </c>
      <c r="R72" s="16"/>
      <c r="S72" s="16"/>
      <c r="T72" s="17"/>
      <c r="U72" s="18">
        <f t="shared" si="55"/>
        <v>208</v>
      </c>
      <c r="V72" s="34"/>
      <c r="W72" s="16"/>
      <c r="X72" s="16"/>
      <c r="Y72" s="17"/>
      <c r="Z72" s="18">
        <f t="shared" si="56"/>
        <v>0</v>
      </c>
      <c r="AA72" s="34"/>
      <c r="AB72" s="16"/>
      <c r="AC72" s="16"/>
      <c r="AD72" s="17"/>
      <c r="AE72" s="18">
        <f t="shared" si="57"/>
        <v>0</v>
      </c>
      <c r="AF72" s="34"/>
      <c r="AG72" s="16"/>
      <c r="AH72" s="16"/>
      <c r="AI72" s="17"/>
      <c r="AJ72" s="18">
        <f t="shared" si="58"/>
        <v>0</v>
      </c>
      <c r="AK72" s="34"/>
      <c r="AL72" s="16"/>
      <c r="AM72" s="16"/>
      <c r="AN72" s="17"/>
      <c r="AO72" s="18">
        <f t="shared" si="59"/>
        <v>0</v>
      </c>
      <c r="AP72" s="34"/>
      <c r="AQ72" s="16"/>
      <c r="AR72" s="16"/>
      <c r="AS72" s="17"/>
      <c r="AT72" s="18">
        <f t="shared" si="60"/>
        <v>0</v>
      </c>
      <c r="AU72" s="34"/>
      <c r="AV72" s="16"/>
      <c r="AW72" s="16"/>
      <c r="AX72" s="17"/>
      <c r="AY72" s="18">
        <f t="shared" si="61"/>
        <v>0</v>
      </c>
      <c r="AZ72" s="34"/>
      <c r="BA72" s="16"/>
      <c r="BB72" s="16"/>
      <c r="BC72" s="17"/>
      <c r="BD72" s="18">
        <f t="shared" si="62"/>
        <v>0</v>
      </c>
      <c r="BE72" s="34"/>
      <c r="BF72" s="16"/>
      <c r="BG72" s="16"/>
      <c r="BH72" s="17"/>
      <c r="BI72" s="18">
        <f t="shared" si="63"/>
        <v>0</v>
      </c>
      <c r="BJ72" s="34"/>
      <c r="BK72" s="16"/>
      <c r="BL72" s="16"/>
      <c r="BM72" s="17"/>
      <c r="BN72" s="18">
        <f t="shared" si="64"/>
        <v>0</v>
      </c>
      <c r="BO72" s="70">
        <f>SUM(G72,L72,Q72,V72,AA72,AF72,AK72,AP72,AU72,AZ72,BE72,BJ72)</f>
        <v>208</v>
      </c>
      <c r="BP72" s="16">
        <f>SUM(H72,M72,R72,W72,AB72,AG72,AL72,AQ72,AV72,BA72,BF72,BK72)</f>
        <v>0</v>
      </c>
      <c r="BQ72" s="16">
        <f>SUM(I72,N72,S72,X72,AC72,AH72,AM72,AR72,AW72,BB72,BG72,BL72)</f>
        <v>0</v>
      </c>
      <c r="BR72" s="17">
        <f>SUM(J72,O72,T72,Y72,AD72,AI72,AN72,AS72,AX72,BC72,BH72,BM72)</f>
        <v>0</v>
      </c>
      <c r="BS72" s="35">
        <f t="shared" si="12"/>
        <v>208</v>
      </c>
    </row>
    <row r="73" spans="2:71" x14ac:dyDescent="0.3">
      <c r="B73" s="269"/>
      <c r="C73" s="230"/>
      <c r="D73" s="233"/>
      <c r="E73" s="239"/>
      <c r="F73" s="124" t="s">
        <v>434</v>
      </c>
      <c r="G73" s="36"/>
      <c r="H73" s="10"/>
      <c r="I73" s="10"/>
      <c r="J73" s="11"/>
      <c r="K73" s="12">
        <f t="shared" si="0"/>
        <v>0</v>
      </c>
      <c r="L73" s="36"/>
      <c r="M73" s="10"/>
      <c r="N73" s="10"/>
      <c r="O73" s="11"/>
      <c r="P73" s="12">
        <f t="shared" si="54"/>
        <v>0</v>
      </c>
      <c r="Q73" s="36">
        <v>54</v>
      </c>
      <c r="R73" s="10"/>
      <c r="S73" s="10"/>
      <c r="T73" s="11"/>
      <c r="U73" s="12">
        <f t="shared" si="55"/>
        <v>54</v>
      </c>
      <c r="V73" s="36"/>
      <c r="W73" s="10"/>
      <c r="X73" s="10"/>
      <c r="Y73" s="11"/>
      <c r="Z73" s="12">
        <f t="shared" si="56"/>
        <v>0</v>
      </c>
      <c r="AA73" s="36"/>
      <c r="AB73" s="10"/>
      <c r="AC73" s="10"/>
      <c r="AD73" s="11"/>
      <c r="AE73" s="12">
        <f t="shared" si="57"/>
        <v>0</v>
      </c>
      <c r="AF73" s="36"/>
      <c r="AG73" s="10"/>
      <c r="AH73" s="10"/>
      <c r="AI73" s="11"/>
      <c r="AJ73" s="12">
        <f t="shared" si="58"/>
        <v>0</v>
      </c>
      <c r="AK73" s="36"/>
      <c r="AL73" s="10"/>
      <c r="AM73" s="10"/>
      <c r="AN73" s="11"/>
      <c r="AO73" s="12">
        <f t="shared" si="59"/>
        <v>0</v>
      </c>
      <c r="AP73" s="36"/>
      <c r="AQ73" s="10"/>
      <c r="AR73" s="10"/>
      <c r="AS73" s="11"/>
      <c r="AT73" s="12">
        <f t="shared" si="60"/>
        <v>0</v>
      </c>
      <c r="AU73" s="36"/>
      <c r="AV73" s="10"/>
      <c r="AW73" s="10"/>
      <c r="AX73" s="11"/>
      <c r="AY73" s="12">
        <f t="shared" si="61"/>
        <v>0</v>
      </c>
      <c r="AZ73" s="36"/>
      <c r="BA73" s="10"/>
      <c r="BB73" s="10"/>
      <c r="BC73" s="11"/>
      <c r="BD73" s="12">
        <f t="shared" si="62"/>
        <v>0</v>
      </c>
      <c r="BE73" s="36"/>
      <c r="BF73" s="10"/>
      <c r="BG73" s="10"/>
      <c r="BH73" s="11"/>
      <c r="BI73" s="12">
        <f t="shared" si="63"/>
        <v>0</v>
      </c>
      <c r="BJ73" s="36"/>
      <c r="BK73" s="10"/>
      <c r="BL73" s="10"/>
      <c r="BM73" s="11"/>
      <c r="BN73" s="12">
        <f t="shared" si="64"/>
        <v>0</v>
      </c>
      <c r="BO73" s="71">
        <f>SUM(G73,L73,Q73,V73,AA73,AF73,AK73,AP73,AU73,AZ73,BE73,BJ73)</f>
        <v>54</v>
      </c>
      <c r="BP73" s="10">
        <f>SUM(H73,M73,R73,W73,AB73,AG73,AL73,AQ73,AV73,BA73,BF73,BK73)</f>
        <v>0</v>
      </c>
      <c r="BQ73" s="10">
        <f>SUM(I73,N73,S73,X73,AC73,AH73,AM73,AR73,AW73,BB73,BG73,BL73)</f>
        <v>0</v>
      </c>
      <c r="BR73" s="11">
        <f>SUM(J73,O73,T73,Y73,AD73,AI73,AN73,AS73,AX73,BC73,BH73,BM73)</f>
        <v>0</v>
      </c>
      <c r="BS73" s="37">
        <f t="shared" si="12"/>
        <v>54</v>
      </c>
    </row>
    <row r="74" spans="2:71" x14ac:dyDescent="0.3">
      <c r="B74" s="269"/>
      <c r="C74" s="230"/>
      <c r="D74" s="233"/>
      <c r="E74" s="240"/>
      <c r="F74" s="125" t="s">
        <v>54</v>
      </c>
      <c r="G74" s="126">
        <f>SUM(G68:G73)</f>
        <v>382</v>
      </c>
      <c r="H74" s="127">
        <f>SUM(H68:H73)</f>
        <v>0</v>
      </c>
      <c r="I74" s="127">
        <f>SUM(I68:I73)</f>
        <v>0</v>
      </c>
      <c r="J74" s="128">
        <f>SUM(J68:J73)</f>
        <v>0</v>
      </c>
      <c r="K74" s="129">
        <f t="shared" si="0"/>
        <v>382</v>
      </c>
      <c r="L74" s="126">
        <f>SUM(L68:L73)</f>
        <v>574</v>
      </c>
      <c r="M74" s="127">
        <f>SUM(M68:M73)</f>
        <v>0</v>
      </c>
      <c r="N74" s="127">
        <f>SUM(N68:N73)</f>
        <v>0</v>
      </c>
      <c r="O74" s="128">
        <f>SUM(O68:O73)</f>
        <v>0</v>
      </c>
      <c r="P74" s="129">
        <f t="shared" si="54"/>
        <v>574</v>
      </c>
      <c r="Q74" s="126">
        <f>SUM(Q68:Q73)</f>
        <v>343</v>
      </c>
      <c r="R74" s="127">
        <f>SUM(R68:R73)</f>
        <v>0</v>
      </c>
      <c r="S74" s="127">
        <f>SUM(S68:S73)</f>
        <v>0</v>
      </c>
      <c r="T74" s="128">
        <f>SUM(T68:T73)</f>
        <v>0</v>
      </c>
      <c r="U74" s="129">
        <f t="shared" si="55"/>
        <v>343</v>
      </c>
      <c r="V74" s="126">
        <f>SUM(V68:V73)</f>
        <v>263</v>
      </c>
      <c r="W74" s="127">
        <f>SUM(W68:W73)</f>
        <v>0</v>
      </c>
      <c r="X74" s="127">
        <f>SUM(X68:X73)</f>
        <v>0</v>
      </c>
      <c r="Y74" s="128">
        <f>SUM(Y68:Y73)</f>
        <v>0</v>
      </c>
      <c r="Z74" s="129">
        <f t="shared" si="56"/>
        <v>263</v>
      </c>
      <c r="AA74" s="126">
        <f>SUM(AA68:AA73)</f>
        <v>223</v>
      </c>
      <c r="AB74" s="127">
        <f>SUM(AB68:AB73)</f>
        <v>0</v>
      </c>
      <c r="AC74" s="127">
        <f>SUM(AC68:AC73)</f>
        <v>0</v>
      </c>
      <c r="AD74" s="128">
        <f>SUM(AD68:AD73)</f>
        <v>0</v>
      </c>
      <c r="AE74" s="129">
        <f t="shared" si="57"/>
        <v>223</v>
      </c>
      <c r="AF74" s="126">
        <f>SUM(AF68:AF73)</f>
        <v>618</v>
      </c>
      <c r="AG74" s="127">
        <f>SUM(AG68:AG73)</f>
        <v>0</v>
      </c>
      <c r="AH74" s="127">
        <f>SUM(AH68:AH73)</f>
        <v>0</v>
      </c>
      <c r="AI74" s="128">
        <f>SUM(AI68:AI73)</f>
        <v>0</v>
      </c>
      <c r="AJ74" s="129">
        <f t="shared" si="58"/>
        <v>618</v>
      </c>
      <c r="AK74" s="126">
        <f>SUM(AK68:AK73)</f>
        <v>237</v>
      </c>
      <c r="AL74" s="127">
        <f>SUM(AL68:AL73)</f>
        <v>0</v>
      </c>
      <c r="AM74" s="127">
        <f>SUM(AM68:AM73)</f>
        <v>0</v>
      </c>
      <c r="AN74" s="128">
        <f>SUM(AN68:AN73)</f>
        <v>0</v>
      </c>
      <c r="AO74" s="129">
        <f t="shared" si="59"/>
        <v>237</v>
      </c>
      <c r="AP74" s="126">
        <f>SUM(AP68:AP73)</f>
        <v>268</v>
      </c>
      <c r="AQ74" s="127">
        <f>SUM(AQ68:AQ73)</f>
        <v>0</v>
      </c>
      <c r="AR74" s="127">
        <f>SUM(AR68:AR73)</f>
        <v>0</v>
      </c>
      <c r="AS74" s="128">
        <f>SUM(AS68:AS73)</f>
        <v>0</v>
      </c>
      <c r="AT74" s="129">
        <f t="shared" si="60"/>
        <v>268</v>
      </c>
      <c r="AU74" s="126">
        <f>SUM(AU68:AU73)</f>
        <v>594</v>
      </c>
      <c r="AV74" s="127">
        <f>SUM(AV68:AV73)</f>
        <v>0</v>
      </c>
      <c r="AW74" s="127">
        <f>SUM(AW68:AW73)</f>
        <v>0</v>
      </c>
      <c r="AX74" s="128">
        <f>SUM(AX68:AX73)</f>
        <v>0</v>
      </c>
      <c r="AY74" s="129">
        <f t="shared" si="61"/>
        <v>594</v>
      </c>
      <c r="AZ74" s="126">
        <f>SUM(AZ68:AZ73)</f>
        <v>950</v>
      </c>
      <c r="BA74" s="127">
        <f>SUM(BA68:BA73)</f>
        <v>0</v>
      </c>
      <c r="BB74" s="127">
        <f>SUM(BB68:BB73)</f>
        <v>0</v>
      </c>
      <c r="BC74" s="128">
        <f>SUM(BC68:BC73)</f>
        <v>0</v>
      </c>
      <c r="BD74" s="129">
        <f t="shared" si="62"/>
        <v>950</v>
      </c>
      <c r="BE74" s="126">
        <f>SUM(BE68:BE73)</f>
        <v>493</v>
      </c>
      <c r="BF74" s="127">
        <f>SUM(BF68:BF73)</f>
        <v>0</v>
      </c>
      <c r="BG74" s="127">
        <f>SUM(BG68:BG73)</f>
        <v>0</v>
      </c>
      <c r="BH74" s="128">
        <f>SUM(BH68:BH73)</f>
        <v>0</v>
      </c>
      <c r="BI74" s="129">
        <f t="shared" si="63"/>
        <v>493</v>
      </c>
      <c r="BJ74" s="126">
        <f>SUM(BJ68:BJ73)</f>
        <v>226</v>
      </c>
      <c r="BK74" s="127">
        <f>SUM(BK68:BK73)</f>
        <v>0</v>
      </c>
      <c r="BL74" s="127">
        <f>SUM(BL68:BL73)</f>
        <v>0</v>
      </c>
      <c r="BM74" s="128">
        <f>SUM(BM68:BM73)</f>
        <v>0</v>
      </c>
      <c r="BN74" s="129">
        <f t="shared" si="64"/>
        <v>226</v>
      </c>
      <c r="BO74" s="131">
        <f>SUM(BO68:BO73)</f>
        <v>5171</v>
      </c>
      <c r="BP74" s="127">
        <f>SUM(BP68:BP73)</f>
        <v>0</v>
      </c>
      <c r="BQ74" s="127">
        <f>SUM(BQ68:BQ73)</f>
        <v>0</v>
      </c>
      <c r="BR74" s="128">
        <f>SUM(BR68:BR73)</f>
        <v>0</v>
      </c>
      <c r="BS74" s="130">
        <f t="shared" si="12"/>
        <v>5171</v>
      </c>
    </row>
    <row r="75" spans="2:71" x14ac:dyDescent="0.3">
      <c r="B75" s="269"/>
      <c r="C75" s="230"/>
      <c r="D75" s="233"/>
      <c r="E75" s="241" t="s">
        <v>46</v>
      </c>
      <c r="F75" s="120" t="s">
        <v>49</v>
      </c>
      <c r="G75" s="30">
        <v>26</v>
      </c>
      <c r="H75" s="7"/>
      <c r="I75" s="7"/>
      <c r="J75" s="8"/>
      <c r="K75" s="9">
        <f t="shared" si="0"/>
        <v>26</v>
      </c>
      <c r="L75" s="30">
        <v>18</v>
      </c>
      <c r="M75" s="7"/>
      <c r="N75" s="7"/>
      <c r="O75" s="8"/>
      <c r="P75" s="9">
        <f t="shared" si="54"/>
        <v>18</v>
      </c>
      <c r="Q75" s="30">
        <f>14-13</f>
        <v>1</v>
      </c>
      <c r="R75" s="7"/>
      <c r="S75" s="7"/>
      <c r="T75" s="8"/>
      <c r="U75" s="9">
        <f t="shared" si="55"/>
        <v>1</v>
      </c>
      <c r="V75" s="30">
        <v>10</v>
      </c>
      <c r="W75" s="7"/>
      <c r="X75" s="7"/>
      <c r="Y75" s="8"/>
      <c r="Z75" s="9">
        <f t="shared" si="56"/>
        <v>10</v>
      </c>
      <c r="AA75" s="30">
        <v>6</v>
      </c>
      <c r="AB75" s="7"/>
      <c r="AC75" s="7"/>
      <c r="AD75" s="8"/>
      <c r="AE75" s="9">
        <f t="shared" si="57"/>
        <v>6</v>
      </c>
      <c r="AF75" s="30">
        <v>27</v>
      </c>
      <c r="AG75" s="7"/>
      <c r="AH75" s="7"/>
      <c r="AI75" s="8"/>
      <c r="AJ75" s="9">
        <f t="shared" si="58"/>
        <v>27</v>
      </c>
      <c r="AK75" s="30">
        <v>6</v>
      </c>
      <c r="AL75" s="7"/>
      <c r="AM75" s="7"/>
      <c r="AN75" s="8"/>
      <c r="AO75" s="9">
        <f t="shared" si="59"/>
        <v>6</v>
      </c>
      <c r="AP75" s="30">
        <v>14</v>
      </c>
      <c r="AQ75" s="7"/>
      <c r="AR75" s="7"/>
      <c r="AS75" s="8"/>
      <c r="AT75" s="9">
        <f t="shared" si="60"/>
        <v>14</v>
      </c>
      <c r="AU75" s="30">
        <v>32</v>
      </c>
      <c r="AV75" s="7"/>
      <c r="AW75" s="7"/>
      <c r="AX75" s="8"/>
      <c r="AY75" s="9">
        <f t="shared" si="61"/>
        <v>32</v>
      </c>
      <c r="AZ75" s="30">
        <v>50</v>
      </c>
      <c r="BA75" s="7"/>
      <c r="BB75" s="7"/>
      <c r="BC75" s="8"/>
      <c r="BD75" s="9">
        <f t="shared" si="62"/>
        <v>50</v>
      </c>
      <c r="BE75" s="30">
        <v>25</v>
      </c>
      <c r="BF75" s="7"/>
      <c r="BG75" s="7"/>
      <c r="BH75" s="8"/>
      <c r="BI75" s="9">
        <f t="shared" si="63"/>
        <v>25</v>
      </c>
      <c r="BJ75" s="30">
        <v>6</v>
      </c>
      <c r="BK75" s="7"/>
      <c r="BL75" s="7"/>
      <c r="BM75" s="8"/>
      <c r="BN75" s="9">
        <f t="shared" si="64"/>
        <v>6</v>
      </c>
      <c r="BO75" s="65">
        <f>SUM(G75,L75,Q75,V75,AA75,AF75,AK75,AP75,AU75,AZ75,BE75,BJ75)</f>
        <v>221</v>
      </c>
      <c r="BP75" s="7">
        <f>SUM(H75,M75,R75,W75,AB75,AG75,AL75,AQ75,AV75,BA75,BF75,BK75)</f>
        <v>0</v>
      </c>
      <c r="BQ75" s="7">
        <f>SUM(I75,N75,S75,X75,AC75,AH75,AM75,AR75,AW75,BB75,BG75,BL75)</f>
        <v>0</v>
      </c>
      <c r="BR75" s="8">
        <f>SUM(J75,O75,T75,Y75,AD75,AI75,AN75,AS75,AX75,BC75,BH75,BM75)</f>
        <v>0</v>
      </c>
      <c r="BS75" s="31">
        <f t="shared" si="12"/>
        <v>221</v>
      </c>
    </row>
    <row r="76" spans="2:71" x14ac:dyDescent="0.3">
      <c r="B76" s="269"/>
      <c r="C76" s="230"/>
      <c r="D76" s="233"/>
      <c r="E76" s="239"/>
      <c r="F76" s="121" t="s">
        <v>50</v>
      </c>
      <c r="G76" s="32">
        <v>1</v>
      </c>
      <c r="H76" s="13"/>
      <c r="I76" s="13"/>
      <c r="J76" s="14"/>
      <c r="K76" s="15">
        <f t="shared" si="0"/>
        <v>1</v>
      </c>
      <c r="L76" s="32">
        <v>2</v>
      </c>
      <c r="M76" s="13"/>
      <c r="N76" s="13"/>
      <c r="O76" s="14"/>
      <c r="P76" s="15">
        <f t="shared" si="54"/>
        <v>2</v>
      </c>
      <c r="Q76" s="32"/>
      <c r="R76" s="13"/>
      <c r="S76" s="13"/>
      <c r="T76" s="14"/>
      <c r="U76" s="15">
        <f t="shared" si="55"/>
        <v>0</v>
      </c>
      <c r="V76" s="32">
        <v>4</v>
      </c>
      <c r="W76" s="13"/>
      <c r="X76" s="13"/>
      <c r="Y76" s="14"/>
      <c r="Z76" s="15">
        <f t="shared" si="56"/>
        <v>4</v>
      </c>
      <c r="AA76" s="32">
        <v>2</v>
      </c>
      <c r="AB76" s="13"/>
      <c r="AC76" s="13"/>
      <c r="AD76" s="14"/>
      <c r="AE76" s="15">
        <f t="shared" si="57"/>
        <v>2</v>
      </c>
      <c r="AF76" s="32">
        <v>2</v>
      </c>
      <c r="AG76" s="13"/>
      <c r="AH76" s="13"/>
      <c r="AI76" s="14"/>
      <c r="AJ76" s="15">
        <f t="shared" si="58"/>
        <v>2</v>
      </c>
      <c r="AK76" s="32">
        <v>4</v>
      </c>
      <c r="AL76" s="13"/>
      <c r="AM76" s="13"/>
      <c r="AN76" s="14"/>
      <c r="AO76" s="15">
        <f t="shared" si="59"/>
        <v>4</v>
      </c>
      <c r="AP76" s="32">
        <v>2</v>
      </c>
      <c r="AQ76" s="13"/>
      <c r="AR76" s="13"/>
      <c r="AS76" s="14"/>
      <c r="AT76" s="15">
        <f t="shared" si="60"/>
        <v>2</v>
      </c>
      <c r="AU76" s="32">
        <v>6</v>
      </c>
      <c r="AV76" s="13"/>
      <c r="AW76" s="13"/>
      <c r="AX76" s="14"/>
      <c r="AY76" s="15">
        <f t="shared" si="61"/>
        <v>6</v>
      </c>
      <c r="AZ76" s="32">
        <v>7</v>
      </c>
      <c r="BA76" s="13"/>
      <c r="BB76" s="13"/>
      <c r="BC76" s="14"/>
      <c r="BD76" s="15">
        <f t="shared" si="62"/>
        <v>7</v>
      </c>
      <c r="BE76" s="32">
        <v>10</v>
      </c>
      <c r="BF76" s="13"/>
      <c r="BG76" s="13"/>
      <c r="BH76" s="14"/>
      <c r="BI76" s="15">
        <f t="shared" si="63"/>
        <v>10</v>
      </c>
      <c r="BJ76" s="32"/>
      <c r="BK76" s="13"/>
      <c r="BL76" s="13"/>
      <c r="BM76" s="14"/>
      <c r="BN76" s="15">
        <f t="shared" si="64"/>
        <v>0</v>
      </c>
      <c r="BO76" s="66">
        <f>SUM(G76,L76,Q76,V76,AA76,AF76,AK76,AP76,AU76,AZ76,BE76,BJ76)</f>
        <v>40</v>
      </c>
      <c r="BP76" s="13">
        <f>SUM(H76,M76,R76,W76,AB76,AG76,AL76,AQ76,AV76,BA76,BF76,BK76)</f>
        <v>0</v>
      </c>
      <c r="BQ76" s="13">
        <f>SUM(I76,N76,S76,X76,AC76,AH76,AM76,AR76,AW76,BB76,BG76,BL76)</f>
        <v>0</v>
      </c>
      <c r="BR76" s="14">
        <f>SUM(J76,O76,T76,Y76,AD76,AI76,AN76,AS76,AX76,BC76,BH76,BM76)</f>
        <v>0</v>
      </c>
      <c r="BS76" s="33">
        <f t="shared" si="12"/>
        <v>40</v>
      </c>
    </row>
    <row r="77" spans="2:71" x14ac:dyDescent="0.3">
      <c r="B77" s="269"/>
      <c r="C77" s="230"/>
      <c r="D77" s="233"/>
      <c r="E77" s="239"/>
      <c r="F77" s="121" t="s">
        <v>51</v>
      </c>
      <c r="G77" s="32">
        <v>18</v>
      </c>
      <c r="H77" s="13"/>
      <c r="I77" s="13"/>
      <c r="J77" s="14"/>
      <c r="K77" s="15">
        <f t="shared" si="0"/>
        <v>18</v>
      </c>
      <c r="L77" s="32">
        <v>11</v>
      </c>
      <c r="M77" s="13"/>
      <c r="N77" s="13"/>
      <c r="O77" s="14"/>
      <c r="P77" s="15">
        <f t="shared" si="54"/>
        <v>11</v>
      </c>
      <c r="Q77" s="32"/>
      <c r="R77" s="13"/>
      <c r="S77" s="13"/>
      <c r="T77" s="14"/>
      <c r="U77" s="15">
        <f t="shared" si="55"/>
        <v>0</v>
      </c>
      <c r="V77" s="32"/>
      <c r="W77" s="13"/>
      <c r="X77" s="13"/>
      <c r="Y77" s="14"/>
      <c r="Z77" s="15">
        <f t="shared" si="56"/>
        <v>0</v>
      </c>
      <c r="AA77" s="32"/>
      <c r="AB77" s="13"/>
      <c r="AC77" s="13"/>
      <c r="AD77" s="14"/>
      <c r="AE77" s="15">
        <f t="shared" si="57"/>
        <v>0</v>
      </c>
      <c r="AF77" s="32">
        <v>14</v>
      </c>
      <c r="AG77" s="13"/>
      <c r="AH77" s="13"/>
      <c r="AI77" s="14"/>
      <c r="AJ77" s="15">
        <f t="shared" si="58"/>
        <v>14</v>
      </c>
      <c r="AK77" s="32">
        <v>2</v>
      </c>
      <c r="AL77" s="13"/>
      <c r="AM77" s="13"/>
      <c r="AN77" s="14"/>
      <c r="AO77" s="15">
        <f t="shared" si="59"/>
        <v>2</v>
      </c>
      <c r="AP77" s="32">
        <v>9</v>
      </c>
      <c r="AQ77" s="13"/>
      <c r="AR77" s="13"/>
      <c r="AS77" s="14"/>
      <c r="AT77" s="15">
        <f t="shared" si="60"/>
        <v>9</v>
      </c>
      <c r="AU77" s="32">
        <v>22</v>
      </c>
      <c r="AV77" s="13"/>
      <c r="AW77" s="13"/>
      <c r="AX77" s="14"/>
      <c r="AY77" s="15">
        <f t="shared" si="61"/>
        <v>22</v>
      </c>
      <c r="AZ77" s="32">
        <v>21</v>
      </c>
      <c r="BA77" s="13"/>
      <c r="BB77" s="13"/>
      <c r="BC77" s="14"/>
      <c r="BD77" s="15">
        <f t="shared" si="62"/>
        <v>21</v>
      </c>
      <c r="BE77" s="32">
        <v>16</v>
      </c>
      <c r="BF77" s="13"/>
      <c r="BG77" s="13"/>
      <c r="BH77" s="14"/>
      <c r="BI77" s="15">
        <f t="shared" si="63"/>
        <v>16</v>
      </c>
      <c r="BJ77" s="32">
        <v>1</v>
      </c>
      <c r="BK77" s="13"/>
      <c r="BL77" s="13"/>
      <c r="BM77" s="14"/>
      <c r="BN77" s="15">
        <f t="shared" si="64"/>
        <v>1</v>
      </c>
      <c r="BO77" s="66">
        <f>SUM(G77,L77,Q77,V77,AA77,AF77,AK77,AP77,AU77,AZ77,BE77,BJ77)</f>
        <v>114</v>
      </c>
      <c r="BP77" s="13">
        <f>SUM(H77,M77,R77,W77,AB77,AG77,AL77,AQ77,AV77,BA77,BF77,BK77)</f>
        <v>0</v>
      </c>
      <c r="BQ77" s="13">
        <f>SUM(I77,N77,S77,X77,AC77,AH77,AM77,AR77,AW77,BB77,BG77,BL77)</f>
        <v>0</v>
      </c>
      <c r="BR77" s="14">
        <f>SUM(J77,O77,T77,Y77,AD77,AI77,AN77,AS77,AX77,BC77,BH77,BM77)</f>
        <v>0</v>
      </c>
      <c r="BS77" s="33">
        <f t="shared" si="12"/>
        <v>114</v>
      </c>
    </row>
    <row r="78" spans="2:71" x14ac:dyDescent="0.3">
      <c r="B78" s="269"/>
      <c r="C78" s="230"/>
      <c r="D78" s="233"/>
      <c r="E78" s="239"/>
      <c r="F78" s="121" t="s">
        <v>52</v>
      </c>
      <c r="G78" s="32"/>
      <c r="H78" s="13"/>
      <c r="I78" s="13"/>
      <c r="J78" s="14"/>
      <c r="K78" s="15">
        <f t="shared" si="0"/>
        <v>0</v>
      </c>
      <c r="L78" s="32">
        <v>2</v>
      </c>
      <c r="M78" s="13"/>
      <c r="N78" s="13"/>
      <c r="O78" s="14"/>
      <c r="P78" s="15">
        <f t="shared" si="54"/>
        <v>2</v>
      </c>
      <c r="Q78" s="32"/>
      <c r="R78" s="13"/>
      <c r="S78" s="13"/>
      <c r="T78" s="14"/>
      <c r="U78" s="15">
        <f t="shared" si="55"/>
        <v>0</v>
      </c>
      <c r="V78" s="32"/>
      <c r="W78" s="13"/>
      <c r="X78" s="13"/>
      <c r="Y78" s="14"/>
      <c r="Z78" s="15">
        <f t="shared" si="56"/>
        <v>0</v>
      </c>
      <c r="AA78" s="32"/>
      <c r="AB78" s="13"/>
      <c r="AC78" s="13"/>
      <c r="AD78" s="14"/>
      <c r="AE78" s="15">
        <f t="shared" si="57"/>
        <v>0</v>
      </c>
      <c r="AF78" s="32">
        <v>2</v>
      </c>
      <c r="AG78" s="13"/>
      <c r="AH78" s="13"/>
      <c r="AI78" s="14"/>
      <c r="AJ78" s="15">
        <f t="shared" si="58"/>
        <v>2</v>
      </c>
      <c r="AK78" s="32">
        <v>2</v>
      </c>
      <c r="AL78" s="13"/>
      <c r="AM78" s="13"/>
      <c r="AN78" s="14"/>
      <c r="AO78" s="15">
        <f t="shared" si="59"/>
        <v>2</v>
      </c>
      <c r="AP78" s="32"/>
      <c r="AQ78" s="13"/>
      <c r="AR78" s="13"/>
      <c r="AS78" s="14"/>
      <c r="AT78" s="15">
        <f t="shared" si="60"/>
        <v>0</v>
      </c>
      <c r="AU78" s="32">
        <v>4</v>
      </c>
      <c r="AV78" s="13"/>
      <c r="AW78" s="13"/>
      <c r="AX78" s="14"/>
      <c r="AY78" s="15">
        <f t="shared" si="61"/>
        <v>4</v>
      </c>
      <c r="AZ78" s="32">
        <v>6</v>
      </c>
      <c r="BA78" s="13"/>
      <c r="BB78" s="13"/>
      <c r="BC78" s="14"/>
      <c r="BD78" s="15">
        <f t="shared" si="62"/>
        <v>6</v>
      </c>
      <c r="BE78" s="32">
        <v>7</v>
      </c>
      <c r="BF78" s="13"/>
      <c r="BG78" s="13"/>
      <c r="BH78" s="14"/>
      <c r="BI78" s="15">
        <f t="shared" si="63"/>
        <v>7</v>
      </c>
      <c r="BJ78" s="32"/>
      <c r="BK78" s="13"/>
      <c r="BL78" s="13"/>
      <c r="BM78" s="14"/>
      <c r="BN78" s="15">
        <f t="shared" si="64"/>
        <v>0</v>
      </c>
      <c r="BO78" s="66">
        <f>SUM(G78,L78,Q78,V78,AA78,AF78,AK78,AP78,AU78,AZ78,BE78,BJ78)</f>
        <v>23</v>
      </c>
      <c r="BP78" s="13">
        <f>SUM(H78,M78,R78,W78,AB78,AG78,AL78,AQ78,AV78,BA78,BF78,BK78)</f>
        <v>0</v>
      </c>
      <c r="BQ78" s="13">
        <f>SUM(I78,N78,S78,X78,AC78,AH78,AM78,AR78,AW78,BB78,BG78,BL78)</f>
        <v>0</v>
      </c>
      <c r="BR78" s="14">
        <f>SUM(J78,O78,T78,Y78,AD78,AI78,AN78,AS78,AX78,BC78,BH78,BM78)</f>
        <v>0</v>
      </c>
      <c r="BS78" s="33">
        <f t="shared" si="12"/>
        <v>23</v>
      </c>
    </row>
    <row r="79" spans="2:71" x14ac:dyDescent="0.3">
      <c r="B79" s="269"/>
      <c r="C79" s="230"/>
      <c r="D79" s="233"/>
      <c r="E79" s="239"/>
      <c r="F79" s="121" t="s">
        <v>435</v>
      </c>
      <c r="G79" s="32"/>
      <c r="H79" s="13"/>
      <c r="I79" s="13"/>
      <c r="J79" s="14"/>
      <c r="K79" s="15">
        <f t="shared" ref="K79:K80" si="77">SUM(G79:J79)</f>
        <v>0</v>
      </c>
      <c r="L79" s="32"/>
      <c r="M79" s="13"/>
      <c r="N79" s="13"/>
      <c r="O79" s="14"/>
      <c r="P79" s="15">
        <f t="shared" si="54"/>
        <v>0</v>
      </c>
      <c r="Q79" s="32">
        <v>13</v>
      </c>
      <c r="R79" s="13"/>
      <c r="S79" s="13"/>
      <c r="T79" s="14"/>
      <c r="U79" s="15">
        <f t="shared" si="55"/>
        <v>13</v>
      </c>
      <c r="V79" s="32"/>
      <c r="W79" s="13"/>
      <c r="X79" s="13"/>
      <c r="Y79" s="14"/>
      <c r="Z79" s="15">
        <f t="shared" si="56"/>
        <v>0</v>
      </c>
      <c r="AA79" s="32"/>
      <c r="AB79" s="13"/>
      <c r="AC79" s="13"/>
      <c r="AD79" s="14"/>
      <c r="AE79" s="15">
        <f t="shared" si="57"/>
        <v>0</v>
      </c>
      <c r="AF79" s="32"/>
      <c r="AG79" s="13"/>
      <c r="AH79" s="13"/>
      <c r="AI79" s="14"/>
      <c r="AJ79" s="15">
        <f t="shared" si="58"/>
        <v>0</v>
      </c>
      <c r="AK79" s="32"/>
      <c r="AL79" s="13"/>
      <c r="AM79" s="13"/>
      <c r="AN79" s="14"/>
      <c r="AO79" s="15">
        <f t="shared" si="59"/>
        <v>0</v>
      </c>
      <c r="AP79" s="32"/>
      <c r="AQ79" s="13"/>
      <c r="AR79" s="13"/>
      <c r="AS79" s="14"/>
      <c r="AT79" s="15">
        <f t="shared" si="60"/>
        <v>0</v>
      </c>
      <c r="AU79" s="32"/>
      <c r="AV79" s="13"/>
      <c r="AW79" s="13"/>
      <c r="AX79" s="14"/>
      <c r="AY79" s="15">
        <f t="shared" si="61"/>
        <v>0</v>
      </c>
      <c r="AZ79" s="32"/>
      <c r="BA79" s="13"/>
      <c r="BB79" s="13"/>
      <c r="BC79" s="14"/>
      <c r="BD79" s="15">
        <f t="shared" si="62"/>
        <v>0</v>
      </c>
      <c r="BE79" s="32"/>
      <c r="BF79" s="13"/>
      <c r="BG79" s="13"/>
      <c r="BH79" s="14"/>
      <c r="BI79" s="15">
        <f t="shared" si="63"/>
        <v>0</v>
      </c>
      <c r="BJ79" s="32"/>
      <c r="BK79" s="13"/>
      <c r="BL79" s="13"/>
      <c r="BM79" s="14"/>
      <c r="BN79" s="15">
        <f t="shared" si="64"/>
        <v>0</v>
      </c>
      <c r="BO79" s="66">
        <f>SUM(G79,L79,Q79,V79,AA79,AF79,AK79,AP79,AU79,AZ79,BE79,BJ79)</f>
        <v>13</v>
      </c>
      <c r="BP79" s="13">
        <f>SUM(H79,M79,R79,W79,AB79,AG79,AL79,AQ79,AV79,BA79,BF79,BK79)</f>
        <v>0</v>
      </c>
      <c r="BQ79" s="13">
        <f>SUM(I79,N79,S79,X79,AC79,AH79,AM79,AR79,AW79,BB79,BG79,BL79)</f>
        <v>0</v>
      </c>
      <c r="BR79" s="14">
        <f>SUM(J79,O79,T79,Y79,AD79,AI79,AN79,AS79,AX79,BC79,BH79,BM79)</f>
        <v>0</v>
      </c>
      <c r="BS79" s="33">
        <f t="shared" si="12"/>
        <v>13</v>
      </c>
    </row>
    <row r="80" spans="2:71" x14ac:dyDescent="0.3">
      <c r="B80" s="269"/>
      <c r="C80" s="230"/>
      <c r="D80" s="233"/>
      <c r="E80" s="239"/>
      <c r="F80" s="124" t="s">
        <v>436</v>
      </c>
      <c r="G80" s="36"/>
      <c r="H80" s="10"/>
      <c r="I80" s="10"/>
      <c r="J80" s="11"/>
      <c r="K80" s="12">
        <f t="shared" si="77"/>
        <v>0</v>
      </c>
      <c r="L80" s="36"/>
      <c r="M80" s="10"/>
      <c r="N80" s="10"/>
      <c r="O80" s="11"/>
      <c r="P80" s="12">
        <f t="shared" si="54"/>
        <v>0</v>
      </c>
      <c r="Q80" s="36">
        <v>4</v>
      </c>
      <c r="R80" s="10"/>
      <c r="S80" s="10"/>
      <c r="T80" s="11"/>
      <c r="U80" s="12">
        <f t="shared" si="55"/>
        <v>4</v>
      </c>
      <c r="V80" s="36"/>
      <c r="W80" s="10"/>
      <c r="X80" s="10"/>
      <c r="Y80" s="11"/>
      <c r="Z80" s="12">
        <f t="shared" si="56"/>
        <v>0</v>
      </c>
      <c r="AA80" s="36"/>
      <c r="AB80" s="10"/>
      <c r="AC80" s="10"/>
      <c r="AD80" s="11"/>
      <c r="AE80" s="12">
        <f t="shared" si="57"/>
        <v>0</v>
      </c>
      <c r="AF80" s="36"/>
      <c r="AG80" s="10"/>
      <c r="AH80" s="10"/>
      <c r="AI80" s="11"/>
      <c r="AJ80" s="12">
        <f t="shared" si="58"/>
        <v>0</v>
      </c>
      <c r="AK80" s="36"/>
      <c r="AL80" s="10"/>
      <c r="AM80" s="10"/>
      <c r="AN80" s="11"/>
      <c r="AO80" s="12">
        <f t="shared" si="59"/>
        <v>0</v>
      </c>
      <c r="AP80" s="36"/>
      <c r="AQ80" s="10"/>
      <c r="AR80" s="10"/>
      <c r="AS80" s="11"/>
      <c r="AT80" s="12">
        <f t="shared" si="60"/>
        <v>0</v>
      </c>
      <c r="AU80" s="36"/>
      <c r="AV80" s="10"/>
      <c r="AW80" s="10"/>
      <c r="AX80" s="11"/>
      <c r="AY80" s="12">
        <f t="shared" si="61"/>
        <v>0</v>
      </c>
      <c r="AZ80" s="36"/>
      <c r="BA80" s="10"/>
      <c r="BB80" s="10"/>
      <c r="BC80" s="11"/>
      <c r="BD80" s="12">
        <f t="shared" si="62"/>
        <v>0</v>
      </c>
      <c r="BE80" s="36"/>
      <c r="BF80" s="10"/>
      <c r="BG80" s="10"/>
      <c r="BH80" s="11"/>
      <c r="BI80" s="12">
        <f t="shared" si="63"/>
        <v>0</v>
      </c>
      <c r="BJ80" s="36"/>
      <c r="BK80" s="10"/>
      <c r="BL80" s="10"/>
      <c r="BM80" s="11"/>
      <c r="BN80" s="12">
        <f t="shared" si="64"/>
        <v>0</v>
      </c>
      <c r="BO80" s="71">
        <f>SUM(G80,L80,Q80,V80,AA80,AF80,AK80,AP80,AU80,AZ80,BE80,BJ80)</f>
        <v>4</v>
      </c>
      <c r="BP80" s="10">
        <f>SUM(H80,M80,R80,W80,AB80,AG80,AL80,AQ80,AV80,BA80,BF80,BK80)</f>
        <v>0</v>
      </c>
      <c r="BQ80" s="10">
        <f>SUM(I80,N80,S80,X80,AC80,AH80,AM80,AR80,AW80,BB80,BG80,BL80)</f>
        <v>0</v>
      </c>
      <c r="BR80" s="11">
        <f>SUM(J80,O80,T80,Y80,AD80,AI80,AN80,AS80,AX80,BC80,BH80,BM80)</f>
        <v>0</v>
      </c>
      <c r="BS80" s="37">
        <f t="shared" si="12"/>
        <v>4</v>
      </c>
    </row>
    <row r="81" spans="2:71" x14ac:dyDescent="0.3">
      <c r="B81" s="269"/>
      <c r="C81" s="230"/>
      <c r="D81" s="233"/>
      <c r="E81" s="240"/>
      <c r="F81" s="125" t="s">
        <v>54</v>
      </c>
      <c r="G81" s="126">
        <f>SUM(G75:G80)</f>
        <v>45</v>
      </c>
      <c r="H81" s="127">
        <f>SUM(H75:H80)</f>
        <v>0</v>
      </c>
      <c r="I81" s="127">
        <f>SUM(I75:I80)</f>
        <v>0</v>
      </c>
      <c r="J81" s="128">
        <f>SUM(J75:J80)</f>
        <v>0</v>
      </c>
      <c r="K81" s="129">
        <f t="shared" si="0"/>
        <v>45</v>
      </c>
      <c r="L81" s="126">
        <f>SUM(L75:L80)</f>
        <v>33</v>
      </c>
      <c r="M81" s="127">
        <f>SUM(M75:M80)</f>
        <v>0</v>
      </c>
      <c r="N81" s="127">
        <f>SUM(N75:N80)</f>
        <v>0</v>
      </c>
      <c r="O81" s="128">
        <f>SUM(O75:O80)</f>
        <v>0</v>
      </c>
      <c r="P81" s="129">
        <f t="shared" si="54"/>
        <v>33</v>
      </c>
      <c r="Q81" s="126">
        <f>SUM(Q75:Q80)</f>
        <v>18</v>
      </c>
      <c r="R81" s="127">
        <f>SUM(R75:R80)</f>
        <v>0</v>
      </c>
      <c r="S81" s="127">
        <f>SUM(S75:S80)</f>
        <v>0</v>
      </c>
      <c r="T81" s="128">
        <f>SUM(T75:T80)</f>
        <v>0</v>
      </c>
      <c r="U81" s="129">
        <f t="shared" si="55"/>
        <v>18</v>
      </c>
      <c r="V81" s="126">
        <f>SUM(V75:V80)</f>
        <v>14</v>
      </c>
      <c r="W81" s="127">
        <f>SUM(W75:W80)</f>
        <v>0</v>
      </c>
      <c r="X81" s="127">
        <f>SUM(X75:X80)</f>
        <v>0</v>
      </c>
      <c r="Y81" s="128">
        <f>SUM(Y75:Y80)</f>
        <v>0</v>
      </c>
      <c r="Z81" s="129">
        <f t="shared" si="56"/>
        <v>14</v>
      </c>
      <c r="AA81" s="126">
        <f>SUM(AA75:AA80)</f>
        <v>8</v>
      </c>
      <c r="AB81" s="127">
        <f>SUM(AB75:AB80)</f>
        <v>0</v>
      </c>
      <c r="AC81" s="127">
        <f>SUM(AC75:AC80)</f>
        <v>0</v>
      </c>
      <c r="AD81" s="128">
        <f>SUM(AD75:AD80)</f>
        <v>0</v>
      </c>
      <c r="AE81" s="129">
        <f t="shared" si="57"/>
        <v>8</v>
      </c>
      <c r="AF81" s="126">
        <f>SUM(AF75:AF80)</f>
        <v>45</v>
      </c>
      <c r="AG81" s="127">
        <f>SUM(AG75:AG80)</f>
        <v>0</v>
      </c>
      <c r="AH81" s="127">
        <f>SUM(AH75:AH80)</f>
        <v>0</v>
      </c>
      <c r="AI81" s="128">
        <f>SUM(AI75:AI80)</f>
        <v>0</v>
      </c>
      <c r="AJ81" s="129">
        <f t="shared" si="58"/>
        <v>45</v>
      </c>
      <c r="AK81" s="126">
        <f>SUM(AK75:AK80)</f>
        <v>14</v>
      </c>
      <c r="AL81" s="127">
        <f>SUM(AL75:AL80)</f>
        <v>0</v>
      </c>
      <c r="AM81" s="127">
        <f>SUM(AM75:AM80)</f>
        <v>0</v>
      </c>
      <c r="AN81" s="128">
        <f>SUM(AN75:AN80)</f>
        <v>0</v>
      </c>
      <c r="AO81" s="129">
        <f t="shared" si="59"/>
        <v>14</v>
      </c>
      <c r="AP81" s="126">
        <f>SUM(AP75:AP80)</f>
        <v>25</v>
      </c>
      <c r="AQ81" s="127">
        <f>SUM(AQ75:AQ80)</f>
        <v>0</v>
      </c>
      <c r="AR81" s="127">
        <f>SUM(AR75:AR80)</f>
        <v>0</v>
      </c>
      <c r="AS81" s="128">
        <f>SUM(AS75:AS80)</f>
        <v>0</v>
      </c>
      <c r="AT81" s="129">
        <f t="shared" si="60"/>
        <v>25</v>
      </c>
      <c r="AU81" s="126">
        <f>SUM(AU75:AU80)</f>
        <v>64</v>
      </c>
      <c r="AV81" s="127">
        <f>SUM(AV75:AV80)</f>
        <v>0</v>
      </c>
      <c r="AW81" s="127">
        <f>SUM(AW75:AW80)</f>
        <v>0</v>
      </c>
      <c r="AX81" s="128">
        <f>SUM(AX75:AX80)</f>
        <v>0</v>
      </c>
      <c r="AY81" s="129">
        <f t="shared" si="61"/>
        <v>64</v>
      </c>
      <c r="AZ81" s="126">
        <f>SUM(AZ75:AZ80)</f>
        <v>84</v>
      </c>
      <c r="BA81" s="127">
        <f>SUM(BA75:BA80)</f>
        <v>0</v>
      </c>
      <c r="BB81" s="127">
        <f>SUM(BB75:BB80)</f>
        <v>0</v>
      </c>
      <c r="BC81" s="128">
        <f>SUM(BC75:BC80)</f>
        <v>0</v>
      </c>
      <c r="BD81" s="129">
        <f t="shared" si="62"/>
        <v>84</v>
      </c>
      <c r="BE81" s="126">
        <f>SUM(BE75:BE80)</f>
        <v>58</v>
      </c>
      <c r="BF81" s="127">
        <f>SUM(BF75:BF80)</f>
        <v>0</v>
      </c>
      <c r="BG81" s="127">
        <f>SUM(BG75:BG80)</f>
        <v>0</v>
      </c>
      <c r="BH81" s="128">
        <f>SUM(BH75:BH80)</f>
        <v>0</v>
      </c>
      <c r="BI81" s="129">
        <f t="shared" si="63"/>
        <v>58</v>
      </c>
      <c r="BJ81" s="126">
        <f>SUM(BJ75:BJ80)</f>
        <v>7</v>
      </c>
      <c r="BK81" s="127">
        <f>SUM(BK75:BK80)</f>
        <v>0</v>
      </c>
      <c r="BL81" s="127">
        <f>SUM(BL75:BL80)</f>
        <v>0</v>
      </c>
      <c r="BM81" s="128">
        <f>SUM(BM75:BM80)</f>
        <v>0</v>
      </c>
      <c r="BN81" s="129">
        <f t="shared" si="64"/>
        <v>7</v>
      </c>
      <c r="BO81" s="131">
        <f>SUM(BO75:BO80)</f>
        <v>415</v>
      </c>
      <c r="BP81" s="127">
        <f>SUM(BP75:BP80)</f>
        <v>0</v>
      </c>
      <c r="BQ81" s="127">
        <f>SUM(BQ75:BQ80)</f>
        <v>0</v>
      </c>
      <c r="BR81" s="128">
        <f>SUM(BR75:BR80)</f>
        <v>0</v>
      </c>
      <c r="BS81" s="130">
        <f t="shared" si="12"/>
        <v>415</v>
      </c>
    </row>
    <row r="82" spans="2:71" x14ac:dyDescent="0.3">
      <c r="B82" s="269"/>
      <c r="C82" s="230"/>
      <c r="D82" s="233"/>
      <c r="E82" s="241" t="s">
        <v>47</v>
      </c>
      <c r="F82" s="120" t="s">
        <v>49</v>
      </c>
      <c r="G82" s="30">
        <v>87</v>
      </c>
      <c r="H82" s="7"/>
      <c r="I82" s="7"/>
      <c r="J82" s="8"/>
      <c r="K82" s="9">
        <f t="shared" si="0"/>
        <v>87</v>
      </c>
      <c r="L82" s="30">
        <v>100</v>
      </c>
      <c r="M82" s="7"/>
      <c r="N82" s="7"/>
      <c r="O82" s="8"/>
      <c r="P82" s="9">
        <f t="shared" si="54"/>
        <v>100</v>
      </c>
      <c r="Q82" s="30">
        <v>15</v>
      </c>
      <c r="R82" s="7"/>
      <c r="S82" s="7"/>
      <c r="T82" s="8"/>
      <c r="U82" s="9">
        <f t="shared" si="55"/>
        <v>15</v>
      </c>
      <c r="V82" s="30">
        <v>89</v>
      </c>
      <c r="W82" s="7"/>
      <c r="X82" s="7"/>
      <c r="Y82" s="8"/>
      <c r="Z82" s="9">
        <f t="shared" si="56"/>
        <v>89</v>
      </c>
      <c r="AA82" s="30">
        <v>70</v>
      </c>
      <c r="AB82" s="7"/>
      <c r="AC82" s="7"/>
      <c r="AD82" s="8"/>
      <c r="AE82" s="9">
        <f t="shared" si="57"/>
        <v>70</v>
      </c>
      <c r="AF82" s="30">
        <v>96</v>
      </c>
      <c r="AG82" s="7"/>
      <c r="AH82" s="7"/>
      <c r="AI82" s="8"/>
      <c r="AJ82" s="9">
        <f t="shared" si="58"/>
        <v>96</v>
      </c>
      <c r="AK82" s="30">
        <v>40</v>
      </c>
      <c r="AL82" s="7"/>
      <c r="AM82" s="7"/>
      <c r="AN82" s="8"/>
      <c r="AO82" s="9">
        <f t="shared" si="59"/>
        <v>40</v>
      </c>
      <c r="AP82" s="30">
        <v>40</v>
      </c>
      <c r="AQ82" s="7"/>
      <c r="AR82" s="7"/>
      <c r="AS82" s="8"/>
      <c r="AT82" s="9">
        <f t="shared" si="60"/>
        <v>40</v>
      </c>
      <c r="AU82" s="30">
        <v>80</v>
      </c>
      <c r="AV82" s="7"/>
      <c r="AW82" s="7"/>
      <c r="AX82" s="8"/>
      <c r="AY82" s="9">
        <f t="shared" si="61"/>
        <v>80</v>
      </c>
      <c r="AZ82" s="30">
        <v>208</v>
      </c>
      <c r="BA82" s="7"/>
      <c r="BB82" s="7"/>
      <c r="BC82" s="8"/>
      <c r="BD82" s="9">
        <f t="shared" si="62"/>
        <v>208</v>
      </c>
      <c r="BE82" s="30">
        <v>102</v>
      </c>
      <c r="BF82" s="7"/>
      <c r="BG82" s="7"/>
      <c r="BH82" s="8"/>
      <c r="BI82" s="9">
        <f t="shared" si="63"/>
        <v>102</v>
      </c>
      <c r="BJ82" s="30">
        <v>46</v>
      </c>
      <c r="BK82" s="7"/>
      <c r="BL82" s="7"/>
      <c r="BM82" s="8"/>
      <c r="BN82" s="9">
        <f t="shared" si="64"/>
        <v>46</v>
      </c>
      <c r="BO82" s="65">
        <f>SUM(G82,L82,Q82,V82,AA82,AF82,AK82,AP82,AU82,AZ82,BE82,BJ82)</f>
        <v>973</v>
      </c>
      <c r="BP82" s="7">
        <f>SUM(H82,M82,R82,W82,AB82,AG82,AL82,AQ82,AV82,BA82,BF82,BK82)</f>
        <v>0</v>
      </c>
      <c r="BQ82" s="7">
        <f>SUM(I82,N82,S82,X82,AC82,AH82,AM82,AR82,AW82,BB82,BG82,BL82)</f>
        <v>0</v>
      </c>
      <c r="BR82" s="8">
        <f>SUM(J82,O82,T82,Y82,AD82,AI82,AN82,AS82,AX82,BC82,BH82,BM82)</f>
        <v>0</v>
      </c>
      <c r="BS82" s="31">
        <f t="shared" si="12"/>
        <v>973</v>
      </c>
    </row>
    <row r="83" spans="2:71" x14ac:dyDescent="0.3">
      <c r="B83" s="269"/>
      <c r="C83" s="230"/>
      <c r="D83" s="233"/>
      <c r="E83" s="239"/>
      <c r="F83" s="121" t="s">
        <v>50</v>
      </c>
      <c r="G83" s="32">
        <v>9</v>
      </c>
      <c r="H83" s="13"/>
      <c r="I83" s="13"/>
      <c r="J83" s="14"/>
      <c r="K83" s="15">
        <f t="shared" si="0"/>
        <v>9</v>
      </c>
      <c r="L83" s="32">
        <v>10</v>
      </c>
      <c r="M83" s="13"/>
      <c r="N83" s="13"/>
      <c r="O83" s="14"/>
      <c r="P83" s="15">
        <f t="shared" si="54"/>
        <v>10</v>
      </c>
      <c r="Q83" s="32"/>
      <c r="R83" s="13"/>
      <c r="S83" s="13"/>
      <c r="T83" s="14"/>
      <c r="U83" s="15">
        <f t="shared" si="55"/>
        <v>0</v>
      </c>
      <c r="V83" s="32">
        <v>12</v>
      </c>
      <c r="W83" s="13"/>
      <c r="X83" s="13"/>
      <c r="Y83" s="14"/>
      <c r="Z83" s="15">
        <f t="shared" si="56"/>
        <v>12</v>
      </c>
      <c r="AA83" s="32">
        <v>10</v>
      </c>
      <c r="AB83" s="13"/>
      <c r="AC83" s="13"/>
      <c r="AD83" s="14"/>
      <c r="AE83" s="15">
        <f t="shared" si="57"/>
        <v>10</v>
      </c>
      <c r="AF83" s="32">
        <v>19</v>
      </c>
      <c r="AG83" s="13"/>
      <c r="AH83" s="13"/>
      <c r="AI83" s="14"/>
      <c r="AJ83" s="15">
        <f t="shared" si="58"/>
        <v>19</v>
      </c>
      <c r="AK83" s="32">
        <v>5</v>
      </c>
      <c r="AL83" s="13"/>
      <c r="AM83" s="13"/>
      <c r="AN83" s="14"/>
      <c r="AO83" s="15">
        <f t="shared" si="59"/>
        <v>5</v>
      </c>
      <c r="AP83" s="32">
        <v>13</v>
      </c>
      <c r="AQ83" s="13"/>
      <c r="AR83" s="13"/>
      <c r="AS83" s="14"/>
      <c r="AT83" s="15">
        <f t="shared" si="60"/>
        <v>13</v>
      </c>
      <c r="AU83" s="32">
        <v>26</v>
      </c>
      <c r="AV83" s="13"/>
      <c r="AW83" s="13"/>
      <c r="AX83" s="14"/>
      <c r="AY83" s="15">
        <f t="shared" si="61"/>
        <v>26</v>
      </c>
      <c r="AZ83" s="32">
        <v>44</v>
      </c>
      <c r="BA83" s="13"/>
      <c r="BB83" s="13"/>
      <c r="BC83" s="14"/>
      <c r="BD83" s="15">
        <f t="shared" si="62"/>
        <v>44</v>
      </c>
      <c r="BE83" s="32">
        <v>28</v>
      </c>
      <c r="BF83" s="13"/>
      <c r="BG83" s="13"/>
      <c r="BH83" s="14"/>
      <c r="BI83" s="15">
        <f t="shared" si="63"/>
        <v>28</v>
      </c>
      <c r="BJ83" s="32">
        <v>8</v>
      </c>
      <c r="BK83" s="13"/>
      <c r="BL83" s="13"/>
      <c r="BM83" s="14"/>
      <c r="BN83" s="15">
        <f t="shared" si="64"/>
        <v>8</v>
      </c>
      <c r="BO83" s="66">
        <f>SUM(G83,L83,Q83,V83,AA83,AF83,AK83,AP83,AU83,AZ83,BE83,BJ83)</f>
        <v>184</v>
      </c>
      <c r="BP83" s="13">
        <f>SUM(H83,M83,R83,W83,AB83,AG83,AL83,AQ83,AV83,BA83,BF83,BK83)</f>
        <v>0</v>
      </c>
      <c r="BQ83" s="13">
        <f>SUM(I83,N83,S83,X83,AC83,AH83,AM83,AR83,AW83,BB83,BG83,BL83)</f>
        <v>0</v>
      </c>
      <c r="BR83" s="14">
        <f>SUM(J83,O83,T83,Y83,AD83,AI83,AN83,AS83,AX83,BC83,BH83,BM83)</f>
        <v>0</v>
      </c>
      <c r="BS83" s="33">
        <f t="shared" si="12"/>
        <v>184</v>
      </c>
    </row>
    <row r="84" spans="2:71" x14ac:dyDescent="0.3">
      <c r="B84" s="269"/>
      <c r="C84" s="230"/>
      <c r="D84" s="233"/>
      <c r="E84" s="239"/>
      <c r="F84" s="121" t="s">
        <v>51</v>
      </c>
      <c r="G84" s="32">
        <v>58</v>
      </c>
      <c r="H84" s="13"/>
      <c r="I84" s="13"/>
      <c r="J84" s="14"/>
      <c r="K84" s="15">
        <f t="shared" ref="K84:K85" si="78">SUM(G84:J84)</f>
        <v>58</v>
      </c>
      <c r="L84" s="32">
        <v>55</v>
      </c>
      <c r="M84" s="13"/>
      <c r="N84" s="13"/>
      <c r="O84" s="14"/>
      <c r="P84" s="15">
        <f t="shared" si="54"/>
        <v>55</v>
      </c>
      <c r="Q84" s="32">
        <v>6</v>
      </c>
      <c r="R84" s="13"/>
      <c r="S84" s="13"/>
      <c r="T84" s="14"/>
      <c r="U84" s="15">
        <f t="shared" si="55"/>
        <v>6</v>
      </c>
      <c r="V84" s="32"/>
      <c r="W84" s="13"/>
      <c r="X84" s="13"/>
      <c r="Y84" s="14"/>
      <c r="Z84" s="15">
        <f t="shared" si="56"/>
        <v>0</v>
      </c>
      <c r="AA84" s="32"/>
      <c r="AB84" s="13"/>
      <c r="AC84" s="13"/>
      <c r="AD84" s="14"/>
      <c r="AE84" s="15">
        <f t="shared" si="57"/>
        <v>0</v>
      </c>
      <c r="AF84" s="32">
        <v>62</v>
      </c>
      <c r="AG84" s="13"/>
      <c r="AH84" s="13"/>
      <c r="AI84" s="14"/>
      <c r="AJ84" s="15">
        <f t="shared" si="58"/>
        <v>62</v>
      </c>
      <c r="AK84" s="32">
        <v>26</v>
      </c>
      <c r="AL84" s="13"/>
      <c r="AM84" s="13"/>
      <c r="AN84" s="14"/>
      <c r="AO84" s="15">
        <f t="shared" si="59"/>
        <v>26</v>
      </c>
      <c r="AP84" s="32">
        <v>23</v>
      </c>
      <c r="AQ84" s="13"/>
      <c r="AR84" s="13"/>
      <c r="AS84" s="14"/>
      <c r="AT84" s="15">
        <f t="shared" si="60"/>
        <v>23</v>
      </c>
      <c r="AU84" s="32">
        <v>41</v>
      </c>
      <c r="AV84" s="13"/>
      <c r="AW84" s="13"/>
      <c r="AX84" s="14"/>
      <c r="AY84" s="15">
        <f t="shared" si="61"/>
        <v>41</v>
      </c>
      <c r="AZ84" s="32">
        <v>128</v>
      </c>
      <c r="BA84" s="13"/>
      <c r="BB84" s="13"/>
      <c r="BC84" s="14"/>
      <c r="BD84" s="15">
        <f t="shared" si="62"/>
        <v>128</v>
      </c>
      <c r="BE84" s="32">
        <v>59</v>
      </c>
      <c r="BF84" s="13"/>
      <c r="BG84" s="13"/>
      <c r="BH84" s="14"/>
      <c r="BI84" s="15">
        <f t="shared" si="63"/>
        <v>59</v>
      </c>
      <c r="BJ84" s="32">
        <v>33</v>
      </c>
      <c r="BK84" s="13"/>
      <c r="BL84" s="13"/>
      <c r="BM84" s="14"/>
      <c r="BN84" s="15">
        <f t="shared" si="64"/>
        <v>33</v>
      </c>
      <c r="BO84" s="66">
        <f>SUM(G84,L84,Q84,V84,AA84,AF84,AK84,AP84,AU84,AZ84,BE84,BJ84)</f>
        <v>491</v>
      </c>
      <c r="BP84" s="13">
        <f>SUM(H84,M84,R84,W84,AB84,AG84,AL84,AQ84,AV84,BA84,BF84,BK84)</f>
        <v>0</v>
      </c>
      <c r="BQ84" s="13">
        <f>SUM(I84,N84,S84,X84,AC84,AH84,AM84,AR84,AW84,BB84,BG84,BL84)</f>
        <v>0</v>
      </c>
      <c r="BR84" s="14">
        <f>SUM(J84,O84,T84,Y84,AD84,AI84,AN84,AS84,AX84,BC84,BH84,BM84)</f>
        <v>0</v>
      </c>
      <c r="BS84" s="33">
        <f t="shared" si="12"/>
        <v>491</v>
      </c>
    </row>
    <row r="85" spans="2:71" x14ac:dyDescent="0.3">
      <c r="B85" s="269"/>
      <c r="C85" s="230"/>
      <c r="D85" s="233"/>
      <c r="E85" s="239"/>
      <c r="F85" s="123" t="s">
        <v>52</v>
      </c>
      <c r="G85" s="34">
        <v>8</v>
      </c>
      <c r="H85" s="16"/>
      <c r="I85" s="16"/>
      <c r="J85" s="17"/>
      <c r="K85" s="18">
        <f t="shared" si="78"/>
        <v>8</v>
      </c>
      <c r="L85" s="34">
        <v>6</v>
      </c>
      <c r="M85" s="16"/>
      <c r="N85" s="16"/>
      <c r="O85" s="17"/>
      <c r="P85" s="18">
        <f t="shared" si="54"/>
        <v>6</v>
      </c>
      <c r="Q85" s="34"/>
      <c r="R85" s="16"/>
      <c r="S85" s="16"/>
      <c r="T85" s="17"/>
      <c r="U85" s="18">
        <f t="shared" si="55"/>
        <v>0</v>
      </c>
      <c r="V85" s="34"/>
      <c r="W85" s="16"/>
      <c r="X85" s="16"/>
      <c r="Y85" s="17"/>
      <c r="Z85" s="18">
        <f t="shared" si="56"/>
        <v>0</v>
      </c>
      <c r="AA85" s="34"/>
      <c r="AB85" s="16"/>
      <c r="AC85" s="16"/>
      <c r="AD85" s="17"/>
      <c r="AE85" s="18">
        <f t="shared" si="57"/>
        <v>0</v>
      </c>
      <c r="AF85" s="34">
        <v>10</v>
      </c>
      <c r="AG85" s="16"/>
      <c r="AH85" s="16"/>
      <c r="AI85" s="17"/>
      <c r="AJ85" s="18">
        <f t="shared" si="58"/>
        <v>10</v>
      </c>
      <c r="AK85" s="34">
        <v>2</v>
      </c>
      <c r="AL85" s="16"/>
      <c r="AM85" s="16"/>
      <c r="AN85" s="17"/>
      <c r="AO85" s="18">
        <f t="shared" si="59"/>
        <v>2</v>
      </c>
      <c r="AP85" s="34">
        <v>6</v>
      </c>
      <c r="AQ85" s="16"/>
      <c r="AR85" s="16"/>
      <c r="AS85" s="17"/>
      <c r="AT85" s="18">
        <f t="shared" si="60"/>
        <v>6</v>
      </c>
      <c r="AU85" s="34">
        <v>15</v>
      </c>
      <c r="AV85" s="16"/>
      <c r="AW85" s="16"/>
      <c r="AX85" s="17"/>
      <c r="AY85" s="18">
        <f t="shared" si="61"/>
        <v>15</v>
      </c>
      <c r="AZ85" s="34">
        <v>31</v>
      </c>
      <c r="BA85" s="16"/>
      <c r="BB85" s="16"/>
      <c r="BC85" s="17"/>
      <c r="BD85" s="18">
        <f t="shared" si="62"/>
        <v>31</v>
      </c>
      <c r="BE85" s="34">
        <v>18</v>
      </c>
      <c r="BF85" s="16"/>
      <c r="BG85" s="16"/>
      <c r="BH85" s="17"/>
      <c r="BI85" s="18">
        <f t="shared" si="63"/>
        <v>18</v>
      </c>
      <c r="BJ85" s="34">
        <v>6</v>
      </c>
      <c r="BK85" s="16"/>
      <c r="BL85" s="16"/>
      <c r="BM85" s="17"/>
      <c r="BN85" s="18">
        <f t="shared" si="64"/>
        <v>6</v>
      </c>
      <c r="BO85" s="70">
        <f>SUM(G85,L85,Q85,V85,AA85,AF85,AK85,AP85,AU85,AZ85,BE85,BJ85)</f>
        <v>102</v>
      </c>
      <c r="BP85" s="16">
        <f>SUM(H85,M85,R85,W85,AB85,AG85,AL85,AQ85,AV85,BA85,BF85,BK85)</f>
        <v>0</v>
      </c>
      <c r="BQ85" s="16">
        <f>SUM(I85,N85,S85,X85,AC85,AH85,AM85,AR85,AW85,BB85,BG85,BL85)</f>
        <v>0</v>
      </c>
      <c r="BR85" s="17">
        <f>SUM(J85,O85,T85,Y85,AD85,AI85,AN85,AS85,AX85,BC85,BH85,BM85)</f>
        <v>0</v>
      </c>
      <c r="BS85" s="35">
        <f t="shared" si="12"/>
        <v>102</v>
      </c>
    </row>
    <row r="86" spans="2:71" x14ac:dyDescent="0.3">
      <c r="B86" s="269"/>
      <c r="C86" s="230"/>
      <c r="D86" s="233"/>
      <c r="E86" s="239"/>
      <c r="F86" s="123" t="s">
        <v>435</v>
      </c>
      <c r="G86" s="34"/>
      <c r="H86" s="16"/>
      <c r="I86" s="16"/>
      <c r="J86" s="17"/>
      <c r="K86" s="18">
        <f t="shared" si="0"/>
        <v>0</v>
      </c>
      <c r="L86" s="34"/>
      <c r="M86" s="16"/>
      <c r="N86" s="16"/>
      <c r="O86" s="17"/>
      <c r="P86" s="18">
        <f t="shared" si="54"/>
        <v>0</v>
      </c>
      <c r="Q86" s="34">
        <f>88-15</f>
        <v>73</v>
      </c>
      <c r="R86" s="16"/>
      <c r="S86" s="16"/>
      <c r="T86" s="17"/>
      <c r="U86" s="18">
        <f t="shared" si="55"/>
        <v>73</v>
      </c>
      <c r="V86" s="34"/>
      <c r="W86" s="16"/>
      <c r="X86" s="16"/>
      <c r="Y86" s="17"/>
      <c r="Z86" s="18">
        <f t="shared" si="56"/>
        <v>0</v>
      </c>
      <c r="AA86" s="34"/>
      <c r="AB86" s="16"/>
      <c r="AC86" s="16"/>
      <c r="AD86" s="17"/>
      <c r="AE86" s="18">
        <f t="shared" si="57"/>
        <v>0</v>
      </c>
      <c r="AF86" s="34"/>
      <c r="AG86" s="16"/>
      <c r="AH86" s="16"/>
      <c r="AI86" s="17"/>
      <c r="AJ86" s="18">
        <f t="shared" si="58"/>
        <v>0</v>
      </c>
      <c r="AK86" s="34"/>
      <c r="AL86" s="16"/>
      <c r="AM86" s="16"/>
      <c r="AN86" s="17"/>
      <c r="AO86" s="18">
        <f t="shared" si="59"/>
        <v>0</v>
      </c>
      <c r="AP86" s="34"/>
      <c r="AQ86" s="16"/>
      <c r="AR86" s="16"/>
      <c r="AS86" s="17"/>
      <c r="AT86" s="18">
        <f t="shared" si="60"/>
        <v>0</v>
      </c>
      <c r="AU86" s="34"/>
      <c r="AV86" s="16"/>
      <c r="AW86" s="16"/>
      <c r="AX86" s="17"/>
      <c r="AY86" s="18">
        <f t="shared" si="61"/>
        <v>0</v>
      </c>
      <c r="AZ86" s="34"/>
      <c r="BA86" s="16"/>
      <c r="BB86" s="16"/>
      <c r="BC86" s="17"/>
      <c r="BD86" s="18">
        <f t="shared" si="62"/>
        <v>0</v>
      </c>
      <c r="BE86" s="34"/>
      <c r="BF86" s="16"/>
      <c r="BG86" s="16"/>
      <c r="BH86" s="17"/>
      <c r="BI86" s="18">
        <f t="shared" si="63"/>
        <v>0</v>
      </c>
      <c r="BJ86" s="34"/>
      <c r="BK86" s="16"/>
      <c r="BL86" s="16"/>
      <c r="BM86" s="17"/>
      <c r="BN86" s="18">
        <f t="shared" si="64"/>
        <v>0</v>
      </c>
      <c r="BO86" s="70">
        <f>SUM(G86,L86,Q86,V86,AA86,AF86,AK86,AP86,AU86,AZ86,BE86,BJ86)</f>
        <v>73</v>
      </c>
      <c r="BP86" s="16">
        <f>SUM(H86,M86,R86,W86,AB86,AG86,AL86,AQ86,AV86,BA86,BF86,BK86)</f>
        <v>0</v>
      </c>
      <c r="BQ86" s="16">
        <f>SUM(I86,N86,S86,X86,AC86,AH86,AM86,AR86,AW86,BB86,BG86,BL86)</f>
        <v>0</v>
      </c>
      <c r="BR86" s="17">
        <f>SUM(J86,O86,T86,Y86,AD86,AI86,AN86,AS86,AX86,BC86,BH86,BM86)</f>
        <v>0</v>
      </c>
      <c r="BS86" s="35">
        <f t="shared" si="12"/>
        <v>73</v>
      </c>
    </row>
    <row r="87" spans="2:71" x14ac:dyDescent="0.3">
      <c r="B87" s="269"/>
      <c r="C87" s="230"/>
      <c r="D87" s="233"/>
      <c r="E87" s="239"/>
      <c r="F87" s="124" t="s">
        <v>436</v>
      </c>
      <c r="G87" s="36"/>
      <c r="H87" s="10"/>
      <c r="I87" s="10"/>
      <c r="J87" s="11"/>
      <c r="K87" s="12">
        <f t="shared" si="0"/>
        <v>0</v>
      </c>
      <c r="L87" s="36"/>
      <c r="M87" s="10"/>
      <c r="N87" s="10"/>
      <c r="O87" s="11"/>
      <c r="P87" s="12">
        <f t="shared" si="54"/>
        <v>0</v>
      </c>
      <c r="Q87" s="36">
        <f>12</f>
        <v>12</v>
      </c>
      <c r="R87" s="10"/>
      <c r="S87" s="10"/>
      <c r="T87" s="11"/>
      <c r="U87" s="12">
        <f t="shared" si="55"/>
        <v>12</v>
      </c>
      <c r="V87" s="36"/>
      <c r="W87" s="10"/>
      <c r="X87" s="10"/>
      <c r="Y87" s="11"/>
      <c r="Z87" s="12">
        <f t="shared" si="56"/>
        <v>0</v>
      </c>
      <c r="AA87" s="36"/>
      <c r="AB87" s="10"/>
      <c r="AC87" s="10"/>
      <c r="AD87" s="11"/>
      <c r="AE87" s="12">
        <f t="shared" si="57"/>
        <v>0</v>
      </c>
      <c r="AF87" s="36"/>
      <c r="AG87" s="10"/>
      <c r="AH87" s="10"/>
      <c r="AI87" s="11"/>
      <c r="AJ87" s="12">
        <f t="shared" si="58"/>
        <v>0</v>
      </c>
      <c r="AK87" s="36"/>
      <c r="AL87" s="10"/>
      <c r="AM87" s="10"/>
      <c r="AN87" s="11"/>
      <c r="AO87" s="12">
        <f t="shared" si="59"/>
        <v>0</v>
      </c>
      <c r="AP87" s="36"/>
      <c r="AQ87" s="10"/>
      <c r="AR87" s="10"/>
      <c r="AS87" s="11"/>
      <c r="AT87" s="12">
        <f t="shared" si="60"/>
        <v>0</v>
      </c>
      <c r="AU87" s="36"/>
      <c r="AV87" s="10"/>
      <c r="AW87" s="10"/>
      <c r="AX87" s="11"/>
      <c r="AY87" s="12">
        <f t="shared" si="61"/>
        <v>0</v>
      </c>
      <c r="AZ87" s="36"/>
      <c r="BA87" s="10"/>
      <c r="BB87" s="10"/>
      <c r="BC87" s="11"/>
      <c r="BD87" s="12">
        <f t="shared" si="62"/>
        <v>0</v>
      </c>
      <c r="BE87" s="36"/>
      <c r="BF87" s="10"/>
      <c r="BG87" s="10"/>
      <c r="BH87" s="11"/>
      <c r="BI87" s="12">
        <f t="shared" si="63"/>
        <v>0</v>
      </c>
      <c r="BJ87" s="36"/>
      <c r="BK87" s="10"/>
      <c r="BL87" s="10"/>
      <c r="BM87" s="11"/>
      <c r="BN87" s="12">
        <f t="shared" si="64"/>
        <v>0</v>
      </c>
      <c r="BO87" s="71">
        <f>SUM(G87,L87,Q87,V87,AA87,AF87,AK87,AP87,AU87,AZ87,BE87,BJ87)</f>
        <v>12</v>
      </c>
      <c r="BP87" s="10">
        <f>SUM(H87,M87,R87,W87,AB87,AG87,AL87,AQ87,AV87,BA87,BF87,BK87)</f>
        <v>0</v>
      </c>
      <c r="BQ87" s="10">
        <f>SUM(I87,N87,S87,X87,AC87,AH87,AM87,AR87,AW87,BB87,BG87,BL87)</f>
        <v>0</v>
      </c>
      <c r="BR87" s="11">
        <f>SUM(J87,O87,T87,Y87,AD87,AI87,AN87,AS87,AX87,BC87,BH87,BM87)</f>
        <v>0</v>
      </c>
      <c r="BS87" s="37">
        <f t="shared" si="12"/>
        <v>12</v>
      </c>
    </row>
    <row r="88" spans="2:71" x14ac:dyDescent="0.3">
      <c r="B88" s="269"/>
      <c r="C88" s="230"/>
      <c r="D88" s="233"/>
      <c r="E88" s="240"/>
      <c r="F88" s="125" t="s">
        <v>54</v>
      </c>
      <c r="G88" s="126">
        <f>SUM(G82:G87)</f>
        <v>162</v>
      </c>
      <c r="H88" s="127">
        <f>SUM(H82:H87)</f>
        <v>0</v>
      </c>
      <c r="I88" s="127">
        <f>SUM(I82:I87)</f>
        <v>0</v>
      </c>
      <c r="J88" s="128">
        <f>SUM(J82:J87)</f>
        <v>0</v>
      </c>
      <c r="K88" s="129">
        <f t="shared" si="0"/>
        <v>162</v>
      </c>
      <c r="L88" s="126">
        <f>SUM(L82:L87)</f>
        <v>171</v>
      </c>
      <c r="M88" s="127">
        <f>SUM(M82:M87)</f>
        <v>0</v>
      </c>
      <c r="N88" s="127">
        <f>SUM(N82:N87)</f>
        <v>0</v>
      </c>
      <c r="O88" s="128">
        <f>SUM(O82:O87)</f>
        <v>0</v>
      </c>
      <c r="P88" s="129">
        <f t="shared" si="54"/>
        <v>171</v>
      </c>
      <c r="Q88" s="126">
        <f>SUM(Q82:Q87)</f>
        <v>106</v>
      </c>
      <c r="R88" s="127">
        <f>SUM(R82:R87)</f>
        <v>0</v>
      </c>
      <c r="S88" s="127">
        <f>SUM(S82:S87)</f>
        <v>0</v>
      </c>
      <c r="T88" s="128">
        <f>SUM(T82:T87)</f>
        <v>0</v>
      </c>
      <c r="U88" s="129">
        <f t="shared" si="55"/>
        <v>106</v>
      </c>
      <c r="V88" s="126">
        <f>SUM(V82:V87)</f>
        <v>101</v>
      </c>
      <c r="W88" s="127">
        <f>SUM(W82:W87)</f>
        <v>0</v>
      </c>
      <c r="X88" s="127">
        <f>SUM(X82:X87)</f>
        <v>0</v>
      </c>
      <c r="Y88" s="128">
        <f>SUM(Y82:Y87)</f>
        <v>0</v>
      </c>
      <c r="Z88" s="129">
        <f t="shared" si="56"/>
        <v>101</v>
      </c>
      <c r="AA88" s="126">
        <f>SUM(AA82:AA87)</f>
        <v>80</v>
      </c>
      <c r="AB88" s="127">
        <f>SUM(AB82:AB87)</f>
        <v>0</v>
      </c>
      <c r="AC88" s="127">
        <f>SUM(AC82:AC87)</f>
        <v>0</v>
      </c>
      <c r="AD88" s="128">
        <f>SUM(AD82:AD87)</f>
        <v>0</v>
      </c>
      <c r="AE88" s="129">
        <f t="shared" si="57"/>
        <v>80</v>
      </c>
      <c r="AF88" s="126">
        <f>SUM(AF82:AF87)</f>
        <v>187</v>
      </c>
      <c r="AG88" s="127">
        <f>SUM(AG82:AG87)</f>
        <v>0</v>
      </c>
      <c r="AH88" s="127">
        <f>SUM(AH82:AH87)</f>
        <v>0</v>
      </c>
      <c r="AI88" s="128">
        <f>SUM(AI82:AI87)</f>
        <v>0</v>
      </c>
      <c r="AJ88" s="129">
        <f t="shared" si="58"/>
        <v>187</v>
      </c>
      <c r="AK88" s="126">
        <f>SUM(AK82:AK87)</f>
        <v>73</v>
      </c>
      <c r="AL88" s="127">
        <f>SUM(AL82:AL87)</f>
        <v>0</v>
      </c>
      <c r="AM88" s="127">
        <f>SUM(AM82:AM87)</f>
        <v>0</v>
      </c>
      <c r="AN88" s="128">
        <f>SUM(AN82:AN87)</f>
        <v>0</v>
      </c>
      <c r="AO88" s="129">
        <f t="shared" si="59"/>
        <v>73</v>
      </c>
      <c r="AP88" s="126">
        <f>SUM(AP82:AP87)</f>
        <v>82</v>
      </c>
      <c r="AQ88" s="127">
        <f>SUM(AQ82:AQ87)</f>
        <v>0</v>
      </c>
      <c r="AR88" s="127">
        <f>SUM(AR82:AR87)</f>
        <v>0</v>
      </c>
      <c r="AS88" s="128">
        <f>SUM(AS82:AS87)</f>
        <v>0</v>
      </c>
      <c r="AT88" s="129">
        <f t="shared" si="60"/>
        <v>82</v>
      </c>
      <c r="AU88" s="126">
        <f>SUM(AU82:AU87)</f>
        <v>162</v>
      </c>
      <c r="AV88" s="127">
        <f>SUM(AV82:AV87)</f>
        <v>0</v>
      </c>
      <c r="AW88" s="127">
        <f>SUM(AW82:AW87)</f>
        <v>0</v>
      </c>
      <c r="AX88" s="128">
        <f>SUM(AX82:AX87)</f>
        <v>0</v>
      </c>
      <c r="AY88" s="129">
        <f t="shared" si="61"/>
        <v>162</v>
      </c>
      <c r="AZ88" s="126">
        <f>SUM(AZ82:AZ87)</f>
        <v>411</v>
      </c>
      <c r="BA88" s="127">
        <f>SUM(BA82:BA87)</f>
        <v>0</v>
      </c>
      <c r="BB88" s="127">
        <f>SUM(BB82:BB87)</f>
        <v>0</v>
      </c>
      <c r="BC88" s="128">
        <f>SUM(BC82:BC87)</f>
        <v>0</v>
      </c>
      <c r="BD88" s="129">
        <f t="shared" si="62"/>
        <v>411</v>
      </c>
      <c r="BE88" s="126">
        <f>SUM(BE82:BE87)</f>
        <v>207</v>
      </c>
      <c r="BF88" s="127">
        <f>SUM(BF82:BF87)</f>
        <v>0</v>
      </c>
      <c r="BG88" s="127">
        <f>SUM(BG82:BG87)</f>
        <v>0</v>
      </c>
      <c r="BH88" s="128">
        <f>SUM(BH82:BH87)</f>
        <v>0</v>
      </c>
      <c r="BI88" s="129">
        <f t="shared" si="63"/>
        <v>207</v>
      </c>
      <c r="BJ88" s="126">
        <f>SUM(BJ82:BJ87)</f>
        <v>93</v>
      </c>
      <c r="BK88" s="127">
        <f>SUM(BK82:BK87)</f>
        <v>0</v>
      </c>
      <c r="BL88" s="127">
        <f>SUM(BL82:BL87)</f>
        <v>0</v>
      </c>
      <c r="BM88" s="128">
        <f>SUM(BM82:BM87)</f>
        <v>0</v>
      </c>
      <c r="BN88" s="129">
        <f t="shared" si="64"/>
        <v>93</v>
      </c>
      <c r="BO88" s="131">
        <f>SUM(BO82:BO87)</f>
        <v>1835</v>
      </c>
      <c r="BP88" s="127">
        <f>SUM(BP82:BP87)</f>
        <v>0</v>
      </c>
      <c r="BQ88" s="127">
        <f>SUM(BQ82:BQ87)</f>
        <v>0</v>
      </c>
      <c r="BR88" s="128">
        <f>SUM(BR82:BR87)</f>
        <v>0</v>
      </c>
      <c r="BS88" s="130">
        <f t="shared" si="12"/>
        <v>1835</v>
      </c>
    </row>
    <row r="89" spans="2:71" x14ac:dyDescent="0.3">
      <c r="B89" s="269"/>
      <c r="C89" s="230"/>
      <c r="D89" s="233"/>
      <c r="E89" s="241" t="s">
        <v>45</v>
      </c>
      <c r="F89" s="120" t="s">
        <v>49</v>
      </c>
      <c r="G89" s="30">
        <v>14</v>
      </c>
      <c r="H89" s="7"/>
      <c r="I89" s="7"/>
      <c r="J89" s="8"/>
      <c r="K89" s="9">
        <f t="shared" si="0"/>
        <v>14</v>
      </c>
      <c r="L89" s="30">
        <v>10</v>
      </c>
      <c r="M89" s="7"/>
      <c r="N89" s="7"/>
      <c r="O89" s="8"/>
      <c r="P89" s="9">
        <f t="shared" si="54"/>
        <v>10</v>
      </c>
      <c r="Q89" s="30">
        <v>2</v>
      </c>
      <c r="R89" s="7"/>
      <c r="S89" s="7"/>
      <c r="T89" s="8"/>
      <c r="U89" s="9">
        <f t="shared" si="55"/>
        <v>2</v>
      </c>
      <c r="V89" s="30">
        <v>10</v>
      </c>
      <c r="W89" s="7"/>
      <c r="X89" s="7"/>
      <c r="Y89" s="8"/>
      <c r="Z89" s="9">
        <f t="shared" si="56"/>
        <v>10</v>
      </c>
      <c r="AA89" s="30">
        <v>10</v>
      </c>
      <c r="AB89" s="7"/>
      <c r="AC89" s="7"/>
      <c r="AD89" s="8"/>
      <c r="AE89" s="9">
        <f t="shared" si="57"/>
        <v>10</v>
      </c>
      <c r="AF89" s="30">
        <v>19</v>
      </c>
      <c r="AG89" s="7"/>
      <c r="AH89" s="7"/>
      <c r="AI89" s="8"/>
      <c r="AJ89" s="9">
        <f t="shared" si="58"/>
        <v>19</v>
      </c>
      <c r="AK89" s="30">
        <v>1</v>
      </c>
      <c r="AL89" s="7"/>
      <c r="AM89" s="7"/>
      <c r="AN89" s="8"/>
      <c r="AO89" s="9">
        <f t="shared" si="59"/>
        <v>1</v>
      </c>
      <c r="AP89" s="30">
        <v>13</v>
      </c>
      <c r="AQ89" s="7"/>
      <c r="AR89" s="7"/>
      <c r="AS89" s="8"/>
      <c r="AT89" s="9">
        <f t="shared" si="60"/>
        <v>13</v>
      </c>
      <c r="AU89" s="30">
        <v>11</v>
      </c>
      <c r="AV89" s="7"/>
      <c r="AW89" s="7"/>
      <c r="AX89" s="8"/>
      <c r="AY89" s="9">
        <f t="shared" si="61"/>
        <v>11</v>
      </c>
      <c r="AZ89" s="30">
        <v>18</v>
      </c>
      <c r="BA89" s="7"/>
      <c r="BB89" s="7"/>
      <c r="BC89" s="8"/>
      <c r="BD89" s="9">
        <f t="shared" si="62"/>
        <v>18</v>
      </c>
      <c r="BE89" s="30">
        <v>15</v>
      </c>
      <c r="BF89" s="7"/>
      <c r="BG89" s="7"/>
      <c r="BH89" s="8"/>
      <c r="BI89" s="9">
        <f t="shared" si="63"/>
        <v>15</v>
      </c>
      <c r="BJ89" s="30">
        <v>2</v>
      </c>
      <c r="BK89" s="7"/>
      <c r="BL89" s="7"/>
      <c r="BM89" s="8"/>
      <c r="BN89" s="9">
        <f t="shared" si="64"/>
        <v>2</v>
      </c>
      <c r="BO89" s="65">
        <f>SUM(G89,L89,Q89,V89,AA89,AF89,AK89,AP89,AU89,AZ89,BE89,BJ89)</f>
        <v>125</v>
      </c>
      <c r="BP89" s="7">
        <f>SUM(H89,M89,R89,W89,AB89,AG89,AL89,AQ89,AV89,BA89,BF89,BK89)</f>
        <v>0</v>
      </c>
      <c r="BQ89" s="7">
        <f>SUM(I89,N89,S89,X89,AC89,AH89,AM89,AR89,AW89,BB89,BG89,BL89)</f>
        <v>0</v>
      </c>
      <c r="BR89" s="8">
        <f>SUM(J89,O89,T89,Y89,AD89,AI89,AN89,AS89,AX89,BC89,BH89,BM89)</f>
        <v>0</v>
      </c>
      <c r="BS89" s="31">
        <f t="shared" si="12"/>
        <v>125</v>
      </c>
    </row>
    <row r="90" spans="2:71" x14ac:dyDescent="0.3">
      <c r="B90" s="269"/>
      <c r="C90" s="230"/>
      <c r="D90" s="233"/>
      <c r="E90" s="239"/>
      <c r="F90" s="121" t="s">
        <v>50</v>
      </c>
      <c r="G90" s="32"/>
      <c r="H90" s="13"/>
      <c r="I90" s="13"/>
      <c r="J90" s="14"/>
      <c r="K90" s="15">
        <f t="shared" si="0"/>
        <v>0</v>
      </c>
      <c r="L90" s="32"/>
      <c r="M90" s="13"/>
      <c r="N90" s="13"/>
      <c r="O90" s="14"/>
      <c r="P90" s="15">
        <f t="shared" si="54"/>
        <v>0</v>
      </c>
      <c r="Q90" s="32"/>
      <c r="R90" s="13"/>
      <c r="S90" s="13"/>
      <c r="T90" s="14"/>
      <c r="U90" s="15">
        <f t="shared" si="55"/>
        <v>0</v>
      </c>
      <c r="V90" s="32">
        <v>3</v>
      </c>
      <c r="W90" s="13"/>
      <c r="X90" s="13"/>
      <c r="Y90" s="14"/>
      <c r="Z90" s="15">
        <f t="shared" si="56"/>
        <v>3</v>
      </c>
      <c r="AA90" s="32">
        <v>1</v>
      </c>
      <c r="AB90" s="13"/>
      <c r="AC90" s="13"/>
      <c r="AD90" s="14"/>
      <c r="AE90" s="15">
        <f t="shared" si="57"/>
        <v>1</v>
      </c>
      <c r="AF90" s="32">
        <v>5</v>
      </c>
      <c r="AG90" s="13"/>
      <c r="AH90" s="13"/>
      <c r="AI90" s="14"/>
      <c r="AJ90" s="15">
        <f t="shared" si="58"/>
        <v>5</v>
      </c>
      <c r="AK90" s="32">
        <v>1</v>
      </c>
      <c r="AL90" s="13"/>
      <c r="AM90" s="13"/>
      <c r="AN90" s="14"/>
      <c r="AO90" s="15">
        <f t="shared" si="59"/>
        <v>1</v>
      </c>
      <c r="AP90" s="32">
        <v>2</v>
      </c>
      <c r="AQ90" s="13"/>
      <c r="AR90" s="13"/>
      <c r="AS90" s="14"/>
      <c r="AT90" s="15">
        <f t="shared" si="60"/>
        <v>2</v>
      </c>
      <c r="AU90" s="32">
        <v>3</v>
      </c>
      <c r="AV90" s="13"/>
      <c r="AW90" s="13"/>
      <c r="AX90" s="14"/>
      <c r="AY90" s="15">
        <f t="shared" si="61"/>
        <v>3</v>
      </c>
      <c r="AZ90" s="32">
        <v>7</v>
      </c>
      <c r="BA90" s="13"/>
      <c r="BB90" s="13"/>
      <c r="BC90" s="14"/>
      <c r="BD90" s="15">
        <f t="shared" si="62"/>
        <v>7</v>
      </c>
      <c r="BE90" s="32">
        <v>2</v>
      </c>
      <c r="BF90" s="13"/>
      <c r="BG90" s="13"/>
      <c r="BH90" s="14"/>
      <c r="BI90" s="15">
        <f t="shared" si="63"/>
        <v>2</v>
      </c>
      <c r="BJ90" s="32">
        <v>1</v>
      </c>
      <c r="BK90" s="13"/>
      <c r="BL90" s="13"/>
      <c r="BM90" s="14"/>
      <c r="BN90" s="15">
        <f t="shared" si="64"/>
        <v>1</v>
      </c>
      <c r="BO90" s="66">
        <f>SUM(G90,L90,Q90,V90,AA90,AF90,AK90,AP90,AU90,AZ90,BE90,BJ90)</f>
        <v>25</v>
      </c>
      <c r="BP90" s="13">
        <f>SUM(H90,M90,R90,W90,AB90,AG90,AL90,AQ90,AV90,BA90,BF90,BK90)</f>
        <v>0</v>
      </c>
      <c r="BQ90" s="13">
        <f>SUM(I90,N90,S90,X90,AC90,AH90,AM90,AR90,AW90,BB90,BG90,BL90)</f>
        <v>0</v>
      </c>
      <c r="BR90" s="14">
        <f>SUM(J90,O90,T90,Y90,AD90,AI90,AN90,AS90,AX90,BC90,BH90,BM90)</f>
        <v>0</v>
      </c>
      <c r="BS90" s="33">
        <f t="shared" si="12"/>
        <v>25</v>
      </c>
    </row>
    <row r="91" spans="2:71" x14ac:dyDescent="0.3">
      <c r="B91" s="269"/>
      <c r="C91" s="230"/>
      <c r="D91" s="233"/>
      <c r="E91" s="239"/>
      <c r="F91" s="121" t="s">
        <v>51</v>
      </c>
      <c r="G91" s="32">
        <v>13</v>
      </c>
      <c r="H91" s="13"/>
      <c r="I91" s="13"/>
      <c r="J91" s="14"/>
      <c r="K91" s="15">
        <f t="shared" ref="K91:K92" si="79">SUM(G91:J91)</f>
        <v>13</v>
      </c>
      <c r="L91" s="32">
        <v>6</v>
      </c>
      <c r="M91" s="13"/>
      <c r="N91" s="13"/>
      <c r="O91" s="14"/>
      <c r="P91" s="15">
        <f t="shared" si="54"/>
        <v>6</v>
      </c>
      <c r="Q91" s="32">
        <v>2</v>
      </c>
      <c r="R91" s="13"/>
      <c r="S91" s="13"/>
      <c r="T91" s="14"/>
      <c r="U91" s="15">
        <f t="shared" si="55"/>
        <v>2</v>
      </c>
      <c r="V91" s="32"/>
      <c r="W91" s="13"/>
      <c r="X91" s="13"/>
      <c r="Y91" s="14"/>
      <c r="Z91" s="15">
        <f t="shared" si="56"/>
        <v>0</v>
      </c>
      <c r="AA91" s="32"/>
      <c r="AB91" s="13"/>
      <c r="AC91" s="13"/>
      <c r="AD91" s="14"/>
      <c r="AE91" s="15">
        <f t="shared" si="57"/>
        <v>0</v>
      </c>
      <c r="AF91" s="32">
        <v>14</v>
      </c>
      <c r="AG91" s="13"/>
      <c r="AH91" s="13"/>
      <c r="AI91" s="14"/>
      <c r="AJ91" s="15">
        <f t="shared" si="58"/>
        <v>14</v>
      </c>
      <c r="AK91" s="32">
        <v>1</v>
      </c>
      <c r="AL91" s="13"/>
      <c r="AM91" s="13"/>
      <c r="AN91" s="14"/>
      <c r="AO91" s="15">
        <f t="shared" si="59"/>
        <v>1</v>
      </c>
      <c r="AP91" s="32">
        <v>7</v>
      </c>
      <c r="AQ91" s="13"/>
      <c r="AR91" s="13"/>
      <c r="AS91" s="14"/>
      <c r="AT91" s="15">
        <f t="shared" si="60"/>
        <v>7</v>
      </c>
      <c r="AU91" s="32">
        <v>8</v>
      </c>
      <c r="AV91" s="13"/>
      <c r="AW91" s="13"/>
      <c r="AX91" s="14"/>
      <c r="AY91" s="15">
        <f t="shared" si="61"/>
        <v>8</v>
      </c>
      <c r="AZ91" s="32">
        <v>11</v>
      </c>
      <c r="BA91" s="13"/>
      <c r="BB91" s="13"/>
      <c r="BC91" s="14"/>
      <c r="BD91" s="15">
        <f t="shared" si="62"/>
        <v>11</v>
      </c>
      <c r="BE91" s="32">
        <v>9</v>
      </c>
      <c r="BF91" s="13"/>
      <c r="BG91" s="13"/>
      <c r="BH91" s="14"/>
      <c r="BI91" s="15">
        <f t="shared" si="63"/>
        <v>9</v>
      </c>
      <c r="BJ91" s="32"/>
      <c r="BK91" s="13"/>
      <c r="BL91" s="13"/>
      <c r="BM91" s="14"/>
      <c r="BN91" s="15">
        <f t="shared" si="64"/>
        <v>0</v>
      </c>
      <c r="BO91" s="66">
        <f>SUM(G91,L91,Q91,V91,AA91,AF91,AK91,AP91,AU91,AZ91,BE91,BJ91)</f>
        <v>71</v>
      </c>
      <c r="BP91" s="13">
        <f>SUM(H91,M91,R91,W91,AB91,AG91,AL91,AQ91,AV91,BA91,BF91,BK91)</f>
        <v>0</v>
      </c>
      <c r="BQ91" s="13">
        <f>SUM(I91,N91,S91,X91,AC91,AH91,AM91,AR91,AW91,BB91,BG91,BL91)</f>
        <v>0</v>
      </c>
      <c r="BR91" s="14">
        <f>SUM(J91,O91,T91,Y91,AD91,AI91,AN91,AS91,AX91,BC91,BH91,BM91)</f>
        <v>0</v>
      </c>
      <c r="BS91" s="33">
        <f t="shared" si="12"/>
        <v>71</v>
      </c>
    </row>
    <row r="92" spans="2:71" x14ac:dyDescent="0.3">
      <c r="B92" s="269"/>
      <c r="C92" s="230"/>
      <c r="D92" s="233"/>
      <c r="E92" s="239"/>
      <c r="F92" s="123" t="s">
        <v>52</v>
      </c>
      <c r="G92" s="34"/>
      <c r="H92" s="16"/>
      <c r="I92" s="16"/>
      <c r="J92" s="17"/>
      <c r="K92" s="18">
        <f t="shared" si="79"/>
        <v>0</v>
      </c>
      <c r="L92" s="34"/>
      <c r="M92" s="16"/>
      <c r="N92" s="16"/>
      <c r="O92" s="17"/>
      <c r="P92" s="18">
        <f t="shared" si="54"/>
        <v>0</v>
      </c>
      <c r="Q92" s="34"/>
      <c r="R92" s="16"/>
      <c r="S92" s="16"/>
      <c r="T92" s="17"/>
      <c r="U92" s="18">
        <f t="shared" si="55"/>
        <v>0</v>
      </c>
      <c r="V92" s="34"/>
      <c r="W92" s="16"/>
      <c r="X92" s="16"/>
      <c r="Y92" s="17"/>
      <c r="Z92" s="18">
        <f t="shared" si="56"/>
        <v>0</v>
      </c>
      <c r="AA92" s="34"/>
      <c r="AB92" s="16"/>
      <c r="AC92" s="16"/>
      <c r="AD92" s="17"/>
      <c r="AE92" s="18">
        <f t="shared" si="57"/>
        <v>0</v>
      </c>
      <c r="AF92" s="34">
        <v>3</v>
      </c>
      <c r="AG92" s="16"/>
      <c r="AH92" s="16"/>
      <c r="AI92" s="17"/>
      <c r="AJ92" s="18">
        <f t="shared" si="58"/>
        <v>3</v>
      </c>
      <c r="AK92" s="34">
        <v>1</v>
      </c>
      <c r="AL92" s="16"/>
      <c r="AM92" s="16"/>
      <c r="AN92" s="17"/>
      <c r="AO92" s="18">
        <f t="shared" si="59"/>
        <v>1</v>
      </c>
      <c r="AP92" s="34"/>
      <c r="AQ92" s="16"/>
      <c r="AR92" s="16"/>
      <c r="AS92" s="17"/>
      <c r="AT92" s="18">
        <f t="shared" si="60"/>
        <v>0</v>
      </c>
      <c r="AU92" s="34">
        <v>2</v>
      </c>
      <c r="AV92" s="16"/>
      <c r="AW92" s="16"/>
      <c r="AX92" s="17"/>
      <c r="AY92" s="18">
        <f t="shared" si="61"/>
        <v>2</v>
      </c>
      <c r="AZ92" s="34">
        <v>6</v>
      </c>
      <c r="BA92" s="16"/>
      <c r="BB92" s="16"/>
      <c r="BC92" s="17"/>
      <c r="BD92" s="18">
        <f t="shared" si="62"/>
        <v>6</v>
      </c>
      <c r="BE92" s="34">
        <v>1</v>
      </c>
      <c r="BF92" s="16"/>
      <c r="BG92" s="16"/>
      <c r="BH92" s="17"/>
      <c r="BI92" s="18">
        <f t="shared" si="63"/>
        <v>1</v>
      </c>
      <c r="BJ92" s="34">
        <v>1</v>
      </c>
      <c r="BK92" s="16"/>
      <c r="BL92" s="16"/>
      <c r="BM92" s="17"/>
      <c r="BN92" s="18">
        <f t="shared" si="64"/>
        <v>1</v>
      </c>
      <c r="BO92" s="70">
        <f>SUM(G92,L92,Q92,V92,AA92,AF92,AK92,AP92,AU92,AZ92,BE92,BJ92)</f>
        <v>14</v>
      </c>
      <c r="BP92" s="16">
        <f>SUM(H92,M92,R92,W92,AB92,AG92,AL92,AQ92,AV92,BA92,BF92,BK92)</f>
        <v>0</v>
      </c>
      <c r="BQ92" s="16">
        <f>SUM(I92,N92,S92,X92,AC92,AH92,AM92,AR92,AW92,BB92,BG92,BL92)</f>
        <v>0</v>
      </c>
      <c r="BR92" s="17">
        <f>SUM(J92,O92,T92,Y92,AD92,AI92,AN92,AS92,AX92,BC92,BH92,BM92)</f>
        <v>0</v>
      </c>
      <c r="BS92" s="35">
        <f t="shared" si="12"/>
        <v>14</v>
      </c>
    </row>
    <row r="93" spans="2:71" x14ac:dyDescent="0.3">
      <c r="B93" s="269"/>
      <c r="C93" s="230"/>
      <c r="D93" s="233"/>
      <c r="E93" s="239"/>
      <c r="F93" s="123" t="s">
        <v>435</v>
      </c>
      <c r="G93" s="34"/>
      <c r="H93" s="16"/>
      <c r="I93" s="16"/>
      <c r="J93" s="17"/>
      <c r="K93" s="18">
        <f t="shared" si="0"/>
        <v>0</v>
      </c>
      <c r="L93" s="34"/>
      <c r="M93" s="16"/>
      <c r="N93" s="16"/>
      <c r="O93" s="17"/>
      <c r="P93" s="18">
        <f t="shared" si="54"/>
        <v>0</v>
      </c>
      <c r="Q93" s="34">
        <f>11-2</f>
        <v>9</v>
      </c>
      <c r="R93" s="16"/>
      <c r="S93" s="16"/>
      <c r="T93" s="17"/>
      <c r="U93" s="18">
        <f t="shared" si="55"/>
        <v>9</v>
      </c>
      <c r="V93" s="34"/>
      <c r="W93" s="16"/>
      <c r="X93" s="16"/>
      <c r="Y93" s="17"/>
      <c r="Z93" s="18">
        <f t="shared" si="56"/>
        <v>0</v>
      </c>
      <c r="AA93" s="34"/>
      <c r="AB93" s="16"/>
      <c r="AC93" s="16"/>
      <c r="AD93" s="17"/>
      <c r="AE93" s="18">
        <f t="shared" si="57"/>
        <v>0</v>
      </c>
      <c r="AF93" s="34"/>
      <c r="AG93" s="16"/>
      <c r="AH93" s="16"/>
      <c r="AI93" s="17"/>
      <c r="AJ93" s="18">
        <f t="shared" si="58"/>
        <v>0</v>
      </c>
      <c r="AK93" s="34"/>
      <c r="AL93" s="16"/>
      <c r="AM93" s="16"/>
      <c r="AN93" s="17"/>
      <c r="AO93" s="18">
        <f t="shared" si="59"/>
        <v>0</v>
      </c>
      <c r="AP93" s="34"/>
      <c r="AQ93" s="16"/>
      <c r="AR93" s="16"/>
      <c r="AS93" s="17"/>
      <c r="AT93" s="18">
        <f t="shared" si="60"/>
        <v>0</v>
      </c>
      <c r="AU93" s="34"/>
      <c r="AV93" s="16"/>
      <c r="AW93" s="16"/>
      <c r="AX93" s="17"/>
      <c r="AY93" s="18">
        <f t="shared" si="61"/>
        <v>0</v>
      </c>
      <c r="AZ93" s="34"/>
      <c r="BA93" s="16"/>
      <c r="BB93" s="16"/>
      <c r="BC93" s="17"/>
      <c r="BD93" s="18">
        <f t="shared" si="62"/>
        <v>0</v>
      </c>
      <c r="BE93" s="34"/>
      <c r="BF93" s="16"/>
      <c r="BG93" s="16"/>
      <c r="BH93" s="17"/>
      <c r="BI93" s="18">
        <f t="shared" si="63"/>
        <v>0</v>
      </c>
      <c r="BJ93" s="34"/>
      <c r="BK93" s="16"/>
      <c r="BL93" s="16"/>
      <c r="BM93" s="17"/>
      <c r="BN93" s="18">
        <f t="shared" si="64"/>
        <v>0</v>
      </c>
      <c r="BO93" s="70">
        <f>SUM(G93,L93,Q93,V93,AA93,AF93,AK93,AP93,AU93,AZ93,BE93,BJ93)</f>
        <v>9</v>
      </c>
      <c r="BP93" s="16">
        <f>SUM(H93,M93,R93,W93,AB93,AG93,AL93,AQ93,AV93,BA93,BF93,BK93)</f>
        <v>0</v>
      </c>
      <c r="BQ93" s="16">
        <f>SUM(I93,N93,S93,X93,AC93,AH93,AM93,AR93,AW93,BB93,BG93,BL93)</f>
        <v>0</v>
      </c>
      <c r="BR93" s="17">
        <f>SUM(J93,O93,T93,Y93,AD93,AI93,AN93,AS93,AX93,BC93,BH93,BM93)</f>
        <v>0</v>
      </c>
      <c r="BS93" s="35">
        <f t="shared" si="12"/>
        <v>9</v>
      </c>
    </row>
    <row r="94" spans="2:71" x14ac:dyDescent="0.3">
      <c r="B94" s="269"/>
      <c r="C94" s="230"/>
      <c r="D94" s="233"/>
      <c r="E94" s="239"/>
      <c r="F94" s="124" t="s">
        <v>436</v>
      </c>
      <c r="G94" s="36"/>
      <c r="H94" s="10"/>
      <c r="I94" s="10"/>
      <c r="J94" s="11"/>
      <c r="K94" s="12">
        <f t="shared" si="0"/>
        <v>0</v>
      </c>
      <c r="L94" s="36"/>
      <c r="M94" s="10"/>
      <c r="N94" s="10"/>
      <c r="O94" s="11"/>
      <c r="P94" s="12">
        <f t="shared" si="54"/>
        <v>0</v>
      </c>
      <c r="Q94" s="36">
        <f>6</f>
        <v>6</v>
      </c>
      <c r="R94" s="10"/>
      <c r="S94" s="10"/>
      <c r="T94" s="11"/>
      <c r="U94" s="12">
        <f t="shared" si="55"/>
        <v>6</v>
      </c>
      <c r="V94" s="36"/>
      <c r="W94" s="10"/>
      <c r="X94" s="10"/>
      <c r="Y94" s="11"/>
      <c r="Z94" s="12">
        <f t="shared" si="56"/>
        <v>0</v>
      </c>
      <c r="AA94" s="36"/>
      <c r="AB94" s="10"/>
      <c r="AC94" s="10"/>
      <c r="AD94" s="11"/>
      <c r="AE94" s="12">
        <f t="shared" si="57"/>
        <v>0</v>
      </c>
      <c r="AF94" s="36"/>
      <c r="AG94" s="10"/>
      <c r="AH94" s="10"/>
      <c r="AI94" s="11"/>
      <c r="AJ94" s="12">
        <f t="shared" si="58"/>
        <v>0</v>
      </c>
      <c r="AK94" s="36"/>
      <c r="AL94" s="10"/>
      <c r="AM94" s="10"/>
      <c r="AN94" s="11"/>
      <c r="AO94" s="12">
        <f t="shared" si="59"/>
        <v>0</v>
      </c>
      <c r="AP94" s="36"/>
      <c r="AQ94" s="10"/>
      <c r="AR94" s="10"/>
      <c r="AS94" s="11"/>
      <c r="AT94" s="12">
        <f t="shared" si="60"/>
        <v>0</v>
      </c>
      <c r="AU94" s="36"/>
      <c r="AV94" s="10"/>
      <c r="AW94" s="10"/>
      <c r="AX94" s="11"/>
      <c r="AY94" s="12">
        <f t="shared" si="61"/>
        <v>0</v>
      </c>
      <c r="AZ94" s="36"/>
      <c r="BA94" s="10"/>
      <c r="BB94" s="10"/>
      <c r="BC94" s="11"/>
      <c r="BD94" s="12">
        <f t="shared" si="62"/>
        <v>0</v>
      </c>
      <c r="BE94" s="36"/>
      <c r="BF94" s="10"/>
      <c r="BG94" s="10"/>
      <c r="BH94" s="11"/>
      <c r="BI94" s="12">
        <f t="shared" si="63"/>
        <v>0</v>
      </c>
      <c r="BJ94" s="36"/>
      <c r="BK94" s="10"/>
      <c r="BL94" s="10"/>
      <c r="BM94" s="11"/>
      <c r="BN94" s="12">
        <f t="shared" si="64"/>
        <v>0</v>
      </c>
      <c r="BO94" s="71">
        <f>SUM(G94,L94,Q94,V94,AA94,AF94,AK94,AP94,AU94,AZ94,BE94,BJ94)</f>
        <v>6</v>
      </c>
      <c r="BP94" s="10">
        <f>SUM(H94,M94,R94,W94,AB94,AG94,AL94,AQ94,AV94,BA94,BF94,BK94)</f>
        <v>0</v>
      </c>
      <c r="BQ94" s="10">
        <f>SUM(I94,N94,S94,X94,AC94,AH94,AM94,AR94,AW94,BB94,BG94,BL94)</f>
        <v>0</v>
      </c>
      <c r="BR94" s="11">
        <f>SUM(J94,O94,T94,Y94,AD94,AI94,AN94,AS94,AX94,BC94,BH94,BM94)</f>
        <v>0</v>
      </c>
      <c r="BS94" s="37">
        <f t="shared" si="12"/>
        <v>6</v>
      </c>
    </row>
    <row r="95" spans="2:71" x14ac:dyDescent="0.3">
      <c r="B95" s="269"/>
      <c r="C95" s="230"/>
      <c r="D95" s="233"/>
      <c r="E95" s="240"/>
      <c r="F95" s="125" t="s">
        <v>54</v>
      </c>
      <c r="G95" s="126">
        <f>SUM(G89:G94)</f>
        <v>27</v>
      </c>
      <c r="H95" s="127">
        <f>SUM(H89:H94)</f>
        <v>0</v>
      </c>
      <c r="I95" s="127">
        <f>SUM(I89:I94)</f>
        <v>0</v>
      </c>
      <c r="J95" s="128">
        <f>SUM(J89:J94)</f>
        <v>0</v>
      </c>
      <c r="K95" s="129">
        <f t="shared" si="0"/>
        <v>27</v>
      </c>
      <c r="L95" s="126">
        <f>SUM(L89:L94)</f>
        <v>16</v>
      </c>
      <c r="M95" s="127">
        <f>SUM(M89:M94)</f>
        <v>0</v>
      </c>
      <c r="N95" s="127">
        <f>SUM(N89:N94)</f>
        <v>0</v>
      </c>
      <c r="O95" s="128">
        <f>SUM(O89:O94)</f>
        <v>0</v>
      </c>
      <c r="P95" s="129">
        <f t="shared" si="54"/>
        <v>16</v>
      </c>
      <c r="Q95" s="126">
        <f>SUM(Q89:Q94)</f>
        <v>19</v>
      </c>
      <c r="R95" s="127">
        <f>SUM(R89:R94)</f>
        <v>0</v>
      </c>
      <c r="S95" s="127">
        <f>SUM(S89:S94)</f>
        <v>0</v>
      </c>
      <c r="T95" s="128">
        <f>SUM(T89:T94)</f>
        <v>0</v>
      </c>
      <c r="U95" s="129">
        <f t="shared" si="55"/>
        <v>19</v>
      </c>
      <c r="V95" s="126">
        <f>SUM(V89:V94)</f>
        <v>13</v>
      </c>
      <c r="W95" s="127">
        <f>SUM(W89:W94)</f>
        <v>0</v>
      </c>
      <c r="X95" s="127">
        <f>SUM(X89:X94)</f>
        <v>0</v>
      </c>
      <c r="Y95" s="128">
        <f>SUM(Y89:Y94)</f>
        <v>0</v>
      </c>
      <c r="Z95" s="129">
        <f t="shared" si="56"/>
        <v>13</v>
      </c>
      <c r="AA95" s="126">
        <f>SUM(AA89:AA94)</f>
        <v>11</v>
      </c>
      <c r="AB95" s="127">
        <f>SUM(AB89:AB94)</f>
        <v>0</v>
      </c>
      <c r="AC95" s="127">
        <f>SUM(AC89:AC94)</f>
        <v>0</v>
      </c>
      <c r="AD95" s="128">
        <f>SUM(AD89:AD94)</f>
        <v>0</v>
      </c>
      <c r="AE95" s="129">
        <f t="shared" si="57"/>
        <v>11</v>
      </c>
      <c r="AF95" s="126">
        <f>SUM(AF89:AF94)</f>
        <v>41</v>
      </c>
      <c r="AG95" s="127">
        <f>SUM(AG89:AG94)</f>
        <v>0</v>
      </c>
      <c r="AH95" s="127">
        <f>SUM(AH89:AH94)</f>
        <v>0</v>
      </c>
      <c r="AI95" s="128">
        <f>SUM(AI89:AI94)</f>
        <v>0</v>
      </c>
      <c r="AJ95" s="129">
        <f t="shared" si="58"/>
        <v>41</v>
      </c>
      <c r="AK95" s="126">
        <f>SUM(AK89:AK94)</f>
        <v>4</v>
      </c>
      <c r="AL95" s="127">
        <f>SUM(AL89:AL94)</f>
        <v>0</v>
      </c>
      <c r="AM95" s="127">
        <f>SUM(AM89:AM94)</f>
        <v>0</v>
      </c>
      <c r="AN95" s="128">
        <f>SUM(AN89:AN94)</f>
        <v>0</v>
      </c>
      <c r="AO95" s="129">
        <f t="shared" si="59"/>
        <v>4</v>
      </c>
      <c r="AP95" s="126">
        <f>SUM(AP89:AP94)</f>
        <v>22</v>
      </c>
      <c r="AQ95" s="127">
        <f>SUM(AQ89:AQ94)</f>
        <v>0</v>
      </c>
      <c r="AR95" s="127">
        <f>SUM(AR89:AR94)</f>
        <v>0</v>
      </c>
      <c r="AS95" s="128">
        <f>SUM(AS89:AS94)</f>
        <v>0</v>
      </c>
      <c r="AT95" s="129">
        <f t="shared" si="60"/>
        <v>22</v>
      </c>
      <c r="AU95" s="126">
        <f>SUM(AU89:AU94)</f>
        <v>24</v>
      </c>
      <c r="AV95" s="127">
        <f>SUM(AV89:AV94)</f>
        <v>0</v>
      </c>
      <c r="AW95" s="127">
        <f>SUM(AW89:AW94)</f>
        <v>0</v>
      </c>
      <c r="AX95" s="128">
        <f>SUM(AX89:AX94)</f>
        <v>0</v>
      </c>
      <c r="AY95" s="129">
        <f t="shared" si="61"/>
        <v>24</v>
      </c>
      <c r="AZ95" s="126">
        <f>SUM(AZ89:AZ94)</f>
        <v>42</v>
      </c>
      <c r="BA95" s="127">
        <f>SUM(BA89:BA94)</f>
        <v>0</v>
      </c>
      <c r="BB95" s="127">
        <f>SUM(BB89:BB94)</f>
        <v>0</v>
      </c>
      <c r="BC95" s="128">
        <f>SUM(BC89:BC94)</f>
        <v>0</v>
      </c>
      <c r="BD95" s="129">
        <f t="shared" si="62"/>
        <v>42</v>
      </c>
      <c r="BE95" s="126">
        <f>SUM(BE89:BE94)</f>
        <v>27</v>
      </c>
      <c r="BF95" s="127">
        <f>SUM(BF89:BF94)</f>
        <v>0</v>
      </c>
      <c r="BG95" s="127">
        <f>SUM(BG89:BG94)</f>
        <v>0</v>
      </c>
      <c r="BH95" s="128">
        <f>SUM(BH89:BH94)</f>
        <v>0</v>
      </c>
      <c r="BI95" s="129">
        <f t="shared" si="63"/>
        <v>27</v>
      </c>
      <c r="BJ95" s="126">
        <f>SUM(BJ89:BJ94)</f>
        <v>4</v>
      </c>
      <c r="BK95" s="127">
        <f>SUM(BK89:BK94)</f>
        <v>0</v>
      </c>
      <c r="BL95" s="127">
        <f>SUM(BL89:BL94)</f>
        <v>0</v>
      </c>
      <c r="BM95" s="128">
        <f>SUM(BM89:BM94)</f>
        <v>0</v>
      </c>
      <c r="BN95" s="129">
        <f t="shared" si="64"/>
        <v>4</v>
      </c>
      <c r="BO95" s="131">
        <f>SUM(BO89:BO94)</f>
        <v>250</v>
      </c>
      <c r="BP95" s="127">
        <f>SUM(BP89:BP94)</f>
        <v>0</v>
      </c>
      <c r="BQ95" s="127">
        <f>SUM(BQ89:BQ94)</f>
        <v>0</v>
      </c>
      <c r="BR95" s="128">
        <f>SUM(BR89:BR94)</f>
        <v>0</v>
      </c>
      <c r="BS95" s="130">
        <f t="shared" si="12"/>
        <v>250</v>
      </c>
    </row>
    <row r="96" spans="2:71" x14ac:dyDescent="0.3">
      <c r="B96" s="269"/>
      <c r="C96" s="230"/>
      <c r="D96" s="233"/>
      <c r="E96" s="241" t="s">
        <v>437</v>
      </c>
      <c r="F96" s="120" t="s">
        <v>49</v>
      </c>
      <c r="G96" s="30"/>
      <c r="H96" s="7"/>
      <c r="I96" s="7"/>
      <c r="J96" s="8"/>
      <c r="K96" s="9">
        <f t="shared" ref="K96:K100" si="80">SUM(G96:J96)</f>
        <v>0</v>
      </c>
      <c r="L96" s="30"/>
      <c r="M96" s="7"/>
      <c r="N96" s="7"/>
      <c r="O96" s="8"/>
      <c r="P96" s="9">
        <f t="shared" si="54"/>
        <v>0</v>
      </c>
      <c r="Q96" s="30"/>
      <c r="R96" s="7"/>
      <c r="S96" s="7"/>
      <c r="T96" s="8"/>
      <c r="U96" s="9">
        <f t="shared" si="55"/>
        <v>0</v>
      </c>
      <c r="V96" s="30"/>
      <c r="W96" s="7"/>
      <c r="X96" s="7"/>
      <c r="Y96" s="8"/>
      <c r="Z96" s="9">
        <f t="shared" si="56"/>
        <v>0</v>
      </c>
      <c r="AA96" s="30"/>
      <c r="AB96" s="7"/>
      <c r="AC96" s="7"/>
      <c r="AD96" s="8"/>
      <c r="AE96" s="9">
        <f t="shared" si="57"/>
        <v>0</v>
      </c>
      <c r="AF96" s="30"/>
      <c r="AG96" s="7"/>
      <c r="AH96" s="7"/>
      <c r="AI96" s="8"/>
      <c r="AJ96" s="9">
        <f t="shared" si="58"/>
        <v>0</v>
      </c>
      <c r="AK96" s="30"/>
      <c r="AL96" s="7"/>
      <c r="AM96" s="7"/>
      <c r="AN96" s="8"/>
      <c r="AO96" s="9">
        <f t="shared" si="59"/>
        <v>0</v>
      </c>
      <c r="AP96" s="30"/>
      <c r="AQ96" s="7"/>
      <c r="AR96" s="7"/>
      <c r="AS96" s="8"/>
      <c r="AT96" s="9">
        <f t="shared" si="60"/>
        <v>0</v>
      </c>
      <c r="AU96" s="30">
        <v>3</v>
      </c>
      <c r="AV96" s="7"/>
      <c r="AW96" s="7"/>
      <c r="AX96" s="8"/>
      <c r="AY96" s="9">
        <f t="shared" si="61"/>
        <v>3</v>
      </c>
      <c r="AZ96" s="30">
        <v>7</v>
      </c>
      <c r="BA96" s="7"/>
      <c r="BB96" s="7"/>
      <c r="BC96" s="8"/>
      <c r="BD96" s="9">
        <f t="shared" si="62"/>
        <v>7</v>
      </c>
      <c r="BE96" s="30">
        <v>12</v>
      </c>
      <c r="BF96" s="7"/>
      <c r="BG96" s="7"/>
      <c r="BH96" s="8"/>
      <c r="BI96" s="9">
        <f t="shared" si="63"/>
        <v>12</v>
      </c>
      <c r="BJ96" s="30">
        <v>3</v>
      </c>
      <c r="BK96" s="7"/>
      <c r="BL96" s="7"/>
      <c r="BM96" s="8"/>
      <c r="BN96" s="9">
        <f t="shared" si="64"/>
        <v>3</v>
      </c>
      <c r="BO96" s="65">
        <f>SUM(G96,L96,Q96,V96,AA96,AF96,AK96,AP96,AU96,AZ96,BE96,BJ96)</f>
        <v>25</v>
      </c>
      <c r="BP96" s="7">
        <f>SUM(H96,M96,R96,W96,AB96,AG96,AL96,AQ96,AV96,BA96,BF96,BK96)</f>
        <v>0</v>
      </c>
      <c r="BQ96" s="7">
        <f>SUM(I96,N96,S96,X96,AC96,AH96,AM96,AR96,AW96,BB96,BG96,BL96)</f>
        <v>0</v>
      </c>
      <c r="BR96" s="8">
        <f>SUM(J96,O96,T96,Y96,AD96,AI96,AN96,AS96,AX96,BC96,BH96,BM96)</f>
        <v>0</v>
      </c>
      <c r="BS96" s="31">
        <f t="shared" si="12"/>
        <v>25</v>
      </c>
    </row>
    <row r="97" spans="2:71" x14ac:dyDescent="0.3">
      <c r="B97" s="269"/>
      <c r="C97" s="230"/>
      <c r="D97" s="233"/>
      <c r="E97" s="239"/>
      <c r="F97" s="121" t="s">
        <v>50</v>
      </c>
      <c r="G97" s="32"/>
      <c r="H97" s="13"/>
      <c r="I97" s="13"/>
      <c r="J97" s="14"/>
      <c r="K97" s="15">
        <f t="shared" si="80"/>
        <v>0</v>
      </c>
      <c r="L97" s="32"/>
      <c r="M97" s="13"/>
      <c r="N97" s="13"/>
      <c r="O97" s="14"/>
      <c r="P97" s="15">
        <f t="shared" si="54"/>
        <v>0</v>
      </c>
      <c r="Q97" s="32"/>
      <c r="R97" s="13"/>
      <c r="S97" s="13"/>
      <c r="T97" s="14"/>
      <c r="U97" s="15">
        <f t="shared" si="55"/>
        <v>0</v>
      </c>
      <c r="V97" s="32"/>
      <c r="W97" s="13"/>
      <c r="X97" s="13"/>
      <c r="Y97" s="14"/>
      <c r="Z97" s="15">
        <f t="shared" si="56"/>
        <v>0</v>
      </c>
      <c r="AA97" s="32"/>
      <c r="AB97" s="13"/>
      <c r="AC97" s="13"/>
      <c r="AD97" s="14"/>
      <c r="AE97" s="15">
        <f t="shared" si="57"/>
        <v>0</v>
      </c>
      <c r="AF97" s="32"/>
      <c r="AG97" s="13"/>
      <c r="AH97" s="13"/>
      <c r="AI97" s="14"/>
      <c r="AJ97" s="15">
        <f t="shared" si="58"/>
        <v>0</v>
      </c>
      <c r="AK97" s="32"/>
      <c r="AL97" s="13"/>
      <c r="AM97" s="13"/>
      <c r="AN97" s="14"/>
      <c r="AO97" s="15">
        <f t="shared" si="59"/>
        <v>0</v>
      </c>
      <c r="AP97" s="32"/>
      <c r="AQ97" s="13"/>
      <c r="AR97" s="13"/>
      <c r="AS97" s="14"/>
      <c r="AT97" s="15">
        <f t="shared" si="60"/>
        <v>0</v>
      </c>
      <c r="AU97" s="32"/>
      <c r="AV97" s="13"/>
      <c r="AW97" s="13"/>
      <c r="AX97" s="14"/>
      <c r="AY97" s="15">
        <f t="shared" si="61"/>
        <v>0</v>
      </c>
      <c r="AZ97" s="32">
        <v>3</v>
      </c>
      <c r="BA97" s="13"/>
      <c r="BB97" s="13"/>
      <c r="BC97" s="14"/>
      <c r="BD97" s="15">
        <f t="shared" si="62"/>
        <v>3</v>
      </c>
      <c r="BE97" s="32">
        <v>1</v>
      </c>
      <c r="BF97" s="13"/>
      <c r="BG97" s="13"/>
      <c r="BH97" s="14"/>
      <c r="BI97" s="15">
        <f t="shared" si="63"/>
        <v>1</v>
      </c>
      <c r="BJ97" s="32">
        <v>1</v>
      </c>
      <c r="BK97" s="13"/>
      <c r="BL97" s="13"/>
      <c r="BM97" s="14"/>
      <c r="BN97" s="15">
        <f t="shared" si="64"/>
        <v>1</v>
      </c>
      <c r="BO97" s="66">
        <f>SUM(G97,L97,Q97,V97,AA97,AF97,AK97,AP97,AU97,AZ97,BE97,BJ97)</f>
        <v>5</v>
      </c>
      <c r="BP97" s="13">
        <f>SUM(H97,M97,R97,W97,AB97,AG97,AL97,AQ97,AV97,BA97,BF97,BK97)</f>
        <v>0</v>
      </c>
      <c r="BQ97" s="13">
        <f>SUM(I97,N97,S97,X97,AC97,AH97,AM97,AR97,AW97,BB97,BG97,BL97)</f>
        <v>0</v>
      </c>
      <c r="BR97" s="14">
        <f>SUM(J97,O97,T97,Y97,AD97,AI97,AN97,AS97,AX97,BC97,BH97,BM97)</f>
        <v>0</v>
      </c>
      <c r="BS97" s="33">
        <f t="shared" si="12"/>
        <v>5</v>
      </c>
    </row>
    <row r="98" spans="2:71" x14ac:dyDescent="0.3">
      <c r="B98" s="269"/>
      <c r="C98" s="230"/>
      <c r="D98" s="233"/>
      <c r="E98" s="239"/>
      <c r="F98" s="121" t="s">
        <v>51</v>
      </c>
      <c r="G98" s="32"/>
      <c r="H98" s="13"/>
      <c r="I98" s="13"/>
      <c r="J98" s="14"/>
      <c r="K98" s="15">
        <f t="shared" si="80"/>
        <v>0</v>
      </c>
      <c r="L98" s="32"/>
      <c r="M98" s="13"/>
      <c r="N98" s="13"/>
      <c r="O98" s="14"/>
      <c r="P98" s="15">
        <f t="shared" si="54"/>
        <v>0</v>
      </c>
      <c r="Q98" s="32"/>
      <c r="R98" s="13"/>
      <c r="S98" s="13"/>
      <c r="T98" s="14"/>
      <c r="U98" s="15">
        <f t="shared" si="55"/>
        <v>0</v>
      </c>
      <c r="V98" s="32"/>
      <c r="W98" s="13"/>
      <c r="X98" s="13"/>
      <c r="Y98" s="14"/>
      <c r="Z98" s="15">
        <f t="shared" si="56"/>
        <v>0</v>
      </c>
      <c r="AA98" s="32"/>
      <c r="AB98" s="13"/>
      <c r="AC98" s="13"/>
      <c r="AD98" s="14"/>
      <c r="AE98" s="15">
        <f t="shared" si="57"/>
        <v>0</v>
      </c>
      <c r="AF98" s="32"/>
      <c r="AG98" s="13"/>
      <c r="AH98" s="13"/>
      <c r="AI98" s="14"/>
      <c r="AJ98" s="15">
        <f t="shared" si="58"/>
        <v>0</v>
      </c>
      <c r="AK98" s="32"/>
      <c r="AL98" s="13"/>
      <c r="AM98" s="13"/>
      <c r="AN98" s="14"/>
      <c r="AO98" s="15">
        <f t="shared" si="59"/>
        <v>0</v>
      </c>
      <c r="AP98" s="32"/>
      <c r="AQ98" s="13"/>
      <c r="AR98" s="13"/>
      <c r="AS98" s="14"/>
      <c r="AT98" s="15">
        <f t="shared" si="60"/>
        <v>0</v>
      </c>
      <c r="AU98" s="32">
        <v>2</v>
      </c>
      <c r="AV98" s="13"/>
      <c r="AW98" s="13"/>
      <c r="AX98" s="14"/>
      <c r="AY98" s="15">
        <f t="shared" si="61"/>
        <v>2</v>
      </c>
      <c r="AZ98" s="32">
        <v>3</v>
      </c>
      <c r="BA98" s="13"/>
      <c r="BB98" s="13"/>
      <c r="BC98" s="14"/>
      <c r="BD98" s="15">
        <f t="shared" si="62"/>
        <v>3</v>
      </c>
      <c r="BE98" s="32">
        <v>8</v>
      </c>
      <c r="BF98" s="13"/>
      <c r="BG98" s="13"/>
      <c r="BH98" s="14"/>
      <c r="BI98" s="15">
        <f t="shared" si="63"/>
        <v>8</v>
      </c>
      <c r="BJ98" s="32">
        <v>3</v>
      </c>
      <c r="BK98" s="13"/>
      <c r="BL98" s="13"/>
      <c r="BM98" s="14"/>
      <c r="BN98" s="15">
        <f t="shared" si="64"/>
        <v>3</v>
      </c>
      <c r="BO98" s="66">
        <f>SUM(G98,L98,Q98,V98,AA98,AF98,AK98,AP98,AU98,AZ98,BE98,BJ98)</f>
        <v>16</v>
      </c>
      <c r="BP98" s="13">
        <f>SUM(H98,M98,R98,W98,AB98,AG98,AL98,AQ98,AV98,BA98,BF98,BK98)</f>
        <v>0</v>
      </c>
      <c r="BQ98" s="13">
        <f>SUM(I98,N98,S98,X98,AC98,AH98,AM98,AR98,AW98,BB98,BG98,BL98)</f>
        <v>0</v>
      </c>
      <c r="BR98" s="14">
        <f>SUM(J98,O98,T98,Y98,AD98,AI98,AN98,AS98,AX98,BC98,BH98,BM98)</f>
        <v>0</v>
      </c>
      <c r="BS98" s="33">
        <f t="shared" si="12"/>
        <v>16</v>
      </c>
    </row>
    <row r="99" spans="2:71" x14ac:dyDescent="0.3">
      <c r="B99" s="269"/>
      <c r="C99" s="230"/>
      <c r="D99" s="233"/>
      <c r="E99" s="239"/>
      <c r="F99" s="124" t="s">
        <v>52</v>
      </c>
      <c r="G99" s="36"/>
      <c r="H99" s="10"/>
      <c r="I99" s="10"/>
      <c r="J99" s="11"/>
      <c r="K99" s="12">
        <f t="shared" si="80"/>
        <v>0</v>
      </c>
      <c r="L99" s="36"/>
      <c r="M99" s="10"/>
      <c r="N99" s="10"/>
      <c r="O99" s="11"/>
      <c r="P99" s="12">
        <f t="shared" si="54"/>
        <v>0</v>
      </c>
      <c r="Q99" s="36"/>
      <c r="R99" s="10"/>
      <c r="S99" s="10"/>
      <c r="T99" s="11"/>
      <c r="U99" s="12">
        <f t="shared" si="55"/>
        <v>0</v>
      </c>
      <c r="V99" s="36"/>
      <c r="W99" s="10"/>
      <c r="X99" s="10"/>
      <c r="Y99" s="11"/>
      <c r="Z99" s="12">
        <f t="shared" si="56"/>
        <v>0</v>
      </c>
      <c r="AA99" s="36"/>
      <c r="AB99" s="10"/>
      <c r="AC99" s="10"/>
      <c r="AD99" s="11"/>
      <c r="AE99" s="12">
        <f t="shared" si="57"/>
        <v>0</v>
      </c>
      <c r="AF99" s="36"/>
      <c r="AG99" s="10"/>
      <c r="AH99" s="10"/>
      <c r="AI99" s="11"/>
      <c r="AJ99" s="12">
        <f t="shared" si="58"/>
        <v>0</v>
      </c>
      <c r="AK99" s="36"/>
      <c r="AL99" s="10"/>
      <c r="AM99" s="10"/>
      <c r="AN99" s="11"/>
      <c r="AO99" s="12">
        <f t="shared" si="59"/>
        <v>0</v>
      </c>
      <c r="AP99" s="36"/>
      <c r="AQ99" s="10"/>
      <c r="AR99" s="10"/>
      <c r="AS99" s="11"/>
      <c r="AT99" s="12">
        <f t="shared" si="60"/>
        <v>0</v>
      </c>
      <c r="AU99" s="36"/>
      <c r="AV99" s="10"/>
      <c r="AW99" s="10"/>
      <c r="AX99" s="11"/>
      <c r="AY99" s="12">
        <f t="shared" si="61"/>
        <v>0</v>
      </c>
      <c r="AZ99" s="36">
        <v>2</v>
      </c>
      <c r="BA99" s="10"/>
      <c r="BB99" s="10"/>
      <c r="BC99" s="11"/>
      <c r="BD99" s="12">
        <f t="shared" si="62"/>
        <v>2</v>
      </c>
      <c r="BE99" s="36">
        <v>1</v>
      </c>
      <c r="BF99" s="10"/>
      <c r="BG99" s="10"/>
      <c r="BH99" s="11"/>
      <c r="BI99" s="12">
        <f t="shared" si="63"/>
        <v>1</v>
      </c>
      <c r="BJ99" s="36">
        <v>1</v>
      </c>
      <c r="BK99" s="10"/>
      <c r="BL99" s="10"/>
      <c r="BM99" s="11"/>
      <c r="BN99" s="12">
        <f t="shared" si="64"/>
        <v>1</v>
      </c>
      <c r="BO99" s="71">
        <f>SUM(G99,L99,Q99,V99,AA99,AF99,AK99,AP99,AU99,AZ99,BE99,BJ99)</f>
        <v>4</v>
      </c>
      <c r="BP99" s="10">
        <f>SUM(H99,M99,R99,W99,AB99,AG99,AL99,AQ99,AV99,BA99,BF99,BK99)</f>
        <v>0</v>
      </c>
      <c r="BQ99" s="10">
        <f>SUM(I99,N99,S99,X99,AC99,AH99,AM99,AR99,AW99,BB99,BG99,BL99)</f>
        <v>0</v>
      </c>
      <c r="BR99" s="11">
        <f>SUM(J99,O99,T99,Y99,AD99,AI99,AN99,AS99,AX99,BC99,BH99,BM99)</f>
        <v>0</v>
      </c>
      <c r="BS99" s="37">
        <f t="shared" si="12"/>
        <v>4</v>
      </c>
    </row>
    <row r="100" spans="2:71" x14ac:dyDescent="0.3">
      <c r="B100" s="269"/>
      <c r="C100" s="230"/>
      <c r="D100" s="233"/>
      <c r="E100" s="240"/>
      <c r="F100" s="125" t="s">
        <v>54</v>
      </c>
      <c r="G100" s="126">
        <f>SUM(G96:G99)</f>
        <v>0</v>
      </c>
      <c r="H100" s="127">
        <f>SUM(H96:H99)</f>
        <v>0</v>
      </c>
      <c r="I100" s="127">
        <f>SUM(I96:I99)</f>
        <v>0</v>
      </c>
      <c r="J100" s="128">
        <f>SUM(J96:J99)</f>
        <v>0</v>
      </c>
      <c r="K100" s="129">
        <f t="shared" si="80"/>
        <v>0</v>
      </c>
      <c r="L100" s="126">
        <f>SUM(L96:L99)</f>
        <v>0</v>
      </c>
      <c r="M100" s="127">
        <f>SUM(M96:M99)</f>
        <v>0</v>
      </c>
      <c r="N100" s="127">
        <f>SUM(N96:N99)</f>
        <v>0</v>
      </c>
      <c r="O100" s="128">
        <f>SUM(O96:O99)</f>
        <v>0</v>
      </c>
      <c r="P100" s="129">
        <f t="shared" si="54"/>
        <v>0</v>
      </c>
      <c r="Q100" s="126">
        <f>SUM(Q96:Q99)</f>
        <v>0</v>
      </c>
      <c r="R100" s="127">
        <f>SUM(R96:R99)</f>
        <v>0</v>
      </c>
      <c r="S100" s="127">
        <f>SUM(S96:S99)</f>
        <v>0</v>
      </c>
      <c r="T100" s="128">
        <f>SUM(T96:T99)</f>
        <v>0</v>
      </c>
      <c r="U100" s="129">
        <f t="shared" si="55"/>
        <v>0</v>
      </c>
      <c r="V100" s="126">
        <f>SUM(V96:V99)</f>
        <v>0</v>
      </c>
      <c r="W100" s="127">
        <f>SUM(W96:W99)</f>
        <v>0</v>
      </c>
      <c r="X100" s="127">
        <f>SUM(X96:X99)</f>
        <v>0</v>
      </c>
      <c r="Y100" s="128">
        <f>SUM(Y96:Y99)</f>
        <v>0</v>
      </c>
      <c r="Z100" s="129">
        <f t="shared" si="56"/>
        <v>0</v>
      </c>
      <c r="AA100" s="126">
        <f>SUM(AA96:AA99)</f>
        <v>0</v>
      </c>
      <c r="AB100" s="127">
        <f>SUM(AB96:AB99)</f>
        <v>0</v>
      </c>
      <c r="AC100" s="127">
        <f>SUM(AC96:AC99)</f>
        <v>0</v>
      </c>
      <c r="AD100" s="128">
        <f>SUM(AD96:AD99)</f>
        <v>0</v>
      </c>
      <c r="AE100" s="129">
        <f t="shared" si="57"/>
        <v>0</v>
      </c>
      <c r="AF100" s="126">
        <f>SUM(AF96:AF99)</f>
        <v>0</v>
      </c>
      <c r="AG100" s="127">
        <f>SUM(AG96:AG99)</f>
        <v>0</v>
      </c>
      <c r="AH100" s="127">
        <f>SUM(AH96:AH99)</f>
        <v>0</v>
      </c>
      <c r="AI100" s="128">
        <f>SUM(AI96:AI99)</f>
        <v>0</v>
      </c>
      <c r="AJ100" s="129">
        <f t="shared" si="58"/>
        <v>0</v>
      </c>
      <c r="AK100" s="126">
        <f>SUM(AK96:AK99)</f>
        <v>0</v>
      </c>
      <c r="AL100" s="127">
        <f>SUM(AL96:AL99)</f>
        <v>0</v>
      </c>
      <c r="AM100" s="127">
        <f>SUM(AM96:AM99)</f>
        <v>0</v>
      </c>
      <c r="AN100" s="128">
        <f>SUM(AN96:AN99)</f>
        <v>0</v>
      </c>
      <c r="AO100" s="129">
        <f t="shared" si="59"/>
        <v>0</v>
      </c>
      <c r="AP100" s="126">
        <f>SUM(AP96:AP99)</f>
        <v>0</v>
      </c>
      <c r="AQ100" s="127">
        <f>SUM(AQ96:AQ99)</f>
        <v>0</v>
      </c>
      <c r="AR100" s="127">
        <f>SUM(AR96:AR99)</f>
        <v>0</v>
      </c>
      <c r="AS100" s="128">
        <f>SUM(AS96:AS99)</f>
        <v>0</v>
      </c>
      <c r="AT100" s="129">
        <f t="shared" si="60"/>
        <v>0</v>
      </c>
      <c r="AU100" s="126">
        <f>SUM(AU96:AU99)</f>
        <v>5</v>
      </c>
      <c r="AV100" s="127">
        <f>SUM(AV96:AV99)</f>
        <v>0</v>
      </c>
      <c r="AW100" s="127">
        <f>SUM(AW96:AW99)</f>
        <v>0</v>
      </c>
      <c r="AX100" s="128">
        <f>SUM(AX96:AX99)</f>
        <v>0</v>
      </c>
      <c r="AY100" s="129">
        <f t="shared" si="61"/>
        <v>5</v>
      </c>
      <c r="AZ100" s="126">
        <f>SUM(AZ96:AZ99)</f>
        <v>15</v>
      </c>
      <c r="BA100" s="127">
        <f>SUM(BA96:BA99)</f>
        <v>0</v>
      </c>
      <c r="BB100" s="127">
        <f>SUM(BB96:BB99)</f>
        <v>0</v>
      </c>
      <c r="BC100" s="128">
        <f>SUM(BC96:BC99)</f>
        <v>0</v>
      </c>
      <c r="BD100" s="129">
        <f t="shared" si="62"/>
        <v>15</v>
      </c>
      <c r="BE100" s="126">
        <f>SUM(BE96:BE99)</f>
        <v>22</v>
      </c>
      <c r="BF100" s="127">
        <f>SUM(BF96:BF99)</f>
        <v>0</v>
      </c>
      <c r="BG100" s="127">
        <f>SUM(BG96:BG99)</f>
        <v>0</v>
      </c>
      <c r="BH100" s="128">
        <f>SUM(BH96:BH99)</f>
        <v>0</v>
      </c>
      <c r="BI100" s="129">
        <f t="shared" si="63"/>
        <v>22</v>
      </c>
      <c r="BJ100" s="126">
        <f>SUM(BJ96:BJ99)</f>
        <v>8</v>
      </c>
      <c r="BK100" s="127">
        <f>SUM(BK96:BK99)</f>
        <v>0</v>
      </c>
      <c r="BL100" s="127">
        <f>SUM(BL96:BL99)</f>
        <v>0</v>
      </c>
      <c r="BM100" s="128">
        <f>SUM(BM96:BM99)</f>
        <v>0</v>
      </c>
      <c r="BN100" s="129">
        <f t="shared" si="64"/>
        <v>8</v>
      </c>
      <c r="BO100" s="131">
        <f>SUM(BO96:BO99)</f>
        <v>50</v>
      </c>
      <c r="BP100" s="127">
        <f>SUM(BP96:BP99)</f>
        <v>0</v>
      </c>
      <c r="BQ100" s="127">
        <f>SUM(BQ96:BQ99)</f>
        <v>0</v>
      </c>
      <c r="BR100" s="128">
        <f>SUM(BR96:BR99)</f>
        <v>0</v>
      </c>
      <c r="BS100" s="130">
        <f t="shared" si="12"/>
        <v>50</v>
      </c>
    </row>
    <row r="101" spans="2:71" x14ac:dyDescent="0.3">
      <c r="B101" s="269"/>
      <c r="C101" s="230"/>
      <c r="D101" s="233"/>
      <c r="E101" s="241" t="s">
        <v>48</v>
      </c>
      <c r="F101" s="120" t="s">
        <v>150</v>
      </c>
      <c r="G101" s="30">
        <v>261</v>
      </c>
      <c r="H101" s="7">
        <v>13</v>
      </c>
      <c r="I101" s="7">
        <v>141</v>
      </c>
      <c r="J101" s="8"/>
      <c r="K101" s="9">
        <f t="shared" si="0"/>
        <v>415</v>
      </c>
      <c r="L101" s="30">
        <v>261</v>
      </c>
      <c r="M101" s="7">
        <v>35</v>
      </c>
      <c r="N101" s="7">
        <v>210</v>
      </c>
      <c r="O101" s="8"/>
      <c r="P101" s="9">
        <f t="shared" si="54"/>
        <v>506</v>
      </c>
      <c r="Q101" s="30">
        <v>25</v>
      </c>
      <c r="R101" s="7">
        <v>6</v>
      </c>
      <c r="S101" s="7">
        <v>28</v>
      </c>
      <c r="T101" s="8"/>
      <c r="U101" s="9">
        <f t="shared" si="55"/>
        <v>59</v>
      </c>
      <c r="V101" s="30"/>
      <c r="W101" s="7"/>
      <c r="X101" s="7"/>
      <c r="Y101" s="8"/>
      <c r="Z101" s="9">
        <f t="shared" si="56"/>
        <v>0</v>
      </c>
      <c r="AA101" s="30"/>
      <c r="AB101" s="7"/>
      <c r="AC101" s="7"/>
      <c r="AD101" s="8"/>
      <c r="AE101" s="9">
        <f t="shared" si="57"/>
        <v>0</v>
      </c>
      <c r="AF101" s="30"/>
      <c r="AG101" s="7"/>
      <c r="AH101" s="7"/>
      <c r="AI101" s="8"/>
      <c r="AJ101" s="9">
        <f t="shared" si="58"/>
        <v>0</v>
      </c>
      <c r="AK101" s="30">
        <v>160</v>
      </c>
      <c r="AL101" s="7">
        <v>14</v>
      </c>
      <c r="AM101" s="7">
        <v>138</v>
      </c>
      <c r="AN101" s="8"/>
      <c r="AO101" s="9">
        <f t="shared" si="59"/>
        <v>312</v>
      </c>
      <c r="AP101" s="30">
        <v>182</v>
      </c>
      <c r="AQ101" s="7">
        <v>17</v>
      </c>
      <c r="AR101" s="7">
        <v>191</v>
      </c>
      <c r="AS101" s="8"/>
      <c r="AT101" s="9">
        <f t="shared" si="60"/>
        <v>390</v>
      </c>
      <c r="AU101" s="30"/>
      <c r="AV101" s="7"/>
      <c r="AW101" s="7"/>
      <c r="AX101" s="8"/>
      <c r="AY101" s="9">
        <f t="shared" si="61"/>
        <v>0</v>
      </c>
      <c r="AZ101" s="30">
        <v>953</v>
      </c>
      <c r="BA101" s="7">
        <v>41</v>
      </c>
      <c r="BB101" s="7">
        <v>826</v>
      </c>
      <c r="BC101" s="8"/>
      <c r="BD101" s="9">
        <f t="shared" si="62"/>
        <v>1820</v>
      </c>
      <c r="BE101" s="30">
        <v>636</v>
      </c>
      <c r="BF101" s="7">
        <v>23</v>
      </c>
      <c r="BG101" s="7">
        <v>513</v>
      </c>
      <c r="BH101" s="8"/>
      <c r="BI101" s="9">
        <f t="shared" si="63"/>
        <v>1172</v>
      </c>
      <c r="BJ101" s="30">
        <v>10</v>
      </c>
      <c r="BK101" s="7">
        <v>1</v>
      </c>
      <c r="BL101" s="7">
        <v>6</v>
      </c>
      <c r="BM101" s="8"/>
      <c r="BN101" s="9">
        <f t="shared" si="64"/>
        <v>17</v>
      </c>
      <c r="BO101" s="65">
        <f>SUM(G101,L101,Q101,V101,AA101,AF101,AK101,AP101,AU101,AZ101,BE101,BJ101)</f>
        <v>2488</v>
      </c>
      <c r="BP101" s="7">
        <f>SUM(H101,M101,R101,W101,AB101,AG101,AL101,AQ101,AV101,BA101,BF101,BK101)</f>
        <v>150</v>
      </c>
      <c r="BQ101" s="7">
        <f>SUM(I101,N101,S101,X101,AC101,AH101,AM101,AR101,AW101,BB101,BG101,BL101)</f>
        <v>2053</v>
      </c>
      <c r="BR101" s="8">
        <f>SUM(J101,O101,T101,Y101,AD101,AI101,AN101,AS101,AX101,BC101,BH101,BM101)</f>
        <v>0</v>
      </c>
      <c r="BS101" s="31">
        <f t="shared" si="12"/>
        <v>4691</v>
      </c>
    </row>
    <row r="102" spans="2:71" x14ac:dyDescent="0.3">
      <c r="B102" s="269"/>
      <c r="C102" s="230"/>
      <c r="D102" s="233"/>
      <c r="E102" s="239"/>
      <c r="F102" s="121" t="s">
        <v>151</v>
      </c>
      <c r="G102" s="32">
        <v>10</v>
      </c>
      <c r="H102" s="13">
        <v>2</v>
      </c>
      <c r="I102" s="13">
        <v>8</v>
      </c>
      <c r="J102" s="14"/>
      <c r="K102" s="15">
        <f t="shared" si="0"/>
        <v>20</v>
      </c>
      <c r="L102" s="32">
        <v>43</v>
      </c>
      <c r="M102" s="13">
        <v>7</v>
      </c>
      <c r="N102" s="13">
        <v>27</v>
      </c>
      <c r="O102" s="14"/>
      <c r="P102" s="15">
        <f t="shared" si="54"/>
        <v>77</v>
      </c>
      <c r="Q102" s="32">
        <v>2</v>
      </c>
      <c r="R102" s="13"/>
      <c r="S102" s="13">
        <v>5</v>
      </c>
      <c r="T102" s="14"/>
      <c r="U102" s="15">
        <f t="shared" si="55"/>
        <v>7</v>
      </c>
      <c r="V102" s="32"/>
      <c r="W102" s="13"/>
      <c r="X102" s="13"/>
      <c r="Y102" s="14"/>
      <c r="Z102" s="15">
        <f t="shared" si="56"/>
        <v>0</v>
      </c>
      <c r="AA102" s="32"/>
      <c r="AB102" s="13"/>
      <c r="AC102" s="13"/>
      <c r="AD102" s="14"/>
      <c r="AE102" s="15">
        <f t="shared" si="57"/>
        <v>0</v>
      </c>
      <c r="AF102" s="32"/>
      <c r="AG102" s="13"/>
      <c r="AH102" s="13"/>
      <c r="AI102" s="14"/>
      <c r="AJ102" s="15">
        <f t="shared" si="58"/>
        <v>0</v>
      </c>
      <c r="AK102" s="32">
        <v>40</v>
      </c>
      <c r="AL102" s="13">
        <v>4</v>
      </c>
      <c r="AM102" s="13">
        <v>27</v>
      </c>
      <c r="AN102" s="14"/>
      <c r="AO102" s="15">
        <f t="shared" si="59"/>
        <v>71</v>
      </c>
      <c r="AP102" s="32">
        <v>73</v>
      </c>
      <c r="AQ102" s="13">
        <v>4</v>
      </c>
      <c r="AR102" s="13">
        <v>60</v>
      </c>
      <c r="AS102" s="14"/>
      <c r="AT102" s="15">
        <f t="shared" si="60"/>
        <v>137</v>
      </c>
      <c r="AU102" s="32"/>
      <c r="AV102" s="13"/>
      <c r="AW102" s="13"/>
      <c r="AX102" s="14"/>
      <c r="AY102" s="15">
        <f t="shared" si="61"/>
        <v>0</v>
      </c>
      <c r="AZ102" s="32">
        <v>213</v>
      </c>
      <c r="BA102" s="13">
        <v>8</v>
      </c>
      <c r="BB102" s="13">
        <v>126</v>
      </c>
      <c r="BC102" s="14"/>
      <c r="BD102" s="15">
        <f t="shared" si="62"/>
        <v>347</v>
      </c>
      <c r="BE102" s="32">
        <v>172</v>
      </c>
      <c r="BF102" s="13">
        <v>3</v>
      </c>
      <c r="BG102" s="13">
        <v>122</v>
      </c>
      <c r="BH102" s="14"/>
      <c r="BI102" s="15">
        <f t="shared" si="63"/>
        <v>297</v>
      </c>
      <c r="BJ102" s="32">
        <v>2</v>
      </c>
      <c r="BK102" s="13"/>
      <c r="BL102" s="13">
        <v>2</v>
      </c>
      <c r="BM102" s="14"/>
      <c r="BN102" s="15">
        <f t="shared" si="64"/>
        <v>4</v>
      </c>
      <c r="BO102" s="66">
        <f>SUM(G102,L102,Q102,V102,AA102,AF102,AK102,AP102,AU102,AZ102,BE102,BJ102)</f>
        <v>555</v>
      </c>
      <c r="BP102" s="13">
        <f>SUM(H102,M102,R102,W102,AB102,AG102,AL102,AQ102,AV102,BA102,BF102,BK102)</f>
        <v>28</v>
      </c>
      <c r="BQ102" s="13">
        <f>SUM(I102,N102,S102,X102,AC102,AH102,AM102,AR102,AW102,BB102,BG102,BL102)</f>
        <v>377</v>
      </c>
      <c r="BR102" s="14">
        <f>SUM(J102,O102,T102,Y102,AD102,AI102,AN102,AS102,AX102,BC102,BH102,BM102)</f>
        <v>0</v>
      </c>
      <c r="BS102" s="33">
        <f t="shared" si="12"/>
        <v>960</v>
      </c>
    </row>
    <row r="103" spans="2:71" x14ac:dyDescent="0.3">
      <c r="B103" s="269"/>
      <c r="C103" s="230"/>
      <c r="D103" s="233"/>
      <c r="E103" s="239"/>
      <c r="F103" s="121" t="s">
        <v>56</v>
      </c>
      <c r="G103" s="32"/>
      <c r="H103" s="13"/>
      <c r="I103" s="13"/>
      <c r="J103" s="14"/>
      <c r="K103" s="15">
        <f t="shared" ref="K103:K104" si="81">SUM(G103:J103)</f>
        <v>0</v>
      </c>
      <c r="L103" s="32"/>
      <c r="M103" s="13"/>
      <c r="N103" s="13"/>
      <c r="O103" s="14"/>
      <c r="P103" s="15">
        <f t="shared" si="54"/>
        <v>0</v>
      </c>
      <c r="Q103" s="32">
        <v>190</v>
      </c>
      <c r="R103" s="13">
        <v>3</v>
      </c>
      <c r="S103" s="13">
        <v>89</v>
      </c>
      <c r="T103" s="14"/>
      <c r="U103" s="15">
        <f t="shared" si="55"/>
        <v>282</v>
      </c>
      <c r="V103" s="32">
        <v>172</v>
      </c>
      <c r="W103" s="13">
        <v>6</v>
      </c>
      <c r="X103" s="13">
        <v>129</v>
      </c>
      <c r="Y103" s="14"/>
      <c r="Z103" s="15">
        <f t="shared" si="56"/>
        <v>307</v>
      </c>
      <c r="AA103" s="32">
        <v>158</v>
      </c>
      <c r="AB103" s="13">
        <v>1</v>
      </c>
      <c r="AC103" s="13">
        <v>115</v>
      </c>
      <c r="AD103" s="14"/>
      <c r="AE103" s="15">
        <f t="shared" si="57"/>
        <v>274</v>
      </c>
      <c r="AF103" s="32">
        <v>195</v>
      </c>
      <c r="AG103" s="13">
        <v>8</v>
      </c>
      <c r="AH103" s="13">
        <v>133</v>
      </c>
      <c r="AI103" s="14"/>
      <c r="AJ103" s="15">
        <f t="shared" si="58"/>
        <v>336</v>
      </c>
      <c r="AK103" s="32"/>
      <c r="AL103" s="13"/>
      <c r="AM103" s="13"/>
      <c r="AN103" s="14"/>
      <c r="AO103" s="15">
        <f t="shared" si="59"/>
        <v>0</v>
      </c>
      <c r="AP103" s="32"/>
      <c r="AQ103" s="13"/>
      <c r="AR103" s="13"/>
      <c r="AS103" s="14"/>
      <c r="AT103" s="15">
        <f t="shared" si="60"/>
        <v>0</v>
      </c>
      <c r="AU103" s="32">
        <v>150</v>
      </c>
      <c r="AV103" s="13">
        <v>8</v>
      </c>
      <c r="AW103" s="13">
        <v>121</v>
      </c>
      <c r="AX103" s="14"/>
      <c r="AY103" s="15">
        <f t="shared" si="61"/>
        <v>279</v>
      </c>
      <c r="AZ103" s="32"/>
      <c r="BA103" s="13"/>
      <c r="BB103" s="13"/>
      <c r="BC103" s="14"/>
      <c r="BD103" s="15">
        <f t="shared" si="62"/>
        <v>0</v>
      </c>
      <c r="BE103" s="32"/>
      <c r="BF103" s="13"/>
      <c r="BG103" s="13"/>
      <c r="BH103" s="14"/>
      <c r="BI103" s="15">
        <f t="shared" si="63"/>
        <v>0</v>
      </c>
      <c r="BJ103" s="32">
        <v>59</v>
      </c>
      <c r="BK103" s="13">
        <v>4</v>
      </c>
      <c r="BL103" s="13">
        <v>40</v>
      </c>
      <c r="BM103" s="14"/>
      <c r="BN103" s="15">
        <f t="shared" si="64"/>
        <v>103</v>
      </c>
      <c r="BO103" s="66">
        <f>SUM(G103,L103,Q103,V103,AA103,AF103,AK103,AP103,AU103,AZ103,BE103,BJ103)</f>
        <v>924</v>
      </c>
      <c r="BP103" s="13">
        <f>SUM(H103,M103,R103,W103,AB103,AG103,AL103,AQ103,AV103,BA103,BF103,BK103)</f>
        <v>30</v>
      </c>
      <c r="BQ103" s="13">
        <f>SUM(I103,N103,S103,X103,AC103,AH103,AM103,AR103,AW103,BB103,BG103,BL103)</f>
        <v>627</v>
      </c>
      <c r="BR103" s="14">
        <f>SUM(J103,O103,T103,Y103,AD103,AI103,AN103,AS103,AX103,BC103,BH103,BM103)</f>
        <v>0</v>
      </c>
      <c r="BS103" s="33">
        <f t="shared" si="12"/>
        <v>1581</v>
      </c>
    </row>
    <row r="104" spans="2:71" x14ac:dyDescent="0.3">
      <c r="B104" s="269"/>
      <c r="C104" s="230"/>
      <c r="D104" s="233"/>
      <c r="E104" s="239"/>
      <c r="F104" s="124" t="s">
        <v>123</v>
      </c>
      <c r="G104" s="36"/>
      <c r="H104" s="10"/>
      <c r="I104" s="10"/>
      <c r="J104" s="11"/>
      <c r="K104" s="12">
        <f t="shared" si="81"/>
        <v>0</v>
      </c>
      <c r="L104" s="36"/>
      <c r="M104" s="10"/>
      <c r="N104" s="10"/>
      <c r="O104" s="11"/>
      <c r="P104" s="12">
        <f t="shared" si="54"/>
        <v>0</v>
      </c>
      <c r="Q104" s="36">
        <v>29</v>
      </c>
      <c r="R104" s="10"/>
      <c r="S104" s="10">
        <v>19</v>
      </c>
      <c r="T104" s="11"/>
      <c r="U104" s="12">
        <f t="shared" si="55"/>
        <v>48</v>
      </c>
      <c r="V104" s="36">
        <v>50</v>
      </c>
      <c r="W104" s="10"/>
      <c r="X104" s="10">
        <v>32</v>
      </c>
      <c r="Y104" s="11"/>
      <c r="Z104" s="12">
        <f t="shared" si="56"/>
        <v>82</v>
      </c>
      <c r="AA104" s="36">
        <v>28</v>
      </c>
      <c r="AB104" s="10"/>
      <c r="AC104" s="10">
        <v>28</v>
      </c>
      <c r="AD104" s="11"/>
      <c r="AE104" s="12">
        <f t="shared" si="57"/>
        <v>56</v>
      </c>
      <c r="AF104" s="36">
        <v>54</v>
      </c>
      <c r="AG104" s="10"/>
      <c r="AH104" s="10">
        <v>28</v>
      </c>
      <c r="AI104" s="11"/>
      <c r="AJ104" s="12">
        <f t="shared" si="58"/>
        <v>82</v>
      </c>
      <c r="AK104" s="36"/>
      <c r="AL104" s="10"/>
      <c r="AM104" s="10"/>
      <c r="AN104" s="11"/>
      <c r="AO104" s="12">
        <f t="shared" si="59"/>
        <v>0</v>
      </c>
      <c r="AP104" s="36"/>
      <c r="AQ104" s="10"/>
      <c r="AR104" s="10"/>
      <c r="AS104" s="11"/>
      <c r="AT104" s="12">
        <f t="shared" si="60"/>
        <v>0</v>
      </c>
      <c r="AU104" s="36">
        <v>43</v>
      </c>
      <c r="AV104" s="10">
        <v>3</v>
      </c>
      <c r="AW104" s="10">
        <v>53</v>
      </c>
      <c r="AX104" s="11"/>
      <c r="AY104" s="12">
        <f t="shared" si="61"/>
        <v>99</v>
      </c>
      <c r="AZ104" s="36"/>
      <c r="BA104" s="10"/>
      <c r="BB104" s="10"/>
      <c r="BC104" s="11"/>
      <c r="BD104" s="12">
        <f t="shared" si="62"/>
        <v>0</v>
      </c>
      <c r="BE104" s="36"/>
      <c r="BF104" s="10"/>
      <c r="BG104" s="10"/>
      <c r="BH104" s="11"/>
      <c r="BI104" s="12">
        <f t="shared" si="63"/>
        <v>0</v>
      </c>
      <c r="BJ104" s="36">
        <v>23</v>
      </c>
      <c r="BK104" s="10"/>
      <c r="BL104" s="10">
        <v>13</v>
      </c>
      <c r="BM104" s="11"/>
      <c r="BN104" s="12">
        <f t="shared" si="64"/>
        <v>36</v>
      </c>
      <c r="BO104" s="71">
        <f>SUM(G104,L104,Q104,V104,AA104,AF104,AK104,AP104,AU104,AZ104,BE104,BJ104)</f>
        <v>227</v>
      </c>
      <c r="BP104" s="10">
        <f>SUM(H104,M104,R104,W104,AB104,AG104,AL104,AQ104,AV104,BA104,BF104,BK104)</f>
        <v>3</v>
      </c>
      <c r="BQ104" s="10">
        <f>SUM(I104,N104,S104,X104,AC104,AH104,AM104,AR104,AW104,BB104,BG104,BL104)</f>
        <v>173</v>
      </c>
      <c r="BR104" s="11">
        <f>SUM(J104,O104,T104,Y104,AD104,AI104,AN104,AS104,AX104,BC104,BH104,BM104)</f>
        <v>0</v>
      </c>
      <c r="BS104" s="37">
        <f t="shared" si="12"/>
        <v>403</v>
      </c>
    </row>
    <row r="105" spans="2:71" x14ac:dyDescent="0.3">
      <c r="B105" s="269"/>
      <c r="C105" s="230"/>
      <c r="D105" s="233"/>
      <c r="E105" s="240"/>
      <c r="F105" s="125" t="s">
        <v>54</v>
      </c>
      <c r="G105" s="126">
        <f>SUM(G101:G104)</f>
        <v>271</v>
      </c>
      <c r="H105" s="127">
        <f>SUM(H101:H104)</f>
        <v>15</v>
      </c>
      <c r="I105" s="127">
        <f>SUM(I101:I104)</f>
        <v>149</v>
      </c>
      <c r="J105" s="128">
        <f>SUM(J101:J104)</f>
        <v>0</v>
      </c>
      <c r="K105" s="129">
        <f t="shared" si="0"/>
        <v>435</v>
      </c>
      <c r="L105" s="126">
        <f>SUM(L101:L104)</f>
        <v>304</v>
      </c>
      <c r="M105" s="127">
        <f>SUM(M101:M104)</f>
        <v>42</v>
      </c>
      <c r="N105" s="127">
        <f>SUM(N101:N104)</f>
        <v>237</v>
      </c>
      <c r="O105" s="128">
        <f>SUM(O101:O104)</f>
        <v>0</v>
      </c>
      <c r="P105" s="129">
        <f t="shared" si="54"/>
        <v>583</v>
      </c>
      <c r="Q105" s="126">
        <f>SUM(Q101:Q104)</f>
        <v>246</v>
      </c>
      <c r="R105" s="127">
        <f>SUM(R101:R104)</f>
        <v>9</v>
      </c>
      <c r="S105" s="127">
        <f>SUM(S101:S104)</f>
        <v>141</v>
      </c>
      <c r="T105" s="128">
        <f>SUM(T101:T104)</f>
        <v>0</v>
      </c>
      <c r="U105" s="129">
        <f t="shared" si="55"/>
        <v>396</v>
      </c>
      <c r="V105" s="126">
        <f>SUM(V101:V104)</f>
        <v>222</v>
      </c>
      <c r="W105" s="127">
        <f>SUM(W101:W104)</f>
        <v>6</v>
      </c>
      <c r="X105" s="127">
        <f>SUM(X101:X104)</f>
        <v>161</v>
      </c>
      <c r="Y105" s="128">
        <f>SUM(Y101:Y104)</f>
        <v>0</v>
      </c>
      <c r="Z105" s="129">
        <f t="shared" si="56"/>
        <v>389</v>
      </c>
      <c r="AA105" s="126">
        <f>SUM(AA101:AA104)</f>
        <v>186</v>
      </c>
      <c r="AB105" s="127">
        <f>SUM(AB101:AB104)</f>
        <v>1</v>
      </c>
      <c r="AC105" s="127">
        <f>SUM(AC101:AC104)</f>
        <v>143</v>
      </c>
      <c r="AD105" s="128">
        <f>SUM(AD101:AD104)</f>
        <v>0</v>
      </c>
      <c r="AE105" s="129">
        <f t="shared" si="57"/>
        <v>330</v>
      </c>
      <c r="AF105" s="126">
        <f>SUM(AF101:AF104)</f>
        <v>249</v>
      </c>
      <c r="AG105" s="127">
        <f>SUM(AG101:AG104)</f>
        <v>8</v>
      </c>
      <c r="AH105" s="127">
        <f>SUM(AH101:AH104)</f>
        <v>161</v>
      </c>
      <c r="AI105" s="128">
        <f>SUM(AI101:AI104)</f>
        <v>0</v>
      </c>
      <c r="AJ105" s="129">
        <f t="shared" si="58"/>
        <v>418</v>
      </c>
      <c r="AK105" s="126">
        <f>SUM(AK101:AK104)</f>
        <v>200</v>
      </c>
      <c r="AL105" s="127">
        <f>SUM(AL101:AL104)</f>
        <v>18</v>
      </c>
      <c r="AM105" s="127">
        <f>SUM(AM101:AM104)</f>
        <v>165</v>
      </c>
      <c r="AN105" s="128">
        <f>SUM(AN101:AN104)</f>
        <v>0</v>
      </c>
      <c r="AO105" s="129">
        <f t="shared" si="59"/>
        <v>383</v>
      </c>
      <c r="AP105" s="126">
        <f>SUM(AP101:AP104)</f>
        <v>255</v>
      </c>
      <c r="AQ105" s="127">
        <f>SUM(AQ101:AQ104)</f>
        <v>21</v>
      </c>
      <c r="AR105" s="127">
        <f>SUM(AR101:AR104)</f>
        <v>251</v>
      </c>
      <c r="AS105" s="128">
        <f>SUM(AS101:AS104)</f>
        <v>0</v>
      </c>
      <c r="AT105" s="129">
        <f t="shared" si="60"/>
        <v>527</v>
      </c>
      <c r="AU105" s="126">
        <f>SUM(AU101:AU104)</f>
        <v>193</v>
      </c>
      <c r="AV105" s="127">
        <f>SUM(AV101:AV104)</f>
        <v>11</v>
      </c>
      <c r="AW105" s="127">
        <f>SUM(AW101:AW104)</f>
        <v>174</v>
      </c>
      <c r="AX105" s="128">
        <f>SUM(AX101:AX104)</f>
        <v>0</v>
      </c>
      <c r="AY105" s="129">
        <f t="shared" si="61"/>
        <v>378</v>
      </c>
      <c r="AZ105" s="126">
        <f>SUM(AZ101:AZ104)</f>
        <v>1166</v>
      </c>
      <c r="BA105" s="127">
        <f>SUM(BA101:BA104)</f>
        <v>49</v>
      </c>
      <c r="BB105" s="127">
        <f>SUM(BB101:BB104)</f>
        <v>952</v>
      </c>
      <c r="BC105" s="128">
        <f>SUM(BC101:BC104)</f>
        <v>0</v>
      </c>
      <c r="BD105" s="129">
        <f t="shared" si="62"/>
        <v>2167</v>
      </c>
      <c r="BE105" s="126">
        <f>SUM(BE101:BE104)</f>
        <v>808</v>
      </c>
      <c r="BF105" s="127">
        <f>SUM(BF101:BF104)</f>
        <v>26</v>
      </c>
      <c r="BG105" s="127">
        <f>SUM(BG101:BG104)</f>
        <v>635</v>
      </c>
      <c r="BH105" s="128">
        <f>SUM(BH101:BH104)</f>
        <v>0</v>
      </c>
      <c r="BI105" s="129">
        <f t="shared" si="63"/>
        <v>1469</v>
      </c>
      <c r="BJ105" s="126">
        <f>SUM(BJ101:BJ104)</f>
        <v>94</v>
      </c>
      <c r="BK105" s="127">
        <f>SUM(BK101:BK104)</f>
        <v>5</v>
      </c>
      <c r="BL105" s="127">
        <f>SUM(BL101:BL104)</f>
        <v>61</v>
      </c>
      <c r="BM105" s="128">
        <f>SUM(BM101:BM104)</f>
        <v>0</v>
      </c>
      <c r="BN105" s="129">
        <f t="shared" si="64"/>
        <v>160</v>
      </c>
      <c r="BO105" s="131">
        <f>SUM(BO101:BO104)</f>
        <v>4194</v>
      </c>
      <c r="BP105" s="127">
        <f>SUM(BP101:BP104)</f>
        <v>211</v>
      </c>
      <c r="BQ105" s="127">
        <f>SUM(BQ101:BQ104)</f>
        <v>3230</v>
      </c>
      <c r="BR105" s="128">
        <f>SUM(BR101:BR104)</f>
        <v>0</v>
      </c>
      <c r="BS105" s="130">
        <f t="shared" si="12"/>
        <v>7635</v>
      </c>
    </row>
    <row r="106" spans="2:71" x14ac:dyDescent="0.3">
      <c r="B106" s="269"/>
      <c r="C106" s="230"/>
      <c r="D106" s="233"/>
      <c r="E106" s="239" t="s">
        <v>152</v>
      </c>
      <c r="F106" s="121" t="s">
        <v>111</v>
      </c>
      <c r="G106" s="32">
        <v>32</v>
      </c>
      <c r="H106" s="13">
        <v>14</v>
      </c>
      <c r="I106" s="13">
        <v>19</v>
      </c>
      <c r="J106" s="14"/>
      <c r="K106" s="15">
        <f t="shared" ref="K106:K122" si="82">SUM(G106:J106)</f>
        <v>65</v>
      </c>
      <c r="L106" s="32">
        <v>38</v>
      </c>
      <c r="M106" s="13">
        <v>11</v>
      </c>
      <c r="N106" s="13">
        <v>20</v>
      </c>
      <c r="O106" s="14"/>
      <c r="P106" s="15">
        <f t="shared" si="54"/>
        <v>69</v>
      </c>
      <c r="Q106" s="32">
        <v>152</v>
      </c>
      <c r="R106" s="13">
        <v>5</v>
      </c>
      <c r="S106" s="13">
        <v>110</v>
      </c>
      <c r="T106" s="14"/>
      <c r="U106" s="15">
        <f t="shared" si="55"/>
        <v>267</v>
      </c>
      <c r="V106" s="32">
        <v>24</v>
      </c>
      <c r="W106" s="13">
        <v>1</v>
      </c>
      <c r="X106" s="192">
        <v>35</v>
      </c>
      <c r="Y106" s="14"/>
      <c r="Z106" s="15">
        <f t="shared" si="56"/>
        <v>60</v>
      </c>
      <c r="AA106" s="32">
        <v>20</v>
      </c>
      <c r="AB106" s="13">
        <v>1</v>
      </c>
      <c r="AC106" s="13">
        <v>63</v>
      </c>
      <c r="AD106" s="14"/>
      <c r="AE106" s="15">
        <f t="shared" si="57"/>
        <v>84</v>
      </c>
      <c r="AF106" s="32">
        <v>102</v>
      </c>
      <c r="AG106" s="13">
        <v>3</v>
      </c>
      <c r="AH106" s="13">
        <v>143</v>
      </c>
      <c r="AI106" s="14"/>
      <c r="AJ106" s="15">
        <f t="shared" si="58"/>
        <v>248</v>
      </c>
      <c r="AK106" s="32">
        <v>20</v>
      </c>
      <c r="AL106" s="13">
        <v>8</v>
      </c>
      <c r="AM106" s="13">
        <v>31</v>
      </c>
      <c r="AN106" s="14"/>
      <c r="AO106" s="15">
        <f t="shared" si="59"/>
        <v>59</v>
      </c>
      <c r="AP106" s="32">
        <v>11</v>
      </c>
      <c r="AQ106" s="13"/>
      <c r="AR106" s="13">
        <v>20</v>
      </c>
      <c r="AS106" s="14"/>
      <c r="AT106" s="15">
        <f t="shared" si="60"/>
        <v>31</v>
      </c>
      <c r="AU106" s="32">
        <v>16</v>
      </c>
      <c r="AV106" s="13">
        <v>1</v>
      </c>
      <c r="AW106" s="13">
        <v>56</v>
      </c>
      <c r="AX106" s="14"/>
      <c r="AY106" s="15">
        <f t="shared" si="61"/>
        <v>73</v>
      </c>
      <c r="AZ106" s="32">
        <v>34</v>
      </c>
      <c r="BA106" s="13">
        <v>4</v>
      </c>
      <c r="BB106" s="13">
        <v>108</v>
      </c>
      <c r="BC106" s="14"/>
      <c r="BD106" s="15">
        <f t="shared" si="62"/>
        <v>146</v>
      </c>
      <c r="BE106" s="32">
        <v>18</v>
      </c>
      <c r="BF106" s="13">
        <v>2</v>
      </c>
      <c r="BG106" s="13">
        <v>76</v>
      </c>
      <c r="BH106" s="14"/>
      <c r="BI106" s="15">
        <f t="shared" si="63"/>
        <v>96</v>
      </c>
      <c r="BJ106" s="32">
        <v>27</v>
      </c>
      <c r="BK106" s="13">
        <v>1</v>
      </c>
      <c r="BL106" s="13">
        <v>43</v>
      </c>
      <c r="BM106" s="14"/>
      <c r="BN106" s="15">
        <f t="shared" si="64"/>
        <v>71</v>
      </c>
      <c r="BO106" s="66">
        <f>SUM(G106,L106,Q106,V106,AA106,AF106,AK106,AP106,AU106,AZ106,BE106,BJ106)</f>
        <v>494</v>
      </c>
      <c r="BP106" s="13">
        <f>SUM(H106,M106,R106,W106,AB106,AG106,AL106,AQ106,AV106,BA106,BF106,BK106)</f>
        <v>51</v>
      </c>
      <c r="BQ106" s="13">
        <f>SUM(I106,N106,S106,X106,AC106,AH106,AM106,AR106,AW106,BB106,BG106,BL106)</f>
        <v>724</v>
      </c>
      <c r="BR106" s="14">
        <f>SUM(J106,O106,T106,Y106,AD106,AI106,AN106,AS106,AX106,BC106,BH106,BM106)</f>
        <v>0</v>
      </c>
      <c r="BS106" s="33">
        <f t="shared" si="12"/>
        <v>1269</v>
      </c>
    </row>
    <row r="107" spans="2:71" x14ac:dyDescent="0.3">
      <c r="B107" s="269"/>
      <c r="C107" s="230"/>
      <c r="D107" s="233"/>
      <c r="E107" s="239"/>
      <c r="F107" s="121" t="s">
        <v>112</v>
      </c>
      <c r="G107" s="32">
        <v>5</v>
      </c>
      <c r="H107" s="13">
        <v>1</v>
      </c>
      <c r="I107" s="13">
        <v>1</v>
      </c>
      <c r="J107" s="14"/>
      <c r="K107" s="15">
        <f t="shared" si="82"/>
        <v>7</v>
      </c>
      <c r="L107" s="32">
        <v>5</v>
      </c>
      <c r="M107" s="13"/>
      <c r="N107" s="13">
        <v>3</v>
      </c>
      <c r="O107" s="14"/>
      <c r="P107" s="15">
        <f t="shared" si="54"/>
        <v>8</v>
      </c>
      <c r="Q107" s="32">
        <v>59</v>
      </c>
      <c r="R107" s="13"/>
      <c r="S107" s="13">
        <v>37</v>
      </c>
      <c r="T107" s="14"/>
      <c r="U107" s="15">
        <f t="shared" si="55"/>
        <v>96</v>
      </c>
      <c r="V107" s="32">
        <v>12</v>
      </c>
      <c r="W107" s="13">
        <v>1</v>
      </c>
      <c r="X107" s="13">
        <v>11</v>
      </c>
      <c r="Y107" s="14"/>
      <c r="Z107" s="15">
        <f t="shared" si="56"/>
        <v>24</v>
      </c>
      <c r="AA107" s="32">
        <v>5</v>
      </c>
      <c r="AB107" s="13"/>
      <c r="AC107" s="13">
        <v>12</v>
      </c>
      <c r="AD107" s="14"/>
      <c r="AE107" s="15">
        <f t="shared" si="57"/>
        <v>17</v>
      </c>
      <c r="AF107" s="32">
        <v>22</v>
      </c>
      <c r="AG107" s="13">
        <v>1</v>
      </c>
      <c r="AH107" s="13">
        <v>43</v>
      </c>
      <c r="AI107" s="14"/>
      <c r="AJ107" s="15">
        <f t="shared" si="58"/>
        <v>66</v>
      </c>
      <c r="AK107" s="32">
        <v>8</v>
      </c>
      <c r="AL107" s="13">
        <v>1</v>
      </c>
      <c r="AM107" s="13">
        <v>9</v>
      </c>
      <c r="AN107" s="14"/>
      <c r="AO107" s="15">
        <f t="shared" si="59"/>
        <v>18</v>
      </c>
      <c r="AP107" s="32"/>
      <c r="AQ107" s="13"/>
      <c r="AR107" s="13">
        <v>8</v>
      </c>
      <c r="AS107" s="14"/>
      <c r="AT107" s="15">
        <f t="shared" si="60"/>
        <v>8</v>
      </c>
      <c r="AU107" s="32">
        <v>6</v>
      </c>
      <c r="AV107" s="13"/>
      <c r="AW107" s="13">
        <v>26</v>
      </c>
      <c r="AX107" s="14"/>
      <c r="AY107" s="15">
        <f t="shared" si="61"/>
        <v>32</v>
      </c>
      <c r="AZ107" s="32">
        <v>2</v>
      </c>
      <c r="BA107" s="13">
        <v>2</v>
      </c>
      <c r="BB107" s="13">
        <v>23</v>
      </c>
      <c r="BC107" s="14"/>
      <c r="BD107" s="15">
        <f t="shared" si="62"/>
        <v>27</v>
      </c>
      <c r="BE107" s="32">
        <v>1</v>
      </c>
      <c r="BF107" s="13"/>
      <c r="BG107" s="13">
        <v>8</v>
      </c>
      <c r="BH107" s="14"/>
      <c r="BI107" s="15">
        <f t="shared" si="63"/>
        <v>9</v>
      </c>
      <c r="BJ107" s="32">
        <v>6</v>
      </c>
      <c r="BK107" s="13">
        <v>1</v>
      </c>
      <c r="BL107" s="13">
        <v>6</v>
      </c>
      <c r="BM107" s="14"/>
      <c r="BN107" s="15">
        <f t="shared" si="64"/>
        <v>13</v>
      </c>
      <c r="BO107" s="66">
        <f>SUM(G107,L107,Q107,V107,AA107,AF107,AK107,AP107,AU107,AZ107,BE107,BJ107)</f>
        <v>131</v>
      </c>
      <c r="BP107" s="13">
        <f>SUM(H107,M107,R107,W107,AB107,AG107,AL107,AQ107,AV107,BA107,BF107,BK107)</f>
        <v>7</v>
      </c>
      <c r="BQ107" s="13">
        <f>SUM(I107,N107,S107,X107,AC107,AH107,AM107,AR107,AW107,BB107,BG107,BL107)</f>
        <v>187</v>
      </c>
      <c r="BR107" s="14">
        <f>SUM(J107,O107,T107,Y107,AD107,AI107,AN107,AS107,AX107,BC107,BH107,BM107)</f>
        <v>0</v>
      </c>
      <c r="BS107" s="33">
        <f t="shared" si="12"/>
        <v>325</v>
      </c>
    </row>
    <row r="108" spans="2:71" x14ac:dyDescent="0.3">
      <c r="B108" s="269"/>
      <c r="C108" s="230"/>
      <c r="D108" s="233"/>
      <c r="E108" s="239"/>
      <c r="F108" s="121" t="s">
        <v>438</v>
      </c>
      <c r="G108" s="32"/>
      <c r="H108" s="13"/>
      <c r="I108" s="13"/>
      <c r="J108" s="14"/>
      <c r="K108" s="15">
        <f t="shared" si="82"/>
        <v>0</v>
      </c>
      <c r="L108" s="32"/>
      <c r="M108" s="13"/>
      <c r="N108" s="13"/>
      <c r="O108" s="14"/>
      <c r="P108" s="15">
        <f t="shared" si="54"/>
        <v>0</v>
      </c>
      <c r="Q108" s="32"/>
      <c r="R108" s="13"/>
      <c r="S108" s="13"/>
      <c r="T108" s="14"/>
      <c r="U108" s="15">
        <f t="shared" si="55"/>
        <v>0</v>
      </c>
      <c r="V108" s="32"/>
      <c r="W108" s="13"/>
      <c r="X108" s="152"/>
      <c r="Y108" s="14"/>
      <c r="Z108" s="15">
        <f t="shared" si="56"/>
        <v>0</v>
      </c>
      <c r="AA108" s="32"/>
      <c r="AB108" s="13"/>
      <c r="AC108" s="13"/>
      <c r="AD108" s="14"/>
      <c r="AE108" s="15">
        <f t="shared" si="57"/>
        <v>0</v>
      </c>
      <c r="AF108" s="32"/>
      <c r="AG108" s="13"/>
      <c r="AH108" s="13"/>
      <c r="AI108" s="14"/>
      <c r="AJ108" s="15">
        <f t="shared" si="58"/>
        <v>0</v>
      </c>
      <c r="AK108" s="32"/>
      <c r="AL108" s="13"/>
      <c r="AM108" s="13"/>
      <c r="AN108" s="14"/>
      <c r="AO108" s="15">
        <f t="shared" si="59"/>
        <v>0</v>
      </c>
      <c r="AP108" s="32"/>
      <c r="AQ108" s="13"/>
      <c r="AR108" s="13"/>
      <c r="AS108" s="14"/>
      <c r="AT108" s="15">
        <f t="shared" si="60"/>
        <v>0</v>
      </c>
      <c r="AU108" s="32"/>
      <c r="AV108" s="13"/>
      <c r="AW108" s="13"/>
      <c r="AX108" s="14"/>
      <c r="AY108" s="15">
        <f t="shared" si="61"/>
        <v>0</v>
      </c>
      <c r="AZ108" s="32"/>
      <c r="BA108" s="13"/>
      <c r="BB108" s="13"/>
      <c r="BC108" s="14"/>
      <c r="BD108" s="15">
        <f t="shared" si="62"/>
        <v>0</v>
      </c>
      <c r="BE108" s="32"/>
      <c r="BF108" s="13"/>
      <c r="BG108" s="13"/>
      <c r="BH108" s="14"/>
      <c r="BI108" s="15">
        <f t="shared" si="63"/>
        <v>0</v>
      </c>
      <c r="BJ108" s="32">
        <v>5</v>
      </c>
      <c r="BK108" s="13">
        <v>10</v>
      </c>
      <c r="BL108" s="13">
        <v>5</v>
      </c>
      <c r="BM108" s="14"/>
      <c r="BN108" s="15">
        <f t="shared" si="64"/>
        <v>20</v>
      </c>
      <c r="BO108" s="66">
        <f>SUM(G108,L108,Q108,V108,AA108,AF108,AK108,AP108,AU108,AZ108,BE108,BJ108)</f>
        <v>5</v>
      </c>
      <c r="BP108" s="13">
        <f>SUM(H108,M108,R108,W108,AB108,AG108,AL108,AQ108,AV108,BA108,BF108,BK108)</f>
        <v>10</v>
      </c>
      <c r="BQ108" s="13">
        <f>SUM(I108,N108,S108,X108,AC108,AH108,AM108,AR108,AW108,BB108,BG108,BL108)</f>
        <v>5</v>
      </c>
      <c r="BR108" s="14">
        <f>SUM(J108,O108,T108,Y108,AD108,AI108,AN108,AS108,AX108,BC108,BH108,BM108)</f>
        <v>0</v>
      </c>
      <c r="BS108" s="33">
        <f t="shared" si="12"/>
        <v>20</v>
      </c>
    </row>
    <row r="109" spans="2:71" x14ac:dyDescent="0.3">
      <c r="B109" s="269"/>
      <c r="C109" s="230"/>
      <c r="D109" s="233"/>
      <c r="E109" s="239"/>
      <c r="F109" s="121" t="s">
        <v>439</v>
      </c>
      <c r="G109" s="32"/>
      <c r="H109" s="13"/>
      <c r="I109" s="13"/>
      <c r="J109" s="14"/>
      <c r="K109" s="15">
        <f t="shared" si="82"/>
        <v>0</v>
      </c>
      <c r="L109" s="32"/>
      <c r="M109" s="13"/>
      <c r="N109" s="13"/>
      <c r="O109" s="14"/>
      <c r="P109" s="15">
        <f t="shared" si="54"/>
        <v>0</v>
      </c>
      <c r="Q109" s="32"/>
      <c r="R109" s="13"/>
      <c r="S109" s="13"/>
      <c r="T109" s="14"/>
      <c r="U109" s="15">
        <f t="shared" si="55"/>
        <v>0</v>
      </c>
      <c r="V109" s="32"/>
      <c r="W109" s="13"/>
      <c r="X109" s="13"/>
      <c r="Y109" s="14"/>
      <c r="Z109" s="15">
        <f t="shared" si="56"/>
        <v>0</v>
      </c>
      <c r="AA109" s="32"/>
      <c r="AB109" s="13"/>
      <c r="AC109" s="13"/>
      <c r="AD109" s="14"/>
      <c r="AE109" s="15">
        <f t="shared" si="57"/>
        <v>0</v>
      </c>
      <c r="AF109" s="32"/>
      <c r="AG109" s="13"/>
      <c r="AH109" s="13"/>
      <c r="AI109" s="14"/>
      <c r="AJ109" s="15">
        <f t="shared" si="58"/>
        <v>0</v>
      </c>
      <c r="AK109" s="32"/>
      <c r="AL109" s="13"/>
      <c r="AM109" s="13"/>
      <c r="AN109" s="14"/>
      <c r="AO109" s="15">
        <f t="shared" si="59"/>
        <v>0</v>
      </c>
      <c r="AP109" s="32"/>
      <c r="AQ109" s="13"/>
      <c r="AR109" s="13"/>
      <c r="AS109" s="14"/>
      <c r="AT109" s="15">
        <f t="shared" si="60"/>
        <v>0</v>
      </c>
      <c r="AU109" s="32"/>
      <c r="AV109" s="13"/>
      <c r="AW109" s="13"/>
      <c r="AX109" s="14"/>
      <c r="AY109" s="15">
        <f t="shared" si="61"/>
        <v>0</v>
      </c>
      <c r="AZ109" s="32"/>
      <c r="BA109" s="13"/>
      <c r="BB109" s="13"/>
      <c r="BC109" s="14"/>
      <c r="BD109" s="15">
        <f t="shared" si="62"/>
        <v>0</v>
      </c>
      <c r="BE109" s="32"/>
      <c r="BF109" s="13"/>
      <c r="BG109" s="13"/>
      <c r="BH109" s="14"/>
      <c r="BI109" s="15">
        <f t="shared" si="63"/>
        <v>0</v>
      </c>
      <c r="BJ109" s="32"/>
      <c r="BK109" s="13">
        <v>1</v>
      </c>
      <c r="BL109" s="13"/>
      <c r="BM109" s="14"/>
      <c r="BN109" s="15">
        <f t="shared" si="64"/>
        <v>1</v>
      </c>
      <c r="BO109" s="66">
        <f>SUM(G109,L109,Q109,V109,AA109,AF109,AK109,AP109,AU109,AZ109,BE109,BJ109)</f>
        <v>0</v>
      </c>
      <c r="BP109" s="13">
        <f>SUM(H109,M109,R109,W109,AB109,AG109,AL109,AQ109,AV109,BA109,BF109,BK109)</f>
        <v>1</v>
      </c>
      <c r="BQ109" s="13">
        <f>SUM(I109,N109,S109,X109,AC109,AH109,AM109,AR109,AW109,BB109,BG109,BL109)</f>
        <v>0</v>
      </c>
      <c r="BR109" s="14">
        <f>SUM(J109,O109,T109,Y109,AD109,AI109,AN109,AS109,AX109,BC109,BH109,BM109)</f>
        <v>0</v>
      </c>
      <c r="BS109" s="33">
        <f t="shared" si="12"/>
        <v>1</v>
      </c>
    </row>
    <row r="110" spans="2:71" x14ac:dyDescent="0.3">
      <c r="B110" s="269"/>
      <c r="C110" s="230"/>
      <c r="D110" s="233"/>
      <c r="E110" s="239"/>
      <c r="F110" s="178" t="s">
        <v>284</v>
      </c>
      <c r="G110" s="179">
        <v>8</v>
      </c>
      <c r="H110" s="180">
        <v>10</v>
      </c>
      <c r="I110" s="180">
        <v>6</v>
      </c>
      <c r="J110" s="181"/>
      <c r="K110" s="182">
        <f t="shared" si="82"/>
        <v>24</v>
      </c>
      <c r="L110" s="179">
        <v>3</v>
      </c>
      <c r="M110" s="180">
        <v>13</v>
      </c>
      <c r="N110" s="180">
        <v>5</v>
      </c>
      <c r="O110" s="181"/>
      <c r="P110" s="182">
        <f t="shared" si="54"/>
        <v>21</v>
      </c>
      <c r="Q110" s="179">
        <v>1</v>
      </c>
      <c r="R110" s="180"/>
      <c r="S110" s="180"/>
      <c r="T110" s="181"/>
      <c r="U110" s="182">
        <f t="shared" si="55"/>
        <v>1</v>
      </c>
      <c r="V110" s="179"/>
      <c r="W110" s="180"/>
      <c r="X110" s="180"/>
      <c r="Y110" s="181"/>
      <c r="Z110" s="182">
        <f t="shared" si="56"/>
        <v>0</v>
      </c>
      <c r="AA110" s="179"/>
      <c r="AB110" s="180"/>
      <c r="AC110" s="180"/>
      <c r="AD110" s="181"/>
      <c r="AE110" s="182">
        <f t="shared" si="57"/>
        <v>0</v>
      </c>
      <c r="AF110" s="179"/>
      <c r="AG110" s="180"/>
      <c r="AH110" s="180"/>
      <c r="AI110" s="181"/>
      <c r="AJ110" s="182">
        <f t="shared" si="58"/>
        <v>0</v>
      </c>
      <c r="AK110" s="179"/>
      <c r="AL110" s="180"/>
      <c r="AM110" s="180"/>
      <c r="AN110" s="181"/>
      <c r="AO110" s="182">
        <f t="shared" si="59"/>
        <v>0</v>
      </c>
      <c r="AP110" s="179"/>
      <c r="AQ110" s="180"/>
      <c r="AR110" s="180"/>
      <c r="AS110" s="181"/>
      <c r="AT110" s="182">
        <f t="shared" si="60"/>
        <v>0</v>
      </c>
      <c r="AU110" s="179"/>
      <c r="AV110" s="180"/>
      <c r="AW110" s="180"/>
      <c r="AX110" s="181"/>
      <c r="AY110" s="182">
        <f t="shared" si="61"/>
        <v>0</v>
      </c>
      <c r="AZ110" s="179"/>
      <c r="BA110" s="180"/>
      <c r="BB110" s="180"/>
      <c r="BC110" s="181"/>
      <c r="BD110" s="182">
        <f t="shared" si="62"/>
        <v>0</v>
      </c>
      <c r="BE110" s="179"/>
      <c r="BF110" s="180"/>
      <c r="BG110" s="180"/>
      <c r="BH110" s="181"/>
      <c r="BI110" s="182">
        <f t="shared" si="63"/>
        <v>0</v>
      </c>
      <c r="BJ110" s="179"/>
      <c r="BK110" s="180">
        <v>1</v>
      </c>
      <c r="BL110" s="180"/>
      <c r="BM110" s="181"/>
      <c r="BN110" s="182">
        <f t="shared" si="64"/>
        <v>1</v>
      </c>
      <c r="BO110" s="184">
        <f>SUM(G110,L110,Q110,V110,AA110,AF110,AK110,AP110,AU110,AZ110,BE110,BJ110)</f>
        <v>12</v>
      </c>
      <c r="BP110" s="180">
        <f>SUM(H110,M110,R110,W110,AB110,AG110,AL110,AQ110,AV110,BA110,BF110,BK110)</f>
        <v>24</v>
      </c>
      <c r="BQ110" s="180">
        <f>SUM(I110,N110,S110,X110,AC110,AH110,AM110,AR110,AW110,BB110,BG110,BL110)</f>
        <v>11</v>
      </c>
      <c r="BR110" s="181">
        <f>SUM(J110,O110,T110,Y110,AD110,AI110,AN110,AS110,AX110,BC110,BH110,BM110)</f>
        <v>0</v>
      </c>
      <c r="BS110" s="183">
        <f t="shared" si="12"/>
        <v>47</v>
      </c>
    </row>
    <row r="111" spans="2:71" x14ac:dyDescent="0.3">
      <c r="B111" s="269"/>
      <c r="C111" s="230"/>
      <c r="D111" s="233"/>
      <c r="E111" s="239"/>
      <c r="F111" s="178" t="s">
        <v>285</v>
      </c>
      <c r="G111" s="179"/>
      <c r="H111" s="180"/>
      <c r="I111" s="180"/>
      <c r="J111" s="181"/>
      <c r="K111" s="182">
        <f t="shared" si="82"/>
        <v>0</v>
      </c>
      <c r="L111" s="179">
        <v>2</v>
      </c>
      <c r="M111" s="180"/>
      <c r="N111" s="180"/>
      <c r="O111" s="181"/>
      <c r="P111" s="182">
        <f t="shared" si="54"/>
        <v>2</v>
      </c>
      <c r="Q111" s="179"/>
      <c r="R111" s="180"/>
      <c r="S111" s="180"/>
      <c r="T111" s="181"/>
      <c r="U111" s="182">
        <f t="shared" si="55"/>
        <v>0</v>
      </c>
      <c r="V111" s="179"/>
      <c r="W111" s="180"/>
      <c r="X111" s="180"/>
      <c r="Y111" s="181"/>
      <c r="Z111" s="182">
        <f t="shared" si="56"/>
        <v>0</v>
      </c>
      <c r="AA111" s="179"/>
      <c r="AB111" s="180"/>
      <c r="AC111" s="180"/>
      <c r="AD111" s="181"/>
      <c r="AE111" s="182">
        <f t="shared" si="57"/>
        <v>0</v>
      </c>
      <c r="AF111" s="179"/>
      <c r="AG111" s="180"/>
      <c r="AH111" s="180"/>
      <c r="AI111" s="181"/>
      <c r="AJ111" s="182">
        <f t="shared" si="58"/>
        <v>0</v>
      </c>
      <c r="AK111" s="179"/>
      <c r="AL111" s="180"/>
      <c r="AM111" s="180"/>
      <c r="AN111" s="181"/>
      <c r="AO111" s="182">
        <f t="shared" si="59"/>
        <v>0</v>
      </c>
      <c r="AP111" s="179"/>
      <c r="AQ111" s="180"/>
      <c r="AR111" s="180"/>
      <c r="AS111" s="181"/>
      <c r="AT111" s="182">
        <f t="shared" si="60"/>
        <v>0</v>
      </c>
      <c r="AU111" s="179"/>
      <c r="AV111" s="180"/>
      <c r="AW111" s="180"/>
      <c r="AX111" s="181"/>
      <c r="AY111" s="182">
        <f t="shared" si="61"/>
        <v>0</v>
      </c>
      <c r="AZ111" s="179"/>
      <c r="BA111" s="180"/>
      <c r="BB111" s="180"/>
      <c r="BC111" s="181"/>
      <c r="BD111" s="182">
        <f t="shared" si="62"/>
        <v>0</v>
      </c>
      <c r="BE111" s="179"/>
      <c r="BF111" s="180"/>
      <c r="BG111" s="180"/>
      <c r="BH111" s="181"/>
      <c r="BI111" s="182">
        <f t="shared" si="63"/>
        <v>0</v>
      </c>
      <c r="BJ111" s="179"/>
      <c r="BK111" s="180"/>
      <c r="BL111" s="180"/>
      <c r="BM111" s="181"/>
      <c r="BN111" s="182">
        <f t="shared" si="64"/>
        <v>0</v>
      </c>
      <c r="BO111" s="184">
        <f>SUM(G111,L111,Q111,V111,AA111,AF111,AK111,AP111,AU111,AZ111,BE111,BJ111)</f>
        <v>2</v>
      </c>
      <c r="BP111" s="180">
        <f>SUM(H111,M111,R111,W111,AB111,AG111,AL111,AQ111,AV111,BA111,BF111,BK111)</f>
        <v>0</v>
      </c>
      <c r="BQ111" s="180">
        <f>SUM(I111,N111,S111,X111,AC111,AH111,AM111,AR111,AW111,BB111,BG111,BL111)</f>
        <v>0</v>
      </c>
      <c r="BR111" s="181">
        <f>SUM(J111,O111,T111,Y111,AD111,AI111,AN111,AS111,AX111,BC111,BH111,BM111)</f>
        <v>0</v>
      </c>
      <c r="BS111" s="183">
        <f t="shared" si="12"/>
        <v>2</v>
      </c>
    </row>
    <row r="112" spans="2:71" x14ac:dyDescent="0.3">
      <c r="B112" s="269"/>
      <c r="C112" s="230"/>
      <c r="D112" s="233"/>
      <c r="E112" s="239"/>
      <c r="F112" s="178" t="s">
        <v>440</v>
      </c>
      <c r="G112" s="179"/>
      <c r="H112" s="180"/>
      <c r="I112" s="180"/>
      <c r="J112" s="181"/>
      <c r="K112" s="182">
        <f t="shared" si="82"/>
        <v>0</v>
      </c>
      <c r="L112" s="179"/>
      <c r="M112" s="180"/>
      <c r="N112" s="180"/>
      <c r="O112" s="181"/>
      <c r="P112" s="182">
        <f t="shared" si="54"/>
        <v>0</v>
      </c>
      <c r="Q112" s="179">
        <v>2</v>
      </c>
      <c r="R112" s="180">
        <v>9</v>
      </c>
      <c r="S112" s="180">
        <v>17</v>
      </c>
      <c r="T112" s="181"/>
      <c r="U112" s="182">
        <f t="shared" si="55"/>
        <v>28</v>
      </c>
      <c r="V112" s="179">
        <v>13</v>
      </c>
      <c r="W112" s="180">
        <v>14</v>
      </c>
      <c r="X112" s="180">
        <v>33</v>
      </c>
      <c r="Y112" s="181"/>
      <c r="Z112" s="182">
        <f t="shared" si="56"/>
        <v>60</v>
      </c>
      <c r="AA112" s="179"/>
      <c r="AB112" s="180">
        <v>5</v>
      </c>
      <c r="AC112" s="180">
        <v>19</v>
      </c>
      <c r="AD112" s="181"/>
      <c r="AE112" s="182">
        <f t="shared" si="57"/>
        <v>24</v>
      </c>
      <c r="AF112" s="179">
        <v>8</v>
      </c>
      <c r="AG112" s="180">
        <v>11</v>
      </c>
      <c r="AH112" s="180">
        <v>24</v>
      </c>
      <c r="AI112" s="181"/>
      <c r="AJ112" s="182">
        <f t="shared" si="58"/>
        <v>43</v>
      </c>
      <c r="AK112" s="179"/>
      <c r="AL112" s="180">
        <v>9</v>
      </c>
      <c r="AM112" s="180">
        <v>6</v>
      </c>
      <c r="AN112" s="181"/>
      <c r="AO112" s="182">
        <f t="shared" si="59"/>
        <v>15</v>
      </c>
      <c r="AP112" s="179"/>
      <c r="AQ112" s="180">
        <v>3</v>
      </c>
      <c r="AR112" s="180">
        <v>12</v>
      </c>
      <c r="AS112" s="181"/>
      <c r="AT112" s="182">
        <f t="shared" si="60"/>
        <v>15</v>
      </c>
      <c r="AU112" s="179">
        <v>4</v>
      </c>
      <c r="AV112" s="180">
        <v>5</v>
      </c>
      <c r="AW112" s="180">
        <v>23</v>
      </c>
      <c r="AX112" s="181"/>
      <c r="AY112" s="182">
        <f t="shared" si="61"/>
        <v>32</v>
      </c>
      <c r="AZ112" s="179">
        <v>10</v>
      </c>
      <c r="BA112" s="180">
        <v>19</v>
      </c>
      <c r="BB112" s="180">
        <v>64</v>
      </c>
      <c r="BC112" s="181"/>
      <c r="BD112" s="182">
        <f t="shared" si="62"/>
        <v>93</v>
      </c>
      <c r="BE112" s="179">
        <v>5</v>
      </c>
      <c r="BF112" s="180">
        <v>9</v>
      </c>
      <c r="BG112" s="180">
        <v>35</v>
      </c>
      <c r="BH112" s="181"/>
      <c r="BI112" s="182">
        <f t="shared" si="63"/>
        <v>49</v>
      </c>
      <c r="BJ112" s="179"/>
      <c r="BK112" s="180"/>
      <c r="BL112" s="180"/>
      <c r="BM112" s="181"/>
      <c r="BN112" s="182">
        <f t="shared" si="64"/>
        <v>0</v>
      </c>
      <c r="BO112" s="184">
        <f>SUM(G112,L112,Q112,V112,AA112,AF112,AK112,AP112,AU112,AZ112,BE112,BJ112)</f>
        <v>42</v>
      </c>
      <c r="BP112" s="180">
        <f>SUM(H112,M112,R112,W112,AB112,AG112,AL112,AQ112,AV112,BA112,BF112,BK112)</f>
        <v>84</v>
      </c>
      <c r="BQ112" s="180">
        <f>SUM(I112,N112,S112,X112,AC112,AH112,AM112,AR112,AW112,BB112,BG112,BL112)</f>
        <v>233</v>
      </c>
      <c r="BR112" s="181">
        <f>SUM(J112,O112,T112,Y112,AD112,AI112,AN112,AS112,AX112,BC112,BH112,BM112)</f>
        <v>0</v>
      </c>
      <c r="BS112" s="183">
        <f t="shared" si="12"/>
        <v>359</v>
      </c>
    </row>
    <row r="113" spans="2:71" x14ac:dyDescent="0.3">
      <c r="B113" s="269"/>
      <c r="C113" s="230"/>
      <c r="D113" s="233"/>
      <c r="E113" s="239"/>
      <c r="F113" s="178" t="s">
        <v>441</v>
      </c>
      <c r="G113" s="179"/>
      <c r="H113" s="180"/>
      <c r="I113" s="180"/>
      <c r="J113" s="181"/>
      <c r="K113" s="182">
        <f t="shared" si="82"/>
        <v>0</v>
      </c>
      <c r="L113" s="179"/>
      <c r="M113" s="180"/>
      <c r="N113" s="180"/>
      <c r="O113" s="181"/>
      <c r="P113" s="182">
        <f t="shared" si="54"/>
        <v>0</v>
      </c>
      <c r="Q113" s="179"/>
      <c r="R113" s="180"/>
      <c r="S113" s="180">
        <v>2</v>
      </c>
      <c r="T113" s="181"/>
      <c r="U113" s="182">
        <f t="shared" si="55"/>
        <v>2</v>
      </c>
      <c r="V113" s="179"/>
      <c r="W113" s="180"/>
      <c r="X113" s="180">
        <v>2</v>
      </c>
      <c r="Y113" s="181"/>
      <c r="Z113" s="182">
        <f t="shared" si="56"/>
        <v>2</v>
      </c>
      <c r="AA113" s="179"/>
      <c r="AB113" s="180"/>
      <c r="AC113" s="180">
        <v>4</v>
      </c>
      <c r="AD113" s="181"/>
      <c r="AE113" s="182">
        <f t="shared" si="57"/>
        <v>4</v>
      </c>
      <c r="AF113" s="193">
        <v>1</v>
      </c>
      <c r="AG113" s="180"/>
      <c r="AH113" s="180">
        <v>7</v>
      </c>
      <c r="AI113" s="181"/>
      <c r="AJ113" s="182">
        <f t="shared" si="58"/>
        <v>8</v>
      </c>
      <c r="AK113" s="193">
        <v>-1</v>
      </c>
      <c r="AL113" s="180"/>
      <c r="AM113" s="180"/>
      <c r="AN113" s="181"/>
      <c r="AO113" s="182">
        <f t="shared" si="59"/>
        <v>-1</v>
      </c>
      <c r="AP113" s="179"/>
      <c r="AQ113" s="180">
        <v>2</v>
      </c>
      <c r="AR113" s="180">
        <v>3</v>
      </c>
      <c r="AS113" s="181"/>
      <c r="AT113" s="182">
        <f t="shared" si="60"/>
        <v>5</v>
      </c>
      <c r="AU113" s="179"/>
      <c r="AV113" s="180"/>
      <c r="AW113" s="180">
        <v>9</v>
      </c>
      <c r="AX113" s="181"/>
      <c r="AY113" s="182">
        <f t="shared" si="61"/>
        <v>9</v>
      </c>
      <c r="AZ113" s="179">
        <v>1</v>
      </c>
      <c r="BA113" s="180">
        <v>1</v>
      </c>
      <c r="BB113" s="180">
        <v>12</v>
      </c>
      <c r="BC113" s="181"/>
      <c r="BD113" s="182">
        <f t="shared" si="62"/>
        <v>14</v>
      </c>
      <c r="BE113" s="179">
        <v>1</v>
      </c>
      <c r="BF113" s="180"/>
      <c r="BG113" s="180">
        <v>5</v>
      </c>
      <c r="BH113" s="181"/>
      <c r="BI113" s="182">
        <f t="shared" si="63"/>
        <v>6</v>
      </c>
      <c r="BJ113" s="179"/>
      <c r="BK113" s="180"/>
      <c r="BL113" s="180"/>
      <c r="BM113" s="181"/>
      <c r="BN113" s="182">
        <f t="shared" si="64"/>
        <v>0</v>
      </c>
      <c r="BO113" s="184">
        <f>SUM(G113,L113,Q113,V113,AA113,AF113,AK113,AP113,AU113,AZ113,BE113,BJ113)</f>
        <v>2</v>
      </c>
      <c r="BP113" s="180">
        <f>SUM(H113,M113,R113,W113,AB113,AG113,AL113,AQ113,AV113,BA113,BF113,BK113)</f>
        <v>3</v>
      </c>
      <c r="BQ113" s="180">
        <f>SUM(I113,N113,S113,X113,AC113,AH113,AM113,AR113,AW113,BB113,BG113,BL113)</f>
        <v>44</v>
      </c>
      <c r="BR113" s="181">
        <f>SUM(J113,O113,T113,Y113,AD113,AI113,AN113,AS113,AX113,BC113,BH113,BM113)</f>
        <v>0</v>
      </c>
      <c r="BS113" s="183">
        <f t="shared" si="12"/>
        <v>49</v>
      </c>
    </row>
    <row r="114" spans="2:71" x14ac:dyDescent="0.3">
      <c r="B114" s="269"/>
      <c r="C114" s="230"/>
      <c r="D114" s="233"/>
      <c r="E114" s="239"/>
      <c r="F114" s="121" t="s">
        <v>286</v>
      </c>
      <c r="G114" s="32">
        <v>888</v>
      </c>
      <c r="H114" s="13"/>
      <c r="I114" s="13">
        <v>444</v>
      </c>
      <c r="J114" s="14"/>
      <c r="K114" s="15">
        <f t="shared" si="82"/>
        <v>1332</v>
      </c>
      <c r="L114" s="193">
        <v>1521</v>
      </c>
      <c r="M114" s="13"/>
      <c r="N114" s="13">
        <v>759</v>
      </c>
      <c r="O114" s="14"/>
      <c r="P114" s="15">
        <f t="shared" si="54"/>
        <v>2280</v>
      </c>
      <c r="Q114" s="32">
        <v>180</v>
      </c>
      <c r="R114" s="13"/>
      <c r="S114" s="13">
        <v>90</v>
      </c>
      <c r="T114" s="14"/>
      <c r="U114" s="15">
        <f t="shared" si="55"/>
        <v>270</v>
      </c>
      <c r="V114" s="32"/>
      <c r="W114" s="13"/>
      <c r="X114" s="13"/>
      <c r="Y114" s="14"/>
      <c r="Z114" s="15">
        <f t="shared" si="56"/>
        <v>0</v>
      </c>
      <c r="AA114" s="32"/>
      <c r="AB114" s="13"/>
      <c r="AC114" s="13"/>
      <c r="AD114" s="14"/>
      <c r="AE114" s="15">
        <f t="shared" si="57"/>
        <v>0</v>
      </c>
      <c r="AF114" s="32"/>
      <c r="AG114" s="13"/>
      <c r="AH114" s="13"/>
      <c r="AI114" s="14"/>
      <c r="AJ114" s="15">
        <f t="shared" si="58"/>
        <v>0</v>
      </c>
      <c r="AK114" s="32"/>
      <c r="AL114" s="13"/>
      <c r="AM114" s="13"/>
      <c r="AN114" s="14"/>
      <c r="AO114" s="15">
        <f t="shared" si="59"/>
        <v>0</v>
      </c>
      <c r="AP114" s="32"/>
      <c r="AQ114" s="13"/>
      <c r="AR114" s="13"/>
      <c r="AS114" s="14"/>
      <c r="AT114" s="15">
        <f t="shared" si="60"/>
        <v>0</v>
      </c>
      <c r="AU114" s="32"/>
      <c r="AV114" s="13"/>
      <c r="AW114" s="13"/>
      <c r="AX114" s="14"/>
      <c r="AY114" s="15">
        <f t="shared" si="61"/>
        <v>0</v>
      </c>
      <c r="AZ114" s="32"/>
      <c r="BA114" s="13"/>
      <c r="BB114" s="13"/>
      <c r="BC114" s="14"/>
      <c r="BD114" s="15">
        <f t="shared" si="62"/>
        <v>0</v>
      </c>
      <c r="BE114" s="32"/>
      <c r="BF114" s="13"/>
      <c r="BG114" s="13"/>
      <c r="BH114" s="14"/>
      <c r="BI114" s="15">
        <f t="shared" si="63"/>
        <v>0</v>
      </c>
      <c r="BJ114" s="32"/>
      <c r="BK114" s="13"/>
      <c r="BL114" s="13"/>
      <c r="BM114" s="14"/>
      <c r="BN114" s="15">
        <f t="shared" si="64"/>
        <v>0</v>
      </c>
      <c r="BO114" s="66">
        <f>SUM(G114,L114,Q114,V114,AA114,AF114,AK114,AP114,AU114,AZ114,BE114,BJ114)</f>
        <v>2589</v>
      </c>
      <c r="BP114" s="13">
        <f>SUM(H114,M114,R114,W114,AB114,AG114,AL114,AQ114,AV114,BA114,BF114,BK114)</f>
        <v>0</v>
      </c>
      <c r="BQ114" s="13">
        <f>SUM(I114,N114,S114,X114,AC114,AH114,AM114,AR114,AW114,BB114,BG114,BL114)</f>
        <v>1293</v>
      </c>
      <c r="BR114" s="14">
        <f>SUM(J114,O114,T114,Y114,AD114,AI114,AN114,AS114,AX114,BC114,BH114,BM114)</f>
        <v>0</v>
      </c>
      <c r="BS114" s="33">
        <f t="shared" si="12"/>
        <v>3882</v>
      </c>
    </row>
    <row r="115" spans="2:71" x14ac:dyDescent="0.3">
      <c r="B115" s="269"/>
      <c r="C115" s="230"/>
      <c r="D115" s="233"/>
      <c r="E115" s="239"/>
      <c r="F115" s="178" t="s">
        <v>287</v>
      </c>
      <c r="G115" s="179">
        <v>274</v>
      </c>
      <c r="H115" s="180"/>
      <c r="I115" s="180">
        <v>137</v>
      </c>
      <c r="J115" s="181"/>
      <c r="K115" s="182">
        <f t="shared" si="82"/>
        <v>411</v>
      </c>
      <c r="L115" s="179">
        <v>449</v>
      </c>
      <c r="M115" s="180"/>
      <c r="N115" s="180">
        <v>222</v>
      </c>
      <c r="O115" s="181"/>
      <c r="P115" s="182">
        <f t="shared" si="54"/>
        <v>671</v>
      </c>
      <c r="Q115" s="179">
        <v>78</v>
      </c>
      <c r="R115" s="180"/>
      <c r="S115" s="180">
        <v>38</v>
      </c>
      <c r="T115" s="181"/>
      <c r="U115" s="182">
        <f t="shared" si="55"/>
        <v>116</v>
      </c>
      <c r="V115" s="179"/>
      <c r="W115" s="180"/>
      <c r="X115" s="180"/>
      <c r="Y115" s="181"/>
      <c r="Z115" s="182">
        <f t="shared" si="56"/>
        <v>0</v>
      </c>
      <c r="AA115" s="179"/>
      <c r="AB115" s="180"/>
      <c r="AC115" s="180"/>
      <c r="AD115" s="181"/>
      <c r="AE115" s="182">
        <f t="shared" si="57"/>
        <v>0</v>
      </c>
      <c r="AF115" s="179"/>
      <c r="AG115" s="180"/>
      <c r="AH115" s="180"/>
      <c r="AI115" s="181"/>
      <c r="AJ115" s="182">
        <f t="shared" si="58"/>
        <v>0</v>
      </c>
      <c r="AK115" s="179"/>
      <c r="AL115" s="180"/>
      <c r="AM115" s="180"/>
      <c r="AN115" s="181"/>
      <c r="AO115" s="182">
        <f t="shared" si="59"/>
        <v>0</v>
      </c>
      <c r="AP115" s="179"/>
      <c r="AQ115" s="180"/>
      <c r="AR115" s="180"/>
      <c r="AS115" s="181"/>
      <c r="AT115" s="182">
        <f t="shared" si="60"/>
        <v>0</v>
      </c>
      <c r="AU115" s="179"/>
      <c r="AV115" s="180"/>
      <c r="AW115" s="180"/>
      <c r="AX115" s="181"/>
      <c r="AY115" s="182">
        <f t="shared" si="61"/>
        <v>0</v>
      </c>
      <c r="AZ115" s="179"/>
      <c r="BA115" s="180"/>
      <c r="BB115" s="180"/>
      <c r="BC115" s="181"/>
      <c r="BD115" s="182">
        <f t="shared" si="62"/>
        <v>0</v>
      </c>
      <c r="BE115" s="179"/>
      <c r="BF115" s="180"/>
      <c r="BG115" s="180"/>
      <c r="BH115" s="181"/>
      <c r="BI115" s="182">
        <f t="shared" si="63"/>
        <v>0</v>
      </c>
      <c r="BJ115" s="179"/>
      <c r="BK115" s="180"/>
      <c r="BL115" s="180"/>
      <c r="BM115" s="181"/>
      <c r="BN115" s="182">
        <f t="shared" si="64"/>
        <v>0</v>
      </c>
      <c r="BO115" s="184">
        <f>SUM(G115,L115,Q115,V115,AA115,AF115,AK115,AP115,AU115,AZ115,BE115,BJ115)</f>
        <v>801</v>
      </c>
      <c r="BP115" s="180">
        <f>SUM(H115,M115,R115,W115,AB115,AG115,AL115,AQ115,AV115,BA115,BF115,BK115)</f>
        <v>0</v>
      </c>
      <c r="BQ115" s="180">
        <f>SUM(I115,N115,S115,X115,AC115,AH115,AM115,AR115,AW115,BB115,BG115,BL115)</f>
        <v>397</v>
      </c>
      <c r="BR115" s="181">
        <f>SUM(J115,O115,T115,Y115,AD115,AI115,AN115,AS115,AX115,BC115,BH115,BM115)</f>
        <v>0</v>
      </c>
      <c r="BS115" s="183">
        <f t="shared" si="12"/>
        <v>1198</v>
      </c>
    </row>
    <row r="116" spans="2:71" x14ac:dyDescent="0.3">
      <c r="B116" s="269"/>
      <c r="C116" s="230"/>
      <c r="D116" s="233"/>
      <c r="E116" s="239"/>
      <c r="F116" s="171" t="s">
        <v>442</v>
      </c>
      <c r="G116" s="172"/>
      <c r="H116" s="173"/>
      <c r="I116" s="173"/>
      <c r="J116" s="174"/>
      <c r="K116" s="175">
        <f t="shared" si="82"/>
        <v>0</v>
      </c>
      <c r="L116" s="172"/>
      <c r="M116" s="173"/>
      <c r="N116" s="173"/>
      <c r="O116" s="174"/>
      <c r="P116" s="175">
        <f t="shared" si="54"/>
        <v>0</v>
      </c>
      <c r="Q116" s="172"/>
      <c r="R116" s="173"/>
      <c r="S116" s="173"/>
      <c r="T116" s="174"/>
      <c r="U116" s="175">
        <f t="shared" si="55"/>
        <v>0</v>
      </c>
      <c r="V116" s="172"/>
      <c r="W116" s="173"/>
      <c r="X116" s="173"/>
      <c r="Y116" s="174"/>
      <c r="Z116" s="175">
        <f t="shared" si="56"/>
        <v>0</v>
      </c>
      <c r="AA116" s="276"/>
      <c r="AB116" s="173"/>
      <c r="AC116" s="173"/>
      <c r="AD116" s="174"/>
      <c r="AE116" s="175">
        <f t="shared" si="57"/>
        <v>0</v>
      </c>
      <c r="AF116" s="172"/>
      <c r="AG116" s="173"/>
      <c r="AH116" s="173"/>
      <c r="AI116" s="174"/>
      <c r="AJ116" s="175">
        <f t="shared" si="58"/>
        <v>0</v>
      </c>
      <c r="AK116" s="172"/>
      <c r="AL116" s="173"/>
      <c r="AM116" s="173"/>
      <c r="AN116" s="174"/>
      <c r="AO116" s="175">
        <f t="shared" si="59"/>
        <v>0</v>
      </c>
      <c r="AP116" s="172">
        <v>54</v>
      </c>
      <c r="AQ116" s="173"/>
      <c r="AR116" s="173"/>
      <c r="AS116" s="174"/>
      <c r="AT116" s="175">
        <f t="shared" si="60"/>
        <v>54</v>
      </c>
      <c r="AU116" s="172">
        <v>159</v>
      </c>
      <c r="AV116" s="173"/>
      <c r="AW116" s="173"/>
      <c r="AX116" s="174"/>
      <c r="AY116" s="175">
        <f t="shared" si="61"/>
        <v>159</v>
      </c>
      <c r="AZ116" s="172">
        <v>391</v>
      </c>
      <c r="BA116" s="173"/>
      <c r="BB116" s="173"/>
      <c r="BC116" s="174"/>
      <c r="BD116" s="175">
        <f t="shared" si="62"/>
        <v>391</v>
      </c>
      <c r="BE116" s="172">
        <v>242</v>
      </c>
      <c r="BF116" s="173"/>
      <c r="BG116" s="173"/>
      <c r="BH116" s="174"/>
      <c r="BI116" s="175">
        <f t="shared" si="63"/>
        <v>242</v>
      </c>
      <c r="BJ116" s="172">
        <v>7</v>
      </c>
      <c r="BK116" s="173"/>
      <c r="BL116" s="173"/>
      <c r="BM116" s="174"/>
      <c r="BN116" s="175">
        <f t="shared" si="64"/>
        <v>7</v>
      </c>
      <c r="BO116" s="177">
        <f>SUM(G116,L116,Q116,V116,AA116,AF116,AK116,AP116,AU116,AZ116,BE116,BJ116)</f>
        <v>853</v>
      </c>
      <c r="BP116" s="173">
        <f>SUM(H116,M116,R116,W116,AB116,AG116,AL116,AQ116,AV116,BA116,BF116,BK116)</f>
        <v>0</v>
      </c>
      <c r="BQ116" s="173">
        <f>SUM(I116,N116,S116,X116,AC116,AH116,AM116,AR116,AW116,BB116,BG116,BL116)</f>
        <v>0</v>
      </c>
      <c r="BR116" s="174">
        <f>SUM(J116,O116,T116,Y116,AD116,AI116,AN116,AS116,AX116,BC116,BH116,BM116)</f>
        <v>0</v>
      </c>
      <c r="BS116" s="176">
        <f t="shared" si="12"/>
        <v>853</v>
      </c>
    </row>
    <row r="117" spans="2:71" x14ac:dyDescent="0.3">
      <c r="B117" s="269"/>
      <c r="C117" s="230"/>
      <c r="D117" s="233"/>
      <c r="E117" s="239"/>
      <c r="F117" s="178" t="s">
        <v>443</v>
      </c>
      <c r="G117" s="179"/>
      <c r="H117" s="180"/>
      <c r="I117" s="180"/>
      <c r="J117" s="181"/>
      <c r="K117" s="182">
        <f t="shared" si="82"/>
        <v>0</v>
      </c>
      <c r="L117" s="179"/>
      <c r="M117" s="180"/>
      <c r="N117" s="180"/>
      <c r="O117" s="181"/>
      <c r="P117" s="182">
        <f t="shared" si="54"/>
        <v>0</v>
      </c>
      <c r="Q117" s="179"/>
      <c r="R117" s="180"/>
      <c r="S117" s="180"/>
      <c r="T117" s="181"/>
      <c r="U117" s="182">
        <f t="shared" si="55"/>
        <v>0</v>
      </c>
      <c r="V117" s="179"/>
      <c r="W117" s="180"/>
      <c r="X117" s="180"/>
      <c r="Y117" s="181"/>
      <c r="Z117" s="182">
        <f t="shared" si="56"/>
        <v>0</v>
      </c>
      <c r="AA117" s="179"/>
      <c r="AB117" s="180"/>
      <c r="AC117" s="180"/>
      <c r="AD117" s="181"/>
      <c r="AE117" s="182">
        <f t="shared" si="57"/>
        <v>0</v>
      </c>
      <c r="AF117" s="179"/>
      <c r="AG117" s="180"/>
      <c r="AH117" s="180"/>
      <c r="AI117" s="181"/>
      <c r="AJ117" s="182">
        <f t="shared" si="58"/>
        <v>0</v>
      </c>
      <c r="AK117" s="179"/>
      <c r="AL117" s="180"/>
      <c r="AM117" s="180"/>
      <c r="AN117" s="181"/>
      <c r="AO117" s="182">
        <f t="shared" si="59"/>
        <v>0</v>
      </c>
      <c r="AP117" s="179">
        <v>55</v>
      </c>
      <c r="AQ117" s="180"/>
      <c r="AR117" s="180"/>
      <c r="AS117" s="181"/>
      <c r="AT117" s="182">
        <f t="shared" si="60"/>
        <v>55</v>
      </c>
      <c r="AU117" s="179">
        <v>158</v>
      </c>
      <c r="AV117" s="180"/>
      <c r="AW117" s="180"/>
      <c r="AX117" s="181"/>
      <c r="AY117" s="182">
        <f t="shared" si="61"/>
        <v>158</v>
      </c>
      <c r="AZ117" s="179">
        <v>385</v>
      </c>
      <c r="BA117" s="180"/>
      <c r="BB117" s="180"/>
      <c r="BC117" s="181"/>
      <c r="BD117" s="182">
        <f t="shared" si="62"/>
        <v>385</v>
      </c>
      <c r="BE117" s="179">
        <v>239</v>
      </c>
      <c r="BF117" s="180"/>
      <c r="BG117" s="180"/>
      <c r="BH117" s="181"/>
      <c r="BI117" s="182">
        <f t="shared" si="63"/>
        <v>239</v>
      </c>
      <c r="BJ117" s="179">
        <v>5</v>
      </c>
      <c r="BK117" s="180"/>
      <c r="BL117" s="180"/>
      <c r="BM117" s="181"/>
      <c r="BN117" s="182">
        <f t="shared" si="64"/>
        <v>5</v>
      </c>
      <c r="BO117" s="184">
        <f>SUM(G117,L117,Q117,V117,AA117,AF117,AK117,AP117,AU117,AZ117,BE117,BJ117)</f>
        <v>842</v>
      </c>
      <c r="BP117" s="180">
        <f>SUM(H117,M117,R117,W117,AB117,AG117,AL117,AQ117,AV117,BA117,BF117,BK117)</f>
        <v>0</v>
      </c>
      <c r="BQ117" s="180">
        <f>SUM(I117,N117,S117,X117,AC117,AH117,AM117,AR117,AW117,BB117,BG117,BL117)</f>
        <v>0</v>
      </c>
      <c r="BR117" s="181">
        <f>SUM(J117,O117,T117,Y117,AD117,AI117,AN117,AS117,AX117,BC117,BH117,BM117)</f>
        <v>0</v>
      </c>
      <c r="BS117" s="183">
        <f t="shared" si="12"/>
        <v>842</v>
      </c>
    </row>
    <row r="118" spans="2:71" x14ac:dyDescent="0.3">
      <c r="B118" s="269"/>
      <c r="C118" s="230"/>
      <c r="D118" s="233"/>
      <c r="E118" s="239"/>
      <c r="F118" s="178" t="s">
        <v>444</v>
      </c>
      <c r="G118" s="179"/>
      <c r="H118" s="180"/>
      <c r="I118" s="180"/>
      <c r="J118" s="181"/>
      <c r="K118" s="182">
        <f t="shared" si="82"/>
        <v>0</v>
      </c>
      <c r="L118" s="179"/>
      <c r="M118" s="180"/>
      <c r="N118" s="180"/>
      <c r="O118" s="181"/>
      <c r="P118" s="182">
        <f t="shared" si="54"/>
        <v>0</v>
      </c>
      <c r="Q118" s="179"/>
      <c r="R118" s="180"/>
      <c r="S118" s="180"/>
      <c r="T118" s="181"/>
      <c r="U118" s="182">
        <f t="shared" si="55"/>
        <v>0</v>
      </c>
      <c r="V118" s="277"/>
      <c r="W118" s="180"/>
      <c r="X118" s="180"/>
      <c r="Y118" s="181"/>
      <c r="Z118" s="182">
        <f t="shared" si="56"/>
        <v>0</v>
      </c>
      <c r="AA118" s="277"/>
      <c r="AB118" s="180"/>
      <c r="AC118" s="180"/>
      <c r="AD118" s="181"/>
      <c r="AE118" s="182">
        <f t="shared" si="57"/>
        <v>0</v>
      </c>
      <c r="AF118" s="179"/>
      <c r="AG118" s="180"/>
      <c r="AH118" s="180"/>
      <c r="AI118" s="181"/>
      <c r="AJ118" s="182">
        <f t="shared" si="58"/>
        <v>0</v>
      </c>
      <c r="AK118" s="179"/>
      <c r="AL118" s="180"/>
      <c r="AM118" s="180"/>
      <c r="AN118" s="181"/>
      <c r="AO118" s="182">
        <f t="shared" si="59"/>
        <v>0</v>
      </c>
      <c r="AP118" s="179">
        <v>15</v>
      </c>
      <c r="AQ118" s="180"/>
      <c r="AR118" s="180"/>
      <c r="AS118" s="181"/>
      <c r="AT118" s="182">
        <f t="shared" si="60"/>
        <v>15</v>
      </c>
      <c r="AU118" s="179">
        <v>35</v>
      </c>
      <c r="AV118" s="180"/>
      <c r="AW118" s="180"/>
      <c r="AX118" s="181"/>
      <c r="AY118" s="182">
        <f t="shared" si="61"/>
        <v>35</v>
      </c>
      <c r="AZ118" s="179">
        <v>47</v>
      </c>
      <c r="BA118" s="180"/>
      <c r="BB118" s="180"/>
      <c r="BC118" s="181"/>
      <c r="BD118" s="182">
        <f t="shared" si="62"/>
        <v>47</v>
      </c>
      <c r="BE118" s="179">
        <v>37</v>
      </c>
      <c r="BF118" s="180"/>
      <c r="BG118" s="180"/>
      <c r="BH118" s="181"/>
      <c r="BI118" s="182">
        <f t="shared" si="63"/>
        <v>37</v>
      </c>
      <c r="BJ118" s="179">
        <v>3</v>
      </c>
      <c r="BK118" s="180"/>
      <c r="BL118" s="180"/>
      <c r="BM118" s="181"/>
      <c r="BN118" s="182">
        <f t="shared" si="64"/>
        <v>3</v>
      </c>
      <c r="BO118" s="184">
        <f>SUM(G118,L118,Q118,V118,AA118,AF118,AK118,AP118,AU118,AZ118,BE118,BJ118)</f>
        <v>137</v>
      </c>
      <c r="BP118" s="180">
        <f>SUM(H118,M118,R118,W118,AB118,AG118,AL118,AQ118,AV118,BA118,BF118,BK118)</f>
        <v>0</v>
      </c>
      <c r="BQ118" s="180">
        <f>SUM(I118,N118,S118,X118,AC118,AH118,AM118,AR118,AW118,BB118,BG118,BL118)</f>
        <v>0</v>
      </c>
      <c r="BR118" s="181">
        <f>SUM(J118,O118,T118,Y118,AD118,AI118,AN118,AS118,AX118,BC118,BH118,BM118)</f>
        <v>0</v>
      </c>
      <c r="BS118" s="183">
        <f t="shared" si="12"/>
        <v>137</v>
      </c>
    </row>
    <row r="119" spans="2:71" x14ac:dyDescent="0.3">
      <c r="B119" s="269"/>
      <c r="C119" s="230"/>
      <c r="D119" s="233"/>
      <c r="E119" s="239"/>
      <c r="F119" s="171" t="s">
        <v>445</v>
      </c>
      <c r="G119" s="172"/>
      <c r="H119" s="173"/>
      <c r="I119" s="173"/>
      <c r="J119" s="174"/>
      <c r="K119" s="175">
        <f t="shared" si="82"/>
        <v>0</v>
      </c>
      <c r="L119" s="172"/>
      <c r="M119" s="173"/>
      <c r="N119" s="173"/>
      <c r="O119" s="174"/>
      <c r="P119" s="175">
        <f t="shared" si="54"/>
        <v>0</v>
      </c>
      <c r="Q119" s="172"/>
      <c r="R119" s="173"/>
      <c r="S119" s="173"/>
      <c r="T119" s="174"/>
      <c r="U119" s="175">
        <f t="shared" si="55"/>
        <v>0</v>
      </c>
      <c r="V119" s="172"/>
      <c r="W119" s="173"/>
      <c r="X119" s="173"/>
      <c r="Y119" s="174"/>
      <c r="Z119" s="175">
        <f t="shared" si="56"/>
        <v>0</v>
      </c>
      <c r="AA119" s="172"/>
      <c r="AB119" s="173"/>
      <c r="AC119" s="173"/>
      <c r="AD119" s="174"/>
      <c r="AE119" s="175">
        <f t="shared" si="57"/>
        <v>0</v>
      </c>
      <c r="AF119" s="172"/>
      <c r="AG119" s="173"/>
      <c r="AH119" s="173"/>
      <c r="AI119" s="174"/>
      <c r="AJ119" s="175">
        <f t="shared" si="58"/>
        <v>0</v>
      </c>
      <c r="AK119" s="172"/>
      <c r="AL119" s="173"/>
      <c r="AM119" s="173"/>
      <c r="AN119" s="174"/>
      <c r="AO119" s="175">
        <f t="shared" si="59"/>
        <v>0</v>
      </c>
      <c r="AP119" s="172">
        <v>15</v>
      </c>
      <c r="AQ119" s="173"/>
      <c r="AR119" s="173"/>
      <c r="AS119" s="174"/>
      <c r="AT119" s="175">
        <f t="shared" si="60"/>
        <v>15</v>
      </c>
      <c r="AU119" s="172">
        <v>34</v>
      </c>
      <c r="AV119" s="173"/>
      <c r="AW119" s="173"/>
      <c r="AX119" s="174"/>
      <c r="AY119" s="175">
        <f t="shared" si="61"/>
        <v>34</v>
      </c>
      <c r="AZ119" s="172">
        <v>44</v>
      </c>
      <c r="BA119" s="173"/>
      <c r="BB119" s="173"/>
      <c r="BC119" s="174"/>
      <c r="BD119" s="175">
        <f t="shared" si="62"/>
        <v>44</v>
      </c>
      <c r="BE119" s="172">
        <v>37</v>
      </c>
      <c r="BF119" s="173"/>
      <c r="BG119" s="173"/>
      <c r="BH119" s="174"/>
      <c r="BI119" s="175">
        <f t="shared" si="63"/>
        <v>37</v>
      </c>
      <c r="BJ119" s="172">
        <v>3</v>
      </c>
      <c r="BK119" s="173"/>
      <c r="BL119" s="173"/>
      <c r="BM119" s="174"/>
      <c r="BN119" s="175">
        <f t="shared" si="64"/>
        <v>3</v>
      </c>
      <c r="BO119" s="177">
        <f>SUM(G119,L119,Q119,V119,AA119,AF119,AK119,AP119,AU119,AZ119,BE119,BJ119)</f>
        <v>133</v>
      </c>
      <c r="BP119" s="173">
        <f>SUM(H119,M119,R119,W119,AB119,AG119,AL119,AQ119,AV119,BA119,BF119,BK119)</f>
        <v>0</v>
      </c>
      <c r="BQ119" s="173">
        <f>SUM(I119,N119,S119,X119,AC119,AH119,AM119,AR119,AW119,BB119,BG119,BL119)</f>
        <v>0</v>
      </c>
      <c r="BR119" s="174">
        <f>SUM(J119,O119,T119,Y119,AD119,AI119,AN119,AS119,AX119,BC119,BH119,BM119)</f>
        <v>0</v>
      </c>
      <c r="BS119" s="176">
        <f t="shared" si="12"/>
        <v>133</v>
      </c>
    </row>
    <row r="120" spans="2:71" x14ac:dyDescent="0.3">
      <c r="B120" s="269"/>
      <c r="C120" s="230"/>
      <c r="D120" s="233"/>
      <c r="E120" s="239"/>
      <c r="F120" s="121" t="s">
        <v>446</v>
      </c>
      <c r="G120" s="32"/>
      <c r="H120" s="13"/>
      <c r="I120" s="13"/>
      <c r="J120" s="14"/>
      <c r="K120" s="15">
        <f t="shared" si="82"/>
        <v>0</v>
      </c>
      <c r="L120" s="32"/>
      <c r="M120" s="13"/>
      <c r="N120" s="13"/>
      <c r="O120" s="14"/>
      <c r="P120" s="15">
        <f t="shared" si="54"/>
        <v>0</v>
      </c>
      <c r="Q120" s="32"/>
      <c r="R120" s="13"/>
      <c r="S120" s="13"/>
      <c r="T120" s="14"/>
      <c r="U120" s="15">
        <f t="shared" si="55"/>
        <v>0</v>
      </c>
      <c r="V120" s="32">
        <v>1131</v>
      </c>
      <c r="W120" s="13"/>
      <c r="X120" s="13"/>
      <c r="Y120" s="14"/>
      <c r="Z120" s="15">
        <f t="shared" si="56"/>
        <v>1131</v>
      </c>
      <c r="AA120" s="193">
        <v>1277</v>
      </c>
      <c r="AB120" s="13"/>
      <c r="AC120" s="13"/>
      <c r="AD120" s="14"/>
      <c r="AE120" s="15">
        <f t="shared" si="57"/>
        <v>1277</v>
      </c>
      <c r="AF120" s="32"/>
      <c r="AG120" s="13"/>
      <c r="AH120" s="13"/>
      <c r="AI120" s="14"/>
      <c r="AJ120" s="15">
        <f t="shared" si="58"/>
        <v>0</v>
      </c>
      <c r="AK120" s="32"/>
      <c r="AL120" s="13"/>
      <c r="AM120" s="13"/>
      <c r="AN120" s="14"/>
      <c r="AO120" s="15">
        <f t="shared" si="59"/>
        <v>0</v>
      </c>
      <c r="AP120" s="32">
        <v>158</v>
      </c>
      <c r="AQ120" s="13"/>
      <c r="AR120" s="13"/>
      <c r="AS120" s="14"/>
      <c r="AT120" s="15">
        <f t="shared" si="60"/>
        <v>158</v>
      </c>
      <c r="AU120" s="278">
        <v>373</v>
      </c>
      <c r="AV120" s="13"/>
      <c r="AW120" s="13"/>
      <c r="AX120" s="14"/>
      <c r="AY120" s="15">
        <f t="shared" si="61"/>
        <v>373</v>
      </c>
      <c r="AZ120" s="32">
        <v>782</v>
      </c>
      <c r="BA120" s="13"/>
      <c r="BB120" s="13"/>
      <c r="BC120" s="14"/>
      <c r="BD120" s="15">
        <f t="shared" si="62"/>
        <v>782</v>
      </c>
      <c r="BE120" s="32">
        <v>464</v>
      </c>
      <c r="BF120" s="13"/>
      <c r="BG120" s="13"/>
      <c r="BH120" s="14"/>
      <c r="BI120" s="15">
        <f t="shared" si="63"/>
        <v>464</v>
      </c>
      <c r="BJ120" s="32">
        <v>20</v>
      </c>
      <c r="BK120" s="13"/>
      <c r="BL120" s="13"/>
      <c r="BM120" s="14"/>
      <c r="BN120" s="15">
        <f t="shared" si="64"/>
        <v>20</v>
      </c>
      <c r="BO120" s="66">
        <f>SUM(G120,L120,Q120,V120,AA120,AF120,AK120,AP120,AU120,AZ120,BE120,BJ120)</f>
        <v>4205</v>
      </c>
      <c r="BP120" s="13">
        <f>SUM(H120,M120,R120,W120,AB120,AG120,AL120,AQ120,AV120,BA120,BF120,BK120)</f>
        <v>0</v>
      </c>
      <c r="BQ120" s="13">
        <f>SUM(I120,N120,S120,X120,AC120,AH120,AM120,AR120,AW120,BB120,BG120,BL120)</f>
        <v>0</v>
      </c>
      <c r="BR120" s="14">
        <f>SUM(J120,O120,T120,Y120,AD120,AI120,AN120,AS120,AX120,BC120,BH120,BM120)</f>
        <v>0</v>
      </c>
      <c r="BS120" s="33">
        <f t="shared" si="12"/>
        <v>4205</v>
      </c>
    </row>
    <row r="121" spans="2:71" x14ac:dyDescent="0.3">
      <c r="B121" s="269"/>
      <c r="C121" s="230"/>
      <c r="D121" s="233"/>
      <c r="E121" s="239"/>
      <c r="F121" s="121" t="s">
        <v>447</v>
      </c>
      <c r="G121" s="32"/>
      <c r="H121" s="13"/>
      <c r="I121" s="13"/>
      <c r="J121" s="14"/>
      <c r="K121" s="15">
        <f t="shared" si="82"/>
        <v>0</v>
      </c>
      <c r="L121" s="32"/>
      <c r="M121" s="13"/>
      <c r="N121" s="13"/>
      <c r="O121" s="14"/>
      <c r="P121" s="15">
        <f t="shared" si="54"/>
        <v>0</v>
      </c>
      <c r="Q121" s="32"/>
      <c r="R121" s="13"/>
      <c r="S121" s="13"/>
      <c r="T121" s="14"/>
      <c r="U121" s="15">
        <f t="shared" si="55"/>
        <v>0</v>
      </c>
      <c r="V121" s="32">
        <v>1119</v>
      </c>
      <c r="W121" s="13"/>
      <c r="X121" s="13"/>
      <c r="Y121" s="14"/>
      <c r="Z121" s="15">
        <f t="shared" si="56"/>
        <v>1119</v>
      </c>
      <c r="AA121" s="32">
        <v>1278</v>
      </c>
      <c r="AB121" s="13"/>
      <c r="AC121" s="13"/>
      <c r="AD121" s="14"/>
      <c r="AE121" s="15">
        <f t="shared" si="57"/>
        <v>1278</v>
      </c>
      <c r="AF121" s="32"/>
      <c r="AG121" s="13"/>
      <c r="AH121" s="13"/>
      <c r="AI121" s="14"/>
      <c r="AJ121" s="15">
        <f t="shared" si="58"/>
        <v>0</v>
      </c>
      <c r="AK121" s="32"/>
      <c r="AL121" s="13"/>
      <c r="AM121" s="13"/>
      <c r="AN121" s="14"/>
      <c r="AO121" s="15">
        <f t="shared" si="59"/>
        <v>0</v>
      </c>
      <c r="AP121" s="32">
        <v>158</v>
      </c>
      <c r="AQ121" s="13"/>
      <c r="AR121" s="13"/>
      <c r="AS121" s="14"/>
      <c r="AT121" s="15">
        <f t="shared" si="60"/>
        <v>158</v>
      </c>
      <c r="AU121" s="32">
        <v>369</v>
      </c>
      <c r="AV121" s="13"/>
      <c r="AW121" s="13"/>
      <c r="AX121" s="14"/>
      <c r="AY121" s="15">
        <f t="shared" si="61"/>
        <v>369</v>
      </c>
      <c r="AZ121" s="32">
        <v>782</v>
      </c>
      <c r="BA121" s="13"/>
      <c r="BB121" s="13"/>
      <c r="BC121" s="14"/>
      <c r="BD121" s="15">
        <f t="shared" si="62"/>
        <v>782</v>
      </c>
      <c r="BE121" s="32">
        <v>464</v>
      </c>
      <c r="BF121" s="13"/>
      <c r="BG121" s="13"/>
      <c r="BH121" s="14"/>
      <c r="BI121" s="15">
        <f t="shared" si="63"/>
        <v>464</v>
      </c>
      <c r="BJ121" s="32">
        <v>20</v>
      </c>
      <c r="BK121" s="13"/>
      <c r="BL121" s="13"/>
      <c r="BM121" s="14"/>
      <c r="BN121" s="15">
        <f t="shared" si="64"/>
        <v>20</v>
      </c>
      <c r="BO121" s="66">
        <f>SUM(G121,L121,Q121,V121,AA121,AF121,AK121,AP121,AU121,AZ121,BE121,BJ121)</f>
        <v>4190</v>
      </c>
      <c r="BP121" s="13">
        <f>SUM(H121,M121,R121,W121,AB121,AG121,AL121,AQ121,AV121,BA121,BF121,BK121)</f>
        <v>0</v>
      </c>
      <c r="BQ121" s="13">
        <f>SUM(I121,N121,S121,X121,AC121,AH121,AM121,AR121,AW121,BB121,BG121,BL121)</f>
        <v>0</v>
      </c>
      <c r="BR121" s="14">
        <f>SUM(J121,O121,T121,Y121,AD121,AI121,AN121,AS121,AX121,BC121,BH121,BM121)</f>
        <v>0</v>
      </c>
      <c r="BS121" s="33">
        <f t="shared" si="12"/>
        <v>4190</v>
      </c>
    </row>
    <row r="122" spans="2:71" x14ac:dyDescent="0.3">
      <c r="B122" s="269"/>
      <c r="C122" s="230"/>
      <c r="D122" s="233"/>
      <c r="E122" s="239"/>
      <c r="F122" s="121" t="s">
        <v>448</v>
      </c>
      <c r="G122" s="32"/>
      <c r="H122" s="13"/>
      <c r="I122" s="13"/>
      <c r="J122" s="14"/>
      <c r="K122" s="15">
        <f t="shared" si="82"/>
        <v>0</v>
      </c>
      <c r="L122" s="32"/>
      <c r="M122" s="13"/>
      <c r="N122" s="13"/>
      <c r="O122" s="14"/>
      <c r="P122" s="15">
        <f t="shared" si="54"/>
        <v>0</v>
      </c>
      <c r="Q122" s="32"/>
      <c r="R122" s="13"/>
      <c r="S122" s="13"/>
      <c r="T122" s="14"/>
      <c r="U122" s="15">
        <f t="shared" si="55"/>
        <v>0</v>
      </c>
      <c r="V122" s="193">
        <v>283</v>
      </c>
      <c r="W122" s="13"/>
      <c r="X122" s="13"/>
      <c r="Y122" s="14"/>
      <c r="Z122" s="15">
        <f t="shared" si="56"/>
        <v>283</v>
      </c>
      <c r="AA122" s="193">
        <v>313</v>
      </c>
      <c r="AB122" s="13"/>
      <c r="AC122" s="13"/>
      <c r="AD122" s="14"/>
      <c r="AE122" s="15">
        <f t="shared" si="57"/>
        <v>313</v>
      </c>
      <c r="AF122" s="32"/>
      <c r="AG122" s="13"/>
      <c r="AH122" s="13"/>
      <c r="AI122" s="14"/>
      <c r="AJ122" s="15">
        <f t="shared" si="58"/>
        <v>0</v>
      </c>
      <c r="AK122" s="32"/>
      <c r="AL122" s="13"/>
      <c r="AM122" s="13"/>
      <c r="AN122" s="14"/>
      <c r="AO122" s="15">
        <f t="shared" si="59"/>
        <v>0</v>
      </c>
      <c r="AP122" s="32">
        <v>75</v>
      </c>
      <c r="AQ122" s="13"/>
      <c r="AR122" s="13"/>
      <c r="AS122" s="14"/>
      <c r="AT122" s="15">
        <f t="shared" si="60"/>
        <v>75</v>
      </c>
      <c r="AU122" s="32">
        <v>132</v>
      </c>
      <c r="AV122" s="13"/>
      <c r="AW122" s="13"/>
      <c r="AX122" s="14"/>
      <c r="AY122" s="15">
        <f t="shared" si="61"/>
        <v>132</v>
      </c>
      <c r="AZ122" s="32">
        <v>195</v>
      </c>
      <c r="BA122" s="13"/>
      <c r="BB122" s="13"/>
      <c r="BC122" s="14"/>
      <c r="BD122" s="15">
        <f t="shared" si="62"/>
        <v>195</v>
      </c>
      <c r="BE122" s="32">
        <v>115</v>
      </c>
      <c r="BF122" s="13"/>
      <c r="BG122" s="13"/>
      <c r="BH122" s="14"/>
      <c r="BI122" s="15">
        <f t="shared" si="63"/>
        <v>115</v>
      </c>
      <c r="BJ122" s="32"/>
      <c r="BK122" s="13"/>
      <c r="BL122" s="13"/>
      <c r="BM122" s="14"/>
      <c r="BN122" s="15">
        <f t="shared" si="64"/>
        <v>0</v>
      </c>
      <c r="BO122" s="66">
        <f>SUM(G122,L122,Q122,V122,AA122,AF122,AK122,AP122,AU122,AZ122,BE122,BJ122)</f>
        <v>1113</v>
      </c>
      <c r="BP122" s="13">
        <f>SUM(H122,M122,R122,W122,AB122,AG122,AL122,AQ122,AV122,BA122,BF122,BK122)</f>
        <v>0</v>
      </c>
      <c r="BQ122" s="13">
        <f>SUM(I122,N122,S122,X122,AC122,AH122,AM122,AR122,AW122,BB122,BG122,BL122)</f>
        <v>0</v>
      </c>
      <c r="BR122" s="14">
        <f>SUM(J122,O122,T122,Y122,AD122,AI122,AN122,AS122,AX122,BC122,BH122,BM122)</f>
        <v>0</v>
      </c>
      <c r="BS122" s="33">
        <f t="shared" si="12"/>
        <v>1113</v>
      </c>
    </row>
    <row r="123" spans="2:71" x14ac:dyDescent="0.3">
      <c r="B123" s="269"/>
      <c r="C123" s="230"/>
      <c r="D123" s="233"/>
      <c r="E123" s="239"/>
      <c r="F123" s="124" t="s">
        <v>449</v>
      </c>
      <c r="G123" s="36"/>
      <c r="H123" s="10"/>
      <c r="I123" s="10"/>
      <c r="J123" s="11"/>
      <c r="K123" s="12">
        <f t="shared" si="0"/>
        <v>0</v>
      </c>
      <c r="L123" s="36"/>
      <c r="M123" s="10"/>
      <c r="N123" s="10"/>
      <c r="O123" s="11"/>
      <c r="P123" s="12">
        <f t="shared" si="54"/>
        <v>0</v>
      </c>
      <c r="Q123" s="36"/>
      <c r="R123" s="10"/>
      <c r="S123" s="10"/>
      <c r="T123" s="11"/>
      <c r="U123" s="12">
        <f t="shared" si="55"/>
        <v>0</v>
      </c>
      <c r="V123" s="36">
        <v>278</v>
      </c>
      <c r="W123" s="10"/>
      <c r="X123" s="10"/>
      <c r="Y123" s="11"/>
      <c r="Z123" s="12">
        <f t="shared" si="56"/>
        <v>278</v>
      </c>
      <c r="AA123" s="36">
        <v>312</v>
      </c>
      <c r="AB123" s="10"/>
      <c r="AC123" s="10"/>
      <c r="AD123" s="11"/>
      <c r="AE123" s="12">
        <f t="shared" si="57"/>
        <v>312</v>
      </c>
      <c r="AF123" s="36"/>
      <c r="AG123" s="10"/>
      <c r="AH123" s="10"/>
      <c r="AI123" s="11"/>
      <c r="AJ123" s="12">
        <f t="shared" si="58"/>
        <v>0</v>
      </c>
      <c r="AK123" s="36"/>
      <c r="AL123" s="10"/>
      <c r="AM123" s="10"/>
      <c r="AN123" s="11"/>
      <c r="AO123" s="12">
        <f t="shared" si="59"/>
        <v>0</v>
      </c>
      <c r="AP123" s="36">
        <v>75</v>
      </c>
      <c r="AQ123" s="10"/>
      <c r="AR123" s="10"/>
      <c r="AS123" s="11"/>
      <c r="AT123" s="12">
        <f t="shared" si="60"/>
        <v>75</v>
      </c>
      <c r="AU123" s="36">
        <v>132</v>
      </c>
      <c r="AV123" s="10"/>
      <c r="AW123" s="10"/>
      <c r="AX123" s="11"/>
      <c r="AY123" s="12">
        <f t="shared" si="61"/>
        <v>132</v>
      </c>
      <c r="AZ123" s="36">
        <v>195</v>
      </c>
      <c r="BA123" s="10"/>
      <c r="BB123" s="10"/>
      <c r="BC123" s="11"/>
      <c r="BD123" s="12">
        <f t="shared" si="62"/>
        <v>195</v>
      </c>
      <c r="BE123" s="36">
        <v>115</v>
      </c>
      <c r="BF123" s="10"/>
      <c r="BG123" s="10"/>
      <c r="BH123" s="11"/>
      <c r="BI123" s="12">
        <f t="shared" si="63"/>
        <v>115</v>
      </c>
      <c r="BJ123" s="36"/>
      <c r="BK123" s="10"/>
      <c r="BL123" s="10"/>
      <c r="BM123" s="11"/>
      <c r="BN123" s="12">
        <f t="shared" si="64"/>
        <v>0</v>
      </c>
      <c r="BO123" s="71">
        <f>SUM(G123,L123,Q123,V123,AA123,AF123,AK123,AP123,AU123,AZ123,BE123,BJ123)</f>
        <v>1107</v>
      </c>
      <c r="BP123" s="10">
        <f>SUM(H123,M123,R123,W123,AB123,AG123,AL123,AQ123,AV123,BA123,BF123,BK123)</f>
        <v>0</v>
      </c>
      <c r="BQ123" s="10">
        <f>SUM(I123,N123,S123,X123,AC123,AH123,AM123,AR123,AW123,BB123,BG123,BL123)</f>
        <v>0</v>
      </c>
      <c r="BR123" s="11">
        <f>SUM(J123,O123,T123,Y123,AD123,AI123,AN123,AS123,AX123,BC123,BH123,BM123)</f>
        <v>0</v>
      </c>
      <c r="BS123" s="37">
        <f t="shared" si="12"/>
        <v>1107</v>
      </c>
    </row>
    <row r="124" spans="2:71" x14ac:dyDescent="0.3">
      <c r="B124" s="269"/>
      <c r="C124" s="230"/>
      <c r="D124" s="233"/>
      <c r="E124" s="240"/>
      <c r="F124" s="125" t="s">
        <v>54</v>
      </c>
      <c r="G124" s="126">
        <f>SUM(G106:G123)</f>
        <v>1207</v>
      </c>
      <c r="H124" s="127">
        <f>SUM(H106:H123)</f>
        <v>25</v>
      </c>
      <c r="I124" s="127">
        <f>SUM(I106:I123)</f>
        <v>607</v>
      </c>
      <c r="J124" s="128">
        <f>SUM(J106:J123)</f>
        <v>0</v>
      </c>
      <c r="K124" s="129">
        <f t="shared" si="0"/>
        <v>1839</v>
      </c>
      <c r="L124" s="126">
        <f>SUM(L106:L123)</f>
        <v>2018</v>
      </c>
      <c r="M124" s="127">
        <f>SUM(M106:M123)</f>
        <v>24</v>
      </c>
      <c r="N124" s="127">
        <f>SUM(N106:N123)</f>
        <v>1009</v>
      </c>
      <c r="O124" s="128">
        <f>SUM(O106:O123)</f>
        <v>0</v>
      </c>
      <c r="P124" s="129">
        <f t="shared" si="54"/>
        <v>3051</v>
      </c>
      <c r="Q124" s="126">
        <f>SUM(Q106:Q123)</f>
        <v>472</v>
      </c>
      <c r="R124" s="127">
        <f>SUM(R106:R123)</f>
        <v>14</v>
      </c>
      <c r="S124" s="127">
        <f>SUM(S106:S123)</f>
        <v>294</v>
      </c>
      <c r="T124" s="128">
        <f>SUM(T106:T123)</f>
        <v>0</v>
      </c>
      <c r="U124" s="129">
        <f t="shared" si="55"/>
        <v>780</v>
      </c>
      <c r="V124" s="126">
        <f>SUM(V106:V123)</f>
        <v>2860</v>
      </c>
      <c r="W124" s="127">
        <f>SUM(W106:W123)</f>
        <v>16</v>
      </c>
      <c r="X124" s="127">
        <f>SUM(X106:X123)</f>
        <v>81</v>
      </c>
      <c r="Y124" s="128">
        <f>SUM(Y106:Y123)</f>
        <v>0</v>
      </c>
      <c r="Z124" s="129">
        <f t="shared" si="56"/>
        <v>2957</v>
      </c>
      <c r="AA124" s="126">
        <f>SUM(AA106:AA123)</f>
        <v>3205</v>
      </c>
      <c r="AB124" s="127">
        <f>SUM(AB106:AB123)</f>
        <v>6</v>
      </c>
      <c r="AC124" s="127">
        <f>SUM(AC106:AC123)</f>
        <v>98</v>
      </c>
      <c r="AD124" s="128">
        <f>SUM(AD106:AD123)</f>
        <v>0</v>
      </c>
      <c r="AE124" s="129">
        <f t="shared" si="57"/>
        <v>3309</v>
      </c>
      <c r="AF124" s="126">
        <f>SUM(AF106:AF123)</f>
        <v>133</v>
      </c>
      <c r="AG124" s="127">
        <f>SUM(AG106:AG123)</f>
        <v>15</v>
      </c>
      <c r="AH124" s="127">
        <f>SUM(AH106:AH123)</f>
        <v>217</v>
      </c>
      <c r="AI124" s="128">
        <f>SUM(AI106:AI123)</f>
        <v>0</v>
      </c>
      <c r="AJ124" s="129">
        <f t="shared" si="58"/>
        <v>365</v>
      </c>
      <c r="AK124" s="126">
        <f>SUM(AK106:AK123)</f>
        <v>27</v>
      </c>
      <c r="AL124" s="127">
        <f>SUM(AL106:AL123)</f>
        <v>18</v>
      </c>
      <c r="AM124" s="127">
        <f>SUM(AM106:AM123)</f>
        <v>46</v>
      </c>
      <c r="AN124" s="128">
        <f>SUM(AN106:AN123)</f>
        <v>0</v>
      </c>
      <c r="AO124" s="129">
        <f t="shared" si="59"/>
        <v>91</v>
      </c>
      <c r="AP124" s="126">
        <f>SUM(AP106:AP123)</f>
        <v>616</v>
      </c>
      <c r="AQ124" s="127">
        <f>SUM(AQ106:AQ123)</f>
        <v>5</v>
      </c>
      <c r="AR124" s="127">
        <f>SUM(AR106:AR123)</f>
        <v>43</v>
      </c>
      <c r="AS124" s="128">
        <f>SUM(AS106:AS123)</f>
        <v>0</v>
      </c>
      <c r="AT124" s="129">
        <f t="shared" si="60"/>
        <v>664</v>
      </c>
      <c r="AU124" s="126">
        <f>SUM(AU106:AU123)</f>
        <v>1418</v>
      </c>
      <c r="AV124" s="127">
        <f>SUM(AV106:AV123)</f>
        <v>6</v>
      </c>
      <c r="AW124" s="127">
        <f>SUM(AW106:AW123)</f>
        <v>114</v>
      </c>
      <c r="AX124" s="128">
        <f>SUM(AX106:AX123)</f>
        <v>0</v>
      </c>
      <c r="AY124" s="129">
        <f t="shared" si="61"/>
        <v>1538</v>
      </c>
      <c r="AZ124" s="126">
        <f>SUM(AZ106:AZ123)</f>
        <v>2868</v>
      </c>
      <c r="BA124" s="127">
        <f>SUM(BA106:BA123)</f>
        <v>26</v>
      </c>
      <c r="BB124" s="127">
        <f>SUM(BB106:BB123)</f>
        <v>207</v>
      </c>
      <c r="BC124" s="128">
        <f>SUM(BC106:BC123)</f>
        <v>0</v>
      </c>
      <c r="BD124" s="129">
        <f t="shared" si="62"/>
        <v>3101</v>
      </c>
      <c r="BE124" s="126">
        <f>SUM(BE106:BE123)</f>
        <v>1738</v>
      </c>
      <c r="BF124" s="127">
        <f>SUM(BF106:BF123)</f>
        <v>11</v>
      </c>
      <c r="BG124" s="127">
        <f>SUM(BG106:BG123)</f>
        <v>124</v>
      </c>
      <c r="BH124" s="128">
        <f>SUM(BH106:BH123)</f>
        <v>0</v>
      </c>
      <c r="BI124" s="129">
        <f t="shared" si="63"/>
        <v>1873</v>
      </c>
      <c r="BJ124" s="126">
        <f>SUM(BJ106:BJ123)</f>
        <v>96</v>
      </c>
      <c r="BK124" s="127">
        <f>SUM(BK106:BK123)</f>
        <v>14</v>
      </c>
      <c r="BL124" s="127">
        <f>SUM(BL106:BL123)</f>
        <v>54</v>
      </c>
      <c r="BM124" s="128">
        <f>SUM(BM106:BM123)</f>
        <v>0</v>
      </c>
      <c r="BN124" s="129">
        <f t="shared" si="64"/>
        <v>164</v>
      </c>
      <c r="BO124" s="131">
        <f>SUM(BO106:BO123)</f>
        <v>16658</v>
      </c>
      <c r="BP124" s="127">
        <f>SUM(BP106:BP123)</f>
        <v>180</v>
      </c>
      <c r="BQ124" s="127">
        <f>SUM(BQ106:BQ123)</f>
        <v>2894</v>
      </c>
      <c r="BR124" s="128">
        <f>SUM(BR106:BR123)</f>
        <v>0</v>
      </c>
      <c r="BS124" s="130">
        <f t="shared" si="12"/>
        <v>19732</v>
      </c>
    </row>
    <row r="125" spans="2:71" x14ac:dyDescent="0.3">
      <c r="B125" s="269"/>
      <c r="C125" s="230"/>
      <c r="D125" s="234"/>
      <c r="E125" s="236" t="s">
        <v>4</v>
      </c>
      <c r="F125" s="237"/>
      <c r="G125" s="38">
        <f>SUM(G23,G52,G67,G74,G81,G88,G95,G105,G124,G100)</f>
        <v>9258</v>
      </c>
      <c r="H125" s="19">
        <f>SUM(H23,H52,H67,H74,H81,H88,H95,H105,H124,H100)</f>
        <v>40</v>
      </c>
      <c r="I125" s="19">
        <f>SUM(I23,I52,I67,I74,I81,I88,I95,I105,I124,I100)</f>
        <v>756</v>
      </c>
      <c r="J125" s="20">
        <f>SUM(J23,J52,J67,J74,J81,J88,J95,J105,J124,J100)</f>
        <v>0</v>
      </c>
      <c r="K125" s="21">
        <f t="shared" si="0"/>
        <v>10054</v>
      </c>
      <c r="L125" s="38">
        <f>SUM(L23,L52,L67,L74,L81,L88,L95,L105,L124,L100)</f>
        <v>13344</v>
      </c>
      <c r="M125" s="19">
        <f>SUM(M23,M52,M67,M74,M81,M88,M95,M105,M124,M100)</f>
        <v>66</v>
      </c>
      <c r="N125" s="19">
        <f>SUM(N23,N52,N67,N74,N81,N88,N95,N105,N124,N100)</f>
        <v>1246</v>
      </c>
      <c r="O125" s="20">
        <f>SUM(O23,O52,O67,O74,O81,O88,O95,O105,O124,O100)</f>
        <v>0</v>
      </c>
      <c r="P125" s="21">
        <f t="shared" si="54"/>
        <v>14656</v>
      </c>
      <c r="Q125" s="38">
        <f>SUM(Q23,Q52,Q67,Q74,Q81,Q88,Q95,Q105,Q124,Q100)</f>
        <v>13539</v>
      </c>
      <c r="R125" s="19">
        <f>SUM(R23,R52,R67,R74,R81,R88,R95,R105,R124,R100)</f>
        <v>23</v>
      </c>
      <c r="S125" s="19">
        <f>SUM(S23,S52,S67,S74,S81,S88,S95,S105,S124,S100)</f>
        <v>435</v>
      </c>
      <c r="T125" s="20">
        <f>SUM(T23,T52,T67,T74,T81,T88,T95,T105,T124,T100)</f>
        <v>0</v>
      </c>
      <c r="U125" s="21">
        <f t="shared" si="55"/>
        <v>13997</v>
      </c>
      <c r="V125" s="38">
        <f>SUM(V23,V52,V67,V74,V81,V88,V95,V105,V124,V100)</f>
        <v>22381</v>
      </c>
      <c r="W125" s="19">
        <f>SUM(W23,W52,W67,W74,W81,W88,W95,W105,W124,W100)</f>
        <v>22</v>
      </c>
      <c r="X125" s="19">
        <f>SUM(X23,X52,X67,X74,X81,X88,X95,X105,X124,X100)</f>
        <v>242</v>
      </c>
      <c r="Y125" s="20">
        <f>SUM(Y23,Y52,Y67,Y74,Y81,Y88,Y95,Y105,Y124,Y100)</f>
        <v>0</v>
      </c>
      <c r="Z125" s="21">
        <f t="shared" si="56"/>
        <v>22645</v>
      </c>
      <c r="AA125" s="38">
        <f>SUM(AA23,AA52,AA67,AA74,AA81,AA88,AA95,AA105,AA124,AA100)</f>
        <v>18360</v>
      </c>
      <c r="AB125" s="19">
        <f>SUM(AB23,AB52,AB67,AB74,AB81,AB88,AB95,AB105,AB124,AB100)</f>
        <v>7</v>
      </c>
      <c r="AC125" s="19">
        <f>SUM(AC23,AC52,AC67,AC74,AC81,AC88,AC95,AC105,AC124,AC100)</f>
        <v>241</v>
      </c>
      <c r="AD125" s="20">
        <f>SUM(AD23,AD52,AD67,AD74,AD81,AD88,AD95,AD105,AD124,AD100)</f>
        <v>0</v>
      </c>
      <c r="AE125" s="21">
        <f t="shared" si="57"/>
        <v>18608</v>
      </c>
      <c r="AF125" s="38">
        <f>SUM(AF23,AF52,AF67,AF74,AF81,AF88,AF95,AF105,AF124,AF100)</f>
        <v>13691</v>
      </c>
      <c r="AG125" s="19">
        <f>SUM(AG23,AG52,AG67,AG74,AG81,AG88,AG95,AG105,AG124,AG100)</f>
        <v>23</v>
      </c>
      <c r="AH125" s="19">
        <f>SUM(AH23,AH52,AH67,AH74,AH81,AH88,AH95,AH105,AH124,AH100)</f>
        <v>378</v>
      </c>
      <c r="AI125" s="20">
        <f>SUM(AI23,AI52,AI67,AI74,AI81,AI88,AI95,AI105,AI124,AI100)</f>
        <v>0</v>
      </c>
      <c r="AJ125" s="21">
        <f t="shared" si="58"/>
        <v>14092</v>
      </c>
      <c r="AK125" s="38">
        <f>SUM(AK23,AK52,AK67,AK74,AK81,AK88,AK95,AK105,AK124,AK100)</f>
        <v>7072</v>
      </c>
      <c r="AL125" s="19">
        <f>SUM(AL23,AL52,AL67,AL74,AL81,AL88,AL95,AL105,AL124,AL100)</f>
        <v>36</v>
      </c>
      <c r="AM125" s="19">
        <f>SUM(AM23,AM52,AM67,AM74,AM81,AM88,AM95,AM105,AM124,AM100)</f>
        <v>211</v>
      </c>
      <c r="AN125" s="20">
        <f>SUM(AN23,AN52,AN67,AN74,AN81,AN88,AN95,AN105,AN124,AN100)</f>
        <v>0</v>
      </c>
      <c r="AO125" s="21">
        <f t="shared" si="59"/>
        <v>7319</v>
      </c>
      <c r="AP125" s="38">
        <f>SUM(AP23,AP52,AP67,AP74,AP81,AP88,AP95,AP105,AP124,AP100)</f>
        <v>13349</v>
      </c>
      <c r="AQ125" s="19">
        <f>SUM(AQ23,AQ52,AQ67,AQ74,AQ81,AQ88,AQ95,AQ105,AQ124,AQ100)</f>
        <v>26</v>
      </c>
      <c r="AR125" s="19">
        <f>SUM(AR23,AR52,AR67,AR74,AR81,AR88,AR95,AR105,AR124,AR100)</f>
        <v>294</v>
      </c>
      <c r="AS125" s="20">
        <f>SUM(AS23,AS52,AS67,AS74,AS81,AS88,AS95,AS105,AS124,AS100)</f>
        <v>0</v>
      </c>
      <c r="AT125" s="21">
        <f t="shared" si="60"/>
        <v>13669</v>
      </c>
      <c r="AU125" s="38">
        <f>SUM(AU23,AU52,AU67,AU74,AU81,AU88,AU95,AU105,AU124,AU100)</f>
        <v>20742</v>
      </c>
      <c r="AV125" s="19">
        <f>SUM(AV23,AV52,AV67,AV74,AV81,AV88,AV95,AV105,AV124,AV100)</f>
        <v>17</v>
      </c>
      <c r="AW125" s="19">
        <f>SUM(AW23,AW52,AW67,AW74,AW81,AW88,AW95,AW105,AW124,AW100)</f>
        <v>288</v>
      </c>
      <c r="AX125" s="20">
        <f>SUM(AX23,AX52,AX67,AX74,AX81,AX88,AX95,AX105,AX124,AX100)</f>
        <v>0</v>
      </c>
      <c r="AY125" s="21">
        <f t="shared" si="61"/>
        <v>21047</v>
      </c>
      <c r="AZ125" s="38">
        <f>SUM(AZ23,AZ52,AZ67,AZ74,AZ81,AZ88,AZ95,AZ105,AZ124,AZ100)</f>
        <v>40731</v>
      </c>
      <c r="BA125" s="19">
        <f>SUM(BA23,BA52,BA67,BA74,BA81,BA88,BA95,BA105,BA124,BA100)</f>
        <v>75</v>
      </c>
      <c r="BB125" s="19">
        <f>SUM(BB23,BB52,BB67,BB74,BB81,BB88,BB95,BB105,BB124,BB100)</f>
        <v>1159</v>
      </c>
      <c r="BC125" s="20">
        <f>SUM(BC23,BC52,BC67,BC74,BC81,BC88,BC95,BC105,BC124,BC100)</f>
        <v>0</v>
      </c>
      <c r="BD125" s="21">
        <f t="shared" si="62"/>
        <v>41965</v>
      </c>
      <c r="BE125" s="38">
        <f>SUM(BE23,BE52,BE67,BE74,BE81,BE88,BE95,BE105,BE124,BE100)</f>
        <v>26202</v>
      </c>
      <c r="BF125" s="19">
        <f>SUM(BF23,BF52,BF67,BF74,BF81,BF88,BF95,BF105,BF124,BF100)</f>
        <v>37</v>
      </c>
      <c r="BG125" s="19">
        <f>SUM(BG23,BG52,BG67,BG74,BG81,BG88,BG95,BG105,BG124,BG100)</f>
        <v>759</v>
      </c>
      <c r="BH125" s="20">
        <f>SUM(BH23,BH52,BH67,BH74,BH81,BH88,BH95,BH105,BH124,BH100)</f>
        <v>0</v>
      </c>
      <c r="BI125" s="21">
        <f t="shared" si="63"/>
        <v>26998</v>
      </c>
      <c r="BJ125" s="38">
        <f>SUM(BJ23,BJ52,BJ67,BJ74,BJ81,BJ88,BJ95,BJ105,BJ124,BJ100)</f>
        <v>8827</v>
      </c>
      <c r="BK125" s="19">
        <f>SUM(BK23,BK52,BK67,BK74,BK81,BK88,BK95,BK105,BK124,BK100)</f>
        <v>19</v>
      </c>
      <c r="BL125" s="19">
        <f>SUM(BL23,BL52,BL67,BL74,BL81,BL88,BL95,BL105,BL124,BL100)</f>
        <v>115</v>
      </c>
      <c r="BM125" s="20">
        <f>SUM(BM23,BM52,BM67,BM74,BM81,BM88,BM95,BM105,BM124,BM100)</f>
        <v>0</v>
      </c>
      <c r="BN125" s="21">
        <f t="shared" si="64"/>
        <v>8961</v>
      </c>
      <c r="BO125" s="38">
        <f>SUM(BO23,BO52,BO67,BO74,BO81,BO88,BO95,BO105,BO124,BO100)</f>
        <v>207496</v>
      </c>
      <c r="BP125" s="19">
        <f>SUM(BP23,BP52,BP67,BP74,BP81,BP88,BP95,BP105,BP124,BP100)</f>
        <v>391</v>
      </c>
      <c r="BQ125" s="19">
        <f>SUM(BQ23,BQ52,BQ67,BQ74,BQ81,BQ88,BQ95,BQ105,BQ124,BQ100)</f>
        <v>6124</v>
      </c>
      <c r="BR125" s="20">
        <f>SUM(BR23,BR52,BR67,BR74,BR81,BR88,BR95,BR105,BR124,BR100)</f>
        <v>0</v>
      </c>
      <c r="BS125" s="39">
        <f t="shared" si="12"/>
        <v>214011</v>
      </c>
    </row>
    <row r="126" spans="2:71" x14ac:dyDescent="0.3">
      <c r="B126" s="269"/>
      <c r="C126" s="231"/>
      <c r="D126" s="238" t="s">
        <v>4</v>
      </c>
      <c r="E126" s="238"/>
      <c r="F126" s="238"/>
      <c r="G126" s="40">
        <f>G125</f>
        <v>9258</v>
      </c>
      <c r="H126" s="22">
        <f>H125</f>
        <v>40</v>
      </c>
      <c r="I126" s="22">
        <f>I125</f>
        <v>756</v>
      </c>
      <c r="J126" s="23">
        <f>J125</f>
        <v>0</v>
      </c>
      <c r="K126" s="24">
        <f t="shared" ref="K126:K166" si="83">SUM(G126:J126)</f>
        <v>10054</v>
      </c>
      <c r="L126" s="40">
        <f>L125</f>
        <v>13344</v>
      </c>
      <c r="M126" s="22">
        <f>M125</f>
        <v>66</v>
      </c>
      <c r="N126" s="22">
        <f>N125</f>
        <v>1246</v>
      </c>
      <c r="O126" s="23">
        <f>O125</f>
        <v>0</v>
      </c>
      <c r="P126" s="24">
        <f t="shared" ref="P126:P164" si="84">SUM(L126:O126)</f>
        <v>14656</v>
      </c>
      <c r="Q126" s="40">
        <f>Q125</f>
        <v>13539</v>
      </c>
      <c r="R126" s="22">
        <f>R125</f>
        <v>23</v>
      </c>
      <c r="S126" s="22">
        <f>S125</f>
        <v>435</v>
      </c>
      <c r="T126" s="23">
        <f>T125</f>
        <v>0</v>
      </c>
      <c r="U126" s="24">
        <f t="shared" ref="U126:U164" si="85">SUM(Q126:T126)</f>
        <v>13997</v>
      </c>
      <c r="V126" s="40">
        <f>V125</f>
        <v>22381</v>
      </c>
      <c r="W126" s="22">
        <f>W125</f>
        <v>22</v>
      </c>
      <c r="X126" s="22">
        <f>X125</f>
        <v>242</v>
      </c>
      <c r="Y126" s="23">
        <f>Y125</f>
        <v>0</v>
      </c>
      <c r="Z126" s="24">
        <f t="shared" ref="Z126:Z164" si="86">SUM(V126:Y126)</f>
        <v>22645</v>
      </c>
      <c r="AA126" s="40">
        <f>AA125</f>
        <v>18360</v>
      </c>
      <c r="AB126" s="22">
        <f>AB125</f>
        <v>7</v>
      </c>
      <c r="AC126" s="22">
        <f>AC125</f>
        <v>241</v>
      </c>
      <c r="AD126" s="23">
        <f>AD125</f>
        <v>0</v>
      </c>
      <c r="AE126" s="24">
        <f t="shared" ref="AE126:AE164" si="87">SUM(AA126:AD126)</f>
        <v>18608</v>
      </c>
      <c r="AF126" s="40">
        <f>AF125</f>
        <v>13691</v>
      </c>
      <c r="AG126" s="22">
        <f>AG125</f>
        <v>23</v>
      </c>
      <c r="AH126" s="22">
        <f>AH125</f>
        <v>378</v>
      </c>
      <c r="AI126" s="23">
        <f>AI125</f>
        <v>0</v>
      </c>
      <c r="AJ126" s="24">
        <f t="shared" ref="AJ126:AJ164" si="88">SUM(AF126:AI126)</f>
        <v>14092</v>
      </c>
      <c r="AK126" s="40">
        <f>AK125</f>
        <v>7072</v>
      </c>
      <c r="AL126" s="22">
        <f>AL125</f>
        <v>36</v>
      </c>
      <c r="AM126" s="22">
        <f>AM125</f>
        <v>211</v>
      </c>
      <c r="AN126" s="23">
        <f>AN125</f>
        <v>0</v>
      </c>
      <c r="AO126" s="24">
        <f t="shared" ref="AO126:AO164" si="89">SUM(AK126:AN126)</f>
        <v>7319</v>
      </c>
      <c r="AP126" s="40">
        <f>AP125</f>
        <v>13349</v>
      </c>
      <c r="AQ126" s="22">
        <f>AQ125</f>
        <v>26</v>
      </c>
      <c r="AR126" s="22">
        <f>AR125</f>
        <v>294</v>
      </c>
      <c r="AS126" s="23">
        <f>AS125</f>
        <v>0</v>
      </c>
      <c r="AT126" s="24">
        <f t="shared" ref="AT126:AT164" si="90">SUM(AP126:AS126)</f>
        <v>13669</v>
      </c>
      <c r="AU126" s="40">
        <f>AU125</f>
        <v>20742</v>
      </c>
      <c r="AV126" s="22">
        <f>AV125</f>
        <v>17</v>
      </c>
      <c r="AW126" s="22">
        <f>AW125</f>
        <v>288</v>
      </c>
      <c r="AX126" s="23">
        <f>AX125</f>
        <v>0</v>
      </c>
      <c r="AY126" s="24">
        <f t="shared" ref="AY126:AY164" si="91">SUM(AU126:AX126)</f>
        <v>21047</v>
      </c>
      <c r="AZ126" s="40">
        <f>AZ125</f>
        <v>40731</v>
      </c>
      <c r="BA126" s="22">
        <f>BA125</f>
        <v>75</v>
      </c>
      <c r="BB126" s="22">
        <f>BB125</f>
        <v>1159</v>
      </c>
      <c r="BC126" s="23">
        <f>BC125</f>
        <v>0</v>
      </c>
      <c r="BD126" s="24">
        <f t="shared" ref="BD126:BD164" si="92">SUM(AZ126:BC126)</f>
        <v>41965</v>
      </c>
      <c r="BE126" s="40">
        <f>BE125</f>
        <v>26202</v>
      </c>
      <c r="BF126" s="22">
        <f>BF125</f>
        <v>37</v>
      </c>
      <c r="BG126" s="22">
        <f>BG125</f>
        <v>759</v>
      </c>
      <c r="BH126" s="23">
        <f>BH125</f>
        <v>0</v>
      </c>
      <c r="BI126" s="24">
        <f t="shared" ref="BI126:BI164" si="93">SUM(BE126:BH126)</f>
        <v>26998</v>
      </c>
      <c r="BJ126" s="40">
        <f>BJ125</f>
        <v>8827</v>
      </c>
      <c r="BK126" s="22">
        <f>BK125</f>
        <v>19</v>
      </c>
      <c r="BL126" s="22">
        <f>BL125</f>
        <v>115</v>
      </c>
      <c r="BM126" s="23">
        <f>BM125</f>
        <v>0</v>
      </c>
      <c r="BN126" s="24">
        <f t="shared" ref="BN126:BN164" si="94">SUM(BJ126:BM126)</f>
        <v>8961</v>
      </c>
      <c r="BO126" s="68">
        <f>BO125</f>
        <v>207496</v>
      </c>
      <c r="BP126" s="22">
        <f>BP125</f>
        <v>391</v>
      </c>
      <c r="BQ126" s="22">
        <f>BQ125</f>
        <v>6124</v>
      </c>
      <c r="BR126" s="23">
        <f>BR125</f>
        <v>0</v>
      </c>
      <c r="BS126" s="41">
        <f t="shared" ref="BS126:BS167" si="95">SUM(BO126:BR126)</f>
        <v>214011</v>
      </c>
    </row>
    <row r="127" spans="2:71" x14ac:dyDescent="0.3">
      <c r="B127" s="269"/>
      <c r="C127" s="230" t="s">
        <v>201</v>
      </c>
      <c r="D127" s="233" t="s">
        <v>201</v>
      </c>
      <c r="E127" s="239" t="s">
        <v>153</v>
      </c>
      <c r="F127" s="121" t="s">
        <v>154</v>
      </c>
      <c r="G127" s="32"/>
      <c r="H127" s="13"/>
      <c r="I127" s="13"/>
      <c r="J127" s="14"/>
      <c r="K127" s="15">
        <f t="shared" ref="K127:K128" si="96">SUM(G127:J127)</f>
        <v>0</v>
      </c>
      <c r="L127" s="32"/>
      <c r="M127" s="13"/>
      <c r="N127" s="13"/>
      <c r="O127" s="14"/>
      <c r="P127" s="15">
        <f t="shared" si="84"/>
        <v>0</v>
      </c>
      <c r="Q127" s="32">
        <f>304+2</f>
        <v>306</v>
      </c>
      <c r="R127" s="13">
        <v>2</v>
      </c>
      <c r="S127" s="13">
        <f>215+1</f>
        <v>216</v>
      </c>
      <c r="T127" s="14"/>
      <c r="U127" s="15">
        <f t="shared" si="85"/>
        <v>524</v>
      </c>
      <c r="V127" s="32">
        <v>297</v>
      </c>
      <c r="W127" s="13">
        <v>12</v>
      </c>
      <c r="X127" s="13">
        <v>322</v>
      </c>
      <c r="Y127" s="14"/>
      <c r="Z127" s="15">
        <f t="shared" si="86"/>
        <v>631</v>
      </c>
      <c r="AA127" s="32">
        <v>249</v>
      </c>
      <c r="AB127" s="13">
        <v>3</v>
      </c>
      <c r="AC127" s="13">
        <v>284</v>
      </c>
      <c r="AD127" s="14"/>
      <c r="AE127" s="15">
        <f t="shared" si="87"/>
        <v>536</v>
      </c>
      <c r="AF127" s="32">
        <v>259</v>
      </c>
      <c r="AG127" s="13">
        <v>4</v>
      </c>
      <c r="AH127" s="13">
        <v>194</v>
      </c>
      <c r="AI127" s="14"/>
      <c r="AJ127" s="15">
        <f t="shared" si="88"/>
        <v>457</v>
      </c>
      <c r="AK127" s="32"/>
      <c r="AL127" s="13"/>
      <c r="AM127" s="13"/>
      <c r="AN127" s="14"/>
      <c r="AO127" s="15">
        <f t="shared" si="89"/>
        <v>0</v>
      </c>
      <c r="AP127" s="32"/>
      <c r="AQ127" s="13"/>
      <c r="AR127" s="13"/>
      <c r="AS127" s="14"/>
      <c r="AT127" s="15">
        <f t="shared" si="90"/>
        <v>0</v>
      </c>
      <c r="AU127" s="32">
        <v>142</v>
      </c>
      <c r="AV127" s="13">
        <v>3</v>
      </c>
      <c r="AW127" s="13">
        <v>142</v>
      </c>
      <c r="AX127" s="14"/>
      <c r="AY127" s="15">
        <f t="shared" si="91"/>
        <v>287</v>
      </c>
      <c r="AZ127" s="32">
        <v>240</v>
      </c>
      <c r="BA127" s="13">
        <v>9</v>
      </c>
      <c r="BB127" s="13">
        <v>226</v>
      </c>
      <c r="BC127" s="14"/>
      <c r="BD127" s="15">
        <f t="shared" si="92"/>
        <v>475</v>
      </c>
      <c r="BE127" s="32">
        <v>85</v>
      </c>
      <c r="BF127" s="13">
        <v>3</v>
      </c>
      <c r="BG127" s="13">
        <v>123</v>
      </c>
      <c r="BH127" s="14"/>
      <c r="BI127" s="15">
        <f t="shared" si="93"/>
        <v>211</v>
      </c>
      <c r="BJ127" s="32">
        <v>30</v>
      </c>
      <c r="BK127" s="13">
        <v>7</v>
      </c>
      <c r="BL127" s="13">
        <v>45</v>
      </c>
      <c r="BM127" s="14"/>
      <c r="BN127" s="15">
        <f t="shared" si="94"/>
        <v>82</v>
      </c>
      <c r="BO127" s="66">
        <f>SUM(G127,L127,Q127,V127,AA127,AF127,AK127,AP127,AU127,AZ127,BE127,BJ127)</f>
        <v>1608</v>
      </c>
      <c r="BP127" s="13">
        <f>SUM(H127,M127,R127,W127,AB127,AG127,AL127,AQ127,AV127,BA127,BF127,BK127)</f>
        <v>43</v>
      </c>
      <c r="BQ127" s="13">
        <f>SUM(I127,N127,S127,X127,AC127,AH127,AM127,AR127,AW127,BB127,BG127,BL127)</f>
        <v>1552</v>
      </c>
      <c r="BR127" s="14">
        <f>SUM(J127,O127,T127,Y127,AD127,AI127,AN127,AS127,AX127,BC127,BH127,BM127)</f>
        <v>0</v>
      </c>
      <c r="BS127" s="33">
        <f t="shared" si="95"/>
        <v>3203</v>
      </c>
    </row>
    <row r="128" spans="2:71" x14ac:dyDescent="0.3">
      <c r="B128" s="269"/>
      <c r="C128" s="230"/>
      <c r="D128" s="233"/>
      <c r="E128" s="239"/>
      <c r="F128" s="121" t="s">
        <v>155</v>
      </c>
      <c r="G128" s="32"/>
      <c r="H128" s="13"/>
      <c r="I128" s="13"/>
      <c r="J128" s="14"/>
      <c r="K128" s="15">
        <f t="shared" si="96"/>
        <v>0</v>
      </c>
      <c r="L128" s="32"/>
      <c r="M128" s="13"/>
      <c r="N128" s="13"/>
      <c r="O128" s="14"/>
      <c r="P128" s="15">
        <f t="shared" si="84"/>
        <v>0</v>
      </c>
      <c r="Q128" s="32">
        <v>99</v>
      </c>
      <c r="R128" s="13">
        <v>2</v>
      </c>
      <c r="S128" s="13">
        <v>47</v>
      </c>
      <c r="T128" s="14"/>
      <c r="U128" s="15">
        <f t="shared" si="85"/>
        <v>148</v>
      </c>
      <c r="V128" s="32">
        <v>120</v>
      </c>
      <c r="W128" s="13">
        <v>3</v>
      </c>
      <c r="X128" s="13">
        <v>84</v>
      </c>
      <c r="Y128" s="14"/>
      <c r="Z128" s="15">
        <f t="shared" si="86"/>
        <v>207</v>
      </c>
      <c r="AA128" s="32">
        <v>64</v>
      </c>
      <c r="AB128" s="13">
        <v>1</v>
      </c>
      <c r="AC128" s="13">
        <v>74</v>
      </c>
      <c r="AD128" s="14"/>
      <c r="AE128" s="15">
        <f t="shared" si="87"/>
        <v>139</v>
      </c>
      <c r="AF128" s="32">
        <v>63</v>
      </c>
      <c r="AG128" s="13">
        <v>1</v>
      </c>
      <c r="AH128" s="13">
        <v>67</v>
      </c>
      <c r="AI128" s="14"/>
      <c r="AJ128" s="15">
        <f t="shared" si="88"/>
        <v>131</v>
      </c>
      <c r="AK128" s="32"/>
      <c r="AL128" s="13"/>
      <c r="AM128" s="13"/>
      <c r="AN128" s="14"/>
      <c r="AO128" s="15">
        <f t="shared" si="89"/>
        <v>0</v>
      </c>
      <c r="AP128" s="32"/>
      <c r="AQ128" s="13"/>
      <c r="AR128" s="13"/>
      <c r="AS128" s="14"/>
      <c r="AT128" s="15">
        <f t="shared" si="90"/>
        <v>0</v>
      </c>
      <c r="AU128" s="32">
        <v>44</v>
      </c>
      <c r="AV128" s="13"/>
      <c r="AW128" s="13">
        <v>40</v>
      </c>
      <c r="AX128" s="14"/>
      <c r="AY128" s="15">
        <f t="shared" si="91"/>
        <v>84</v>
      </c>
      <c r="AZ128" s="32">
        <v>59</v>
      </c>
      <c r="BA128" s="13">
        <v>4</v>
      </c>
      <c r="BB128" s="13">
        <v>54</v>
      </c>
      <c r="BC128" s="14"/>
      <c r="BD128" s="15">
        <f t="shared" si="92"/>
        <v>117</v>
      </c>
      <c r="BE128" s="32">
        <v>22</v>
      </c>
      <c r="BF128" s="13"/>
      <c r="BG128" s="13">
        <v>39</v>
      </c>
      <c r="BH128" s="14"/>
      <c r="BI128" s="15">
        <f t="shared" si="93"/>
        <v>61</v>
      </c>
      <c r="BJ128" s="32">
        <v>13</v>
      </c>
      <c r="BK128" s="13">
        <v>1</v>
      </c>
      <c r="BL128" s="13">
        <v>6</v>
      </c>
      <c r="BM128" s="14"/>
      <c r="BN128" s="15">
        <f t="shared" si="94"/>
        <v>20</v>
      </c>
      <c r="BO128" s="66">
        <f>SUM(G128,L128,Q128,V128,AA128,AF128,AK128,AP128,AU128,AZ128,BE128,BJ128)</f>
        <v>484</v>
      </c>
      <c r="BP128" s="13">
        <f>SUM(H128,M128,R128,W128,AB128,AG128,AL128,AQ128,AV128,BA128,BF128,BK128)</f>
        <v>12</v>
      </c>
      <c r="BQ128" s="13">
        <f>SUM(I128,N128,S128,X128,AC128,AH128,AM128,AR128,AW128,BB128,BG128,BL128)</f>
        <v>411</v>
      </c>
      <c r="BR128" s="14">
        <f>SUM(J128,O128,T128,Y128,AD128,AI128,AN128,AS128,AX128,BC128,BH128,BM128)</f>
        <v>0</v>
      </c>
      <c r="BS128" s="33">
        <f t="shared" si="95"/>
        <v>907</v>
      </c>
    </row>
    <row r="129" spans="2:71" x14ac:dyDescent="0.3">
      <c r="B129" s="269"/>
      <c r="C129" s="230"/>
      <c r="D129" s="233"/>
      <c r="E129" s="239"/>
      <c r="F129" s="121" t="s">
        <v>156</v>
      </c>
      <c r="G129" s="32"/>
      <c r="H129" s="13"/>
      <c r="I129" s="13"/>
      <c r="J129" s="14"/>
      <c r="K129" s="15">
        <f t="shared" ref="K129:K136" si="97">SUM(G129:J129)</f>
        <v>0</v>
      </c>
      <c r="L129" s="32"/>
      <c r="M129" s="13"/>
      <c r="N129" s="13"/>
      <c r="O129" s="14"/>
      <c r="P129" s="15">
        <f t="shared" si="84"/>
        <v>0</v>
      </c>
      <c r="Q129" s="32">
        <v>13</v>
      </c>
      <c r="R129" s="13">
        <v>1</v>
      </c>
      <c r="S129" s="13">
        <v>42</v>
      </c>
      <c r="T129" s="14"/>
      <c r="U129" s="15">
        <f t="shared" si="85"/>
        <v>56</v>
      </c>
      <c r="V129" s="32">
        <v>31</v>
      </c>
      <c r="W129" s="13">
        <v>4</v>
      </c>
      <c r="X129" s="13">
        <v>58</v>
      </c>
      <c r="Y129" s="14"/>
      <c r="Z129" s="15">
        <f t="shared" si="86"/>
        <v>93</v>
      </c>
      <c r="AA129" s="32">
        <v>17</v>
      </c>
      <c r="AB129" s="13">
        <v>1</v>
      </c>
      <c r="AC129" s="13">
        <v>53</v>
      </c>
      <c r="AD129" s="14"/>
      <c r="AE129" s="15">
        <f t="shared" si="87"/>
        <v>71</v>
      </c>
      <c r="AF129" s="32">
        <v>20</v>
      </c>
      <c r="AG129" s="13">
        <v>1</v>
      </c>
      <c r="AH129" s="13">
        <v>50</v>
      </c>
      <c r="AI129" s="14"/>
      <c r="AJ129" s="15">
        <f t="shared" si="88"/>
        <v>71</v>
      </c>
      <c r="AK129" s="32"/>
      <c r="AL129" s="13"/>
      <c r="AM129" s="13"/>
      <c r="AN129" s="14"/>
      <c r="AO129" s="15">
        <f t="shared" si="89"/>
        <v>0</v>
      </c>
      <c r="AP129" s="32"/>
      <c r="AQ129" s="13"/>
      <c r="AR129" s="13"/>
      <c r="AS129" s="14"/>
      <c r="AT129" s="15">
        <f t="shared" si="90"/>
        <v>0</v>
      </c>
      <c r="AU129" s="32">
        <v>5</v>
      </c>
      <c r="AV129" s="13"/>
      <c r="AW129" s="13">
        <v>30</v>
      </c>
      <c r="AX129" s="14"/>
      <c r="AY129" s="15">
        <f t="shared" si="91"/>
        <v>35</v>
      </c>
      <c r="AZ129" s="32">
        <v>26</v>
      </c>
      <c r="BA129" s="13">
        <v>1</v>
      </c>
      <c r="BB129" s="13">
        <v>59</v>
      </c>
      <c r="BC129" s="14"/>
      <c r="BD129" s="15">
        <f t="shared" si="92"/>
        <v>86</v>
      </c>
      <c r="BE129" s="32">
        <v>7</v>
      </c>
      <c r="BF129" s="13">
        <v>2</v>
      </c>
      <c r="BG129" s="13">
        <v>16</v>
      </c>
      <c r="BH129" s="14"/>
      <c r="BI129" s="15">
        <f t="shared" si="93"/>
        <v>25</v>
      </c>
      <c r="BJ129" s="32">
        <v>1</v>
      </c>
      <c r="BK129" s="13"/>
      <c r="BL129" s="13">
        <v>6</v>
      </c>
      <c r="BM129" s="14"/>
      <c r="BN129" s="15">
        <f t="shared" si="94"/>
        <v>7</v>
      </c>
      <c r="BO129" s="66">
        <f>SUM(G129,L129,Q129,V129,AA129,AF129,AK129,AP129,AU129,AZ129,BE129,BJ129)</f>
        <v>120</v>
      </c>
      <c r="BP129" s="13">
        <f>SUM(H129,M129,R129,W129,AB129,AG129,AL129,AQ129,AV129,BA129,BF129,BK129)</f>
        <v>10</v>
      </c>
      <c r="BQ129" s="13">
        <f>SUM(I129,N129,S129,X129,AC129,AH129,AM129,AR129,AW129,BB129,BG129,BL129)</f>
        <v>314</v>
      </c>
      <c r="BR129" s="14">
        <f>SUM(J129,O129,T129,Y129,AD129,AI129,AN129,AS129,AX129,BC129,BH129,BM129)</f>
        <v>0</v>
      </c>
      <c r="BS129" s="33">
        <f t="shared" si="95"/>
        <v>444</v>
      </c>
    </row>
    <row r="130" spans="2:71" x14ac:dyDescent="0.3">
      <c r="B130" s="269"/>
      <c r="C130" s="230"/>
      <c r="D130" s="233"/>
      <c r="E130" s="239"/>
      <c r="F130" s="121" t="s">
        <v>157</v>
      </c>
      <c r="G130" s="32"/>
      <c r="H130" s="13"/>
      <c r="I130" s="13"/>
      <c r="J130" s="14"/>
      <c r="K130" s="15">
        <f t="shared" si="97"/>
        <v>0</v>
      </c>
      <c r="L130" s="32"/>
      <c r="M130" s="13"/>
      <c r="N130" s="13"/>
      <c r="O130" s="14"/>
      <c r="P130" s="15">
        <f t="shared" si="84"/>
        <v>0</v>
      </c>
      <c r="Q130" s="32">
        <v>6</v>
      </c>
      <c r="R130" s="13"/>
      <c r="S130" s="13">
        <v>13</v>
      </c>
      <c r="T130" s="14"/>
      <c r="U130" s="15">
        <f t="shared" si="85"/>
        <v>19</v>
      </c>
      <c r="V130" s="32">
        <v>9</v>
      </c>
      <c r="W130" s="13">
        <v>1</v>
      </c>
      <c r="X130" s="13">
        <v>18</v>
      </c>
      <c r="Y130" s="14"/>
      <c r="Z130" s="15">
        <f t="shared" si="86"/>
        <v>28</v>
      </c>
      <c r="AA130" s="32">
        <v>3</v>
      </c>
      <c r="AB130" s="13"/>
      <c r="AC130" s="13">
        <v>8</v>
      </c>
      <c r="AD130" s="14"/>
      <c r="AE130" s="15">
        <f t="shared" si="87"/>
        <v>11</v>
      </c>
      <c r="AF130" s="32">
        <v>2</v>
      </c>
      <c r="AG130" s="13"/>
      <c r="AH130" s="13">
        <v>9</v>
      </c>
      <c r="AI130" s="14"/>
      <c r="AJ130" s="15">
        <f t="shared" si="88"/>
        <v>11</v>
      </c>
      <c r="AK130" s="32"/>
      <c r="AL130" s="13"/>
      <c r="AM130" s="13"/>
      <c r="AN130" s="14"/>
      <c r="AO130" s="15">
        <f t="shared" si="89"/>
        <v>0</v>
      </c>
      <c r="AP130" s="32"/>
      <c r="AQ130" s="13"/>
      <c r="AR130" s="13"/>
      <c r="AS130" s="14"/>
      <c r="AT130" s="15">
        <f t="shared" si="90"/>
        <v>0</v>
      </c>
      <c r="AU130" s="32">
        <v>3</v>
      </c>
      <c r="AV130" s="13">
        <v>1</v>
      </c>
      <c r="AW130" s="13">
        <v>13</v>
      </c>
      <c r="AX130" s="14"/>
      <c r="AY130" s="15">
        <f t="shared" si="91"/>
        <v>17</v>
      </c>
      <c r="AZ130" s="32">
        <v>8</v>
      </c>
      <c r="BA130" s="13"/>
      <c r="BB130" s="13">
        <v>11</v>
      </c>
      <c r="BC130" s="14"/>
      <c r="BD130" s="15">
        <f t="shared" si="92"/>
        <v>19</v>
      </c>
      <c r="BE130" s="32">
        <v>1</v>
      </c>
      <c r="BF130" s="13"/>
      <c r="BG130" s="13">
        <v>3</v>
      </c>
      <c r="BH130" s="14"/>
      <c r="BI130" s="15">
        <f t="shared" si="93"/>
        <v>4</v>
      </c>
      <c r="BJ130" s="32">
        <v>4</v>
      </c>
      <c r="BK130" s="13"/>
      <c r="BL130" s="13">
        <v>1</v>
      </c>
      <c r="BM130" s="14"/>
      <c r="BN130" s="15">
        <f t="shared" si="94"/>
        <v>5</v>
      </c>
      <c r="BO130" s="66">
        <f>SUM(G130,L130,Q130,V130,AA130,AF130,AK130,AP130,AU130,AZ130,BE130,BJ130)</f>
        <v>36</v>
      </c>
      <c r="BP130" s="13">
        <f>SUM(H130,M130,R130,W130,AB130,AG130,AL130,AQ130,AV130,BA130,BF130,BK130)</f>
        <v>2</v>
      </c>
      <c r="BQ130" s="13">
        <f>SUM(I130,N130,S130,X130,AC130,AH130,AM130,AR130,AW130,BB130,BG130,BL130)</f>
        <v>76</v>
      </c>
      <c r="BR130" s="14">
        <f>SUM(J130,O130,T130,Y130,AD130,AI130,AN130,AS130,AX130,BC130,BH130,BM130)</f>
        <v>0</v>
      </c>
      <c r="BS130" s="33">
        <f t="shared" si="95"/>
        <v>114</v>
      </c>
    </row>
    <row r="131" spans="2:71" x14ac:dyDescent="0.3">
      <c r="B131" s="269"/>
      <c r="C131" s="230"/>
      <c r="D131" s="233"/>
      <c r="E131" s="239"/>
      <c r="F131" s="121" t="s">
        <v>203</v>
      </c>
      <c r="G131" s="32">
        <v>640</v>
      </c>
      <c r="H131" s="13">
        <v>28</v>
      </c>
      <c r="I131" s="13">
        <v>214</v>
      </c>
      <c r="J131" s="14"/>
      <c r="K131" s="15">
        <f t="shared" si="97"/>
        <v>882</v>
      </c>
      <c r="L131" s="32">
        <v>640</v>
      </c>
      <c r="M131" s="13">
        <v>66</v>
      </c>
      <c r="N131" s="13">
        <v>373</v>
      </c>
      <c r="O131" s="14"/>
      <c r="P131" s="15">
        <f t="shared" si="84"/>
        <v>1079</v>
      </c>
      <c r="Q131" s="32">
        <v>87</v>
      </c>
      <c r="R131" s="13">
        <v>4</v>
      </c>
      <c r="S131" s="13">
        <v>85</v>
      </c>
      <c r="T131" s="14"/>
      <c r="U131" s="15">
        <f t="shared" si="85"/>
        <v>176</v>
      </c>
      <c r="V131" s="32"/>
      <c r="W131" s="13"/>
      <c r="X131" s="13"/>
      <c r="Y131" s="14"/>
      <c r="Z131" s="15">
        <f t="shared" si="86"/>
        <v>0</v>
      </c>
      <c r="AA131" s="32"/>
      <c r="AB131" s="13"/>
      <c r="AC131" s="13"/>
      <c r="AD131" s="14"/>
      <c r="AE131" s="15">
        <f t="shared" si="87"/>
        <v>0</v>
      </c>
      <c r="AF131" s="32"/>
      <c r="AG131" s="13"/>
      <c r="AH131" s="13"/>
      <c r="AI131" s="14"/>
      <c r="AJ131" s="15">
        <f t="shared" si="88"/>
        <v>0</v>
      </c>
      <c r="AK131" s="32">
        <v>238</v>
      </c>
      <c r="AL131" s="13">
        <v>17</v>
      </c>
      <c r="AM131" s="13">
        <v>377</v>
      </c>
      <c r="AN131" s="14"/>
      <c r="AO131" s="15">
        <f t="shared" si="89"/>
        <v>632</v>
      </c>
      <c r="AP131" s="32">
        <v>158</v>
      </c>
      <c r="AQ131" s="13">
        <v>9</v>
      </c>
      <c r="AR131" s="13">
        <v>373</v>
      </c>
      <c r="AS131" s="14"/>
      <c r="AT131" s="15">
        <f t="shared" si="90"/>
        <v>540</v>
      </c>
      <c r="AU131" s="32"/>
      <c r="AV131" s="13"/>
      <c r="AW131" s="13">
        <v>2</v>
      </c>
      <c r="AX131" s="14"/>
      <c r="AY131" s="15">
        <f t="shared" si="91"/>
        <v>2</v>
      </c>
      <c r="AZ131" s="32"/>
      <c r="BA131" s="13"/>
      <c r="BB131" s="13"/>
      <c r="BC131" s="14"/>
      <c r="BD131" s="15">
        <f t="shared" si="92"/>
        <v>0</v>
      </c>
      <c r="BE131" s="32"/>
      <c r="BF131" s="13"/>
      <c r="BG131" s="13"/>
      <c r="BH131" s="14"/>
      <c r="BI131" s="15">
        <f t="shared" si="93"/>
        <v>0</v>
      </c>
      <c r="BJ131" s="32"/>
      <c r="BK131" s="13"/>
      <c r="BL131" s="13"/>
      <c r="BM131" s="14"/>
      <c r="BN131" s="15">
        <f t="shared" si="94"/>
        <v>0</v>
      </c>
      <c r="BO131" s="66">
        <f>SUM(G131,L131,Q131,V131,AA131,AF131,AK131,AP131,AU131,AZ131,BE131,BJ131)</f>
        <v>1763</v>
      </c>
      <c r="BP131" s="13">
        <f>SUM(H131,M131,R131,W131,AB131,AG131,AL131,AQ131,AV131,BA131,BF131,BK131)</f>
        <v>124</v>
      </c>
      <c r="BQ131" s="13">
        <f>SUM(I131,N131,S131,X131,AC131,AH131,AM131,AR131,AW131,BB131,BG131,BL131)</f>
        <v>1424</v>
      </c>
      <c r="BR131" s="14">
        <f>SUM(J131,O131,T131,Y131,AD131,AI131,AN131,AS131,AX131,BC131,BH131,BM131)</f>
        <v>0</v>
      </c>
      <c r="BS131" s="33">
        <f t="shared" si="95"/>
        <v>3311</v>
      </c>
    </row>
    <row r="132" spans="2:71" x14ac:dyDescent="0.3">
      <c r="B132" s="269"/>
      <c r="C132" s="230"/>
      <c r="D132" s="233"/>
      <c r="E132" s="239"/>
      <c r="F132" s="121" t="s">
        <v>204</v>
      </c>
      <c r="G132" s="32">
        <v>67</v>
      </c>
      <c r="H132" s="13">
        <v>1</v>
      </c>
      <c r="I132" s="13">
        <v>7</v>
      </c>
      <c r="J132" s="14"/>
      <c r="K132" s="15">
        <f t="shared" si="97"/>
        <v>75</v>
      </c>
      <c r="L132" s="32">
        <v>99</v>
      </c>
      <c r="M132" s="13">
        <v>2</v>
      </c>
      <c r="N132" s="13">
        <v>38</v>
      </c>
      <c r="O132" s="14"/>
      <c r="P132" s="15">
        <f t="shared" si="84"/>
        <v>139</v>
      </c>
      <c r="Q132" s="32">
        <v>12</v>
      </c>
      <c r="R132" s="13">
        <v>2</v>
      </c>
      <c r="S132" s="13">
        <v>4</v>
      </c>
      <c r="T132" s="14"/>
      <c r="U132" s="15">
        <f t="shared" si="85"/>
        <v>18</v>
      </c>
      <c r="V132" s="32"/>
      <c r="W132" s="13"/>
      <c r="X132" s="13"/>
      <c r="Y132" s="14"/>
      <c r="Z132" s="15">
        <f t="shared" si="86"/>
        <v>0</v>
      </c>
      <c r="AA132" s="32"/>
      <c r="AB132" s="13"/>
      <c r="AC132" s="13"/>
      <c r="AD132" s="14"/>
      <c r="AE132" s="15">
        <f t="shared" si="87"/>
        <v>0</v>
      </c>
      <c r="AF132" s="32"/>
      <c r="AG132" s="13"/>
      <c r="AH132" s="13"/>
      <c r="AI132" s="14"/>
      <c r="AJ132" s="15">
        <f t="shared" si="88"/>
        <v>0</v>
      </c>
      <c r="AK132" s="32">
        <v>62</v>
      </c>
      <c r="AL132" s="13">
        <v>2</v>
      </c>
      <c r="AM132" s="13">
        <v>100</v>
      </c>
      <c r="AN132" s="14"/>
      <c r="AO132" s="15">
        <f t="shared" si="89"/>
        <v>164</v>
      </c>
      <c r="AP132" s="32">
        <v>64</v>
      </c>
      <c r="AQ132" s="13">
        <v>3</v>
      </c>
      <c r="AR132" s="13">
        <v>164</v>
      </c>
      <c r="AS132" s="14"/>
      <c r="AT132" s="15">
        <f t="shared" si="90"/>
        <v>231</v>
      </c>
      <c r="AU132" s="32"/>
      <c r="AV132" s="13"/>
      <c r="AW132" s="13"/>
      <c r="AX132" s="14"/>
      <c r="AY132" s="15">
        <f t="shared" si="91"/>
        <v>0</v>
      </c>
      <c r="AZ132" s="32"/>
      <c r="BA132" s="13"/>
      <c r="BB132" s="13"/>
      <c r="BC132" s="14"/>
      <c r="BD132" s="15">
        <f t="shared" si="92"/>
        <v>0</v>
      </c>
      <c r="BE132" s="32"/>
      <c r="BF132" s="13"/>
      <c r="BG132" s="13"/>
      <c r="BH132" s="14"/>
      <c r="BI132" s="15">
        <f t="shared" si="93"/>
        <v>0</v>
      </c>
      <c r="BJ132" s="32"/>
      <c r="BK132" s="13"/>
      <c r="BL132" s="13"/>
      <c r="BM132" s="14"/>
      <c r="BN132" s="15">
        <f t="shared" si="94"/>
        <v>0</v>
      </c>
      <c r="BO132" s="66">
        <f>SUM(G132,L132,Q132,V132,AA132,AF132,AK132,AP132,AU132,AZ132,BE132,BJ132)</f>
        <v>304</v>
      </c>
      <c r="BP132" s="13">
        <f>SUM(H132,M132,R132,W132,AB132,AG132,AL132,AQ132,AV132,BA132,BF132,BK132)</f>
        <v>10</v>
      </c>
      <c r="BQ132" s="13">
        <f>SUM(I132,N132,S132,X132,AC132,AH132,AM132,AR132,AW132,BB132,BG132,BL132)</f>
        <v>313</v>
      </c>
      <c r="BR132" s="14">
        <f>SUM(J132,O132,T132,Y132,AD132,AI132,AN132,AS132,AX132,BC132,BH132,BM132)</f>
        <v>0</v>
      </c>
      <c r="BS132" s="33">
        <f t="shared" si="95"/>
        <v>627</v>
      </c>
    </row>
    <row r="133" spans="2:71" x14ac:dyDescent="0.3">
      <c r="B133" s="269"/>
      <c r="C133" s="230"/>
      <c r="D133" s="233"/>
      <c r="E133" s="239"/>
      <c r="F133" s="121" t="s">
        <v>205</v>
      </c>
      <c r="G133" s="32">
        <v>74</v>
      </c>
      <c r="H133" s="13">
        <v>5</v>
      </c>
      <c r="I133" s="13">
        <v>87</v>
      </c>
      <c r="J133" s="14"/>
      <c r="K133" s="15">
        <f t="shared" si="97"/>
        <v>166</v>
      </c>
      <c r="L133" s="32">
        <v>52</v>
      </c>
      <c r="M133" s="13">
        <v>16</v>
      </c>
      <c r="N133" s="13">
        <v>139</v>
      </c>
      <c r="O133" s="14"/>
      <c r="P133" s="15">
        <f t="shared" si="84"/>
        <v>207</v>
      </c>
      <c r="Q133" s="32">
        <v>7</v>
      </c>
      <c r="R133" s="13">
        <v>2</v>
      </c>
      <c r="S133" s="13">
        <v>40</v>
      </c>
      <c r="T133" s="14"/>
      <c r="U133" s="15">
        <f t="shared" si="85"/>
        <v>49</v>
      </c>
      <c r="V133" s="32"/>
      <c r="W133" s="13"/>
      <c r="X133" s="13"/>
      <c r="Y133" s="14"/>
      <c r="Z133" s="15">
        <f t="shared" si="86"/>
        <v>0</v>
      </c>
      <c r="AA133" s="32"/>
      <c r="AB133" s="13"/>
      <c r="AC133" s="13"/>
      <c r="AD133" s="14"/>
      <c r="AE133" s="15">
        <f t="shared" si="87"/>
        <v>0</v>
      </c>
      <c r="AF133" s="32"/>
      <c r="AG133" s="13"/>
      <c r="AH133" s="13"/>
      <c r="AI133" s="14"/>
      <c r="AJ133" s="15">
        <f t="shared" si="88"/>
        <v>0</v>
      </c>
      <c r="AK133" s="32">
        <v>13</v>
      </c>
      <c r="AL133" s="13">
        <v>6</v>
      </c>
      <c r="AM133" s="13">
        <v>96</v>
      </c>
      <c r="AN133" s="14"/>
      <c r="AO133" s="15">
        <f t="shared" si="89"/>
        <v>115</v>
      </c>
      <c r="AP133" s="32">
        <v>16</v>
      </c>
      <c r="AQ133" s="13"/>
      <c r="AR133" s="13">
        <v>59</v>
      </c>
      <c r="AS133" s="14"/>
      <c r="AT133" s="15">
        <f t="shared" si="90"/>
        <v>75</v>
      </c>
      <c r="AU133" s="32"/>
      <c r="AV133" s="13"/>
      <c r="AW133" s="13">
        <v>1</v>
      </c>
      <c r="AX133" s="14"/>
      <c r="AY133" s="15">
        <f t="shared" si="91"/>
        <v>1</v>
      </c>
      <c r="AZ133" s="32"/>
      <c r="BA133" s="13"/>
      <c r="BB133" s="13"/>
      <c r="BC133" s="14"/>
      <c r="BD133" s="15">
        <f t="shared" si="92"/>
        <v>0</v>
      </c>
      <c r="BE133" s="32"/>
      <c r="BF133" s="13"/>
      <c r="BG133" s="13"/>
      <c r="BH133" s="14"/>
      <c r="BI133" s="15">
        <f t="shared" si="93"/>
        <v>0</v>
      </c>
      <c r="BJ133" s="32"/>
      <c r="BK133" s="13"/>
      <c r="BL133" s="13"/>
      <c r="BM133" s="14"/>
      <c r="BN133" s="15">
        <f t="shared" si="94"/>
        <v>0</v>
      </c>
      <c r="BO133" s="66">
        <f>SUM(G133,L133,Q133,V133,AA133,AF133,AK133,AP133,AU133,AZ133,BE133,BJ133)</f>
        <v>162</v>
      </c>
      <c r="BP133" s="13">
        <f>SUM(H133,M133,R133,W133,AB133,AG133,AL133,AQ133,AV133,BA133,BF133,BK133)</f>
        <v>29</v>
      </c>
      <c r="BQ133" s="13">
        <f>SUM(I133,N133,S133,X133,AC133,AH133,AM133,AR133,AW133,BB133,BG133,BL133)</f>
        <v>422</v>
      </c>
      <c r="BR133" s="14">
        <f>SUM(J133,O133,T133,Y133,AD133,AI133,AN133,AS133,AX133,BC133,BH133,BM133)</f>
        <v>0</v>
      </c>
      <c r="BS133" s="33">
        <f t="shared" si="95"/>
        <v>613</v>
      </c>
    </row>
    <row r="134" spans="2:71" x14ac:dyDescent="0.3">
      <c r="B134" s="269"/>
      <c r="C134" s="230"/>
      <c r="D134" s="233"/>
      <c r="E134" s="239"/>
      <c r="F134" s="132" t="s">
        <v>206</v>
      </c>
      <c r="G134" s="44">
        <v>14</v>
      </c>
      <c r="H134" s="45"/>
      <c r="I134" s="45">
        <v>9</v>
      </c>
      <c r="J134" s="46"/>
      <c r="K134" s="47">
        <f t="shared" si="97"/>
        <v>23</v>
      </c>
      <c r="L134" s="44">
        <v>15</v>
      </c>
      <c r="M134" s="45"/>
      <c r="N134" s="45">
        <v>11</v>
      </c>
      <c r="O134" s="46"/>
      <c r="P134" s="47">
        <f t="shared" si="84"/>
        <v>26</v>
      </c>
      <c r="Q134" s="44">
        <v>3</v>
      </c>
      <c r="R134" s="45">
        <v>1</v>
      </c>
      <c r="S134" s="45"/>
      <c r="T134" s="46"/>
      <c r="U134" s="47">
        <f t="shared" si="85"/>
        <v>4</v>
      </c>
      <c r="V134" s="44"/>
      <c r="W134" s="45"/>
      <c r="X134" s="45"/>
      <c r="Y134" s="46"/>
      <c r="Z134" s="47">
        <f t="shared" si="86"/>
        <v>0</v>
      </c>
      <c r="AA134" s="44"/>
      <c r="AB134" s="45"/>
      <c r="AC134" s="45"/>
      <c r="AD134" s="46"/>
      <c r="AE134" s="47">
        <f t="shared" si="87"/>
        <v>0</v>
      </c>
      <c r="AF134" s="44"/>
      <c r="AG134" s="45"/>
      <c r="AH134" s="45"/>
      <c r="AI134" s="46"/>
      <c r="AJ134" s="47">
        <f t="shared" si="88"/>
        <v>0</v>
      </c>
      <c r="AK134" s="44">
        <v>4</v>
      </c>
      <c r="AL134" s="45">
        <v>3</v>
      </c>
      <c r="AM134" s="45">
        <v>21</v>
      </c>
      <c r="AN134" s="46"/>
      <c r="AO134" s="47">
        <f t="shared" si="89"/>
        <v>28</v>
      </c>
      <c r="AP134" s="44">
        <v>8</v>
      </c>
      <c r="AQ134" s="45">
        <v>1</v>
      </c>
      <c r="AR134" s="45">
        <v>38</v>
      </c>
      <c r="AS134" s="46"/>
      <c r="AT134" s="47">
        <f t="shared" si="90"/>
        <v>47</v>
      </c>
      <c r="AU134" s="44"/>
      <c r="AV134" s="45"/>
      <c r="AW134" s="45"/>
      <c r="AX134" s="46"/>
      <c r="AY134" s="47">
        <f t="shared" si="91"/>
        <v>0</v>
      </c>
      <c r="AZ134" s="44"/>
      <c r="BA134" s="45"/>
      <c r="BB134" s="45"/>
      <c r="BC134" s="46"/>
      <c r="BD134" s="47">
        <f t="shared" si="92"/>
        <v>0</v>
      </c>
      <c r="BE134" s="44"/>
      <c r="BF134" s="45"/>
      <c r="BG134" s="45"/>
      <c r="BH134" s="46"/>
      <c r="BI134" s="47">
        <f t="shared" si="93"/>
        <v>0</v>
      </c>
      <c r="BJ134" s="44"/>
      <c r="BK134" s="45"/>
      <c r="BL134" s="45"/>
      <c r="BM134" s="46"/>
      <c r="BN134" s="47">
        <f t="shared" si="94"/>
        <v>0</v>
      </c>
      <c r="BO134" s="67">
        <f>SUM(G134,L134,Q134,V134,AA134,AF134,AK134,AP134,AU134,AZ134,BE134,BJ134)</f>
        <v>44</v>
      </c>
      <c r="BP134" s="45">
        <f>SUM(H134,M134,R134,W134,AB134,AG134,AL134,AQ134,AV134,BA134,BF134,BK134)</f>
        <v>5</v>
      </c>
      <c r="BQ134" s="45">
        <f>SUM(I134,N134,S134,X134,AC134,AH134,AM134,AR134,AW134,BB134,BG134,BL134)</f>
        <v>79</v>
      </c>
      <c r="BR134" s="46">
        <f>SUM(J134,O134,T134,Y134,AD134,AI134,AN134,AS134,AX134,BC134,BH134,BM134)</f>
        <v>0</v>
      </c>
      <c r="BS134" s="48">
        <f t="shared" si="95"/>
        <v>128</v>
      </c>
    </row>
    <row r="135" spans="2:71" x14ac:dyDescent="0.3">
      <c r="B135" s="269"/>
      <c r="C135" s="230"/>
      <c r="D135" s="233"/>
      <c r="E135" s="239"/>
      <c r="F135" s="123" t="s">
        <v>450</v>
      </c>
      <c r="G135" s="34"/>
      <c r="H135" s="16"/>
      <c r="I135" s="16"/>
      <c r="J135" s="17"/>
      <c r="K135" s="18">
        <f t="shared" si="97"/>
        <v>0</v>
      </c>
      <c r="L135" s="34"/>
      <c r="M135" s="16"/>
      <c r="N135" s="16"/>
      <c r="O135" s="17"/>
      <c r="P135" s="18">
        <f t="shared" si="84"/>
        <v>0</v>
      </c>
      <c r="Q135" s="34"/>
      <c r="R135" s="16"/>
      <c r="S135" s="16"/>
      <c r="T135" s="17"/>
      <c r="U135" s="18">
        <f t="shared" si="85"/>
        <v>0</v>
      </c>
      <c r="V135" s="34"/>
      <c r="W135" s="16"/>
      <c r="X135" s="16"/>
      <c r="Y135" s="17"/>
      <c r="Z135" s="18">
        <f t="shared" si="86"/>
        <v>0</v>
      </c>
      <c r="AA135" s="34"/>
      <c r="AB135" s="16"/>
      <c r="AC135" s="16"/>
      <c r="AD135" s="17"/>
      <c r="AE135" s="18">
        <f t="shared" si="87"/>
        <v>0</v>
      </c>
      <c r="AF135" s="34"/>
      <c r="AG135" s="16"/>
      <c r="AH135" s="16"/>
      <c r="AI135" s="17"/>
      <c r="AJ135" s="18">
        <f t="shared" si="88"/>
        <v>0</v>
      </c>
      <c r="AK135" s="34"/>
      <c r="AL135" s="16"/>
      <c r="AM135" s="16"/>
      <c r="AN135" s="17"/>
      <c r="AO135" s="18">
        <f t="shared" si="89"/>
        <v>0</v>
      </c>
      <c r="AP135" s="34"/>
      <c r="AQ135" s="16"/>
      <c r="AR135" s="16"/>
      <c r="AS135" s="17"/>
      <c r="AT135" s="18">
        <f t="shared" si="90"/>
        <v>0</v>
      </c>
      <c r="AU135" s="34">
        <v>315</v>
      </c>
      <c r="AV135" s="16">
        <v>33</v>
      </c>
      <c r="AW135" s="16">
        <v>250</v>
      </c>
      <c r="AX135" s="17"/>
      <c r="AY135" s="18">
        <f t="shared" si="91"/>
        <v>598</v>
      </c>
      <c r="AZ135" s="34">
        <v>1</v>
      </c>
      <c r="BA135" s="16"/>
      <c r="BB135" s="16"/>
      <c r="BC135" s="17"/>
      <c r="BD135" s="18">
        <f t="shared" si="92"/>
        <v>1</v>
      </c>
      <c r="BE135" s="34"/>
      <c r="BF135" s="16"/>
      <c r="BG135" s="16"/>
      <c r="BH135" s="17"/>
      <c r="BI135" s="18">
        <f t="shared" si="93"/>
        <v>0</v>
      </c>
      <c r="BJ135" s="34">
        <v>64</v>
      </c>
      <c r="BK135" s="16">
        <v>4</v>
      </c>
      <c r="BL135" s="16">
        <v>2</v>
      </c>
      <c r="BM135" s="17"/>
      <c r="BN135" s="18">
        <f t="shared" si="94"/>
        <v>70</v>
      </c>
      <c r="BO135" s="70">
        <f>SUM(G135,L135,Q135,V135,AA135,AF135,AK135,AP135,AU135,AZ135,BE135,BJ135)</f>
        <v>380</v>
      </c>
      <c r="BP135" s="16">
        <f>SUM(H135,M135,R135,W135,AB135,AG135,AL135,AQ135,AV135,BA135,BF135,BK135)</f>
        <v>37</v>
      </c>
      <c r="BQ135" s="16">
        <f>SUM(I135,N135,S135,X135,AC135,AH135,AM135,AR135,AW135,BB135,BG135,BL135)</f>
        <v>252</v>
      </c>
      <c r="BR135" s="17">
        <f>SUM(J135,O135,T135,Y135,AD135,AI135,AN135,AS135,AX135,BC135,BH135,BM135)</f>
        <v>0</v>
      </c>
      <c r="BS135" s="35">
        <f t="shared" si="95"/>
        <v>669</v>
      </c>
    </row>
    <row r="136" spans="2:71" x14ac:dyDescent="0.3">
      <c r="B136" s="269"/>
      <c r="C136" s="230"/>
      <c r="D136" s="233"/>
      <c r="E136" s="239"/>
      <c r="F136" s="122" t="s">
        <v>451</v>
      </c>
      <c r="G136" s="135"/>
      <c r="H136" s="136"/>
      <c r="I136" s="136"/>
      <c r="J136" s="137"/>
      <c r="K136" s="138">
        <f t="shared" si="97"/>
        <v>0</v>
      </c>
      <c r="L136" s="135"/>
      <c r="M136" s="136"/>
      <c r="N136" s="136"/>
      <c r="O136" s="137"/>
      <c r="P136" s="138">
        <f t="shared" si="84"/>
        <v>0</v>
      </c>
      <c r="Q136" s="135"/>
      <c r="R136" s="136"/>
      <c r="S136" s="136"/>
      <c r="T136" s="137"/>
      <c r="U136" s="138">
        <f t="shared" si="85"/>
        <v>0</v>
      </c>
      <c r="V136" s="135"/>
      <c r="W136" s="136"/>
      <c r="X136" s="136"/>
      <c r="Y136" s="137"/>
      <c r="Z136" s="138">
        <f t="shared" si="86"/>
        <v>0</v>
      </c>
      <c r="AA136" s="135"/>
      <c r="AB136" s="136"/>
      <c r="AC136" s="136"/>
      <c r="AD136" s="137"/>
      <c r="AE136" s="138">
        <f t="shared" si="87"/>
        <v>0</v>
      </c>
      <c r="AF136" s="135"/>
      <c r="AG136" s="136"/>
      <c r="AH136" s="136"/>
      <c r="AI136" s="137"/>
      <c r="AJ136" s="138">
        <f t="shared" si="88"/>
        <v>0</v>
      </c>
      <c r="AK136" s="135"/>
      <c r="AL136" s="136"/>
      <c r="AM136" s="136"/>
      <c r="AN136" s="137"/>
      <c r="AO136" s="138">
        <f t="shared" si="89"/>
        <v>0</v>
      </c>
      <c r="AP136" s="135"/>
      <c r="AQ136" s="136"/>
      <c r="AR136" s="136"/>
      <c r="AS136" s="137"/>
      <c r="AT136" s="138">
        <f t="shared" si="90"/>
        <v>0</v>
      </c>
      <c r="AU136" s="135">
        <v>46</v>
      </c>
      <c r="AV136" s="136">
        <v>5</v>
      </c>
      <c r="AW136" s="136">
        <v>91</v>
      </c>
      <c r="AX136" s="137"/>
      <c r="AY136" s="138">
        <f t="shared" si="91"/>
        <v>142</v>
      </c>
      <c r="AZ136" s="135"/>
      <c r="BA136" s="136"/>
      <c r="BB136" s="136"/>
      <c r="BC136" s="137"/>
      <c r="BD136" s="138">
        <f t="shared" si="92"/>
        <v>0</v>
      </c>
      <c r="BE136" s="135"/>
      <c r="BF136" s="136"/>
      <c r="BG136" s="136"/>
      <c r="BH136" s="137"/>
      <c r="BI136" s="138">
        <f t="shared" si="93"/>
        <v>0</v>
      </c>
      <c r="BJ136" s="135">
        <v>55</v>
      </c>
      <c r="BK136" s="136">
        <v>2</v>
      </c>
      <c r="BL136" s="136">
        <v>2</v>
      </c>
      <c r="BM136" s="137"/>
      <c r="BN136" s="138">
        <f t="shared" si="94"/>
        <v>59</v>
      </c>
      <c r="BO136" s="140">
        <f>SUM(G136,L136,Q136,V136,AA136,AF136,AK136,AP136,AU136,AZ136,BE136,BJ136)</f>
        <v>101</v>
      </c>
      <c r="BP136" s="136">
        <f>SUM(H136,M136,R136,W136,AB136,AG136,AL136,AQ136,AV136,BA136,BF136,BK136)</f>
        <v>7</v>
      </c>
      <c r="BQ136" s="136">
        <f>SUM(I136,N136,S136,X136,AC136,AH136,AM136,AR136,AW136,BB136,BG136,BL136)</f>
        <v>93</v>
      </c>
      <c r="BR136" s="137">
        <f>SUM(J136,O136,T136,Y136,AD136,AI136,AN136,AS136,AX136,BC136,BH136,BM136)</f>
        <v>0</v>
      </c>
      <c r="BS136" s="139">
        <f t="shared" si="95"/>
        <v>201</v>
      </c>
    </row>
    <row r="137" spans="2:71" x14ac:dyDescent="0.3">
      <c r="B137" s="269"/>
      <c r="C137" s="230"/>
      <c r="D137" s="233"/>
      <c r="E137" s="240"/>
      <c r="F137" s="125" t="s">
        <v>54</v>
      </c>
      <c r="G137" s="126">
        <f>SUM(G127:G136)</f>
        <v>795</v>
      </c>
      <c r="H137" s="127">
        <f t="shared" ref="H137:J137" si="98">SUM(H127:H136)</f>
        <v>34</v>
      </c>
      <c r="I137" s="127">
        <f t="shared" si="98"/>
        <v>317</v>
      </c>
      <c r="J137" s="128">
        <f t="shared" si="98"/>
        <v>0</v>
      </c>
      <c r="K137" s="129">
        <f t="shared" si="83"/>
        <v>1146</v>
      </c>
      <c r="L137" s="126">
        <f>SUM(L127:L136)</f>
        <v>806</v>
      </c>
      <c r="M137" s="127">
        <f t="shared" ref="M137:O137" si="99">SUM(M127:M136)</f>
        <v>84</v>
      </c>
      <c r="N137" s="127">
        <f t="shared" si="99"/>
        <v>561</v>
      </c>
      <c r="O137" s="128">
        <f t="shared" si="99"/>
        <v>0</v>
      </c>
      <c r="P137" s="129">
        <f t="shared" si="84"/>
        <v>1451</v>
      </c>
      <c r="Q137" s="126">
        <f>SUM(Q127:Q136)</f>
        <v>533</v>
      </c>
      <c r="R137" s="127">
        <f t="shared" ref="R137:T137" si="100">SUM(R127:R136)</f>
        <v>14</v>
      </c>
      <c r="S137" s="127">
        <f t="shared" si="100"/>
        <v>447</v>
      </c>
      <c r="T137" s="128">
        <f t="shared" si="100"/>
        <v>0</v>
      </c>
      <c r="U137" s="129">
        <f t="shared" si="85"/>
        <v>994</v>
      </c>
      <c r="V137" s="126">
        <f>SUM(V127:V136)</f>
        <v>457</v>
      </c>
      <c r="W137" s="127">
        <f t="shared" ref="W137:Y137" si="101">SUM(W127:W136)</f>
        <v>20</v>
      </c>
      <c r="X137" s="127">
        <f t="shared" si="101"/>
        <v>482</v>
      </c>
      <c r="Y137" s="128">
        <f t="shared" si="101"/>
        <v>0</v>
      </c>
      <c r="Z137" s="129">
        <f t="shared" si="86"/>
        <v>959</v>
      </c>
      <c r="AA137" s="126">
        <f>SUM(AA127:AA136)</f>
        <v>333</v>
      </c>
      <c r="AB137" s="127">
        <f t="shared" ref="AB137:AD137" si="102">SUM(AB127:AB136)</f>
        <v>5</v>
      </c>
      <c r="AC137" s="127">
        <f t="shared" si="102"/>
        <v>419</v>
      </c>
      <c r="AD137" s="128">
        <f t="shared" si="102"/>
        <v>0</v>
      </c>
      <c r="AE137" s="129">
        <f t="shared" si="87"/>
        <v>757</v>
      </c>
      <c r="AF137" s="126">
        <f>SUM(AF127:AF136)</f>
        <v>344</v>
      </c>
      <c r="AG137" s="127">
        <f t="shared" ref="AG137:AI137" si="103">SUM(AG127:AG136)</f>
        <v>6</v>
      </c>
      <c r="AH137" s="127">
        <f t="shared" si="103"/>
        <v>320</v>
      </c>
      <c r="AI137" s="128">
        <f t="shared" si="103"/>
        <v>0</v>
      </c>
      <c r="AJ137" s="129">
        <f t="shared" si="88"/>
        <v>670</v>
      </c>
      <c r="AK137" s="126">
        <f>SUM(AK127:AK136)</f>
        <v>317</v>
      </c>
      <c r="AL137" s="127">
        <f t="shared" ref="AL137:AN137" si="104">SUM(AL127:AL136)</f>
        <v>28</v>
      </c>
      <c r="AM137" s="127">
        <f t="shared" si="104"/>
        <v>594</v>
      </c>
      <c r="AN137" s="128">
        <f t="shared" si="104"/>
        <v>0</v>
      </c>
      <c r="AO137" s="129">
        <f t="shared" si="89"/>
        <v>939</v>
      </c>
      <c r="AP137" s="126">
        <f>SUM(AP127:AP136)</f>
        <v>246</v>
      </c>
      <c r="AQ137" s="127">
        <f t="shared" ref="AQ137:AS137" si="105">SUM(AQ127:AQ136)</f>
        <v>13</v>
      </c>
      <c r="AR137" s="127">
        <f t="shared" si="105"/>
        <v>634</v>
      </c>
      <c r="AS137" s="128">
        <f t="shared" si="105"/>
        <v>0</v>
      </c>
      <c r="AT137" s="129">
        <f t="shared" si="90"/>
        <v>893</v>
      </c>
      <c r="AU137" s="126">
        <f>SUM(AU127:AU136)</f>
        <v>555</v>
      </c>
      <c r="AV137" s="127">
        <f t="shared" ref="AV137:AX137" si="106">SUM(AV127:AV136)</f>
        <v>42</v>
      </c>
      <c r="AW137" s="127">
        <f t="shared" si="106"/>
        <v>569</v>
      </c>
      <c r="AX137" s="128">
        <f t="shared" si="106"/>
        <v>0</v>
      </c>
      <c r="AY137" s="129">
        <f t="shared" si="91"/>
        <v>1166</v>
      </c>
      <c r="AZ137" s="126">
        <f>SUM(AZ127:AZ136)</f>
        <v>334</v>
      </c>
      <c r="BA137" s="127">
        <f t="shared" ref="BA137:BC137" si="107">SUM(BA127:BA136)</f>
        <v>14</v>
      </c>
      <c r="BB137" s="127">
        <f t="shared" si="107"/>
        <v>350</v>
      </c>
      <c r="BC137" s="128">
        <f t="shared" si="107"/>
        <v>0</v>
      </c>
      <c r="BD137" s="129">
        <f t="shared" si="92"/>
        <v>698</v>
      </c>
      <c r="BE137" s="126">
        <f>SUM(BE127:BE136)</f>
        <v>115</v>
      </c>
      <c r="BF137" s="127">
        <f t="shared" ref="BF137:BH137" si="108">SUM(BF127:BF136)</f>
        <v>5</v>
      </c>
      <c r="BG137" s="127">
        <f t="shared" si="108"/>
        <v>181</v>
      </c>
      <c r="BH137" s="128">
        <f t="shared" si="108"/>
        <v>0</v>
      </c>
      <c r="BI137" s="129">
        <f t="shared" si="93"/>
        <v>301</v>
      </c>
      <c r="BJ137" s="126">
        <f>SUM(BJ127:BJ136)</f>
        <v>167</v>
      </c>
      <c r="BK137" s="127">
        <f t="shared" ref="BK137:BM137" si="109">SUM(BK127:BK136)</f>
        <v>14</v>
      </c>
      <c r="BL137" s="127">
        <f t="shared" si="109"/>
        <v>62</v>
      </c>
      <c r="BM137" s="128">
        <f t="shared" si="109"/>
        <v>0</v>
      </c>
      <c r="BN137" s="129">
        <f t="shared" si="94"/>
        <v>243</v>
      </c>
      <c r="BO137" s="131">
        <f>SUM(BO127:BO136)</f>
        <v>5002</v>
      </c>
      <c r="BP137" s="127">
        <f t="shared" ref="BP137:BR137" si="110">SUM(BP127:BP136)</f>
        <v>279</v>
      </c>
      <c r="BQ137" s="127">
        <f t="shared" si="110"/>
        <v>4936</v>
      </c>
      <c r="BR137" s="128">
        <f t="shared" si="110"/>
        <v>0</v>
      </c>
      <c r="BS137" s="130">
        <f t="shared" si="95"/>
        <v>10217</v>
      </c>
    </row>
    <row r="138" spans="2:71" x14ac:dyDescent="0.3">
      <c r="B138" s="269"/>
      <c r="C138" s="230"/>
      <c r="D138" s="233"/>
      <c r="E138" s="239" t="s">
        <v>200</v>
      </c>
      <c r="F138" s="121" t="s">
        <v>173</v>
      </c>
      <c r="G138" s="32">
        <v>463</v>
      </c>
      <c r="H138" s="13">
        <v>14</v>
      </c>
      <c r="I138" s="13">
        <v>131</v>
      </c>
      <c r="J138" s="14"/>
      <c r="K138" s="15">
        <f t="shared" si="83"/>
        <v>608</v>
      </c>
      <c r="L138" s="32">
        <v>500</v>
      </c>
      <c r="M138" s="13">
        <v>36</v>
      </c>
      <c r="N138" s="13">
        <v>250</v>
      </c>
      <c r="O138" s="14"/>
      <c r="P138" s="15">
        <f t="shared" si="84"/>
        <v>786</v>
      </c>
      <c r="Q138" s="32">
        <v>50</v>
      </c>
      <c r="R138" s="13">
        <v>4</v>
      </c>
      <c r="S138" s="13">
        <v>41</v>
      </c>
      <c r="T138" s="14"/>
      <c r="U138" s="15">
        <f t="shared" si="85"/>
        <v>95</v>
      </c>
      <c r="V138" s="32">
        <v>690</v>
      </c>
      <c r="W138" s="13">
        <v>20</v>
      </c>
      <c r="X138" s="13">
        <v>556</v>
      </c>
      <c r="Y138" s="14"/>
      <c r="Z138" s="15">
        <f t="shared" si="86"/>
        <v>1266</v>
      </c>
      <c r="AA138" s="32">
        <v>611</v>
      </c>
      <c r="AB138" s="13">
        <v>4</v>
      </c>
      <c r="AC138" s="13">
        <v>649</v>
      </c>
      <c r="AD138" s="14"/>
      <c r="AE138" s="15">
        <f t="shared" si="87"/>
        <v>1264</v>
      </c>
      <c r="AF138" s="32">
        <v>567</v>
      </c>
      <c r="AG138" s="13">
        <v>12</v>
      </c>
      <c r="AH138" s="13">
        <v>455</v>
      </c>
      <c r="AI138" s="14"/>
      <c r="AJ138" s="15">
        <f t="shared" si="88"/>
        <v>1034</v>
      </c>
      <c r="AK138" s="32">
        <v>190</v>
      </c>
      <c r="AL138" s="13">
        <v>10</v>
      </c>
      <c r="AM138" s="13">
        <v>213</v>
      </c>
      <c r="AN138" s="14"/>
      <c r="AO138" s="15">
        <f t="shared" si="89"/>
        <v>413</v>
      </c>
      <c r="AP138" s="32"/>
      <c r="AQ138" s="13"/>
      <c r="AR138" s="13"/>
      <c r="AS138" s="14"/>
      <c r="AT138" s="15">
        <f t="shared" si="90"/>
        <v>0</v>
      </c>
      <c r="AU138" s="32">
        <v>356</v>
      </c>
      <c r="AV138" s="13">
        <v>21</v>
      </c>
      <c r="AW138" s="13">
        <v>619</v>
      </c>
      <c r="AX138" s="14"/>
      <c r="AY138" s="15">
        <f t="shared" si="91"/>
        <v>996</v>
      </c>
      <c r="AZ138" s="32">
        <v>675</v>
      </c>
      <c r="BA138" s="13">
        <v>44</v>
      </c>
      <c r="BB138" s="13">
        <v>879</v>
      </c>
      <c r="BC138" s="14"/>
      <c r="BD138" s="15">
        <f t="shared" si="92"/>
        <v>1598</v>
      </c>
      <c r="BE138" s="32"/>
      <c r="BF138" s="13"/>
      <c r="BG138" s="13"/>
      <c r="BH138" s="14"/>
      <c r="BI138" s="15">
        <f t="shared" si="93"/>
        <v>0</v>
      </c>
      <c r="BJ138" s="32"/>
      <c r="BK138" s="13"/>
      <c r="BL138" s="13"/>
      <c r="BM138" s="14"/>
      <c r="BN138" s="15">
        <f t="shared" si="94"/>
        <v>0</v>
      </c>
      <c r="BO138" s="66">
        <f>SUM(G138,L138,Q138,V138,AA138,AF138,AK138,AP138,AU138,AZ138,BE138,BJ138)</f>
        <v>4102</v>
      </c>
      <c r="BP138" s="13">
        <f>SUM(H138,M138,R138,W138,AB138,AG138,AL138,AQ138,AV138,BA138,BF138,BK138)</f>
        <v>165</v>
      </c>
      <c r="BQ138" s="13">
        <f>SUM(I138,N138,S138,X138,AC138,AH138,AM138,AR138,AW138,BB138,BG138,BL138)</f>
        <v>3793</v>
      </c>
      <c r="BR138" s="14">
        <f>SUM(J138,O138,T138,Y138,AD138,AI138,AN138,AS138,AX138,BC138,BH138,BM138)</f>
        <v>0</v>
      </c>
      <c r="BS138" s="33">
        <f t="shared" si="95"/>
        <v>8060</v>
      </c>
    </row>
    <row r="139" spans="2:71" x14ac:dyDescent="0.3">
      <c r="B139" s="269"/>
      <c r="C139" s="230"/>
      <c r="D139" s="233"/>
      <c r="E139" s="239"/>
      <c r="F139" s="121" t="s">
        <v>174</v>
      </c>
      <c r="G139" s="32">
        <v>50</v>
      </c>
      <c r="H139" s="13">
        <v>2</v>
      </c>
      <c r="I139" s="13">
        <v>10</v>
      </c>
      <c r="J139" s="14"/>
      <c r="K139" s="15">
        <f t="shared" si="83"/>
        <v>62</v>
      </c>
      <c r="L139" s="32">
        <v>94</v>
      </c>
      <c r="M139" s="13">
        <v>2</v>
      </c>
      <c r="N139" s="13">
        <v>28</v>
      </c>
      <c r="O139" s="14"/>
      <c r="P139" s="15">
        <f t="shared" si="84"/>
        <v>124</v>
      </c>
      <c r="Q139" s="32">
        <v>7</v>
      </c>
      <c r="R139" s="13"/>
      <c r="S139" s="13">
        <v>2</v>
      </c>
      <c r="T139" s="14"/>
      <c r="U139" s="15">
        <f t="shared" si="85"/>
        <v>9</v>
      </c>
      <c r="V139" s="32">
        <v>252</v>
      </c>
      <c r="W139" s="13">
        <v>5</v>
      </c>
      <c r="X139" s="13">
        <v>118</v>
      </c>
      <c r="Y139" s="14"/>
      <c r="Z139" s="15">
        <f t="shared" si="86"/>
        <v>375</v>
      </c>
      <c r="AA139" s="32">
        <v>184</v>
      </c>
      <c r="AB139" s="13">
        <v>6</v>
      </c>
      <c r="AC139" s="13">
        <v>162</v>
      </c>
      <c r="AD139" s="14"/>
      <c r="AE139" s="15">
        <f t="shared" si="87"/>
        <v>352</v>
      </c>
      <c r="AF139" s="32">
        <v>213</v>
      </c>
      <c r="AG139" s="13">
        <v>1</v>
      </c>
      <c r="AH139" s="13">
        <v>150</v>
      </c>
      <c r="AI139" s="14"/>
      <c r="AJ139" s="15">
        <f t="shared" si="88"/>
        <v>364</v>
      </c>
      <c r="AK139" s="32">
        <v>45</v>
      </c>
      <c r="AL139" s="13">
        <v>7</v>
      </c>
      <c r="AM139" s="13">
        <v>68</v>
      </c>
      <c r="AN139" s="14"/>
      <c r="AO139" s="15">
        <f t="shared" si="89"/>
        <v>120</v>
      </c>
      <c r="AP139" s="32"/>
      <c r="AQ139" s="13"/>
      <c r="AR139" s="13"/>
      <c r="AS139" s="14"/>
      <c r="AT139" s="15">
        <f t="shared" si="90"/>
        <v>0</v>
      </c>
      <c r="AU139" s="32">
        <v>87</v>
      </c>
      <c r="AV139" s="13">
        <v>7</v>
      </c>
      <c r="AW139" s="13">
        <v>257</v>
      </c>
      <c r="AX139" s="14"/>
      <c r="AY139" s="15">
        <f t="shared" si="91"/>
        <v>351</v>
      </c>
      <c r="AZ139" s="32">
        <v>209</v>
      </c>
      <c r="BA139" s="13">
        <v>9</v>
      </c>
      <c r="BB139" s="13">
        <v>236</v>
      </c>
      <c r="BC139" s="14"/>
      <c r="BD139" s="15">
        <f t="shared" si="92"/>
        <v>454</v>
      </c>
      <c r="BE139" s="32"/>
      <c r="BF139" s="13"/>
      <c r="BG139" s="13"/>
      <c r="BH139" s="14"/>
      <c r="BI139" s="15">
        <f t="shared" si="93"/>
        <v>0</v>
      </c>
      <c r="BJ139" s="32"/>
      <c r="BK139" s="13"/>
      <c r="BL139" s="13"/>
      <c r="BM139" s="14"/>
      <c r="BN139" s="15">
        <f t="shared" si="94"/>
        <v>0</v>
      </c>
      <c r="BO139" s="66">
        <f>SUM(G139,L139,Q139,V139,AA139,AF139,AK139,AP139,AU139,AZ139,BE139,BJ139)</f>
        <v>1141</v>
      </c>
      <c r="BP139" s="13">
        <f>SUM(H139,M139,R139,W139,AB139,AG139,AL139,AQ139,AV139,BA139,BF139,BK139)</f>
        <v>39</v>
      </c>
      <c r="BQ139" s="13">
        <f>SUM(I139,N139,S139,X139,AC139,AH139,AM139,AR139,AW139,BB139,BG139,BL139)</f>
        <v>1031</v>
      </c>
      <c r="BR139" s="14">
        <f>SUM(J139,O139,T139,Y139,AD139,AI139,AN139,AS139,AX139,BC139,BH139,BM139)</f>
        <v>0</v>
      </c>
      <c r="BS139" s="33">
        <f t="shared" si="95"/>
        <v>2211</v>
      </c>
    </row>
    <row r="140" spans="2:71" x14ac:dyDescent="0.3">
      <c r="B140" s="269"/>
      <c r="C140" s="230"/>
      <c r="D140" s="233"/>
      <c r="E140" s="239"/>
      <c r="F140" s="121" t="s">
        <v>158</v>
      </c>
      <c r="G140" s="32">
        <v>59</v>
      </c>
      <c r="H140" s="13">
        <v>13</v>
      </c>
      <c r="I140" s="13">
        <v>74</v>
      </c>
      <c r="J140" s="14"/>
      <c r="K140" s="15">
        <f t="shared" si="83"/>
        <v>146</v>
      </c>
      <c r="L140" s="32">
        <v>54</v>
      </c>
      <c r="M140" s="13">
        <v>12</v>
      </c>
      <c r="N140" s="13">
        <v>123</v>
      </c>
      <c r="O140" s="14"/>
      <c r="P140" s="15">
        <f t="shared" si="84"/>
        <v>189</v>
      </c>
      <c r="Q140" s="32">
        <v>8</v>
      </c>
      <c r="R140" s="13"/>
      <c r="S140" s="13">
        <v>20</v>
      </c>
      <c r="T140" s="14"/>
      <c r="U140" s="15">
        <f t="shared" si="85"/>
        <v>28</v>
      </c>
      <c r="V140" s="32">
        <v>110</v>
      </c>
      <c r="W140" s="13">
        <v>12</v>
      </c>
      <c r="X140" s="13">
        <v>202</v>
      </c>
      <c r="Y140" s="14"/>
      <c r="Z140" s="15">
        <f t="shared" si="86"/>
        <v>324</v>
      </c>
      <c r="AA140" s="32">
        <v>84</v>
      </c>
      <c r="AB140" s="13">
        <v>2</v>
      </c>
      <c r="AC140" s="13">
        <v>202</v>
      </c>
      <c r="AD140" s="14"/>
      <c r="AE140" s="15">
        <f t="shared" si="87"/>
        <v>288</v>
      </c>
      <c r="AF140" s="32">
        <v>112</v>
      </c>
      <c r="AG140" s="13">
        <v>11</v>
      </c>
      <c r="AH140" s="13">
        <v>233</v>
      </c>
      <c r="AI140" s="14"/>
      <c r="AJ140" s="15">
        <f t="shared" si="88"/>
        <v>356</v>
      </c>
      <c r="AK140" s="32">
        <v>17</v>
      </c>
      <c r="AL140" s="13">
        <v>4</v>
      </c>
      <c r="AM140" s="13">
        <v>53</v>
      </c>
      <c r="AN140" s="14"/>
      <c r="AO140" s="15">
        <f t="shared" si="89"/>
        <v>74</v>
      </c>
      <c r="AP140" s="32"/>
      <c r="AQ140" s="13"/>
      <c r="AR140" s="13"/>
      <c r="AS140" s="14"/>
      <c r="AT140" s="15">
        <f t="shared" si="90"/>
        <v>0</v>
      </c>
      <c r="AU140" s="32">
        <v>47</v>
      </c>
      <c r="AV140" s="13">
        <v>2</v>
      </c>
      <c r="AW140" s="13">
        <v>109</v>
      </c>
      <c r="AX140" s="14"/>
      <c r="AY140" s="15">
        <f t="shared" si="91"/>
        <v>158</v>
      </c>
      <c r="AZ140" s="32">
        <v>113</v>
      </c>
      <c r="BA140" s="13">
        <v>4</v>
      </c>
      <c r="BB140" s="13">
        <v>218</v>
      </c>
      <c r="BC140" s="14"/>
      <c r="BD140" s="15">
        <f t="shared" si="92"/>
        <v>335</v>
      </c>
      <c r="BE140" s="32"/>
      <c r="BF140" s="13"/>
      <c r="BG140" s="13"/>
      <c r="BH140" s="14"/>
      <c r="BI140" s="15">
        <f t="shared" si="93"/>
        <v>0</v>
      </c>
      <c r="BJ140" s="32"/>
      <c r="BK140" s="13"/>
      <c r="BL140" s="13"/>
      <c r="BM140" s="14"/>
      <c r="BN140" s="15">
        <f t="shared" si="94"/>
        <v>0</v>
      </c>
      <c r="BO140" s="66">
        <f>SUM(G140,L140,Q140,V140,AA140,AF140,AK140,AP140,AU140,AZ140,BE140,BJ140)</f>
        <v>604</v>
      </c>
      <c r="BP140" s="13">
        <f>SUM(H140,M140,R140,W140,AB140,AG140,AL140,AQ140,AV140,BA140,BF140,BK140)</f>
        <v>60</v>
      </c>
      <c r="BQ140" s="13">
        <f>SUM(I140,N140,S140,X140,AC140,AH140,AM140,AR140,AW140,BB140,BG140,BL140)</f>
        <v>1234</v>
      </c>
      <c r="BR140" s="14">
        <f>SUM(J140,O140,T140,Y140,AD140,AI140,AN140,AS140,AX140,BC140,BH140,BM140)</f>
        <v>0</v>
      </c>
      <c r="BS140" s="33">
        <f t="shared" si="95"/>
        <v>1898</v>
      </c>
    </row>
    <row r="141" spans="2:71" x14ac:dyDescent="0.3">
      <c r="B141" s="269"/>
      <c r="C141" s="230"/>
      <c r="D141" s="233"/>
      <c r="E141" s="239"/>
      <c r="F141" s="121" t="s">
        <v>159</v>
      </c>
      <c r="G141" s="32">
        <v>18</v>
      </c>
      <c r="H141" s="13">
        <v>1</v>
      </c>
      <c r="I141" s="13">
        <v>5</v>
      </c>
      <c r="J141" s="14"/>
      <c r="K141" s="15">
        <f t="shared" si="83"/>
        <v>24</v>
      </c>
      <c r="L141" s="32">
        <v>16</v>
      </c>
      <c r="M141" s="13">
        <v>3</v>
      </c>
      <c r="N141" s="13">
        <v>10</v>
      </c>
      <c r="O141" s="14"/>
      <c r="P141" s="15">
        <f t="shared" si="84"/>
        <v>29</v>
      </c>
      <c r="Q141" s="32"/>
      <c r="R141" s="13"/>
      <c r="S141" s="13">
        <v>2</v>
      </c>
      <c r="T141" s="14"/>
      <c r="U141" s="15">
        <f t="shared" si="85"/>
        <v>2</v>
      </c>
      <c r="V141" s="32">
        <v>48</v>
      </c>
      <c r="W141" s="13">
        <v>1</v>
      </c>
      <c r="X141" s="13">
        <v>59</v>
      </c>
      <c r="Y141" s="14"/>
      <c r="Z141" s="15">
        <f t="shared" si="86"/>
        <v>108</v>
      </c>
      <c r="AA141" s="32">
        <v>30</v>
      </c>
      <c r="AB141" s="13">
        <v>2</v>
      </c>
      <c r="AC141" s="13">
        <v>52</v>
      </c>
      <c r="AD141" s="14"/>
      <c r="AE141" s="15">
        <f t="shared" si="87"/>
        <v>84</v>
      </c>
      <c r="AF141" s="32">
        <v>31</v>
      </c>
      <c r="AG141" s="13">
        <v>4</v>
      </c>
      <c r="AH141" s="13">
        <v>53</v>
      </c>
      <c r="AI141" s="14"/>
      <c r="AJ141" s="15">
        <f t="shared" si="88"/>
        <v>88</v>
      </c>
      <c r="AK141" s="32">
        <v>10</v>
      </c>
      <c r="AL141" s="13">
        <v>2</v>
      </c>
      <c r="AM141" s="13">
        <v>14</v>
      </c>
      <c r="AN141" s="14"/>
      <c r="AO141" s="15">
        <f t="shared" si="89"/>
        <v>26</v>
      </c>
      <c r="AP141" s="32"/>
      <c r="AQ141" s="13"/>
      <c r="AR141" s="13"/>
      <c r="AS141" s="14"/>
      <c r="AT141" s="15">
        <f t="shared" si="90"/>
        <v>0</v>
      </c>
      <c r="AU141" s="32">
        <v>16</v>
      </c>
      <c r="AV141" s="13"/>
      <c r="AW141" s="13">
        <v>25</v>
      </c>
      <c r="AX141" s="14"/>
      <c r="AY141" s="15">
        <f t="shared" si="91"/>
        <v>41</v>
      </c>
      <c r="AZ141" s="32">
        <v>40</v>
      </c>
      <c r="BA141" s="13">
        <v>3</v>
      </c>
      <c r="BB141" s="13">
        <v>65</v>
      </c>
      <c r="BC141" s="14"/>
      <c r="BD141" s="15">
        <f t="shared" si="92"/>
        <v>108</v>
      </c>
      <c r="BE141" s="32"/>
      <c r="BF141" s="13"/>
      <c r="BG141" s="13"/>
      <c r="BH141" s="14"/>
      <c r="BI141" s="15">
        <f t="shared" si="93"/>
        <v>0</v>
      </c>
      <c r="BJ141" s="32"/>
      <c r="BK141" s="13"/>
      <c r="BL141" s="13"/>
      <c r="BM141" s="14"/>
      <c r="BN141" s="15">
        <f t="shared" si="94"/>
        <v>0</v>
      </c>
      <c r="BO141" s="66">
        <f>SUM(G141,L141,Q141,V141,AA141,AF141,AK141,AP141,AU141,AZ141,BE141,BJ141)</f>
        <v>209</v>
      </c>
      <c r="BP141" s="13">
        <f>SUM(H141,M141,R141,W141,AB141,AG141,AL141,AQ141,AV141,BA141,BF141,BK141)</f>
        <v>16</v>
      </c>
      <c r="BQ141" s="13">
        <f>SUM(I141,N141,S141,X141,AC141,AH141,AM141,AR141,AW141,BB141,BG141,BL141)</f>
        <v>285</v>
      </c>
      <c r="BR141" s="14">
        <f>SUM(J141,O141,T141,Y141,AD141,AI141,AN141,AS141,AX141,BC141,BH141,BM141)</f>
        <v>0</v>
      </c>
      <c r="BS141" s="33">
        <f t="shared" si="95"/>
        <v>510</v>
      </c>
    </row>
    <row r="142" spans="2:71" x14ac:dyDescent="0.3">
      <c r="B142" s="269"/>
      <c r="C142" s="230"/>
      <c r="D142" s="233"/>
      <c r="E142" s="239"/>
      <c r="F142" s="121" t="s">
        <v>175</v>
      </c>
      <c r="G142" s="32"/>
      <c r="H142" s="13"/>
      <c r="I142" s="13"/>
      <c r="J142" s="14"/>
      <c r="K142" s="15">
        <f t="shared" si="83"/>
        <v>0</v>
      </c>
      <c r="L142" s="32"/>
      <c r="M142" s="13"/>
      <c r="N142" s="13"/>
      <c r="O142" s="14"/>
      <c r="P142" s="15">
        <f t="shared" si="84"/>
        <v>0</v>
      </c>
      <c r="Q142" s="32">
        <v>219</v>
      </c>
      <c r="R142" s="13">
        <v>2</v>
      </c>
      <c r="S142" s="13">
        <v>134</v>
      </c>
      <c r="T142" s="14"/>
      <c r="U142" s="15">
        <f t="shared" si="85"/>
        <v>355</v>
      </c>
      <c r="V142" s="32"/>
      <c r="W142" s="13"/>
      <c r="X142" s="13"/>
      <c r="Y142" s="14"/>
      <c r="Z142" s="15">
        <f t="shared" si="86"/>
        <v>0</v>
      </c>
      <c r="AA142" s="32"/>
      <c r="AB142" s="13"/>
      <c r="AC142" s="13"/>
      <c r="AD142" s="14"/>
      <c r="AE142" s="15">
        <f t="shared" si="87"/>
        <v>0</v>
      </c>
      <c r="AF142" s="32"/>
      <c r="AG142" s="13"/>
      <c r="AH142" s="13"/>
      <c r="AI142" s="14"/>
      <c r="AJ142" s="15">
        <f t="shared" si="88"/>
        <v>0</v>
      </c>
      <c r="AK142" s="32"/>
      <c r="AL142" s="13"/>
      <c r="AM142" s="13"/>
      <c r="AN142" s="14"/>
      <c r="AO142" s="15">
        <f t="shared" si="89"/>
        <v>0</v>
      </c>
      <c r="AP142" s="32">
        <v>45</v>
      </c>
      <c r="AQ142" s="13"/>
      <c r="AR142" s="13">
        <v>55</v>
      </c>
      <c r="AS142" s="14"/>
      <c r="AT142" s="15">
        <f t="shared" si="90"/>
        <v>100</v>
      </c>
      <c r="AU142" s="32"/>
      <c r="AV142" s="13"/>
      <c r="AW142" s="13"/>
      <c r="AX142" s="14"/>
      <c r="AY142" s="15">
        <f t="shared" si="91"/>
        <v>0</v>
      </c>
      <c r="AZ142" s="32"/>
      <c r="BA142" s="13"/>
      <c r="BB142" s="13"/>
      <c r="BC142" s="14"/>
      <c r="BD142" s="15">
        <f t="shared" si="92"/>
        <v>0</v>
      </c>
      <c r="BE142" s="32">
        <v>83</v>
      </c>
      <c r="BF142" s="13"/>
      <c r="BG142" s="13">
        <v>86</v>
      </c>
      <c r="BH142" s="14"/>
      <c r="BI142" s="15">
        <f t="shared" si="93"/>
        <v>169</v>
      </c>
      <c r="BJ142" s="32">
        <v>21</v>
      </c>
      <c r="BK142" s="13">
        <v>1</v>
      </c>
      <c r="BL142" s="13">
        <v>28</v>
      </c>
      <c r="BM142" s="14"/>
      <c r="BN142" s="15">
        <f t="shared" si="94"/>
        <v>50</v>
      </c>
      <c r="BO142" s="66">
        <f>SUM(G142,L142,Q142,V142,AA142,AF142,AK142,AP142,AU142,AZ142,BE142,BJ142)</f>
        <v>368</v>
      </c>
      <c r="BP142" s="13">
        <f>SUM(H142,M142,R142,W142,AB142,AG142,AL142,AQ142,AV142,BA142,BF142,BK142)</f>
        <v>3</v>
      </c>
      <c r="BQ142" s="13">
        <f>SUM(I142,N142,S142,X142,AC142,AH142,AM142,AR142,AW142,BB142,BG142,BL142)</f>
        <v>303</v>
      </c>
      <c r="BR142" s="14">
        <f>SUM(J142,O142,T142,Y142,AD142,AI142,AN142,AS142,AX142,BC142,BH142,BM142)</f>
        <v>0</v>
      </c>
      <c r="BS142" s="33">
        <f t="shared" si="95"/>
        <v>674</v>
      </c>
    </row>
    <row r="143" spans="2:71" x14ac:dyDescent="0.3">
      <c r="B143" s="269"/>
      <c r="C143" s="230"/>
      <c r="D143" s="233"/>
      <c r="E143" s="239"/>
      <c r="F143" s="121" t="s">
        <v>155</v>
      </c>
      <c r="G143" s="32"/>
      <c r="H143" s="13"/>
      <c r="I143" s="13"/>
      <c r="J143" s="14"/>
      <c r="K143" s="15">
        <f t="shared" si="83"/>
        <v>0</v>
      </c>
      <c r="L143" s="32"/>
      <c r="M143" s="13"/>
      <c r="N143" s="13"/>
      <c r="O143" s="14"/>
      <c r="P143" s="15">
        <f t="shared" si="84"/>
        <v>0</v>
      </c>
      <c r="Q143" s="32">
        <v>89</v>
      </c>
      <c r="R143" s="13">
        <v>3</v>
      </c>
      <c r="S143" s="13">
        <v>29</v>
      </c>
      <c r="T143" s="14"/>
      <c r="U143" s="15">
        <f t="shared" si="85"/>
        <v>121</v>
      </c>
      <c r="V143" s="32"/>
      <c r="W143" s="13"/>
      <c r="X143" s="13"/>
      <c r="Y143" s="14"/>
      <c r="Z143" s="15">
        <f t="shared" si="86"/>
        <v>0</v>
      </c>
      <c r="AA143" s="32"/>
      <c r="AB143" s="13"/>
      <c r="AC143" s="13"/>
      <c r="AD143" s="14"/>
      <c r="AE143" s="15">
        <f t="shared" si="87"/>
        <v>0</v>
      </c>
      <c r="AF143" s="32"/>
      <c r="AG143" s="13"/>
      <c r="AH143" s="13"/>
      <c r="AI143" s="14"/>
      <c r="AJ143" s="15">
        <f t="shared" si="88"/>
        <v>0</v>
      </c>
      <c r="AK143" s="32"/>
      <c r="AL143" s="13"/>
      <c r="AM143" s="13"/>
      <c r="AN143" s="14"/>
      <c r="AO143" s="15">
        <f t="shared" si="89"/>
        <v>0</v>
      </c>
      <c r="AP143" s="32">
        <v>15</v>
      </c>
      <c r="AQ143" s="13"/>
      <c r="AR143" s="13">
        <v>29</v>
      </c>
      <c r="AS143" s="14"/>
      <c r="AT143" s="15">
        <f t="shared" si="90"/>
        <v>44</v>
      </c>
      <c r="AU143" s="32"/>
      <c r="AV143" s="13"/>
      <c r="AW143" s="13"/>
      <c r="AX143" s="14"/>
      <c r="AY143" s="15">
        <f t="shared" si="91"/>
        <v>0</v>
      </c>
      <c r="AZ143" s="32"/>
      <c r="BA143" s="13"/>
      <c r="BB143" s="13"/>
      <c r="BC143" s="14"/>
      <c r="BD143" s="15">
        <f t="shared" si="92"/>
        <v>0</v>
      </c>
      <c r="BE143" s="32">
        <v>17</v>
      </c>
      <c r="BF143" s="13">
        <v>1</v>
      </c>
      <c r="BG143" s="13">
        <v>12</v>
      </c>
      <c r="BH143" s="14"/>
      <c r="BI143" s="15">
        <f t="shared" si="93"/>
        <v>30</v>
      </c>
      <c r="BJ143" s="32">
        <v>8</v>
      </c>
      <c r="BK143" s="13"/>
      <c r="BL143" s="13">
        <v>6</v>
      </c>
      <c r="BM143" s="14"/>
      <c r="BN143" s="15">
        <f t="shared" si="94"/>
        <v>14</v>
      </c>
      <c r="BO143" s="66">
        <f>SUM(G143,L143,Q143,V143,AA143,AF143,AK143,AP143,AU143,AZ143,BE143,BJ143)</f>
        <v>129</v>
      </c>
      <c r="BP143" s="13">
        <f>SUM(H143,M143,R143,W143,AB143,AG143,AL143,AQ143,AV143,BA143,BF143,BK143)</f>
        <v>4</v>
      </c>
      <c r="BQ143" s="13">
        <f>SUM(I143,N143,S143,X143,AC143,AH143,AM143,AR143,AW143,BB143,BG143,BL143)</f>
        <v>76</v>
      </c>
      <c r="BR143" s="14">
        <f>SUM(J143,O143,T143,Y143,AD143,AI143,AN143,AS143,AX143,BC143,BH143,BM143)</f>
        <v>0</v>
      </c>
      <c r="BS143" s="33">
        <f t="shared" si="95"/>
        <v>209</v>
      </c>
    </row>
    <row r="144" spans="2:71" x14ac:dyDescent="0.3">
      <c r="B144" s="269"/>
      <c r="C144" s="230"/>
      <c r="D144" s="233"/>
      <c r="E144" s="239"/>
      <c r="F144" s="121" t="s">
        <v>176</v>
      </c>
      <c r="G144" s="32"/>
      <c r="H144" s="13"/>
      <c r="I144" s="13"/>
      <c r="J144" s="14"/>
      <c r="K144" s="15">
        <f t="shared" si="83"/>
        <v>0</v>
      </c>
      <c r="L144" s="32"/>
      <c r="M144" s="13"/>
      <c r="N144" s="13"/>
      <c r="O144" s="14"/>
      <c r="P144" s="15">
        <f t="shared" si="84"/>
        <v>0</v>
      </c>
      <c r="Q144" s="32">
        <v>14</v>
      </c>
      <c r="R144" s="13"/>
      <c r="S144" s="13">
        <v>46</v>
      </c>
      <c r="T144" s="14"/>
      <c r="U144" s="15">
        <f t="shared" si="85"/>
        <v>60</v>
      </c>
      <c r="V144" s="32"/>
      <c r="W144" s="13"/>
      <c r="X144" s="13"/>
      <c r="Y144" s="14"/>
      <c r="Z144" s="15">
        <f t="shared" si="86"/>
        <v>0</v>
      </c>
      <c r="AA144" s="32"/>
      <c r="AB144" s="13"/>
      <c r="AC144" s="13"/>
      <c r="AD144" s="14"/>
      <c r="AE144" s="15">
        <f t="shared" si="87"/>
        <v>0</v>
      </c>
      <c r="AF144" s="32"/>
      <c r="AG144" s="13"/>
      <c r="AH144" s="13"/>
      <c r="AI144" s="14"/>
      <c r="AJ144" s="15">
        <f t="shared" si="88"/>
        <v>0</v>
      </c>
      <c r="AK144" s="32"/>
      <c r="AL144" s="13"/>
      <c r="AM144" s="13"/>
      <c r="AN144" s="14"/>
      <c r="AO144" s="15">
        <f t="shared" si="89"/>
        <v>0</v>
      </c>
      <c r="AP144" s="32">
        <v>5</v>
      </c>
      <c r="AQ144" s="13">
        <v>2</v>
      </c>
      <c r="AR144" s="13">
        <v>17</v>
      </c>
      <c r="AS144" s="14"/>
      <c r="AT144" s="15">
        <f t="shared" si="90"/>
        <v>24</v>
      </c>
      <c r="AU144" s="32"/>
      <c r="AV144" s="13"/>
      <c r="AW144" s="13"/>
      <c r="AX144" s="14"/>
      <c r="AY144" s="15">
        <f t="shared" si="91"/>
        <v>0</v>
      </c>
      <c r="AZ144" s="32"/>
      <c r="BA144" s="13"/>
      <c r="BB144" s="13"/>
      <c r="BC144" s="14"/>
      <c r="BD144" s="15">
        <f t="shared" si="92"/>
        <v>0</v>
      </c>
      <c r="BE144" s="32">
        <v>8</v>
      </c>
      <c r="BF144" s="13"/>
      <c r="BG144" s="13">
        <v>22</v>
      </c>
      <c r="BH144" s="14"/>
      <c r="BI144" s="15">
        <f t="shared" si="93"/>
        <v>30</v>
      </c>
      <c r="BJ144" s="32">
        <v>5</v>
      </c>
      <c r="BK144" s="13"/>
      <c r="BL144" s="13">
        <v>4</v>
      </c>
      <c r="BM144" s="14"/>
      <c r="BN144" s="15">
        <f t="shared" si="94"/>
        <v>9</v>
      </c>
      <c r="BO144" s="66">
        <f>SUM(G144,L144,Q144,V144,AA144,AF144,AK144,AP144,AU144,AZ144,BE144,BJ144)</f>
        <v>32</v>
      </c>
      <c r="BP144" s="13">
        <f>SUM(H144,M144,R144,W144,AB144,AG144,AL144,AQ144,AV144,BA144,BF144,BK144)</f>
        <v>2</v>
      </c>
      <c r="BQ144" s="13">
        <f>SUM(I144,N144,S144,X144,AC144,AH144,AM144,AR144,AW144,BB144,BG144,BL144)</f>
        <v>89</v>
      </c>
      <c r="BR144" s="14">
        <f>SUM(J144,O144,T144,Y144,AD144,AI144,AN144,AS144,AX144,BC144,BH144,BM144)</f>
        <v>0</v>
      </c>
      <c r="BS144" s="33">
        <f t="shared" si="95"/>
        <v>123</v>
      </c>
    </row>
    <row r="145" spans="2:71" x14ac:dyDescent="0.3">
      <c r="B145" s="269"/>
      <c r="C145" s="230"/>
      <c r="D145" s="233"/>
      <c r="E145" s="239"/>
      <c r="F145" s="122" t="s">
        <v>157</v>
      </c>
      <c r="G145" s="135"/>
      <c r="H145" s="136"/>
      <c r="I145" s="136"/>
      <c r="J145" s="137"/>
      <c r="K145" s="138">
        <f t="shared" si="83"/>
        <v>0</v>
      </c>
      <c r="L145" s="135"/>
      <c r="M145" s="136"/>
      <c r="N145" s="136"/>
      <c r="O145" s="137"/>
      <c r="P145" s="138">
        <f t="shared" si="84"/>
        <v>0</v>
      </c>
      <c r="Q145" s="135">
        <v>8</v>
      </c>
      <c r="R145" s="136"/>
      <c r="S145" s="136">
        <v>18</v>
      </c>
      <c r="T145" s="137"/>
      <c r="U145" s="138">
        <f t="shared" si="85"/>
        <v>26</v>
      </c>
      <c r="V145" s="135"/>
      <c r="W145" s="136"/>
      <c r="X145" s="136"/>
      <c r="Y145" s="137"/>
      <c r="Z145" s="138">
        <f t="shared" si="86"/>
        <v>0</v>
      </c>
      <c r="AA145" s="135"/>
      <c r="AB145" s="136"/>
      <c r="AC145" s="136"/>
      <c r="AD145" s="137"/>
      <c r="AE145" s="138">
        <f t="shared" si="87"/>
        <v>0</v>
      </c>
      <c r="AF145" s="135"/>
      <c r="AG145" s="136"/>
      <c r="AH145" s="136"/>
      <c r="AI145" s="137"/>
      <c r="AJ145" s="138">
        <f t="shared" si="88"/>
        <v>0</v>
      </c>
      <c r="AK145" s="135"/>
      <c r="AL145" s="136"/>
      <c r="AM145" s="136"/>
      <c r="AN145" s="137"/>
      <c r="AO145" s="138">
        <f t="shared" si="89"/>
        <v>0</v>
      </c>
      <c r="AP145" s="135">
        <v>3</v>
      </c>
      <c r="AQ145" s="136"/>
      <c r="AR145" s="136">
        <v>4</v>
      </c>
      <c r="AS145" s="137"/>
      <c r="AT145" s="138">
        <f t="shared" si="90"/>
        <v>7</v>
      </c>
      <c r="AU145" s="135"/>
      <c r="AV145" s="136"/>
      <c r="AW145" s="136"/>
      <c r="AX145" s="137"/>
      <c r="AY145" s="138">
        <f t="shared" si="91"/>
        <v>0</v>
      </c>
      <c r="AZ145" s="135"/>
      <c r="BA145" s="136"/>
      <c r="BB145" s="136"/>
      <c r="BC145" s="137"/>
      <c r="BD145" s="138">
        <f t="shared" si="92"/>
        <v>0</v>
      </c>
      <c r="BE145" s="135">
        <v>3</v>
      </c>
      <c r="BF145" s="136"/>
      <c r="BG145" s="136">
        <v>4</v>
      </c>
      <c r="BH145" s="137"/>
      <c r="BI145" s="138">
        <f t="shared" si="93"/>
        <v>7</v>
      </c>
      <c r="BJ145" s="135"/>
      <c r="BK145" s="136"/>
      <c r="BL145" s="136"/>
      <c r="BM145" s="137"/>
      <c r="BN145" s="138">
        <f t="shared" si="94"/>
        <v>0</v>
      </c>
      <c r="BO145" s="140">
        <f>SUM(G145,L145,Q145,V145,AA145,AF145,AK145,AP145,AU145,AZ145,BE145,BJ145)</f>
        <v>14</v>
      </c>
      <c r="BP145" s="136">
        <f>SUM(H145,M145,R145,W145,AB145,AG145,AL145,AQ145,AV145,BA145,BF145,BK145)</f>
        <v>0</v>
      </c>
      <c r="BQ145" s="136">
        <f>SUM(I145,N145,S145,X145,AC145,AH145,AM145,AR145,AW145,BB145,BG145,BL145)</f>
        <v>26</v>
      </c>
      <c r="BR145" s="137">
        <f>SUM(J145,O145,T145,Y145,AD145,AI145,AN145,AS145,AX145,BC145,BH145,BM145)</f>
        <v>0</v>
      </c>
      <c r="BS145" s="139">
        <f t="shared" si="95"/>
        <v>40</v>
      </c>
    </row>
    <row r="146" spans="2:71" x14ac:dyDescent="0.3">
      <c r="B146" s="269"/>
      <c r="C146" s="230"/>
      <c r="D146" s="233"/>
      <c r="E146" s="240"/>
      <c r="F146" s="125" t="s">
        <v>54</v>
      </c>
      <c r="G146" s="126">
        <f>SUM(G138:G145)</f>
        <v>590</v>
      </c>
      <c r="H146" s="127">
        <f>SUM(H138:H145)</f>
        <v>30</v>
      </c>
      <c r="I146" s="127">
        <f>SUM(I138:I145)</f>
        <v>220</v>
      </c>
      <c r="J146" s="128">
        <f>SUM(J138:J145)</f>
        <v>0</v>
      </c>
      <c r="K146" s="129">
        <f t="shared" si="83"/>
        <v>840</v>
      </c>
      <c r="L146" s="126">
        <f>SUM(L138:L145)</f>
        <v>664</v>
      </c>
      <c r="M146" s="127">
        <f>SUM(M138:M145)</f>
        <v>53</v>
      </c>
      <c r="N146" s="127">
        <f>SUM(N138:N145)</f>
        <v>411</v>
      </c>
      <c r="O146" s="128">
        <f>SUM(O138:O145)</f>
        <v>0</v>
      </c>
      <c r="P146" s="129">
        <f t="shared" si="84"/>
        <v>1128</v>
      </c>
      <c r="Q146" s="126">
        <f>SUM(Q138:Q145)</f>
        <v>395</v>
      </c>
      <c r="R146" s="127">
        <f>SUM(R138:R145)</f>
        <v>9</v>
      </c>
      <c r="S146" s="127">
        <f>SUM(S138:S145)</f>
        <v>292</v>
      </c>
      <c r="T146" s="128">
        <f>SUM(T138:T145)</f>
        <v>0</v>
      </c>
      <c r="U146" s="129">
        <f t="shared" si="85"/>
        <v>696</v>
      </c>
      <c r="V146" s="126">
        <f>SUM(V138:V145)</f>
        <v>1100</v>
      </c>
      <c r="W146" s="127">
        <f>SUM(W138:W145)</f>
        <v>38</v>
      </c>
      <c r="X146" s="127">
        <f>SUM(X138:X145)</f>
        <v>935</v>
      </c>
      <c r="Y146" s="128">
        <f>SUM(Y138:Y145)</f>
        <v>0</v>
      </c>
      <c r="Z146" s="129">
        <f t="shared" si="86"/>
        <v>2073</v>
      </c>
      <c r="AA146" s="126">
        <f>SUM(AA138:AA145)</f>
        <v>909</v>
      </c>
      <c r="AB146" s="127">
        <f>SUM(AB138:AB145)</f>
        <v>14</v>
      </c>
      <c r="AC146" s="127">
        <f>SUM(AC138:AC145)</f>
        <v>1065</v>
      </c>
      <c r="AD146" s="128">
        <f>SUM(AD138:AD145)</f>
        <v>0</v>
      </c>
      <c r="AE146" s="129">
        <f t="shared" si="87"/>
        <v>1988</v>
      </c>
      <c r="AF146" s="126">
        <f>SUM(AF138:AF145)</f>
        <v>923</v>
      </c>
      <c r="AG146" s="127">
        <f>SUM(AG138:AG145)</f>
        <v>28</v>
      </c>
      <c r="AH146" s="127">
        <f>SUM(AH138:AH145)</f>
        <v>891</v>
      </c>
      <c r="AI146" s="128">
        <f>SUM(AI138:AI145)</f>
        <v>0</v>
      </c>
      <c r="AJ146" s="129">
        <f t="shared" si="88"/>
        <v>1842</v>
      </c>
      <c r="AK146" s="126">
        <f>SUM(AK138:AK145)</f>
        <v>262</v>
      </c>
      <c r="AL146" s="127">
        <f>SUM(AL138:AL145)</f>
        <v>23</v>
      </c>
      <c r="AM146" s="127">
        <f>SUM(AM138:AM145)</f>
        <v>348</v>
      </c>
      <c r="AN146" s="128">
        <f>SUM(AN138:AN145)</f>
        <v>0</v>
      </c>
      <c r="AO146" s="129">
        <f t="shared" si="89"/>
        <v>633</v>
      </c>
      <c r="AP146" s="126">
        <f>SUM(AP138:AP145)</f>
        <v>68</v>
      </c>
      <c r="AQ146" s="127">
        <f>SUM(AQ138:AQ145)</f>
        <v>2</v>
      </c>
      <c r="AR146" s="127">
        <f>SUM(AR138:AR145)</f>
        <v>105</v>
      </c>
      <c r="AS146" s="128">
        <f>SUM(AS138:AS145)</f>
        <v>0</v>
      </c>
      <c r="AT146" s="129">
        <f t="shared" si="90"/>
        <v>175</v>
      </c>
      <c r="AU146" s="126">
        <f>SUM(AU138:AU145)</f>
        <v>506</v>
      </c>
      <c r="AV146" s="127">
        <f>SUM(AV138:AV145)</f>
        <v>30</v>
      </c>
      <c r="AW146" s="127">
        <f>SUM(AW138:AW145)</f>
        <v>1010</v>
      </c>
      <c r="AX146" s="128">
        <f>SUM(AX138:AX145)</f>
        <v>0</v>
      </c>
      <c r="AY146" s="129">
        <f t="shared" si="91"/>
        <v>1546</v>
      </c>
      <c r="AZ146" s="126">
        <f>SUM(AZ138:AZ145)</f>
        <v>1037</v>
      </c>
      <c r="BA146" s="127">
        <f>SUM(BA138:BA145)</f>
        <v>60</v>
      </c>
      <c r="BB146" s="127">
        <f>SUM(BB138:BB145)</f>
        <v>1398</v>
      </c>
      <c r="BC146" s="128">
        <f>SUM(BC138:BC145)</f>
        <v>0</v>
      </c>
      <c r="BD146" s="129">
        <f t="shared" si="92"/>
        <v>2495</v>
      </c>
      <c r="BE146" s="126">
        <f>SUM(BE138:BE145)</f>
        <v>111</v>
      </c>
      <c r="BF146" s="127">
        <f>SUM(BF138:BF145)</f>
        <v>1</v>
      </c>
      <c r="BG146" s="127">
        <f>SUM(BG138:BG145)</f>
        <v>124</v>
      </c>
      <c r="BH146" s="128">
        <f>SUM(BH138:BH145)</f>
        <v>0</v>
      </c>
      <c r="BI146" s="129">
        <f t="shared" si="93"/>
        <v>236</v>
      </c>
      <c r="BJ146" s="126">
        <f>SUM(BJ138:BJ145)</f>
        <v>34</v>
      </c>
      <c r="BK146" s="127">
        <f>SUM(BK138:BK145)</f>
        <v>1</v>
      </c>
      <c r="BL146" s="127">
        <f>SUM(BL138:BL145)</f>
        <v>38</v>
      </c>
      <c r="BM146" s="128">
        <f>SUM(BM138:BM145)</f>
        <v>0</v>
      </c>
      <c r="BN146" s="129">
        <f t="shared" si="94"/>
        <v>73</v>
      </c>
      <c r="BO146" s="131">
        <f>SUM(BO138:BO145)</f>
        <v>6599</v>
      </c>
      <c r="BP146" s="127">
        <f>SUM(BP138:BP145)</f>
        <v>289</v>
      </c>
      <c r="BQ146" s="127">
        <f>SUM(BQ138:BQ145)</f>
        <v>6837</v>
      </c>
      <c r="BR146" s="128">
        <f>SUM(BR138:BR145)</f>
        <v>0</v>
      </c>
      <c r="BS146" s="130">
        <f t="shared" si="95"/>
        <v>13725</v>
      </c>
    </row>
    <row r="147" spans="2:71" x14ac:dyDescent="0.3">
      <c r="B147" s="269"/>
      <c r="C147" s="230"/>
      <c r="D147" s="233"/>
      <c r="E147" s="241" t="s">
        <v>58</v>
      </c>
      <c r="F147" s="120" t="s">
        <v>59</v>
      </c>
      <c r="G147" s="30"/>
      <c r="H147" s="7"/>
      <c r="I147" s="7"/>
      <c r="J147" s="8"/>
      <c r="K147" s="9">
        <f t="shared" si="83"/>
        <v>0</v>
      </c>
      <c r="L147" s="30"/>
      <c r="M147" s="7"/>
      <c r="N147" s="7"/>
      <c r="O147" s="8"/>
      <c r="P147" s="9">
        <f t="shared" si="84"/>
        <v>0</v>
      </c>
      <c r="Q147" s="30">
        <v>300</v>
      </c>
      <c r="R147" s="7">
        <v>8</v>
      </c>
      <c r="S147" s="7">
        <v>144</v>
      </c>
      <c r="T147" s="8"/>
      <c r="U147" s="9">
        <f t="shared" si="85"/>
        <v>452</v>
      </c>
      <c r="V147" s="30">
        <v>410</v>
      </c>
      <c r="W147" s="7">
        <v>17</v>
      </c>
      <c r="X147" s="7">
        <v>308</v>
      </c>
      <c r="Y147" s="8"/>
      <c r="Z147" s="9">
        <f t="shared" si="86"/>
        <v>735</v>
      </c>
      <c r="AA147" s="30">
        <v>307</v>
      </c>
      <c r="AB147" s="7">
        <v>3</v>
      </c>
      <c r="AC147" s="7">
        <v>423</v>
      </c>
      <c r="AD147" s="8"/>
      <c r="AE147" s="9">
        <f t="shared" si="87"/>
        <v>733</v>
      </c>
      <c r="AF147" s="30">
        <v>333</v>
      </c>
      <c r="AG147" s="7">
        <v>8</v>
      </c>
      <c r="AH147" s="7">
        <v>273</v>
      </c>
      <c r="AI147" s="8"/>
      <c r="AJ147" s="9">
        <f t="shared" si="88"/>
        <v>614</v>
      </c>
      <c r="AK147" s="30">
        <v>104</v>
      </c>
      <c r="AL147" s="7">
        <v>7</v>
      </c>
      <c r="AM147" s="7">
        <v>158</v>
      </c>
      <c r="AN147" s="8"/>
      <c r="AO147" s="9">
        <f t="shared" si="89"/>
        <v>269</v>
      </c>
      <c r="AP147" s="30">
        <v>94</v>
      </c>
      <c r="AQ147" s="7">
        <v>4</v>
      </c>
      <c r="AR147" s="7">
        <v>158</v>
      </c>
      <c r="AS147" s="8"/>
      <c r="AT147" s="9">
        <f t="shared" si="90"/>
        <v>256</v>
      </c>
      <c r="AU147" s="30">
        <v>186</v>
      </c>
      <c r="AV147" s="7">
        <v>14</v>
      </c>
      <c r="AW147" s="7">
        <v>365</v>
      </c>
      <c r="AX147" s="8"/>
      <c r="AY147" s="9">
        <f t="shared" si="91"/>
        <v>565</v>
      </c>
      <c r="AZ147" s="30">
        <v>382</v>
      </c>
      <c r="BA147" s="7">
        <v>24</v>
      </c>
      <c r="BB147" s="7">
        <v>599</v>
      </c>
      <c r="BC147" s="8"/>
      <c r="BD147" s="9">
        <f t="shared" si="92"/>
        <v>1005</v>
      </c>
      <c r="BE147" s="30">
        <v>171</v>
      </c>
      <c r="BF147" s="7">
        <v>5</v>
      </c>
      <c r="BG147" s="7">
        <v>171</v>
      </c>
      <c r="BH147" s="8"/>
      <c r="BI147" s="9">
        <f t="shared" si="93"/>
        <v>347</v>
      </c>
      <c r="BJ147" s="30">
        <v>109</v>
      </c>
      <c r="BK147" s="7">
        <v>1</v>
      </c>
      <c r="BL147" s="7">
        <v>69</v>
      </c>
      <c r="BM147" s="8"/>
      <c r="BN147" s="9">
        <f t="shared" si="94"/>
        <v>179</v>
      </c>
      <c r="BO147" s="65">
        <f>SUM(G147,L147,Q147,V147,AA147,AF147,AK147,AP147,AU147,AZ147,BE147,BJ147)</f>
        <v>2396</v>
      </c>
      <c r="BP147" s="7">
        <f>SUM(H147,M147,R147,W147,AB147,AG147,AL147,AQ147,AV147,BA147,BF147,BK147)</f>
        <v>91</v>
      </c>
      <c r="BQ147" s="7">
        <f>SUM(I147,N147,S147,X147,AC147,AH147,AM147,AR147,AW147,BB147,BG147,BL147)</f>
        <v>2668</v>
      </c>
      <c r="BR147" s="8">
        <f>SUM(J147,O147,T147,Y147,AD147,AI147,AN147,AS147,AX147,BC147,BH147,BM147)</f>
        <v>0</v>
      </c>
      <c r="BS147" s="31">
        <f t="shared" si="95"/>
        <v>5155</v>
      </c>
    </row>
    <row r="148" spans="2:71" x14ac:dyDescent="0.3">
      <c r="B148" s="269"/>
      <c r="C148" s="230"/>
      <c r="D148" s="233"/>
      <c r="E148" s="239"/>
      <c r="F148" s="121" t="s">
        <v>60</v>
      </c>
      <c r="G148" s="32"/>
      <c r="H148" s="13"/>
      <c r="I148" s="13"/>
      <c r="J148" s="14"/>
      <c r="K148" s="15">
        <f t="shared" si="83"/>
        <v>0</v>
      </c>
      <c r="L148" s="32"/>
      <c r="M148" s="13"/>
      <c r="N148" s="13"/>
      <c r="O148" s="14"/>
      <c r="P148" s="15">
        <f t="shared" si="84"/>
        <v>0</v>
      </c>
      <c r="Q148" s="32">
        <v>92</v>
      </c>
      <c r="R148" s="13">
        <v>4</v>
      </c>
      <c r="S148" s="13">
        <v>34</v>
      </c>
      <c r="T148" s="14"/>
      <c r="U148" s="15">
        <f t="shared" si="85"/>
        <v>130</v>
      </c>
      <c r="V148" s="32">
        <v>134</v>
      </c>
      <c r="W148" s="13">
        <v>4</v>
      </c>
      <c r="X148" s="13">
        <v>94</v>
      </c>
      <c r="Y148" s="14"/>
      <c r="Z148" s="15">
        <f t="shared" si="86"/>
        <v>232</v>
      </c>
      <c r="AA148" s="32">
        <v>113</v>
      </c>
      <c r="AB148" s="13">
        <v>2</v>
      </c>
      <c r="AC148" s="13">
        <v>86</v>
      </c>
      <c r="AD148" s="14"/>
      <c r="AE148" s="15">
        <f t="shared" si="87"/>
        <v>201</v>
      </c>
      <c r="AF148" s="32">
        <v>94</v>
      </c>
      <c r="AG148" s="13">
        <v>3</v>
      </c>
      <c r="AH148" s="13">
        <v>67</v>
      </c>
      <c r="AI148" s="14"/>
      <c r="AJ148" s="15">
        <f t="shared" si="88"/>
        <v>164</v>
      </c>
      <c r="AK148" s="32">
        <v>20</v>
      </c>
      <c r="AL148" s="13">
        <v>2</v>
      </c>
      <c r="AM148" s="13">
        <v>32</v>
      </c>
      <c r="AN148" s="14"/>
      <c r="AO148" s="15">
        <f t="shared" si="89"/>
        <v>54</v>
      </c>
      <c r="AP148" s="32">
        <v>22</v>
      </c>
      <c r="AQ148" s="13">
        <v>2</v>
      </c>
      <c r="AR148" s="13">
        <v>72</v>
      </c>
      <c r="AS148" s="14"/>
      <c r="AT148" s="15">
        <f t="shared" si="90"/>
        <v>96</v>
      </c>
      <c r="AU148" s="32">
        <v>60</v>
      </c>
      <c r="AV148" s="13">
        <v>6</v>
      </c>
      <c r="AW148" s="13">
        <v>149</v>
      </c>
      <c r="AX148" s="14"/>
      <c r="AY148" s="15">
        <f t="shared" si="91"/>
        <v>215</v>
      </c>
      <c r="AZ148" s="32">
        <v>126</v>
      </c>
      <c r="BA148" s="13">
        <v>1</v>
      </c>
      <c r="BB148" s="13">
        <v>116</v>
      </c>
      <c r="BC148" s="14"/>
      <c r="BD148" s="15">
        <f t="shared" si="92"/>
        <v>243</v>
      </c>
      <c r="BE148" s="32">
        <v>57</v>
      </c>
      <c r="BF148" s="13">
        <v>1</v>
      </c>
      <c r="BG148" s="13">
        <v>45</v>
      </c>
      <c r="BH148" s="14"/>
      <c r="BI148" s="15">
        <f t="shared" si="93"/>
        <v>103</v>
      </c>
      <c r="BJ148" s="32">
        <v>16</v>
      </c>
      <c r="BK148" s="13"/>
      <c r="BL148" s="13">
        <v>11</v>
      </c>
      <c r="BM148" s="14"/>
      <c r="BN148" s="15">
        <f t="shared" si="94"/>
        <v>27</v>
      </c>
      <c r="BO148" s="66">
        <f>SUM(G148,L148,Q148,V148,AA148,AF148,AK148,AP148,AU148,AZ148,BE148,BJ148)</f>
        <v>734</v>
      </c>
      <c r="BP148" s="13">
        <f>SUM(H148,M148,R148,W148,AB148,AG148,AL148,AQ148,AV148,BA148,BF148,BK148)</f>
        <v>25</v>
      </c>
      <c r="BQ148" s="13">
        <f>SUM(I148,N148,S148,X148,AC148,AH148,AM148,AR148,AW148,BB148,BG148,BL148)</f>
        <v>706</v>
      </c>
      <c r="BR148" s="14">
        <f>SUM(J148,O148,T148,Y148,AD148,AI148,AN148,AS148,AX148,BC148,BH148,BM148)</f>
        <v>0</v>
      </c>
      <c r="BS148" s="33">
        <f t="shared" si="95"/>
        <v>1465</v>
      </c>
    </row>
    <row r="149" spans="2:71" x14ac:dyDescent="0.3">
      <c r="B149" s="269"/>
      <c r="C149" s="230"/>
      <c r="D149" s="233"/>
      <c r="E149" s="239"/>
      <c r="F149" s="121" t="s">
        <v>61</v>
      </c>
      <c r="G149" s="32"/>
      <c r="H149" s="13"/>
      <c r="I149" s="13"/>
      <c r="J149" s="14"/>
      <c r="K149" s="15">
        <f t="shared" si="83"/>
        <v>0</v>
      </c>
      <c r="L149" s="32"/>
      <c r="M149" s="13"/>
      <c r="N149" s="13"/>
      <c r="O149" s="14"/>
      <c r="P149" s="15">
        <f t="shared" si="84"/>
        <v>0</v>
      </c>
      <c r="Q149" s="32">
        <v>32</v>
      </c>
      <c r="R149" s="13">
        <v>1</v>
      </c>
      <c r="S149" s="13">
        <v>20</v>
      </c>
      <c r="T149" s="14"/>
      <c r="U149" s="15">
        <f t="shared" si="85"/>
        <v>53</v>
      </c>
      <c r="V149" s="32">
        <v>51</v>
      </c>
      <c r="W149" s="13">
        <v>2</v>
      </c>
      <c r="X149" s="13">
        <v>49</v>
      </c>
      <c r="Y149" s="14"/>
      <c r="Z149" s="15">
        <f t="shared" si="86"/>
        <v>102</v>
      </c>
      <c r="AA149" s="32">
        <v>32</v>
      </c>
      <c r="AB149" s="13"/>
      <c r="AC149" s="13">
        <v>38</v>
      </c>
      <c r="AD149" s="14"/>
      <c r="AE149" s="15">
        <f t="shared" si="87"/>
        <v>70</v>
      </c>
      <c r="AF149" s="32">
        <v>28</v>
      </c>
      <c r="AG149" s="13"/>
      <c r="AH149" s="13">
        <v>22</v>
      </c>
      <c r="AI149" s="14"/>
      <c r="AJ149" s="15">
        <f t="shared" si="88"/>
        <v>50</v>
      </c>
      <c r="AK149" s="32">
        <v>6</v>
      </c>
      <c r="AL149" s="13">
        <v>1</v>
      </c>
      <c r="AM149" s="13">
        <v>11</v>
      </c>
      <c r="AN149" s="14"/>
      <c r="AO149" s="15">
        <f t="shared" si="89"/>
        <v>18</v>
      </c>
      <c r="AP149" s="32">
        <v>7</v>
      </c>
      <c r="AQ149" s="13">
        <v>1</v>
      </c>
      <c r="AR149" s="13">
        <v>14</v>
      </c>
      <c r="AS149" s="14"/>
      <c r="AT149" s="15">
        <f t="shared" si="90"/>
        <v>22</v>
      </c>
      <c r="AU149" s="32">
        <v>26</v>
      </c>
      <c r="AV149" s="13">
        <v>3</v>
      </c>
      <c r="AW149" s="13">
        <v>26</v>
      </c>
      <c r="AX149" s="14"/>
      <c r="AY149" s="15">
        <f t="shared" si="91"/>
        <v>55</v>
      </c>
      <c r="AZ149" s="32">
        <v>39</v>
      </c>
      <c r="BA149" s="13">
        <v>1</v>
      </c>
      <c r="BB149" s="13">
        <v>46</v>
      </c>
      <c r="BC149" s="14"/>
      <c r="BD149" s="15">
        <f t="shared" si="92"/>
        <v>86</v>
      </c>
      <c r="BE149" s="32">
        <v>8</v>
      </c>
      <c r="BF149" s="13"/>
      <c r="BG149" s="13">
        <v>18</v>
      </c>
      <c r="BH149" s="14"/>
      <c r="BI149" s="15">
        <f t="shared" si="93"/>
        <v>26</v>
      </c>
      <c r="BJ149" s="32">
        <v>4</v>
      </c>
      <c r="BK149" s="13">
        <v>1</v>
      </c>
      <c r="BL149" s="13">
        <v>4</v>
      </c>
      <c r="BM149" s="14"/>
      <c r="BN149" s="15">
        <f t="shared" si="94"/>
        <v>9</v>
      </c>
      <c r="BO149" s="66">
        <f>SUM(G149,L149,Q149,V149,AA149,AF149,AK149,AP149,AU149,AZ149,BE149,BJ149)</f>
        <v>233</v>
      </c>
      <c r="BP149" s="13">
        <f>SUM(H149,M149,R149,W149,AB149,AG149,AL149,AQ149,AV149,BA149,BF149,BK149)</f>
        <v>10</v>
      </c>
      <c r="BQ149" s="13">
        <f>SUM(I149,N149,S149,X149,AC149,AH149,AM149,AR149,AW149,BB149,BG149,BL149)</f>
        <v>248</v>
      </c>
      <c r="BR149" s="14">
        <f>SUM(J149,O149,T149,Y149,AD149,AI149,AN149,AS149,AX149,BC149,BH149,BM149)</f>
        <v>0</v>
      </c>
      <c r="BS149" s="33">
        <f t="shared" si="95"/>
        <v>491</v>
      </c>
    </row>
    <row r="150" spans="2:71" x14ac:dyDescent="0.3">
      <c r="B150" s="269"/>
      <c r="C150" s="230"/>
      <c r="D150" s="233"/>
      <c r="E150" s="239"/>
      <c r="F150" s="121" t="s">
        <v>62</v>
      </c>
      <c r="G150" s="32"/>
      <c r="H150" s="13"/>
      <c r="I150" s="13"/>
      <c r="J150" s="14"/>
      <c r="K150" s="15">
        <f t="shared" si="83"/>
        <v>0</v>
      </c>
      <c r="L150" s="32"/>
      <c r="M150" s="13"/>
      <c r="N150" s="13"/>
      <c r="O150" s="14"/>
      <c r="P150" s="15">
        <f t="shared" si="84"/>
        <v>0</v>
      </c>
      <c r="Q150" s="32">
        <v>9</v>
      </c>
      <c r="R150" s="13">
        <v>1</v>
      </c>
      <c r="S150" s="13">
        <v>3</v>
      </c>
      <c r="T150" s="14"/>
      <c r="U150" s="15">
        <f t="shared" si="85"/>
        <v>13</v>
      </c>
      <c r="V150" s="32">
        <v>15</v>
      </c>
      <c r="W150" s="13"/>
      <c r="X150" s="13">
        <v>14</v>
      </c>
      <c r="Y150" s="14"/>
      <c r="Z150" s="15">
        <f t="shared" si="86"/>
        <v>29</v>
      </c>
      <c r="AA150" s="32">
        <v>12</v>
      </c>
      <c r="AB150" s="13"/>
      <c r="AC150" s="13">
        <v>6</v>
      </c>
      <c r="AD150" s="14"/>
      <c r="AE150" s="15">
        <f t="shared" si="87"/>
        <v>18</v>
      </c>
      <c r="AF150" s="32">
        <v>5</v>
      </c>
      <c r="AG150" s="13"/>
      <c r="AH150" s="13">
        <v>6</v>
      </c>
      <c r="AI150" s="14"/>
      <c r="AJ150" s="15">
        <f t="shared" si="88"/>
        <v>11</v>
      </c>
      <c r="AK150" s="32">
        <v>6</v>
      </c>
      <c r="AL150" s="13">
        <v>1</v>
      </c>
      <c r="AM150" s="13">
        <v>7</v>
      </c>
      <c r="AN150" s="14"/>
      <c r="AO150" s="15">
        <f t="shared" si="89"/>
        <v>14</v>
      </c>
      <c r="AP150" s="32"/>
      <c r="AQ150" s="13"/>
      <c r="AR150" s="13">
        <v>4</v>
      </c>
      <c r="AS150" s="14"/>
      <c r="AT150" s="15">
        <f t="shared" si="90"/>
        <v>4</v>
      </c>
      <c r="AU150" s="32">
        <v>2</v>
      </c>
      <c r="AV150" s="13"/>
      <c r="AW150" s="13">
        <v>6</v>
      </c>
      <c r="AX150" s="14"/>
      <c r="AY150" s="15">
        <f t="shared" si="91"/>
        <v>8</v>
      </c>
      <c r="AZ150" s="32">
        <v>4</v>
      </c>
      <c r="BA150" s="13"/>
      <c r="BB150" s="13">
        <v>7</v>
      </c>
      <c r="BC150" s="14"/>
      <c r="BD150" s="15">
        <f t="shared" si="92"/>
        <v>11</v>
      </c>
      <c r="BE150" s="32">
        <v>2</v>
      </c>
      <c r="BF150" s="13"/>
      <c r="BG150" s="13">
        <v>1</v>
      </c>
      <c r="BH150" s="14"/>
      <c r="BI150" s="15">
        <f t="shared" si="93"/>
        <v>3</v>
      </c>
      <c r="BJ150" s="32">
        <v>2</v>
      </c>
      <c r="BK150" s="13"/>
      <c r="BL150" s="13">
        <v>3</v>
      </c>
      <c r="BM150" s="14"/>
      <c r="BN150" s="15">
        <f t="shared" si="94"/>
        <v>5</v>
      </c>
      <c r="BO150" s="66">
        <f>SUM(G150,L150,Q150,V150,AA150,AF150,AK150,AP150,AU150,AZ150,BE150,BJ150)</f>
        <v>57</v>
      </c>
      <c r="BP150" s="13">
        <f>SUM(H150,M150,R150,W150,AB150,AG150,AL150,AQ150,AV150,BA150,BF150,BK150)</f>
        <v>2</v>
      </c>
      <c r="BQ150" s="13">
        <f>SUM(I150,N150,S150,X150,AC150,AH150,AM150,AR150,AW150,BB150,BG150,BL150)</f>
        <v>57</v>
      </c>
      <c r="BR150" s="14">
        <f>SUM(J150,O150,T150,Y150,AD150,AI150,AN150,AS150,AX150,BC150,BH150,BM150)</f>
        <v>0</v>
      </c>
      <c r="BS150" s="33">
        <f t="shared" si="95"/>
        <v>116</v>
      </c>
    </row>
    <row r="151" spans="2:71" x14ac:dyDescent="0.3">
      <c r="B151" s="269"/>
      <c r="C151" s="230"/>
      <c r="D151" s="233"/>
      <c r="E151" s="239"/>
      <c r="F151" s="121" t="s">
        <v>156</v>
      </c>
      <c r="G151" s="32"/>
      <c r="H151" s="13"/>
      <c r="I151" s="13"/>
      <c r="J151" s="14"/>
      <c r="K151" s="15">
        <f t="shared" si="83"/>
        <v>0</v>
      </c>
      <c r="L151" s="32"/>
      <c r="M151" s="13"/>
      <c r="N151" s="13"/>
      <c r="O151" s="14"/>
      <c r="P151" s="15">
        <f t="shared" si="84"/>
        <v>0</v>
      </c>
      <c r="Q151" s="32">
        <v>13</v>
      </c>
      <c r="R151" s="13">
        <v>1</v>
      </c>
      <c r="S151" s="13">
        <v>50</v>
      </c>
      <c r="T151" s="14"/>
      <c r="U151" s="15">
        <f t="shared" si="85"/>
        <v>64</v>
      </c>
      <c r="V151" s="32">
        <v>12</v>
      </c>
      <c r="W151" s="13">
        <v>4</v>
      </c>
      <c r="X151" s="13">
        <v>52</v>
      </c>
      <c r="Y151" s="14"/>
      <c r="Z151" s="15">
        <f t="shared" si="86"/>
        <v>68</v>
      </c>
      <c r="AA151" s="32">
        <v>10</v>
      </c>
      <c r="AB151" s="13">
        <v>1</v>
      </c>
      <c r="AC151" s="13">
        <v>41</v>
      </c>
      <c r="AD151" s="14"/>
      <c r="AE151" s="15">
        <f t="shared" si="87"/>
        <v>52</v>
      </c>
      <c r="AF151" s="32">
        <v>22</v>
      </c>
      <c r="AG151" s="13"/>
      <c r="AH151" s="13">
        <v>39</v>
      </c>
      <c r="AI151" s="14"/>
      <c r="AJ151" s="15">
        <f t="shared" si="88"/>
        <v>61</v>
      </c>
      <c r="AK151" s="32">
        <v>6</v>
      </c>
      <c r="AL151" s="13">
        <v>2</v>
      </c>
      <c r="AM151" s="13">
        <v>10</v>
      </c>
      <c r="AN151" s="14"/>
      <c r="AO151" s="15">
        <f t="shared" si="89"/>
        <v>18</v>
      </c>
      <c r="AP151" s="32">
        <v>3</v>
      </c>
      <c r="AQ151" s="13"/>
      <c r="AR151" s="13">
        <v>20</v>
      </c>
      <c r="AS151" s="14"/>
      <c r="AT151" s="15">
        <f t="shared" si="90"/>
        <v>23</v>
      </c>
      <c r="AU151" s="32">
        <v>6</v>
      </c>
      <c r="AV151" s="13"/>
      <c r="AW151" s="13">
        <v>27</v>
      </c>
      <c r="AX151" s="14"/>
      <c r="AY151" s="15">
        <f t="shared" si="91"/>
        <v>33</v>
      </c>
      <c r="AZ151" s="32">
        <v>14</v>
      </c>
      <c r="BA151" s="13">
        <v>2</v>
      </c>
      <c r="BB151" s="13">
        <v>51</v>
      </c>
      <c r="BC151" s="14"/>
      <c r="BD151" s="15">
        <f t="shared" si="92"/>
        <v>67</v>
      </c>
      <c r="BE151" s="32">
        <v>5</v>
      </c>
      <c r="BF151" s="13">
        <v>1</v>
      </c>
      <c r="BG151" s="13">
        <v>23</v>
      </c>
      <c r="BH151" s="14"/>
      <c r="BI151" s="15">
        <f t="shared" si="93"/>
        <v>29</v>
      </c>
      <c r="BJ151" s="32">
        <v>3</v>
      </c>
      <c r="BK151" s="13"/>
      <c r="BL151" s="13">
        <v>10</v>
      </c>
      <c r="BM151" s="14"/>
      <c r="BN151" s="15">
        <f t="shared" si="94"/>
        <v>13</v>
      </c>
      <c r="BO151" s="66">
        <f>SUM(G151,L151,Q151,V151,AA151,AF151,AK151,AP151,AU151,AZ151,BE151,BJ151)</f>
        <v>94</v>
      </c>
      <c r="BP151" s="13">
        <f>SUM(H151,M151,R151,W151,AB151,AG151,AL151,AQ151,AV151,BA151,BF151,BK151)</f>
        <v>11</v>
      </c>
      <c r="BQ151" s="13">
        <f>SUM(I151,N151,S151,X151,AC151,AH151,AM151,AR151,AW151,BB151,BG151,BL151)</f>
        <v>323</v>
      </c>
      <c r="BR151" s="14">
        <f>SUM(J151,O151,T151,Y151,AD151,AI151,AN151,AS151,AX151,BC151,BH151,BM151)</f>
        <v>0</v>
      </c>
      <c r="BS151" s="33">
        <f t="shared" si="95"/>
        <v>428</v>
      </c>
    </row>
    <row r="152" spans="2:71" x14ac:dyDescent="0.3">
      <c r="B152" s="269"/>
      <c r="C152" s="230"/>
      <c r="D152" s="233"/>
      <c r="E152" s="239"/>
      <c r="F152" s="123" t="s">
        <v>157</v>
      </c>
      <c r="G152" s="34"/>
      <c r="H152" s="16"/>
      <c r="I152" s="16"/>
      <c r="J152" s="17"/>
      <c r="K152" s="18">
        <f t="shared" si="83"/>
        <v>0</v>
      </c>
      <c r="L152" s="34"/>
      <c r="M152" s="16"/>
      <c r="N152" s="16"/>
      <c r="O152" s="17"/>
      <c r="P152" s="18">
        <f t="shared" si="84"/>
        <v>0</v>
      </c>
      <c r="Q152" s="34">
        <v>7</v>
      </c>
      <c r="R152" s="16"/>
      <c r="S152" s="16">
        <v>10</v>
      </c>
      <c r="T152" s="17"/>
      <c r="U152" s="18">
        <f t="shared" si="85"/>
        <v>17</v>
      </c>
      <c r="V152" s="34">
        <v>5</v>
      </c>
      <c r="W152" s="16"/>
      <c r="X152" s="16">
        <v>23</v>
      </c>
      <c r="Y152" s="17"/>
      <c r="Z152" s="18">
        <f t="shared" si="86"/>
        <v>28</v>
      </c>
      <c r="AA152" s="34">
        <v>9</v>
      </c>
      <c r="AB152" s="16"/>
      <c r="AC152" s="16">
        <v>14</v>
      </c>
      <c r="AD152" s="17"/>
      <c r="AE152" s="18">
        <f t="shared" si="87"/>
        <v>23</v>
      </c>
      <c r="AF152" s="34">
        <v>1</v>
      </c>
      <c r="AG152" s="16"/>
      <c r="AH152" s="16">
        <v>14</v>
      </c>
      <c r="AI152" s="17"/>
      <c r="AJ152" s="18">
        <f t="shared" si="88"/>
        <v>15</v>
      </c>
      <c r="AK152" s="34">
        <v>4</v>
      </c>
      <c r="AL152" s="16"/>
      <c r="AM152" s="16">
        <v>3</v>
      </c>
      <c r="AN152" s="17"/>
      <c r="AO152" s="18">
        <f t="shared" si="89"/>
        <v>7</v>
      </c>
      <c r="AP152" s="34"/>
      <c r="AQ152" s="16"/>
      <c r="AR152" s="16">
        <v>6</v>
      </c>
      <c r="AS152" s="17"/>
      <c r="AT152" s="18">
        <f t="shared" si="90"/>
        <v>6</v>
      </c>
      <c r="AU152" s="34">
        <v>5</v>
      </c>
      <c r="AV152" s="16"/>
      <c r="AW152" s="16">
        <v>10</v>
      </c>
      <c r="AX152" s="17"/>
      <c r="AY152" s="18">
        <f t="shared" si="91"/>
        <v>15</v>
      </c>
      <c r="AZ152" s="34">
        <v>9</v>
      </c>
      <c r="BA152" s="16"/>
      <c r="BB152" s="16">
        <v>14</v>
      </c>
      <c r="BC152" s="17"/>
      <c r="BD152" s="18">
        <f t="shared" si="92"/>
        <v>23</v>
      </c>
      <c r="BE152" s="34">
        <v>1</v>
      </c>
      <c r="BF152" s="16"/>
      <c r="BG152" s="16">
        <v>4</v>
      </c>
      <c r="BH152" s="17"/>
      <c r="BI152" s="18">
        <f t="shared" si="93"/>
        <v>5</v>
      </c>
      <c r="BJ152" s="34"/>
      <c r="BK152" s="16"/>
      <c r="BL152" s="16">
        <v>3</v>
      </c>
      <c r="BM152" s="17"/>
      <c r="BN152" s="18">
        <f t="shared" si="94"/>
        <v>3</v>
      </c>
      <c r="BO152" s="70">
        <f>SUM(G152,L152,Q152,V152,AA152,AF152,AK152,AP152,AU152,AZ152,BE152,BJ152)</f>
        <v>41</v>
      </c>
      <c r="BP152" s="16">
        <f>SUM(H152,M152,R152,W152,AB152,AG152,AL152,AQ152,AV152,BA152,BF152,BK152)</f>
        <v>0</v>
      </c>
      <c r="BQ152" s="16">
        <f>SUM(I152,N152,S152,X152,AC152,AH152,AM152,AR152,AW152,BB152,BG152,BL152)</f>
        <v>101</v>
      </c>
      <c r="BR152" s="17">
        <f>SUM(J152,O152,T152,Y152,AD152,AI152,AN152,AS152,AX152,BC152,BH152,BM152)</f>
        <v>0</v>
      </c>
      <c r="BS152" s="35">
        <f t="shared" si="95"/>
        <v>142</v>
      </c>
    </row>
    <row r="153" spans="2:71" x14ac:dyDescent="0.3">
      <c r="B153" s="269"/>
      <c r="C153" s="230"/>
      <c r="D153" s="233"/>
      <c r="E153" s="239"/>
      <c r="F153" s="123" t="s">
        <v>173</v>
      </c>
      <c r="G153" s="34">
        <v>356</v>
      </c>
      <c r="H153" s="16">
        <v>21</v>
      </c>
      <c r="I153" s="16">
        <v>130</v>
      </c>
      <c r="J153" s="17"/>
      <c r="K153" s="18">
        <f t="shared" si="83"/>
        <v>507</v>
      </c>
      <c r="L153" s="34">
        <v>376</v>
      </c>
      <c r="M153" s="16">
        <v>45</v>
      </c>
      <c r="N153" s="16">
        <v>207</v>
      </c>
      <c r="O153" s="17"/>
      <c r="P153" s="18">
        <f t="shared" si="84"/>
        <v>628</v>
      </c>
      <c r="Q153" s="34">
        <v>43</v>
      </c>
      <c r="R153" s="16">
        <v>3</v>
      </c>
      <c r="S153" s="16">
        <v>50</v>
      </c>
      <c r="T153" s="17"/>
      <c r="U153" s="18">
        <f t="shared" si="85"/>
        <v>96</v>
      </c>
      <c r="V153" s="34"/>
      <c r="W153" s="16"/>
      <c r="X153" s="16"/>
      <c r="Y153" s="17"/>
      <c r="Z153" s="18">
        <f t="shared" si="86"/>
        <v>0</v>
      </c>
      <c r="AA153" s="34"/>
      <c r="AB153" s="16"/>
      <c r="AC153" s="16"/>
      <c r="AD153" s="17"/>
      <c r="AE153" s="18">
        <f t="shared" si="87"/>
        <v>0</v>
      </c>
      <c r="AF153" s="34"/>
      <c r="AG153" s="16"/>
      <c r="AH153" s="16"/>
      <c r="AI153" s="17"/>
      <c r="AJ153" s="18">
        <f t="shared" si="88"/>
        <v>0</v>
      </c>
      <c r="AK153" s="34"/>
      <c r="AL153" s="16"/>
      <c r="AM153" s="16"/>
      <c r="AN153" s="17"/>
      <c r="AO153" s="18">
        <f t="shared" si="89"/>
        <v>0</v>
      </c>
      <c r="AP153" s="34"/>
      <c r="AQ153" s="16"/>
      <c r="AR153" s="16"/>
      <c r="AS153" s="17"/>
      <c r="AT153" s="18">
        <f t="shared" si="90"/>
        <v>0</v>
      </c>
      <c r="AU153" s="34"/>
      <c r="AV153" s="16"/>
      <c r="AW153" s="16"/>
      <c r="AX153" s="17"/>
      <c r="AY153" s="18">
        <f t="shared" si="91"/>
        <v>0</v>
      </c>
      <c r="AZ153" s="34"/>
      <c r="BA153" s="16"/>
      <c r="BB153" s="16"/>
      <c r="BC153" s="17"/>
      <c r="BD153" s="18">
        <f t="shared" si="92"/>
        <v>0</v>
      </c>
      <c r="BE153" s="34"/>
      <c r="BF153" s="16"/>
      <c r="BG153" s="16"/>
      <c r="BH153" s="17"/>
      <c r="BI153" s="18">
        <f t="shared" si="93"/>
        <v>0</v>
      </c>
      <c r="BJ153" s="34"/>
      <c r="BK153" s="16"/>
      <c r="BL153" s="16"/>
      <c r="BM153" s="17"/>
      <c r="BN153" s="18">
        <f t="shared" si="94"/>
        <v>0</v>
      </c>
      <c r="BO153" s="70">
        <f>SUM(G153,L153,Q153,V153,AA153,AF153,AK153,AP153,AU153,AZ153,BE153,BJ153)</f>
        <v>775</v>
      </c>
      <c r="BP153" s="16">
        <f>SUM(H153,M153,R153,W153,AB153,AG153,AL153,AQ153,AV153,BA153,BF153,BK153)</f>
        <v>69</v>
      </c>
      <c r="BQ153" s="16">
        <f>SUM(I153,N153,S153,X153,AC153,AH153,AM153,AR153,AW153,BB153,BG153,BL153)</f>
        <v>387</v>
      </c>
      <c r="BR153" s="17">
        <f>SUM(J153,O153,T153,Y153,AD153,AI153,AN153,AS153,AX153,BC153,BH153,BM153)</f>
        <v>0</v>
      </c>
      <c r="BS153" s="35">
        <f t="shared" si="95"/>
        <v>1231</v>
      </c>
    </row>
    <row r="154" spans="2:71" x14ac:dyDescent="0.3">
      <c r="B154" s="269"/>
      <c r="C154" s="230"/>
      <c r="D154" s="233"/>
      <c r="E154" s="239"/>
      <c r="F154" s="121" t="s">
        <v>174</v>
      </c>
      <c r="G154" s="32">
        <v>47</v>
      </c>
      <c r="H154" s="13"/>
      <c r="I154" s="13">
        <v>12</v>
      </c>
      <c r="J154" s="14"/>
      <c r="K154" s="15">
        <f t="shared" si="83"/>
        <v>59</v>
      </c>
      <c r="L154" s="32">
        <v>57</v>
      </c>
      <c r="M154" s="13">
        <v>4</v>
      </c>
      <c r="N154" s="13">
        <v>21</v>
      </c>
      <c r="O154" s="14"/>
      <c r="P154" s="15">
        <f t="shared" si="84"/>
        <v>82</v>
      </c>
      <c r="Q154" s="32">
        <v>6</v>
      </c>
      <c r="R154" s="13"/>
      <c r="S154" s="13">
        <v>7</v>
      </c>
      <c r="T154" s="14"/>
      <c r="U154" s="15">
        <f t="shared" si="85"/>
        <v>13</v>
      </c>
      <c r="V154" s="32"/>
      <c r="W154" s="13"/>
      <c r="X154" s="13"/>
      <c r="Y154" s="14"/>
      <c r="Z154" s="15">
        <f t="shared" si="86"/>
        <v>0</v>
      </c>
      <c r="AA154" s="32"/>
      <c r="AB154" s="13"/>
      <c r="AC154" s="13"/>
      <c r="AD154" s="14"/>
      <c r="AE154" s="15">
        <f t="shared" si="87"/>
        <v>0</v>
      </c>
      <c r="AF154" s="32"/>
      <c r="AG154" s="13"/>
      <c r="AH154" s="13"/>
      <c r="AI154" s="14"/>
      <c r="AJ154" s="15">
        <f t="shared" si="88"/>
        <v>0</v>
      </c>
      <c r="AK154" s="32"/>
      <c r="AL154" s="13"/>
      <c r="AM154" s="13"/>
      <c r="AN154" s="14"/>
      <c r="AO154" s="15">
        <f t="shared" si="89"/>
        <v>0</v>
      </c>
      <c r="AP154" s="32"/>
      <c r="AQ154" s="13"/>
      <c r="AR154" s="13"/>
      <c r="AS154" s="14"/>
      <c r="AT154" s="15">
        <f t="shared" si="90"/>
        <v>0</v>
      </c>
      <c r="AU154" s="32"/>
      <c r="AV154" s="13"/>
      <c r="AW154" s="13"/>
      <c r="AX154" s="14"/>
      <c r="AY154" s="15">
        <f t="shared" si="91"/>
        <v>0</v>
      </c>
      <c r="AZ154" s="32"/>
      <c r="BA154" s="13"/>
      <c r="BB154" s="13"/>
      <c r="BC154" s="14"/>
      <c r="BD154" s="15">
        <f t="shared" si="92"/>
        <v>0</v>
      </c>
      <c r="BE154" s="32"/>
      <c r="BF154" s="13"/>
      <c r="BG154" s="13"/>
      <c r="BH154" s="14"/>
      <c r="BI154" s="15">
        <f t="shared" si="93"/>
        <v>0</v>
      </c>
      <c r="BJ154" s="32"/>
      <c r="BK154" s="13"/>
      <c r="BL154" s="13"/>
      <c r="BM154" s="14"/>
      <c r="BN154" s="15">
        <f t="shared" si="94"/>
        <v>0</v>
      </c>
      <c r="BO154" s="66">
        <f>SUM(G154,L154,Q154,V154,AA154,AF154,AK154,AP154,AU154,AZ154,BE154,BJ154)</f>
        <v>110</v>
      </c>
      <c r="BP154" s="13">
        <f>SUM(H154,M154,R154,W154,AB154,AG154,AL154,AQ154,AV154,BA154,BF154,BK154)</f>
        <v>4</v>
      </c>
      <c r="BQ154" s="13">
        <f>SUM(I154,N154,S154,X154,AC154,AH154,AM154,AR154,AW154,BB154,BG154,BL154)</f>
        <v>40</v>
      </c>
      <c r="BR154" s="14">
        <f>SUM(J154,O154,T154,Y154,AD154,AI154,AN154,AS154,AX154,BC154,BH154,BM154)</f>
        <v>0</v>
      </c>
      <c r="BS154" s="33">
        <f t="shared" si="95"/>
        <v>154</v>
      </c>
    </row>
    <row r="155" spans="2:71" x14ac:dyDescent="0.3">
      <c r="B155" s="269"/>
      <c r="C155" s="230"/>
      <c r="D155" s="233"/>
      <c r="E155" s="239"/>
      <c r="F155" s="121" t="s">
        <v>158</v>
      </c>
      <c r="G155" s="32">
        <v>35</v>
      </c>
      <c r="H155" s="13">
        <v>14</v>
      </c>
      <c r="I155" s="13">
        <v>78</v>
      </c>
      <c r="J155" s="14"/>
      <c r="K155" s="15">
        <f t="shared" si="83"/>
        <v>127</v>
      </c>
      <c r="L155" s="32">
        <v>40</v>
      </c>
      <c r="M155" s="13">
        <v>12</v>
      </c>
      <c r="N155" s="13">
        <v>70</v>
      </c>
      <c r="O155" s="14"/>
      <c r="P155" s="15">
        <f t="shared" si="84"/>
        <v>122</v>
      </c>
      <c r="Q155" s="32">
        <v>3</v>
      </c>
      <c r="R155" s="13"/>
      <c r="S155" s="13">
        <v>12</v>
      </c>
      <c r="T155" s="14"/>
      <c r="U155" s="15">
        <f t="shared" si="85"/>
        <v>15</v>
      </c>
      <c r="V155" s="32"/>
      <c r="W155" s="13"/>
      <c r="X155" s="13"/>
      <c r="Y155" s="14"/>
      <c r="Z155" s="15">
        <f t="shared" si="86"/>
        <v>0</v>
      </c>
      <c r="AA155" s="32"/>
      <c r="AB155" s="13"/>
      <c r="AC155" s="13"/>
      <c r="AD155" s="14"/>
      <c r="AE155" s="15">
        <f t="shared" si="87"/>
        <v>0</v>
      </c>
      <c r="AF155" s="32"/>
      <c r="AG155" s="13"/>
      <c r="AH155" s="13"/>
      <c r="AI155" s="14"/>
      <c r="AJ155" s="15">
        <f t="shared" si="88"/>
        <v>0</v>
      </c>
      <c r="AK155" s="32"/>
      <c r="AL155" s="13"/>
      <c r="AM155" s="13"/>
      <c r="AN155" s="14"/>
      <c r="AO155" s="15">
        <f t="shared" si="89"/>
        <v>0</v>
      </c>
      <c r="AP155" s="32"/>
      <c r="AQ155" s="13"/>
      <c r="AR155" s="13"/>
      <c r="AS155" s="14"/>
      <c r="AT155" s="15">
        <f t="shared" si="90"/>
        <v>0</v>
      </c>
      <c r="AU155" s="32"/>
      <c r="AV155" s="13"/>
      <c r="AW155" s="13"/>
      <c r="AX155" s="14"/>
      <c r="AY155" s="15">
        <f t="shared" si="91"/>
        <v>0</v>
      </c>
      <c r="AZ155" s="32"/>
      <c r="BA155" s="13"/>
      <c r="BB155" s="13"/>
      <c r="BC155" s="14"/>
      <c r="BD155" s="15">
        <f t="shared" si="92"/>
        <v>0</v>
      </c>
      <c r="BE155" s="32"/>
      <c r="BF155" s="13"/>
      <c r="BG155" s="13"/>
      <c r="BH155" s="14"/>
      <c r="BI155" s="15">
        <f t="shared" si="93"/>
        <v>0</v>
      </c>
      <c r="BJ155" s="32"/>
      <c r="BK155" s="13"/>
      <c r="BL155" s="13"/>
      <c r="BM155" s="14"/>
      <c r="BN155" s="15">
        <f t="shared" si="94"/>
        <v>0</v>
      </c>
      <c r="BO155" s="66">
        <f>SUM(G155,L155,Q155,V155,AA155,AF155,AK155,AP155,AU155,AZ155,BE155,BJ155)</f>
        <v>78</v>
      </c>
      <c r="BP155" s="13">
        <f>SUM(H155,M155,R155,W155,AB155,AG155,AL155,AQ155,AV155,BA155,BF155,BK155)</f>
        <v>26</v>
      </c>
      <c r="BQ155" s="13">
        <f>SUM(I155,N155,S155,X155,AC155,AH155,AM155,AR155,AW155,BB155,BG155,BL155)</f>
        <v>160</v>
      </c>
      <c r="BR155" s="14">
        <f>SUM(J155,O155,T155,Y155,AD155,AI155,AN155,AS155,AX155,BC155,BH155,BM155)</f>
        <v>0</v>
      </c>
      <c r="BS155" s="33">
        <f t="shared" si="95"/>
        <v>264</v>
      </c>
    </row>
    <row r="156" spans="2:71" x14ac:dyDescent="0.3">
      <c r="B156" s="269"/>
      <c r="C156" s="230"/>
      <c r="D156" s="233"/>
      <c r="E156" s="239"/>
      <c r="F156" s="123" t="s">
        <v>159</v>
      </c>
      <c r="G156" s="34">
        <v>6</v>
      </c>
      <c r="H156" s="16"/>
      <c r="I156" s="16">
        <v>8</v>
      </c>
      <c r="J156" s="17"/>
      <c r="K156" s="18">
        <f t="shared" si="83"/>
        <v>14</v>
      </c>
      <c r="L156" s="34">
        <v>9</v>
      </c>
      <c r="M156" s="16"/>
      <c r="N156" s="16">
        <v>3</v>
      </c>
      <c r="O156" s="17"/>
      <c r="P156" s="18">
        <f t="shared" si="84"/>
        <v>12</v>
      </c>
      <c r="Q156" s="34">
        <v>1</v>
      </c>
      <c r="R156" s="16"/>
      <c r="S156" s="16">
        <v>1</v>
      </c>
      <c r="T156" s="17"/>
      <c r="U156" s="18">
        <f t="shared" si="85"/>
        <v>2</v>
      </c>
      <c r="V156" s="34"/>
      <c r="W156" s="16"/>
      <c r="X156" s="16"/>
      <c r="Y156" s="17"/>
      <c r="Z156" s="18">
        <f t="shared" si="86"/>
        <v>0</v>
      </c>
      <c r="AA156" s="34"/>
      <c r="AB156" s="16"/>
      <c r="AC156" s="16"/>
      <c r="AD156" s="17"/>
      <c r="AE156" s="18">
        <f t="shared" si="87"/>
        <v>0</v>
      </c>
      <c r="AF156" s="34"/>
      <c r="AG156" s="16"/>
      <c r="AH156" s="16"/>
      <c r="AI156" s="17"/>
      <c r="AJ156" s="18">
        <f t="shared" si="88"/>
        <v>0</v>
      </c>
      <c r="AK156" s="34"/>
      <c r="AL156" s="16"/>
      <c r="AM156" s="16"/>
      <c r="AN156" s="17"/>
      <c r="AO156" s="18">
        <f t="shared" si="89"/>
        <v>0</v>
      </c>
      <c r="AP156" s="34"/>
      <c r="AQ156" s="16"/>
      <c r="AR156" s="16"/>
      <c r="AS156" s="17"/>
      <c r="AT156" s="18">
        <f t="shared" si="90"/>
        <v>0</v>
      </c>
      <c r="AU156" s="34"/>
      <c r="AV156" s="16"/>
      <c r="AW156" s="16"/>
      <c r="AX156" s="17"/>
      <c r="AY156" s="18">
        <f t="shared" si="91"/>
        <v>0</v>
      </c>
      <c r="AZ156" s="34"/>
      <c r="BA156" s="16"/>
      <c r="BB156" s="16"/>
      <c r="BC156" s="17"/>
      <c r="BD156" s="18">
        <f t="shared" si="92"/>
        <v>0</v>
      </c>
      <c r="BE156" s="34"/>
      <c r="BF156" s="16"/>
      <c r="BG156" s="16"/>
      <c r="BH156" s="17"/>
      <c r="BI156" s="18">
        <f t="shared" si="93"/>
        <v>0</v>
      </c>
      <c r="BJ156" s="34"/>
      <c r="BK156" s="16"/>
      <c r="BL156" s="16"/>
      <c r="BM156" s="17"/>
      <c r="BN156" s="18">
        <f t="shared" si="94"/>
        <v>0</v>
      </c>
      <c r="BO156" s="70">
        <f>SUM(G156,L156,Q156,V156,AA156,AF156,AK156,AP156,AU156,AZ156,BE156,BJ156)</f>
        <v>16</v>
      </c>
      <c r="BP156" s="16">
        <f>SUM(H156,M156,R156,W156,AB156,AG156,AL156,AQ156,AV156,BA156,BF156,BK156)</f>
        <v>0</v>
      </c>
      <c r="BQ156" s="16">
        <f>SUM(I156,N156,S156,X156,AC156,AH156,AM156,AR156,AW156,BB156,BG156,BL156)</f>
        <v>12</v>
      </c>
      <c r="BR156" s="17">
        <f>SUM(J156,O156,T156,Y156,AD156,AI156,AN156,AS156,AX156,BC156,BH156,BM156)</f>
        <v>0</v>
      </c>
      <c r="BS156" s="35">
        <f t="shared" si="95"/>
        <v>28</v>
      </c>
    </row>
    <row r="157" spans="2:71" x14ac:dyDescent="0.3">
      <c r="B157" s="269"/>
      <c r="C157" s="230"/>
      <c r="D157" s="233"/>
      <c r="E157" s="239"/>
      <c r="F157" s="123" t="s">
        <v>452</v>
      </c>
      <c r="G157" s="34"/>
      <c r="H157" s="16"/>
      <c r="I157" s="16"/>
      <c r="J157" s="17"/>
      <c r="K157" s="18">
        <f t="shared" si="83"/>
        <v>0</v>
      </c>
      <c r="L157" s="34"/>
      <c r="M157" s="16"/>
      <c r="N157" s="16"/>
      <c r="O157" s="17"/>
      <c r="P157" s="18">
        <f t="shared" si="84"/>
        <v>0</v>
      </c>
      <c r="Q157" s="34"/>
      <c r="R157" s="16"/>
      <c r="S157" s="16"/>
      <c r="T157" s="17"/>
      <c r="U157" s="18">
        <f t="shared" si="85"/>
        <v>0</v>
      </c>
      <c r="V157" s="34"/>
      <c r="W157" s="16"/>
      <c r="X157" s="16"/>
      <c r="Y157" s="17"/>
      <c r="Z157" s="18">
        <f t="shared" si="86"/>
        <v>0</v>
      </c>
      <c r="AA157" s="34">
        <v>85</v>
      </c>
      <c r="AB157" s="16"/>
      <c r="AC157" s="16">
        <v>13</v>
      </c>
      <c r="AD157" s="17"/>
      <c r="AE157" s="18">
        <f t="shared" si="87"/>
        <v>98</v>
      </c>
      <c r="AF157" s="34"/>
      <c r="AG157" s="16"/>
      <c r="AH157" s="16"/>
      <c r="AI157" s="17"/>
      <c r="AJ157" s="18">
        <f t="shared" si="88"/>
        <v>0</v>
      </c>
      <c r="AK157" s="34">
        <v>25</v>
      </c>
      <c r="AL157" s="16">
        <v>2</v>
      </c>
      <c r="AM157" s="16">
        <v>7</v>
      </c>
      <c r="AN157" s="17"/>
      <c r="AO157" s="18">
        <f t="shared" si="89"/>
        <v>34</v>
      </c>
      <c r="AP157" s="34"/>
      <c r="AQ157" s="16"/>
      <c r="AR157" s="16"/>
      <c r="AS157" s="17"/>
      <c r="AT157" s="18">
        <f t="shared" si="90"/>
        <v>0</v>
      </c>
      <c r="AU157" s="34"/>
      <c r="AV157" s="16"/>
      <c r="AW157" s="16"/>
      <c r="AX157" s="17"/>
      <c r="AY157" s="18">
        <f t="shared" si="91"/>
        <v>0</v>
      </c>
      <c r="AZ157" s="34">
        <v>75</v>
      </c>
      <c r="BA157" s="16">
        <v>2</v>
      </c>
      <c r="BB157" s="16">
        <v>31</v>
      </c>
      <c r="BC157" s="17"/>
      <c r="BD157" s="18">
        <f t="shared" si="92"/>
        <v>108</v>
      </c>
      <c r="BE157" s="34">
        <v>22</v>
      </c>
      <c r="BF157" s="16"/>
      <c r="BG157" s="16">
        <v>9</v>
      </c>
      <c r="BH157" s="17"/>
      <c r="BI157" s="18">
        <f t="shared" si="93"/>
        <v>31</v>
      </c>
      <c r="BJ157" s="34">
        <v>19</v>
      </c>
      <c r="BK157" s="16">
        <v>1</v>
      </c>
      <c r="BL157" s="16">
        <v>5</v>
      </c>
      <c r="BM157" s="17"/>
      <c r="BN157" s="18">
        <f t="shared" si="94"/>
        <v>25</v>
      </c>
      <c r="BO157" s="70">
        <f>SUM(G157,L157,Q157,V157,AA157,AF157,AK157,AP157,AU157,AZ157,BE157,BJ157)</f>
        <v>226</v>
      </c>
      <c r="BP157" s="16">
        <f>SUM(H157,M157,R157,W157,AB157,AG157,AL157,AQ157,AV157,BA157,BF157,BK157)</f>
        <v>5</v>
      </c>
      <c r="BQ157" s="16">
        <f>SUM(I157,N157,S157,X157,AC157,AH157,AM157,AR157,AW157,BB157,BG157,BL157)</f>
        <v>65</v>
      </c>
      <c r="BR157" s="17">
        <f>SUM(J157,O157,T157,Y157,AD157,AI157,AN157,AS157,AX157,BC157,BH157,BM157)</f>
        <v>0</v>
      </c>
      <c r="BS157" s="35">
        <f t="shared" si="95"/>
        <v>296</v>
      </c>
    </row>
    <row r="158" spans="2:71" x14ac:dyDescent="0.3">
      <c r="B158" s="269"/>
      <c r="C158" s="230"/>
      <c r="D158" s="233"/>
      <c r="E158" s="239"/>
      <c r="F158" s="121" t="s">
        <v>453</v>
      </c>
      <c r="G158" s="32"/>
      <c r="H158" s="13"/>
      <c r="I158" s="13"/>
      <c r="J158" s="14"/>
      <c r="K158" s="15">
        <f t="shared" si="83"/>
        <v>0</v>
      </c>
      <c r="L158" s="32"/>
      <c r="M158" s="13"/>
      <c r="N158" s="13"/>
      <c r="O158" s="14"/>
      <c r="P158" s="15">
        <f t="shared" si="84"/>
        <v>0</v>
      </c>
      <c r="Q158" s="32"/>
      <c r="R158" s="13"/>
      <c r="S158" s="13"/>
      <c r="T158" s="14"/>
      <c r="U158" s="15">
        <f t="shared" si="85"/>
        <v>0</v>
      </c>
      <c r="V158" s="32"/>
      <c r="W158" s="13"/>
      <c r="X158" s="13"/>
      <c r="Y158" s="14"/>
      <c r="Z158" s="15">
        <f t="shared" si="86"/>
        <v>0</v>
      </c>
      <c r="AA158" s="32">
        <v>7</v>
      </c>
      <c r="AB158" s="13">
        <v>1</v>
      </c>
      <c r="AC158" s="13">
        <v>2</v>
      </c>
      <c r="AD158" s="14"/>
      <c r="AE158" s="15">
        <f t="shared" si="87"/>
        <v>10</v>
      </c>
      <c r="AF158" s="32"/>
      <c r="AG158" s="13"/>
      <c r="AH158" s="13"/>
      <c r="AI158" s="14"/>
      <c r="AJ158" s="15">
        <f t="shared" si="88"/>
        <v>0</v>
      </c>
      <c r="AK158" s="32">
        <v>9</v>
      </c>
      <c r="AL158" s="13"/>
      <c r="AM158" s="13">
        <v>1</v>
      </c>
      <c r="AN158" s="14"/>
      <c r="AO158" s="15">
        <f t="shared" si="89"/>
        <v>10</v>
      </c>
      <c r="AP158" s="32"/>
      <c r="AQ158" s="13"/>
      <c r="AR158" s="13"/>
      <c r="AS158" s="14"/>
      <c r="AT158" s="15">
        <f t="shared" si="90"/>
        <v>0</v>
      </c>
      <c r="AU158" s="32"/>
      <c r="AV158" s="13"/>
      <c r="AW158" s="13"/>
      <c r="AX158" s="14"/>
      <c r="AY158" s="15">
        <f t="shared" si="91"/>
        <v>0</v>
      </c>
      <c r="AZ158" s="32">
        <v>10</v>
      </c>
      <c r="BA158" s="13"/>
      <c r="BB158" s="13">
        <v>1</v>
      </c>
      <c r="BC158" s="14"/>
      <c r="BD158" s="15">
        <f t="shared" si="92"/>
        <v>11</v>
      </c>
      <c r="BE158" s="32">
        <v>5</v>
      </c>
      <c r="BF158" s="13"/>
      <c r="BG158" s="13"/>
      <c r="BH158" s="14"/>
      <c r="BI158" s="15">
        <f t="shared" si="93"/>
        <v>5</v>
      </c>
      <c r="BJ158" s="32">
        <v>4</v>
      </c>
      <c r="BK158" s="13"/>
      <c r="BL158" s="13">
        <v>1</v>
      </c>
      <c r="BM158" s="14"/>
      <c r="BN158" s="15">
        <f t="shared" si="94"/>
        <v>5</v>
      </c>
      <c r="BO158" s="66">
        <f>SUM(G158,L158,Q158,V158,AA158,AF158,AK158,AP158,AU158,AZ158,BE158,BJ158)</f>
        <v>35</v>
      </c>
      <c r="BP158" s="13">
        <f>SUM(H158,M158,R158,W158,AB158,AG158,AL158,AQ158,AV158,BA158,BF158,BK158)</f>
        <v>1</v>
      </c>
      <c r="BQ158" s="13">
        <f>SUM(I158,N158,S158,X158,AC158,AH158,AM158,AR158,AW158,BB158,BG158,BL158)</f>
        <v>5</v>
      </c>
      <c r="BR158" s="14">
        <f>SUM(J158,O158,T158,Y158,AD158,AI158,AN158,AS158,AX158,BC158,BH158,BM158)</f>
        <v>0</v>
      </c>
      <c r="BS158" s="33">
        <f t="shared" si="95"/>
        <v>41</v>
      </c>
    </row>
    <row r="159" spans="2:71" x14ac:dyDescent="0.3">
      <c r="B159" s="269"/>
      <c r="C159" s="230"/>
      <c r="D159" s="233"/>
      <c r="E159" s="239"/>
      <c r="F159" s="121" t="s">
        <v>454</v>
      </c>
      <c r="G159" s="32"/>
      <c r="H159" s="13"/>
      <c r="I159" s="13"/>
      <c r="J159" s="14"/>
      <c r="K159" s="15">
        <f t="shared" si="83"/>
        <v>0</v>
      </c>
      <c r="L159" s="32"/>
      <c r="M159" s="13"/>
      <c r="N159" s="13"/>
      <c r="O159" s="14"/>
      <c r="P159" s="15">
        <f t="shared" si="84"/>
        <v>0</v>
      </c>
      <c r="Q159" s="32"/>
      <c r="R159" s="13"/>
      <c r="S159" s="13"/>
      <c r="T159" s="14"/>
      <c r="U159" s="15">
        <f t="shared" si="85"/>
        <v>0</v>
      </c>
      <c r="V159" s="32"/>
      <c r="W159" s="13"/>
      <c r="X159" s="13"/>
      <c r="Y159" s="14"/>
      <c r="Z159" s="15">
        <f t="shared" si="86"/>
        <v>0</v>
      </c>
      <c r="AA159" s="32">
        <v>43</v>
      </c>
      <c r="AB159" s="13">
        <v>1</v>
      </c>
      <c r="AC159" s="13">
        <v>38</v>
      </c>
      <c r="AD159" s="14"/>
      <c r="AE159" s="15">
        <f t="shared" si="87"/>
        <v>82</v>
      </c>
      <c r="AF159" s="32"/>
      <c r="AG159" s="13"/>
      <c r="AH159" s="13"/>
      <c r="AI159" s="14"/>
      <c r="AJ159" s="15">
        <f t="shared" si="88"/>
        <v>0</v>
      </c>
      <c r="AK159" s="32">
        <v>10</v>
      </c>
      <c r="AL159" s="13">
        <v>5</v>
      </c>
      <c r="AM159" s="13">
        <v>11</v>
      </c>
      <c r="AN159" s="14"/>
      <c r="AO159" s="15">
        <f t="shared" si="89"/>
        <v>26</v>
      </c>
      <c r="AP159" s="32"/>
      <c r="AQ159" s="13"/>
      <c r="AR159" s="13"/>
      <c r="AS159" s="14"/>
      <c r="AT159" s="15">
        <f t="shared" si="90"/>
        <v>0</v>
      </c>
      <c r="AU159" s="32"/>
      <c r="AV159" s="13"/>
      <c r="AW159" s="13"/>
      <c r="AX159" s="14"/>
      <c r="AY159" s="15">
        <f t="shared" si="91"/>
        <v>0</v>
      </c>
      <c r="AZ159" s="32">
        <v>39</v>
      </c>
      <c r="BA159" s="13">
        <v>2</v>
      </c>
      <c r="BB159" s="13">
        <v>46</v>
      </c>
      <c r="BC159" s="14"/>
      <c r="BD159" s="15">
        <f t="shared" si="92"/>
        <v>87</v>
      </c>
      <c r="BE159" s="32">
        <v>15</v>
      </c>
      <c r="BF159" s="13"/>
      <c r="BG159" s="13">
        <v>13</v>
      </c>
      <c r="BH159" s="14"/>
      <c r="BI159" s="15">
        <f t="shared" si="93"/>
        <v>28</v>
      </c>
      <c r="BJ159" s="32">
        <v>17</v>
      </c>
      <c r="BK159" s="13">
        <v>1</v>
      </c>
      <c r="BL159" s="13">
        <v>11</v>
      </c>
      <c r="BM159" s="14"/>
      <c r="BN159" s="15">
        <f t="shared" si="94"/>
        <v>29</v>
      </c>
      <c r="BO159" s="66">
        <f>SUM(G159,L159,Q159,V159,AA159,AF159,AK159,AP159,AU159,AZ159,BE159,BJ159)</f>
        <v>124</v>
      </c>
      <c r="BP159" s="13">
        <f>SUM(H159,M159,R159,W159,AB159,AG159,AL159,AQ159,AV159,BA159,BF159,BK159)</f>
        <v>9</v>
      </c>
      <c r="BQ159" s="13">
        <f>SUM(I159,N159,S159,X159,AC159,AH159,AM159,AR159,AW159,BB159,BG159,BL159)</f>
        <v>119</v>
      </c>
      <c r="BR159" s="14">
        <f>SUM(J159,O159,T159,Y159,AD159,AI159,AN159,AS159,AX159,BC159,BH159,BM159)</f>
        <v>0</v>
      </c>
      <c r="BS159" s="33">
        <f t="shared" si="95"/>
        <v>252</v>
      </c>
    </row>
    <row r="160" spans="2:71" x14ac:dyDescent="0.3">
      <c r="B160" s="269"/>
      <c r="C160" s="230"/>
      <c r="D160" s="233"/>
      <c r="E160" s="239"/>
      <c r="F160" s="123" t="s">
        <v>455</v>
      </c>
      <c r="G160" s="34"/>
      <c r="H160" s="16"/>
      <c r="I160" s="16"/>
      <c r="J160" s="17"/>
      <c r="K160" s="18">
        <f t="shared" si="83"/>
        <v>0</v>
      </c>
      <c r="L160" s="34"/>
      <c r="M160" s="16"/>
      <c r="N160" s="16"/>
      <c r="O160" s="17"/>
      <c r="P160" s="18">
        <f t="shared" si="84"/>
        <v>0</v>
      </c>
      <c r="Q160" s="34"/>
      <c r="R160" s="16"/>
      <c r="S160" s="16"/>
      <c r="T160" s="17"/>
      <c r="U160" s="18">
        <f t="shared" si="85"/>
        <v>0</v>
      </c>
      <c r="V160" s="34"/>
      <c r="W160" s="16"/>
      <c r="X160" s="16"/>
      <c r="Y160" s="17"/>
      <c r="Z160" s="18">
        <f t="shared" si="86"/>
        <v>0</v>
      </c>
      <c r="AA160" s="34">
        <v>6</v>
      </c>
      <c r="AB160" s="16">
        <v>1</v>
      </c>
      <c r="AC160" s="16">
        <v>3</v>
      </c>
      <c r="AD160" s="17"/>
      <c r="AE160" s="18">
        <f t="shared" si="87"/>
        <v>10</v>
      </c>
      <c r="AF160" s="34"/>
      <c r="AG160" s="16"/>
      <c r="AH160" s="16"/>
      <c r="AI160" s="17"/>
      <c r="AJ160" s="18">
        <f t="shared" si="88"/>
        <v>0</v>
      </c>
      <c r="AK160" s="34">
        <v>2</v>
      </c>
      <c r="AL160" s="16"/>
      <c r="AM160" s="16">
        <v>5</v>
      </c>
      <c r="AN160" s="17"/>
      <c r="AO160" s="18">
        <f t="shared" si="89"/>
        <v>7</v>
      </c>
      <c r="AP160" s="34"/>
      <c r="AQ160" s="16"/>
      <c r="AR160" s="16"/>
      <c r="AS160" s="17"/>
      <c r="AT160" s="18">
        <f t="shared" si="90"/>
        <v>0</v>
      </c>
      <c r="AU160" s="34"/>
      <c r="AV160" s="16"/>
      <c r="AW160" s="16"/>
      <c r="AX160" s="17"/>
      <c r="AY160" s="18">
        <f t="shared" si="91"/>
        <v>0</v>
      </c>
      <c r="AZ160" s="34">
        <v>4</v>
      </c>
      <c r="BA160" s="16">
        <v>1</v>
      </c>
      <c r="BB160" s="16">
        <v>5</v>
      </c>
      <c r="BC160" s="17"/>
      <c r="BD160" s="18">
        <f t="shared" si="92"/>
        <v>10</v>
      </c>
      <c r="BE160" s="34">
        <v>2</v>
      </c>
      <c r="BF160" s="16"/>
      <c r="BG160" s="16">
        <v>1</v>
      </c>
      <c r="BH160" s="17"/>
      <c r="BI160" s="18">
        <f t="shared" si="93"/>
        <v>3</v>
      </c>
      <c r="BJ160" s="34">
        <v>4</v>
      </c>
      <c r="BK160" s="16"/>
      <c r="BL160" s="16"/>
      <c r="BM160" s="17"/>
      <c r="BN160" s="18">
        <f t="shared" si="94"/>
        <v>4</v>
      </c>
      <c r="BO160" s="70">
        <f>SUM(G160,L160,Q160,V160,AA160,AF160,AK160,AP160,AU160,AZ160,BE160,BJ160)</f>
        <v>18</v>
      </c>
      <c r="BP160" s="16">
        <f>SUM(H160,M160,R160,W160,AB160,AG160,AL160,AQ160,AV160,BA160,BF160,BK160)</f>
        <v>2</v>
      </c>
      <c r="BQ160" s="16">
        <f>SUM(I160,N160,S160,X160,AC160,AH160,AM160,AR160,AW160,BB160,BG160,BL160)</f>
        <v>14</v>
      </c>
      <c r="BR160" s="17">
        <f>SUM(J160,O160,T160,Y160,AD160,AI160,AN160,AS160,AX160,BC160,BH160,BM160)</f>
        <v>0</v>
      </c>
      <c r="BS160" s="35">
        <f t="shared" si="95"/>
        <v>34</v>
      </c>
    </row>
    <row r="161" spans="2:71" x14ac:dyDescent="0.3">
      <c r="B161" s="269"/>
      <c r="C161" s="230"/>
      <c r="D161" s="233"/>
      <c r="E161" s="239"/>
      <c r="F161" s="123" t="s">
        <v>456</v>
      </c>
      <c r="G161" s="34"/>
      <c r="H161" s="16"/>
      <c r="I161" s="16"/>
      <c r="J161" s="17"/>
      <c r="K161" s="18">
        <f t="shared" si="83"/>
        <v>0</v>
      </c>
      <c r="L161" s="34"/>
      <c r="M161" s="16"/>
      <c r="N161" s="16"/>
      <c r="O161" s="17"/>
      <c r="P161" s="18">
        <f t="shared" si="84"/>
        <v>0</v>
      </c>
      <c r="Q161" s="34"/>
      <c r="R161" s="16"/>
      <c r="S161" s="16"/>
      <c r="T161" s="17"/>
      <c r="U161" s="18">
        <f t="shared" si="85"/>
        <v>0</v>
      </c>
      <c r="V161" s="34"/>
      <c r="W161" s="16"/>
      <c r="X161" s="16"/>
      <c r="Y161" s="17"/>
      <c r="Z161" s="18">
        <f t="shared" si="86"/>
        <v>0</v>
      </c>
      <c r="AA161" s="34">
        <v>2</v>
      </c>
      <c r="AB161" s="16"/>
      <c r="AC161" s="16"/>
      <c r="AD161" s="17"/>
      <c r="AE161" s="18">
        <f t="shared" si="87"/>
        <v>2</v>
      </c>
      <c r="AF161" s="34"/>
      <c r="AG161" s="16"/>
      <c r="AH161" s="16"/>
      <c r="AI161" s="17"/>
      <c r="AJ161" s="18">
        <f t="shared" si="88"/>
        <v>0</v>
      </c>
      <c r="AK161" s="34"/>
      <c r="AL161" s="16"/>
      <c r="AM161" s="16"/>
      <c r="AN161" s="17"/>
      <c r="AO161" s="18">
        <f t="shared" si="89"/>
        <v>0</v>
      </c>
      <c r="AP161" s="34"/>
      <c r="AQ161" s="16"/>
      <c r="AR161" s="16"/>
      <c r="AS161" s="17"/>
      <c r="AT161" s="18">
        <f t="shared" si="90"/>
        <v>0</v>
      </c>
      <c r="AU161" s="34"/>
      <c r="AV161" s="16"/>
      <c r="AW161" s="16"/>
      <c r="AX161" s="17"/>
      <c r="AY161" s="18">
        <f t="shared" si="91"/>
        <v>0</v>
      </c>
      <c r="AZ161" s="34">
        <v>1</v>
      </c>
      <c r="BA161" s="16"/>
      <c r="BB161" s="16">
        <v>1</v>
      </c>
      <c r="BC161" s="17"/>
      <c r="BD161" s="18">
        <f t="shared" si="92"/>
        <v>2</v>
      </c>
      <c r="BE161" s="34"/>
      <c r="BF161" s="16"/>
      <c r="BG161" s="16"/>
      <c r="BH161" s="17"/>
      <c r="BI161" s="18">
        <f t="shared" si="93"/>
        <v>0</v>
      </c>
      <c r="BJ161" s="34"/>
      <c r="BK161" s="16"/>
      <c r="BL161" s="16">
        <v>1</v>
      </c>
      <c r="BM161" s="17"/>
      <c r="BN161" s="18">
        <f t="shared" si="94"/>
        <v>1</v>
      </c>
      <c r="BO161" s="70">
        <f>SUM(G161,L161,Q161,V161,AA161,AF161,AK161,AP161,AU161,AZ161,BE161,BJ161)</f>
        <v>3</v>
      </c>
      <c r="BP161" s="16">
        <f>SUM(H161,M161,R161,W161,AB161,AG161,AL161,AQ161,AV161,BA161,BF161,BK161)</f>
        <v>0</v>
      </c>
      <c r="BQ161" s="16">
        <f>SUM(I161,N161,S161,X161,AC161,AH161,AM161,AR161,AW161,BB161,BG161,BL161)</f>
        <v>2</v>
      </c>
      <c r="BR161" s="17">
        <f>SUM(J161,O161,T161,Y161,AD161,AI161,AN161,AS161,AX161,BC161,BH161,BM161)</f>
        <v>0</v>
      </c>
      <c r="BS161" s="35">
        <f t="shared" si="95"/>
        <v>5</v>
      </c>
    </row>
    <row r="162" spans="2:71" x14ac:dyDescent="0.3">
      <c r="B162" s="269"/>
      <c r="C162" s="230"/>
      <c r="D162" s="233"/>
      <c r="E162" s="239"/>
      <c r="F162" s="121" t="s">
        <v>457</v>
      </c>
      <c r="G162" s="32"/>
      <c r="H162" s="13"/>
      <c r="I162" s="13"/>
      <c r="J162" s="14"/>
      <c r="K162" s="15">
        <f t="shared" si="83"/>
        <v>0</v>
      </c>
      <c r="L162" s="32"/>
      <c r="M162" s="13"/>
      <c r="N162" s="13"/>
      <c r="O162" s="14"/>
      <c r="P162" s="15">
        <f t="shared" si="84"/>
        <v>0</v>
      </c>
      <c r="Q162" s="32"/>
      <c r="R162" s="13"/>
      <c r="S162" s="13"/>
      <c r="T162" s="14"/>
      <c r="U162" s="15">
        <f t="shared" si="85"/>
        <v>0</v>
      </c>
      <c r="V162" s="32"/>
      <c r="W162" s="13"/>
      <c r="X162" s="13"/>
      <c r="Y162" s="14"/>
      <c r="Z162" s="15">
        <f t="shared" si="86"/>
        <v>0</v>
      </c>
      <c r="AA162" s="32">
        <v>1</v>
      </c>
      <c r="AB162" s="13"/>
      <c r="AC162" s="13"/>
      <c r="AD162" s="14"/>
      <c r="AE162" s="15">
        <f t="shared" si="87"/>
        <v>1</v>
      </c>
      <c r="AF162" s="32"/>
      <c r="AG162" s="13"/>
      <c r="AH162" s="13"/>
      <c r="AI162" s="14"/>
      <c r="AJ162" s="15">
        <f t="shared" si="88"/>
        <v>0</v>
      </c>
      <c r="AK162" s="32"/>
      <c r="AL162" s="13"/>
      <c r="AM162" s="13"/>
      <c r="AN162" s="14"/>
      <c r="AO162" s="15">
        <f t="shared" si="89"/>
        <v>0</v>
      </c>
      <c r="AP162" s="32"/>
      <c r="AQ162" s="13"/>
      <c r="AR162" s="13"/>
      <c r="AS162" s="14"/>
      <c r="AT162" s="15">
        <f t="shared" si="90"/>
        <v>0</v>
      </c>
      <c r="AU162" s="32"/>
      <c r="AV162" s="13"/>
      <c r="AW162" s="13"/>
      <c r="AX162" s="14"/>
      <c r="AY162" s="15">
        <f t="shared" si="91"/>
        <v>0</v>
      </c>
      <c r="AZ162" s="32"/>
      <c r="BA162" s="13"/>
      <c r="BB162" s="13"/>
      <c r="BC162" s="14"/>
      <c r="BD162" s="15">
        <f t="shared" si="92"/>
        <v>0</v>
      </c>
      <c r="BE162" s="32"/>
      <c r="BF162" s="13"/>
      <c r="BG162" s="13"/>
      <c r="BH162" s="14"/>
      <c r="BI162" s="15">
        <f t="shared" si="93"/>
        <v>0</v>
      </c>
      <c r="BJ162" s="32"/>
      <c r="BK162" s="13"/>
      <c r="BL162" s="13"/>
      <c r="BM162" s="14"/>
      <c r="BN162" s="15">
        <f t="shared" si="94"/>
        <v>0</v>
      </c>
      <c r="BO162" s="66">
        <f>SUM(G162,L162,Q162,V162,AA162,AF162,AK162,AP162,AU162,AZ162,BE162,BJ162)</f>
        <v>1</v>
      </c>
      <c r="BP162" s="13">
        <f>SUM(H162,M162,R162,W162,AB162,AG162,AL162,AQ162,AV162,BA162,BF162,BK162)</f>
        <v>0</v>
      </c>
      <c r="BQ162" s="13">
        <f>SUM(I162,N162,S162,X162,AC162,AH162,AM162,AR162,AW162,BB162,BG162,BL162)</f>
        <v>0</v>
      </c>
      <c r="BR162" s="14">
        <f>SUM(J162,O162,T162,Y162,AD162,AI162,AN162,AS162,AX162,BC162,BH162,BM162)</f>
        <v>0</v>
      </c>
      <c r="BS162" s="33">
        <f t="shared" si="95"/>
        <v>1</v>
      </c>
    </row>
    <row r="163" spans="2:71" x14ac:dyDescent="0.3">
      <c r="B163" s="269"/>
      <c r="C163" s="230"/>
      <c r="D163" s="233"/>
      <c r="E163" s="239"/>
      <c r="F163" s="121" t="s">
        <v>458</v>
      </c>
      <c r="G163" s="32"/>
      <c r="H163" s="13"/>
      <c r="I163" s="13"/>
      <c r="J163" s="14"/>
      <c r="K163" s="15">
        <f t="shared" si="83"/>
        <v>0</v>
      </c>
      <c r="L163" s="32"/>
      <c r="M163" s="13"/>
      <c r="N163" s="13"/>
      <c r="O163" s="14"/>
      <c r="P163" s="15">
        <f t="shared" si="84"/>
        <v>0</v>
      </c>
      <c r="Q163" s="32"/>
      <c r="R163" s="13"/>
      <c r="S163" s="13"/>
      <c r="T163" s="14"/>
      <c r="U163" s="15">
        <f t="shared" si="85"/>
        <v>0</v>
      </c>
      <c r="V163" s="32"/>
      <c r="W163" s="13"/>
      <c r="X163" s="13"/>
      <c r="Y163" s="14"/>
      <c r="Z163" s="15">
        <f t="shared" si="86"/>
        <v>0</v>
      </c>
      <c r="AA163" s="32"/>
      <c r="AB163" s="13"/>
      <c r="AC163" s="13">
        <v>1</v>
      </c>
      <c r="AD163" s="14"/>
      <c r="AE163" s="15">
        <f t="shared" si="87"/>
        <v>1</v>
      </c>
      <c r="AF163" s="32"/>
      <c r="AG163" s="13"/>
      <c r="AH163" s="13"/>
      <c r="AI163" s="14"/>
      <c r="AJ163" s="15">
        <f t="shared" si="88"/>
        <v>0</v>
      </c>
      <c r="AK163" s="32"/>
      <c r="AL163" s="13"/>
      <c r="AM163" s="13">
        <v>1</v>
      </c>
      <c r="AN163" s="14"/>
      <c r="AO163" s="15">
        <f t="shared" si="89"/>
        <v>1</v>
      </c>
      <c r="AP163" s="32"/>
      <c r="AQ163" s="13"/>
      <c r="AR163" s="13"/>
      <c r="AS163" s="14"/>
      <c r="AT163" s="15">
        <f t="shared" si="90"/>
        <v>0</v>
      </c>
      <c r="AU163" s="32"/>
      <c r="AV163" s="13"/>
      <c r="AW163" s="13"/>
      <c r="AX163" s="14"/>
      <c r="AY163" s="15">
        <f t="shared" si="91"/>
        <v>0</v>
      </c>
      <c r="AZ163" s="32">
        <v>2</v>
      </c>
      <c r="BA163" s="13"/>
      <c r="BB163" s="13"/>
      <c r="BC163" s="14"/>
      <c r="BD163" s="15">
        <f t="shared" si="92"/>
        <v>2</v>
      </c>
      <c r="BE163" s="32"/>
      <c r="BF163" s="13"/>
      <c r="BG163" s="13"/>
      <c r="BH163" s="14"/>
      <c r="BI163" s="15">
        <f t="shared" si="93"/>
        <v>0</v>
      </c>
      <c r="BJ163" s="32"/>
      <c r="BK163" s="13"/>
      <c r="BL163" s="13"/>
      <c r="BM163" s="14"/>
      <c r="BN163" s="15">
        <f t="shared" si="94"/>
        <v>0</v>
      </c>
      <c r="BO163" s="66">
        <f>SUM(G163,L163,Q163,V163,AA163,AF163,AK163,AP163,AU163,AZ163,BE163,BJ163)</f>
        <v>2</v>
      </c>
      <c r="BP163" s="13">
        <f>SUM(H163,M163,R163,W163,AB163,AG163,AL163,AQ163,AV163,BA163,BF163,BK163)</f>
        <v>0</v>
      </c>
      <c r="BQ163" s="13">
        <f>SUM(I163,N163,S163,X163,AC163,AH163,AM163,AR163,AW163,BB163,BG163,BL163)</f>
        <v>2</v>
      </c>
      <c r="BR163" s="14">
        <f>SUM(J163,O163,T163,Y163,AD163,AI163,AN163,AS163,AX163,BC163,BH163,BM163)</f>
        <v>0</v>
      </c>
      <c r="BS163" s="33">
        <f t="shared" si="95"/>
        <v>4</v>
      </c>
    </row>
    <row r="164" spans="2:71" x14ac:dyDescent="0.3">
      <c r="B164" s="269"/>
      <c r="C164" s="230"/>
      <c r="D164" s="233"/>
      <c r="E164" s="239"/>
      <c r="F164" s="122" t="s">
        <v>459</v>
      </c>
      <c r="G164" s="135"/>
      <c r="H164" s="136"/>
      <c r="I164" s="136"/>
      <c r="J164" s="137"/>
      <c r="K164" s="138">
        <f t="shared" si="83"/>
        <v>0</v>
      </c>
      <c r="L164" s="135"/>
      <c r="M164" s="136"/>
      <c r="N164" s="136"/>
      <c r="O164" s="137"/>
      <c r="P164" s="138">
        <f t="shared" si="84"/>
        <v>0</v>
      </c>
      <c r="Q164" s="135"/>
      <c r="R164" s="136"/>
      <c r="S164" s="136"/>
      <c r="T164" s="137"/>
      <c r="U164" s="138">
        <f t="shared" si="85"/>
        <v>0</v>
      </c>
      <c r="V164" s="135"/>
      <c r="W164" s="136"/>
      <c r="X164" s="136"/>
      <c r="Y164" s="137"/>
      <c r="Z164" s="138">
        <f t="shared" si="86"/>
        <v>0</v>
      </c>
      <c r="AA164" s="135"/>
      <c r="AB164" s="136"/>
      <c r="AC164" s="136">
        <v>1</v>
      </c>
      <c r="AD164" s="137"/>
      <c r="AE164" s="138">
        <f t="shared" si="87"/>
        <v>1</v>
      </c>
      <c r="AF164" s="135"/>
      <c r="AG164" s="136"/>
      <c r="AH164" s="136"/>
      <c r="AI164" s="137"/>
      <c r="AJ164" s="138">
        <f t="shared" si="88"/>
        <v>0</v>
      </c>
      <c r="AK164" s="135"/>
      <c r="AL164" s="136"/>
      <c r="AM164" s="136"/>
      <c r="AN164" s="137"/>
      <c r="AO164" s="138">
        <f t="shared" si="89"/>
        <v>0</v>
      </c>
      <c r="AP164" s="135"/>
      <c r="AQ164" s="136"/>
      <c r="AR164" s="136"/>
      <c r="AS164" s="137"/>
      <c r="AT164" s="138">
        <f t="shared" si="90"/>
        <v>0</v>
      </c>
      <c r="AU164" s="135"/>
      <c r="AV164" s="136"/>
      <c r="AW164" s="136"/>
      <c r="AX164" s="137"/>
      <c r="AY164" s="138">
        <f t="shared" si="91"/>
        <v>0</v>
      </c>
      <c r="AZ164" s="135">
        <v>1</v>
      </c>
      <c r="BA164" s="136"/>
      <c r="BB164" s="136"/>
      <c r="BC164" s="137"/>
      <c r="BD164" s="138">
        <f t="shared" si="92"/>
        <v>1</v>
      </c>
      <c r="BE164" s="135"/>
      <c r="BF164" s="136"/>
      <c r="BG164" s="136"/>
      <c r="BH164" s="137"/>
      <c r="BI164" s="138">
        <f t="shared" si="93"/>
        <v>0</v>
      </c>
      <c r="BJ164" s="135"/>
      <c r="BK164" s="136"/>
      <c r="BL164" s="136"/>
      <c r="BM164" s="137"/>
      <c r="BN164" s="138">
        <f t="shared" si="94"/>
        <v>0</v>
      </c>
      <c r="BO164" s="140">
        <f>SUM(G164,L164,Q164,V164,AA164,AF164,AK164,AP164,AU164,AZ164,BE164,BJ164)</f>
        <v>1</v>
      </c>
      <c r="BP164" s="136">
        <f>SUM(H164,M164,R164,W164,AB164,AG164,AL164,AQ164,AV164,BA164,BF164,BK164)</f>
        <v>0</v>
      </c>
      <c r="BQ164" s="136">
        <f>SUM(I164,N164,S164,X164,AC164,AH164,AM164,AR164,AW164,BB164,BG164,BL164)</f>
        <v>1</v>
      </c>
      <c r="BR164" s="137">
        <f>SUM(J164,O164,T164,Y164,AD164,AI164,AN164,AS164,AX164,BC164,BH164,BM164)</f>
        <v>0</v>
      </c>
      <c r="BS164" s="139">
        <f t="shared" si="95"/>
        <v>2</v>
      </c>
    </row>
    <row r="165" spans="2:71" x14ac:dyDescent="0.3">
      <c r="B165" s="269"/>
      <c r="C165" s="230"/>
      <c r="D165" s="233"/>
      <c r="E165" s="240"/>
      <c r="F165" s="125" t="s">
        <v>54</v>
      </c>
      <c r="G165" s="126">
        <f>SUM(G147:G164)</f>
        <v>444</v>
      </c>
      <c r="H165" s="127">
        <f>SUM(H147:H164)</f>
        <v>35</v>
      </c>
      <c r="I165" s="127">
        <f>SUM(I147:I164)</f>
        <v>228</v>
      </c>
      <c r="J165" s="128">
        <f>SUM(J147:J164)</f>
        <v>0</v>
      </c>
      <c r="K165" s="129">
        <f t="shared" si="83"/>
        <v>707</v>
      </c>
      <c r="L165" s="126">
        <f>SUM(L147:L164)</f>
        <v>482</v>
      </c>
      <c r="M165" s="127">
        <f>SUM(M147:M164)</f>
        <v>61</v>
      </c>
      <c r="N165" s="127">
        <f>SUM(N147:N164)</f>
        <v>301</v>
      </c>
      <c r="O165" s="128">
        <f>SUM(O147:O164)</f>
        <v>0</v>
      </c>
      <c r="P165" s="129">
        <f t="shared" ref="P165:P227" si="111">SUM(L165:O165)</f>
        <v>844</v>
      </c>
      <c r="Q165" s="126">
        <f>SUM(Q147:Q164)</f>
        <v>506</v>
      </c>
      <c r="R165" s="127">
        <f>SUM(R147:R164)</f>
        <v>18</v>
      </c>
      <c r="S165" s="127">
        <f>SUM(S147:S164)</f>
        <v>331</v>
      </c>
      <c r="T165" s="128">
        <f>SUM(T147:T164)</f>
        <v>0</v>
      </c>
      <c r="U165" s="129">
        <f t="shared" ref="U165:U227" si="112">SUM(Q165:T165)</f>
        <v>855</v>
      </c>
      <c r="V165" s="126">
        <f>SUM(V147:V164)</f>
        <v>627</v>
      </c>
      <c r="W165" s="127">
        <f>SUM(W147:W164)</f>
        <v>27</v>
      </c>
      <c r="X165" s="127">
        <f>SUM(X147:X164)</f>
        <v>540</v>
      </c>
      <c r="Y165" s="128">
        <f>SUM(Y147:Y164)</f>
        <v>0</v>
      </c>
      <c r="Z165" s="129">
        <f t="shared" ref="Z165:Z227" si="113">SUM(V165:Y165)</f>
        <v>1194</v>
      </c>
      <c r="AA165" s="126">
        <f>SUM(AA147:AA164)</f>
        <v>627</v>
      </c>
      <c r="AB165" s="127">
        <f>SUM(AB147:AB164)</f>
        <v>9</v>
      </c>
      <c r="AC165" s="127">
        <f>SUM(AC147:AC164)</f>
        <v>666</v>
      </c>
      <c r="AD165" s="128">
        <f>SUM(AD147:AD164)</f>
        <v>0</v>
      </c>
      <c r="AE165" s="129">
        <f t="shared" ref="AE165:AE227" si="114">SUM(AA165:AD165)</f>
        <v>1302</v>
      </c>
      <c r="AF165" s="126">
        <f>SUM(AF147:AF164)</f>
        <v>483</v>
      </c>
      <c r="AG165" s="127">
        <f>SUM(AG147:AG164)</f>
        <v>11</v>
      </c>
      <c r="AH165" s="127">
        <f>SUM(AH147:AH164)</f>
        <v>421</v>
      </c>
      <c r="AI165" s="128">
        <f>SUM(AI147:AI164)</f>
        <v>0</v>
      </c>
      <c r="AJ165" s="129">
        <f t="shared" ref="AJ165:AJ227" si="115">SUM(AF165:AI165)</f>
        <v>915</v>
      </c>
      <c r="AK165" s="126">
        <f>SUM(AK147:AK164)</f>
        <v>192</v>
      </c>
      <c r="AL165" s="127">
        <f>SUM(AL147:AL164)</f>
        <v>20</v>
      </c>
      <c r="AM165" s="127">
        <f>SUM(AM147:AM164)</f>
        <v>246</v>
      </c>
      <c r="AN165" s="128">
        <f>SUM(AN147:AN164)</f>
        <v>0</v>
      </c>
      <c r="AO165" s="129">
        <f t="shared" ref="AO165:AO227" si="116">SUM(AK165:AN165)</f>
        <v>458</v>
      </c>
      <c r="AP165" s="126">
        <f>SUM(AP147:AP164)</f>
        <v>126</v>
      </c>
      <c r="AQ165" s="127">
        <f>SUM(AQ147:AQ164)</f>
        <v>7</v>
      </c>
      <c r="AR165" s="127">
        <f>SUM(AR147:AR164)</f>
        <v>274</v>
      </c>
      <c r="AS165" s="128">
        <f>SUM(AS147:AS164)</f>
        <v>0</v>
      </c>
      <c r="AT165" s="129">
        <f t="shared" ref="AT165:AT227" si="117">SUM(AP165:AS165)</f>
        <v>407</v>
      </c>
      <c r="AU165" s="126">
        <f>SUM(AU147:AU164)</f>
        <v>285</v>
      </c>
      <c r="AV165" s="127">
        <f>SUM(AV147:AV164)</f>
        <v>23</v>
      </c>
      <c r="AW165" s="127">
        <f>SUM(AW147:AW164)</f>
        <v>583</v>
      </c>
      <c r="AX165" s="128">
        <f>SUM(AX147:AX164)</f>
        <v>0</v>
      </c>
      <c r="AY165" s="129">
        <f t="shared" ref="AY165:AY227" si="118">SUM(AU165:AX165)</f>
        <v>891</v>
      </c>
      <c r="AZ165" s="126">
        <f>SUM(AZ147:AZ164)</f>
        <v>706</v>
      </c>
      <c r="BA165" s="127">
        <f>SUM(BA147:BA164)</f>
        <v>33</v>
      </c>
      <c r="BB165" s="127">
        <f>SUM(BB147:BB164)</f>
        <v>917</v>
      </c>
      <c r="BC165" s="128">
        <f>SUM(BC147:BC164)</f>
        <v>0</v>
      </c>
      <c r="BD165" s="129">
        <f t="shared" ref="BD165:BD227" si="119">SUM(AZ165:BC165)</f>
        <v>1656</v>
      </c>
      <c r="BE165" s="126">
        <f>SUM(BE147:BE164)</f>
        <v>288</v>
      </c>
      <c r="BF165" s="127">
        <f>SUM(BF147:BF164)</f>
        <v>7</v>
      </c>
      <c r="BG165" s="127">
        <f>SUM(BG147:BG164)</f>
        <v>285</v>
      </c>
      <c r="BH165" s="128">
        <f>SUM(BH147:BH164)</f>
        <v>0</v>
      </c>
      <c r="BI165" s="129">
        <f t="shared" ref="BI165:BI227" si="120">SUM(BE165:BH165)</f>
        <v>580</v>
      </c>
      <c r="BJ165" s="126">
        <f>SUM(BJ147:BJ164)</f>
        <v>178</v>
      </c>
      <c r="BK165" s="127">
        <f>SUM(BK147:BK164)</f>
        <v>4</v>
      </c>
      <c r="BL165" s="127">
        <f>SUM(BL147:BL164)</f>
        <v>118</v>
      </c>
      <c r="BM165" s="128">
        <f>SUM(BM147:BM164)</f>
        <v>0</v>
      </c>
      <c r="BN165" s="129">
        <f t="shared" ref="BN165:BN227" si="121">SUM(BJ165:BM165)</f>
        <v>300</v>
      </c>
      <c r="BO165" s="131">
        <f>SUM(BO147:BO164)</f>
        <v>4944</v>
      </c>
      <c r="BP165" s="127">
        <f>SUM(BP147:BP164)</f>
        <v>255</v>
      </c>
      <c r="BQ165" s="127">
        <f>SUM(BQ147:BQ164)</f>
        <v>4910</v>
      </c>
      <c r="BR165" s="128">
        <f>SUM(BR147:BR164)</f>
        <v>0</v>
      </c>
      <c r="BS165" s="130">
        <f t="shared" si="95"/>
        <v>10109</v>
      </c>
    </row>
    <row r="166" spans="2:71" x14ac:dyDescent="0.3">
      <c r="B166" s="269"/>
      <c r="C166" s="230"/>
      <c r="D166" s="234"/>
      <c r="E166" s="236" t="s">
        <v>4</v>
      </c>
      <c r="F166" s="237"/>
      <c r="G166" s="38">
        <f>SUM(G137,G146,G165)</f>
        <v>1829</v>
      </c>
      <c r="H166" s="19">
        <f>SUM(H137,H146,H165)</f>
        <v>99</v>
      </c>
      <c r="I166" s="19">
        <f>SUM(I137,I146,I165)</f>
        <v>765</v>
      </c>
      <c r="J166" s="20">
        <f>SUM(J137,J146,J165)</f>
        <v>0</v>
      </c>
      <c r="K166" s="21">
        <f t="shared" si="83"/>
        <v>2693</v>
      </c>
      <c r="L166" s="38">
        <f>SUM(L137,L146,L165)</f>
        <v>1952</v>
      </c>
      <c r="M166" s="19">
        <f>SUM(M137,M146,M165)</f>
        <v>198</v>
      </c>
      <c r="N166" s="19">
        <f>SUM(N137,N146,N165)</f>
        <v>1273</v>
      </c>
      <c r="O166" s="20">
        <f>SUM(O137,O146,O165)</f>
        <v>0</v>
      </c>
      <c r="P166" s="21">
        <f t="shared" si="111"/>
        <v>3423</v>
      </c>
      <c r="Q166" s="38">
        <f>SUM(Q137,Q146,Q165)</f>
        <v>1434</v>
      </c>
      <c r="R166" s="19">
        <f>SUM(R137,R146,R165)</f>
        <v>41</v>
      </c>
      <c r="S166" s="19">
        <f>SUM(S137,S146,S165)</f>
        <v>1070</v>
      </c>
      <c r="T166" s="20">
        <f>SUM(T137,T146,T165)</f>
        <v>0</v>
      </c>
      <c r="U166" s="21">
        <f t="shared" si="112"/>
        <v>2545</v>
      </c>
      <c r="V166" s="38">
        <f>SUM(V137,V146,V165)</f>
        <v>2184</v>
      </c>
      <c r="W166" s="19">
        <f>SUM(W137,W146,W165)</f>
        <v>85</v>
      </c>
      <c r="X166" s="19">
        <f>SUM(X137,X146,X165)</f>
        <v>1957</v>
      </c>
      <c r="Y166" s="20">
        <f>SUM(Y137,Y146,Y165)</f>
        <v>0</v>
      </c>
      <c r="Z166" s="21">
        <f t="shared" si="113"/>
        <v>4226</v>
      </c>
      <c r="AA166" s="38">
        <f>SUM(AA137,AA146,AA165)</f>
        <v>1869</v>
      </c>
      <c r="AB166" s="19">
        <f>SUM(AB137,AB146,AB165)</f>
        <v>28</v>
      </c>
      <c r="AC166" s="19">
        <f>SUM(AC137,AC146,AC165)</f>
        <v>2150</v>
      </c>
      <c r="AD166" s="20">
        <f>SUM(AD137,AD146,AD165)</f>
        <v>0</v>
      </c>
      <c r="AE166" s="21">
        <f t="shared" si="114"/>
        <v>4047</v>
      </c>
      <c r="AF166" s="38">
        <f>SUM(AF137,AF146,AF165)</f>
        <v>1750</v>
      </c>
      <c r="AG166" s="19">
        <f>SUM(AG137,AG146,AG165)</f>
        <v>45</v>
      </c>
      <c r="AH166" s="19">
        <f>SUM(AH137,AH146,AH165)</f>
        <v>1632</v>
      </c>
      <c r="AI166" s="20">
        <f>SUM(AI137,AI146,AI165)</f>
        <v>0</v>
      </c>
      <c r="AJ166" s="21">
        <f t="shared" si="115"/>
        <v>3427</v>
      </c>
      <c r="AK166" s="38">
        <f>SUM(AK137,AK146,AK165)</f>
        <v>771</v>
      </c>
      <c r="AL166" s="19">
        <f>SUM(AL137,AL146,AL165)</f>
        <v>71</v>
      </c>
      <c r="AM166" s="19">
        <f>SUM(AM137,AM146,AM165)</f>
        <v>1188</v>
      </c>
      <c r="AN166" s="20">
        <f>SUM(AN137,AN146,AN165)</f>
        <v>0</v>
      </c>
      <c r="AO166" s="21">
        <f t="shared" si="116"/>
        <v>2030</v>
      </c>
      <c r="AP166" s="38">
        <f>SUM(AP137,AP146,AP165)</f>
        <v>440</v>
      </c>
      <c r="AQ166" s="19">
        <f>SUM(AQ137,AQ146,AQ165)</f>
        <v>22</v>
      </c>
      <c r="AR166" s="19">
        <f>SUM(AR137,AR146,AR165)</f>
        <v>1013</v>
      </c>
      <c r="AS166" s="20">
        <f>SUM(AS137,AS146,AS165)</f>
        <v>0</v>
      </c>
      <c r="AT166" s="21">
        <f t="shared" si="117"/>
        <v>1475</v>
      </c>
      <c r="AU166" s="38">
        <f>SUM(AU137,AU146,AU165)</f>
        <v>1346</v>
      </c>
      <c r="AV166" s="19">
        <f>SUM(AV137,AV146,AV165)</f>
        <v>95</v>
      </c>
      <c r="AW166" s="19">
        <f>SUM(AW137,AW146,AW165)</f>
        <v>2162</v>
      </c>
      <c r="AX166" s="20">
        <f>SUM(AX137,AX146,AX165)</f>
        <v>0</v>
      </c>
      <c r="AY166" s="21">
        <f t="shared" si="118"/>
        <v>3603</v>
      </c>
      <c r="AZ166" s="38">
        <f>SUM(AZ137,AZ146,AZ165)</f>
        <v>2077</v>
      </c>
      <c r="BA166" s="19">
        <f>SUM(BA137,BA146,BA165)</f>
        <v>107</v>
      </c>
      <c r="BB166" s="19">
        <f>SUM(BB137,BB146,BB165)</f>
        <v>2665</v>
      </c>
      <c r="BC166" s="20">
        <f>SUM(BC137,BC146,BC165)</f>
        <v>0</v>
      </c>
      <c r="BD166" s="21">
        <f t="shared" si="119"/>
        <v>4849</v>
      </c>
      <c r="BE166" s="38">
        <f>SUM(BE137,BE146,BE165)</f>
        <v>514</v>
      </c>
      <c r="BF166" s="19">
        <f>SUM(BF137,BF146,BF165)</f>
        <v>13</v>
      </c>
      <c r="BG166" s="19">
        <f>SUM(BG137,BG146,BG165)</f>
        <v>590</v>
      </c>
      <c r="BH166" s="20">
        <f>SUM(BH137,BH146,BH165)</f>
        <v>0</v>
      </c>
      <c r="BI166" s="21">
        <f t="shared" si="120"/>
        <v>1117</v>
      </c>
      <c r="BJ166" s="38">
        <f>SUM(BJ137,BJ146,BJ165)</f>
        <v>379</v>
      </c>
      <c r="BK166" s="19">
        <f>SUM(BK137,BK146,BK165)</f>
        <v>19</v>
      </c>
      <c r="BL166" s="19">
        <f>SUM(BL137,BL146,BL165)</f>
        <v>218</v>
      </c>
      <c r="BM166" s="20">
        <f>SUM(BM137,BM146,BM165)</f>
        <v>0</v>
      </c>
      <c r="BN166" s="21">
        <f t="shared" si="121"/>
        <v>616</v>
      </c>
      <c r="BO166" s="69">
        <f>SUM(BO137,BO146,BO165)</f>
        <v>16545</v>
      </c>
      <c r="BP166" s="19">
        <f>SUM(BP137,BP146,BP165)</f>
        <v>823</v>
      </c>
      <c r="BQ166" s="19">
        <f>SUM(BQ137,BQ146,BQ165)</f>
        <v>16683</v>
      </c>
      <c r="BR166" s="20">
        <f>SUM(BR137,BR146,BR165)</f>
        <v>0</v>
      </c>
      <c r="BS166" s="39">
        <f t="shared" si="95"/>
        <v>34051</v>
      </c>
    </row>
    <row r="167" spans="2:71" x14ac:dyDescent="0.3">
      <c r="B167" s="269"/>
      <c r="C167" s="231"/>
      <c r="D167" s="238" t="s">
        <v>4</v>
      </c>
      <c r="E167" s="238"/>
      <c r="F167" s="238"/>
      <c r="G167" s="40">
        <f>G166</f>
        <v>1829</v>
      </c>
      <c r="H167" s="22">
        <f>H166</f>
        <v>99</v>
      </c>
      <c r="I167" s="22">
        <f>I166</f>
        <v>765</v>
      </c>
      <c r="J167" s="23">
        <f>J166</f>
        <v>0</v>
      </c>
      <c r="K167" s="166">
        <f t="shared" ref="K167:K254" si="122">SUM(G167:J167)</f>
        <v>2693</v>
      </c>
      <c r="L167" s="40">
        <f>L166</f>
        <v>1952</v>
      </c>
      <c r="M167" s="22">
        <f>M166</f>
        <v>198</v>
      </c>
      <c r="N167" s="22">
        <f>N166</f>
        <v>1273</v>
      </c>
      <c r="O167" s="23">
        <f>O166</f>
        <v>0</v>
      </c>
      <c r="P167" s="166">
        <f t="shared" si="111"/>
        <v>3423</v>
      </c>
      <c r="Q167" s="40">
        <f>Q166</f>
        <v>1434</v>
      </c>
      <c r="R167" s="22">
        <f>R166</f>
        <v>41</v>
      </c>
      <c r="S167" s="22">
        <f>S166</f>
        <v>1070</v>
      </c>
      <c r="T167" s="23">
        <f>T166</f>
        <v>0</v>
      </c>
      <c r="U167" s="166">
        <f t="shared" si="112"/>
        <v>2545</v>
      </c>
      <c r="V167" s="40">
        <f>V166</f>
        <v>2184</v>
      </c>
      <c r="W167" s="22">
        <f>W166</f>
        <v>85</v>
      </c>
      <c r="X167" s="22">
        <f>X166</f>
        <v>1957</v>
      </c>
      <c r="Y167" s="23">
        <f>Y166</f>
        <v>0</v>
      </c>
      <c r="Z167" s="166">
        <f t="shared" si="113"/>
        <v>4226</v>
      </c>
      <c r="AA167" s="40">
        <f>AA166</f>
        <v>1869</v>
      </c>
      <c r="AB167" s="22">
        <f>AB166</f>
        <v>28</v>
      </c>
      <c r="AC167" s="22">
        <f>AC166</f>
        <v>2150</v>
      </c>
      <c r="AD167" s="23">
        <f>AD166</f>
        <v>0</v>
      </c>
      <c r="AE167" s="166">
        <f t="shared" si="114"/>
        <v>4047</v>
      </c>
      <c r="AF167" s="40">
        <f>AF166</f>
        <v>1750</v>
      </c>
      <c r="AG167" s="22">
        <f>AG166</f>
        <v>45</v>
      </c>
      <c r="AH167" s="22">
        <f>AH166</f>
        <v>1632</v>
      </c>
      <c r="AI167" s="23">
        <f>AI166</f>
        <v>0</v>
      </c>
      <c r="AJ167" s="166">
        <f t="shared" si="115"/>
        <v>3427</v>
      </c>
      <c r="AK167" s="40">
        <f>AK166</f>
        <v>771</v>
      </c>
      <c r="AL167" s="22">
        <f>AL166</f>
        <v>71</v>
      </c>
      <c r="AM167" s="22">
        <f>AM166</f>
        <v>1188</v>
      </c>
      <c r="AN167" s="23">
        <f>AN166</f>
        <v>0</v>
      </c>
      <c r="AO167" s="166">
        <f t="shared" si="116"/>
        <v>2030</v>
      </c>
      <c r="AP167" s="40">
        <f>AP166</f>
        <v>440</v>
      </c>
      <c r="AQ167" s="22">
        <f>AQ166</f>
        <v>22</v>
      </c>
      <c r="AR167" s="22">
        <f>AR166</f>
        <v>1013</v>
      </c>
      <c r="AS167" s="23">
        <f>AS166</f>
        <v>0</v>
      </c>
      <c r="AT167" s="166">
        <f t="shared" si="117"/>
        <v>1475</v>
      </c>
      <c r="AU167" s="40">
        <f>AU166</f>
        <v>1346</v>
      </c>
      <c r="AV167" s="22">
        <f>AV166</f>
        <v>95</v>
      </c>
      <c r="AW167" s="22">
        <f>AW166</f>
        <v>2162</v>
      </c>
      <c r="AX167" s="23">
        <f>AX166</f>
        <v>0</v>
      </c>
      <c r="AY167" s="166">
        <f t="shared" si="118"/>
        <v>3603</v>
      </c>
      <c r="AZ167" s="40">
        <f>AZ166</f>
        <v>2077</v>
      </c>
      <c r="BA167" s="22">
        <f>BA166</f>
        <v>107</v>
      </c>
      <c r="BB167" s="22">
        <f>BB166</f>
        <v>2665</v>
      </c>
      <c r="BC167" s="23">
        <f>BC166</f>
        <v>0</v>
      </c>
      <c r="BD167" s="166">
        <f t="shared" si="119"/>
        <v>4849</v>
      </c>
      <c r="BE167" s="40">
        <f>BE166</f>
        <v>514</v>
      </c>
      <c r="BF167" s="22">
        <f>BF166</f>
        <v>13</v>
      </c>
      <c r="BG167" s="22">
        <f>BG166</f>
        <v>590</v>
      </c>
      <c r="BH167" s="23">
        <f>BH166</f>
        <v>0</v>
      </c>
      <c r="BI167" s="166">
        <f t="shared" si="120"/>
        <v>1117</v>
      </c>
      <c r="BJ167" s="40">
        <f>BJ166</f>
        <v>379</v>
      </c>
      <c r="BK167" s="22">
        <f>BK166</f>
        <v>19</v>
      </c>
      <c r="BL167" s="22">
        <f>BL166</f>
        <v>218</v>
      </c>
      <c r="BM167" s="23">
        <f>BM166</f>
        <v>0</v>
      </c>
      <c r="BN167" s="166">
        <f t="shared" si="121"/>
        <v>616</v>
      </c>
      <c r="BO167" s="68">
        <f>BO166</f>
        <v>16545</v>
      </c>
      <c r="BP167" s="22">
        <f>BP166</f>
        <v>823</v>
      </c>
      <c r="BQ167" s="22">
        <f>BQ166</f>
        <v>16683</v>
      </c>
      <c r="BR167" s="23">
        <f>BR166</f>
        <v>0</v>
      </c>
      <c r="BS167" s="41">
        <f t="shared" si="95"/>
        <v>34051</v>
      </c>
    </row>
    <row r="168" spans="2:71" x14ac:dyDescent="0.3">
      <c r="B168" s="269"/>
      <c r="C168" s="229" t="s">
        <v>0</v>
      </c>
      <c r="D168" s="232" t="s">
        <v>0</v>
      </c>
      <c r="E168" s="219" t="s">
        <v>63</v>
      </c>
      <c r="F168" s="120" t="s">
        <v>124</v>
      </c>
      <c r="G168" s="30">
        <v>16</v>
      </c>
      <c r="H168" s="7"/>
      <c r="I168" s="7">
        <v>1</v>
      </c>
      <c r="J168" s="8"/>
      <c r="K168" s="9">
        <f t="shared" si="122"/>
        <v>17</v>
      </c>
      <c r="L168" s="30">
        <v>8</v>
      </c>
      <c r="M168" s="7"/>
      <c r="N168" s="7"/>
      <c r="O168" s="8"/>
      <c r="P168" s="9">
        <f t="shared" si="111"/>
        <v>8</v>
      </c>
      <c r="Q168" s="30">
        <v>4</v>
      </c>
      <c r="R168" s="7"/>
      <c r="S168" s="7"/>
      <c r="T168" s="8"/>
      <c r="U168" s="9">
        <f t="shared" si="112"/>
        <v>4</v>
      </c>
      <c r="V168" s="30"/>
      <c r="W168" s="7"/>
      <c r="X168" s="7"/>
      <c r="Y168" s="8"/>
      <c r="Z168" s="9">
        <f t="shared" si="113"/>
        <v>0</v>
      </c>
      <c r="AA168" s="30"/>
      <c r="AB168" s="7"/>
      <c r="AC168" s="7"/>
      <c r="AD168" s="8"/>
      <c r="AE168" s="9">
        <f t="shared" si="114"/>
        <v>0</v>
      </c>
      <c r="AF168" s="30"/>
      <c r="AG168" s="7"/>
      <c r="AH168" s="7"/>
      <c r="AI168" s="8"/>
      <c r="AJ168" s="9">
        <f t="shared" si="115"/>
        <v>0</v>
      </c>
      <c r="AK168" s="30"/>
      <c r="AL168" s="7"/>
      <c r="AM168" s="7"/>
      <c r="AN168" s="8"/>
      <c r="AO168" s="9">
        <f t="shared" si="116"/>
        <v>0</v>
      </c>
      <c r="AP168" s="30"/>
      <c r="AQ168" s="7"/>
      <c r="AR168" s="7"/>
      <c r="AS168" s="8"/>
      <c r="AT168" s="9">
        <f t="shared" si="117"/>
        <v>0</v>
      </c>
      <c r="AU168" s="30"/>
      <c r="AV168" s="7"/>
      <c r="AW168" s="7"/>
      <c r="AX168" s="8"/>
      <c r="AY168" s="9">
        <f t="shared" si="118"/>
        <v>0</v>
      </c>
      <c r="AZ168" s="30"/>
      <c r="BA168" s="7"/>
      <c r="BB168" s="7"/>
      <c r="BC168" s="8"/>
      <c r="BD168" s="9">
        <f t="shared" si="119"/>
        <v>0</v>
      </c>
      <c r="BE168" s="30"/>
      <c r="BF168" s="7"/>
      <c r="BG168" s="7"/>
      <c r="BH168" s="8"/>
      <c r="BI168" s="9">
        <f t="shared" si="120"/>
        <v>0</v>
      </c>
      <c r="BJ168" s="30"/>
      <c r="BK168" s="7"/>
      <c r="BL168" s="7"/>
      <c r="BM168" s="8"/>
      <c r="BN168" s="9">
        <f t="shared" si="121"/>
        <v>0</v>
      </c>
      <c r="BO168" s="65">
        <f>SUM(G168,L168,Q168,V168,AA168,AF168,AK168,AP168,AU168,AZ168,BE168,BJ168)</f>
        <v>28</v>
      </c>
      <c r="BP168" s="7">
        <f>SUM(H168,M168,R168,W168,AB168,AG168,AL168,AQ168,AV168,BA168,BF168,BK168)</f>
        <v>0</v>
      </c>
      <c r="BQ168" s="7">
        <f>SUM(I168,N168,S168,X168,AC168,AH168,AM168,AR168,AW168,BB168,BG168,BL168)</f>
        <v>1</v>
      </c>
      <c r="BR168" s="8">
        <f>SUM(J168,O168,T168,Y168,AD168,AI168,AN168,AS168,AX168,BC168,BH168,BM168)</f>
        <v>0</v>
      </c>
      <c r="BS168" s="31">
        <f t="shared" ref="BS168:BS254" si="123">SUM(BO168:BR168)</f>
        <v>29</v>
      </c>
    </row>
    <row r="169" spans="2:71" x14ac:dyDescent="0.3">
      <c r="B169" s="269"/>
      <c r="C169" s="230"/>
      <c r="D169" s="233"/>
      <c r="E169" s="220"/>
      <c r="F169" s="123" t="s">
        <v>125</v>
      </c>
      <c r="G169" s="34">
        <v>3</v>
      </c>
      <c r="H169" s="16"/>
      <c r="I169" s="16"/>
      <c r="J169" s="17"/>
      <c r="K169" s="18">
        <f t="shared" si="122"/>
        <v>3</v>
      </c>
      <c r="L169" s="34">
        <v>1</v>
      </c>
      <c r="M169" s="16"/>
      <c r="N169" s="16"/>
      <c r="O169" s="17"/>
      <c r="P169" s="18">
        <f t="shared" si="111"/>
        <v>1</v>
      </c>
      <c r="Q169" s="34"/>
      <c r="R169" s="16"/>
      <c r="S169" s="16"/>
      <c r="T169" s="17"/>
      <c r="U169" s="18">
        <f t="shared" si="112"/>
        <v>0</v>
      </c>
      <c r="V169" s="34"/>
      <c r="W169" s="16"/>
      <c r="X169" s="16"/>
      <c r="Y169" s="17"/>
      <c r="Z169" s="18">
        <f t="shared" si="113"/>
        <v>0</v>
      </c>
      <c r="AA169" s="34"/>
      <c r="AB169" s="16"/>
      <c r="AC169" s="16"/>
      <c r="AD169" s="17"/>
      <c r="AE169" s="18">
        <f t="shared" si="114"/>
        <v>0</v>
      </c>
      <c r="AF169" s="34"/>
      <c r="AG169" s="16"/>
      <c r="AH169" s="16"/>
      <c r="AI169" s="17"/>
      <c r="AJ169" s="18">
        <f t="shared" si="115"/>
        <v>0</v>
      </c>
      <c r="AK169" s="34"/>
      <c r="AL169" s="16"/>
      <c r="AM169" s="16"/>
      <c r="AN169" s="17"/>
      <c r="AO169" s="18">
        <f t="shared" si="116"/>
        <v>0</v>
      </c>
      <c r="AP169" s="34"/>
      <c r="AQ169" s="16"/>
      <c r="AR169" s="16"/>
      <c r="AS169" s="17"/>
      <c r="AT169" s="18">
        <f t="shared" si="117"/>
        <v>0</v>
      </c>
      <c r="AU169" s="34"/>
      <c r="AV169" s="16"/>
      <c r="AW169" s="16"/>
      <c r="AX169" s="17"/>
      <c r="AY169" s="18">
        <f t="shared" si="118"/>
        <v>0</v>
      </c>
      <c r="AZ169" s="34"/>
      <c r="BA169" s="16"/>
      <c r="BB169" s="16"/>
      <c r="BC169" s="17"/>
      <c r="BD169" s="18">
        <f t="shared" si="119"/>
        <v>0</v>
      </c>
      <c r="BE169" s="34"/>
      <c r="BF169" s="16"/>
      <c r="BG169" s="16"/>
      <c r="BH169" s="17"/>
      <c r="BI169" s="18">
        <f t="shared" si="120"/>
        <v>0</v>
      </c>
      <c r="BJ169" s="34"/>
      <c r="BK169" s="16"/>
      <c r="BL169" s="16"/>
      <c r="BM169" s="17"/>
      <c r="BN169" s="18">
        <f t="shared" si="121"/>
        <v>0</v>
      </c>
      <c r="BO169" s="70">
        <f>SUM(G169,L169,Q169,V169,AA169,AF169,AK169,AP169,AU169,AZ169,BE169,BJ169)</f>
        <v>4</v>
      </c>
      <c r="BP169" s="16">
        <f>SUM(H169,M169,R169,W169,AB169,AG169,AL169,AQ169,AV169,BA169,BF169,BK169)</f>
        <v>0</v>
      </c>
      <c r="BQ169" s="16">
        <f>SUM(I169,N169,S169,X169,AC169,AH169,AM169,AR169,AW169,BB169,BG169,BL169)</f>
        <v>0</v>
      </c>
      <c r="BR169" s="17">
        <f>SUM(J169,O169,T169,Y169,AD169,AI169,AN169,AS169,AX169,BC169,BH169,BM169)</f>
        <v>0</v>
      </c>
      <c r="BS169" s="35">
        <f t="shared" si="123"/>
        <v>4</v>
      </c>
    </row>
    <row r="170" spans="2:71" x14ac:dyDescent="0.3">
      <c r="B170" s="269"/>
      <c r="C170" s="230"/>
      <c r="D170" s="233"/>
      <c r="E170" s="220"/>
      <c r="F170" s="123" t="s">
        <v>460</v>
      </c>
      <c r="G170" s="34"/>
      <c r="H170" s="16"/>
      <c r="I170" s="16"/>
      <c r="J170" s="17"/>
      <c r="K170" s="18">
        <f t="shared" si="122"/>
        <v>0</v>
      </c>
      <c r="L170" s="34"/>
      <c r="M170" s="16"/>
      <c r="N170" s="16"/>
      <c r="O170" s="17"/>
      <c r="P170" s="18">
        <f t="shared" si="111"/>
        <v>0</v>
      </c>
      <c r="Q170" s="34">
        <f>12-4</f>
        <v>8</v>
      </c>
      <c r="R170" s="16"/>
      <c r="S170" s="16">
        <v>1</v>
      </c>
      <c r="T170" s="17"/>
      <c r="U170" s="18">
        <f t="shared" si="112"/>
        <v>9</v>
      </c>
      <c r="V170" s="34">
        <v>10</v>
      </c>
      <c r="W170" s="16"/>
      <c r="X170" s="16">
        <v>3</v>
      </c>
      <c r="Y170" s="17"/>
      <c r="Z170" s="18">
        <f t="shared" ref="Z170:Z171" si="124">SUM(V170:Y170)</f>
        <v>13</v>
      </c>
      <c r="AA170" s="34">
        <v>10</v>
      </c>
      <c r="AB170" s="16"/>
      <c r="AC170" s="16">
        <v>1</v>
      </c>
      <c r="AD170" s="17"/>
      <c r="AE170" s="18">
        <f t="shared" ref="AE170:AE171" si="125">SUM(AA170:AD170)</f>
        <v>11</v>
      </c>
      <c r="AF170" s="34">
        <v>14</v>
      </c>
      <c r="AG170" s="16"/>
      <c r="AH170" s="16"/>
      <c r="AI170" s="17"/>
      <c r="AJ170" s="18">
        <f t="shared" ref="AJ170:AJ171" si="126">SUM(AF170:AI170)</f>
        <v>14</v>
      </c>
      <c r="AK170" s="34">
        <v>2</v>
      </c>
      <c r="AL170" s="16"/>
      <c r="AM170" s="16"/>
      <c r="AN170" s="17"/>
      <c r="AO170" s="18">
        <f t="shared" ref="AO170:AO171" si="127">SUM(AK170:AN170)</f>
        <v>2</v>
      </c>
      <c r="AP170" s="34">
        <v>5</v>
      </c>
      <c r="AQ170" s="16"/>
      <c r="AR170" s="16"/>
      <c r="AS170" s="17"/>
      <c r="AT170" s="18">
        <f t="shared" ref="AT170:AT171" si="128">SUM(AP170:AS170)</f>
        <v>5</v>
      </c>
      <c r="AU170" s="34">
        <v>8</v>
      </c>
      <c r="AV170" s="16"/>
      <c r="AW170" s="16"/>
      <c r="AX170" s="17"/>
      <c r="AY170" s="18">
        <f t="shared" ref="AY170:AY171" si="129">SUM(AU170:AX170)</f>
        <v>8</v>
      </c>
      <c r="AZ170" s="34">
        <v>14</v>
      </c>
      <c r="BA170" s="16"/>
      <c r="BB170" s="16">
        <v>1</v>
      </c>
      <c r="BC170" s="17"/>
      <c r="BD170" s="18">
        <f t="shared" ref="BD170:BD171" si="130">SUM(AZ170:BC170)</f>
        <v>15</v>
      </c>
      <c r="BE170" s="34">
        <v>12</v>
      </c>
      <c r="BF170" s="16"/>
      <c r="BG170" s="16">
        <v>1</v>
      </c>
      <c r="BH170" s="17"/>
      <c r="BI170" s="18">
        <f t="shared" ref="BI170:BI171" si="131">SUM(BE170:BH170)</f>
        <v>13</v>
      </c>
      <c r="BJ170" s="34">
        <v>4</v>
      </c>
      <c r="BK170" s="16"/>
      <c r="BL170" s="16">
        <v>1</v>
      </c>
      <c r="BM170" s="17"/>
      <c r="BN170" s="18">
        <f t="shared" ref="BN170:BN171" si="132">SUM(BJ170:BM170)</f>
        <v>5</v>
      </c>
      <c r="BO170" s="70">
        <f>SUM(G170,L170,Q170,V170,AA170,AF170,AK170,AP170,AU170,AZ170,BE170,BJ170)</f>
        <v>87</v>
      </c>
      <c r="BP170" s="16">
        <f>SUM(H170,M170,R170,W170,AB170,AG170,AL170,AQ170,AV170,BA170,BF170,BK170)</f>
        <v>0</v>
      </c>
      <c r="BQ170" s="16">
        <f>SUM(I170,N170,S170,X170,AC170,AH170,AM170,AR170,AW170,BB170,BG170,BL170)</f>
        <v>8</v>
      </c>
      <c r="BR170" s="17">
        <f>SUM(J170,O170,T170,Y170,AD170,AI170,AN170,AS170,AX170,BC170,BH170,BM170)</f>
        <v>0</v>
      </c>
      <c r="BS170" s="35">
        <f t="shared" si="123"/>
        <v>95</v>
      </c>
    </row>
    <row r="171" spans="2:71" x14ac:dyDescent="0.3">
      <c r="B171" s="269"/>
      <c r="C171" s="230"/>
      <c r="D171" s="233"/>
      <c r="E171" s="220"/>
      <c r="F171" s="123" t="s">
        <v>461</v>
      </c>
      <c r="G171" s="34"/>
      <c r="H171" s="16"/>
      <c r="I171" s="16"/>
      <c r="J171" s="17"/>
      <c r="K171" s="18">
        <f t="shared" si="122"/>
        <v>0</v>
      </c>
      <c r="L171" s="34"/>
      <c r="M171" s="16"/>
      <c r="N171" s="16"/>
      <c r="O171" s="17"/>
      <c r="P171" s="18">
        <f t="shared" si="111"/>
        <v>0</v>
      </c>
      <c r="Q171" s="34">
        <f>2</f>
        <v>2</v>
      </c>
      <c r="R171" s="16"/>
      <c r="S171" s="16"/>
      <c r="T171" s="17"/>
      <c r="U171" s="18">
        <f t="shared" si="112"/>
        <v>2</v>
      </c>
      <c r="V171" s="34">
        <v>3</v>
      </c>
      <c r="W171" s="16"/>
      <c r="X171" s="16"/>
      <c r="Y171" s="17"/>
      <c r="Z171" s="18">
        <f t="shared" si="124"/>
        <v>3</v>
      </c>
      <c r="AA171" s="34">
        <v>1</v>
      </c>
      <c r="AB171" s="16"/>
      <c r="AC171" s="16"/>
      <c r="AD171" s="17"/>
      <c r="AE171" s="18">
        <f t="shared" si="125"/>
        <v>1</v>
      </c>
      <c r="AF171" s="34">
        <v>6</v>
      </c>
      <c r="AG171" s="16"/>
      <c r="AH171" s="16"/>
      <c r="AI171" s="17"/>
      <c r="AJ171" s="18">
        <f t="shared" si="126"/>
        <v>6</v>
      </c>
      <c r="AK171" s="34">
        <v>1</v>
      </c>
      <c r="AL171" s="16"/>
      <c r="AM171" s="16"/>
      <c r="AN171" s="17"/>
      <c r="AO171" s="18">
        <f t="shared" si="127"/>
        <v>1</v>
      </c>
      <c r="AP171" s="34">
        <v>3</v>
      </c>
      <c r="AQ171" s="16"/>
      <c r="AR171" s="16"/>
      <c r="AS171" s="17"/>
      <c r="AT171" s="18">
        <f t="shared" si="128"/>
        <v>3</v>
      </c>
      <c r="AU171" s="34">
        <v>2</v>
      </c>
      <c r="AV171" s="16"/>
      <c r="AW171" s="16"/>
      <c r="AX171" s="17"/>
      <c r="AY171" s="18">
        <f t="shared" si="129"/>
        <v>2</v>
      </c>
      <c r="AZ171" s="34">
        <v>3</v>
      </c>
      <c r="BA171" s="16"/>
      <c r="BB171" s="16"/>
      <c r="BC171" s="17"/>
      <c r="BD171" s="18">
        <f t="shared" si="130"/>
        <v>3</v>
      </c>
      <c r="BE171" s="34">
        <v>2</v>
      </c>
      <c r="BF171" s="16"/>
      <c r="BG171" s="16">
        <v>1</v>
      </c>
      <c r="BH171" s="17"/>
      <c r="BI171" s="18">
        <f t="shared" si="131"/>
        <v>3</v>
      </c>
      <c r="BJ171" s="34">
        <v>3</v>
      </c>
      <c r="BK171" s="16"/>
      <c r="BL171" s="16"/>
      <c r="BM171" s="17"/>
      <c r="BN171" s="18">
        <f t="shared" si="132"/>
        <v>3</v>
      </c>
      <c r="BO171" s="70">
        <f>SUM(G171,L171,Q171,V171,AA171,AF171,AK171,AP171,AU171,AZ171,BE171,BJ171)</f>
        <v>26</v>
      </c>
      <c r="BP171" s="16">
        <f>SUM(H171,M171,R171,W171,AB171,AG171,AL171,AQ171,AV171,BA171,BF171,BK171)</f>
        <v>0</v>
      </c>
      <c r="BQ171" s="16">
        <f>SUM(I171,N171,S171,X171,AC171,AH171,AM171,AR171,AW171,BB171,BG171,BL171)</f>
        <v>1</v>
      </c>
      <c r="BR171" s="17">
        <f>SUM(J171,O171,T171,Y171,AD171,AI171,AN171,AS171,AX171,BC171,BH171,BM171)</f>
        <v>0</v>
      </c>
      <c r="BS171" s="35">
        <f t="shared" si="123"/>
        <v>27</v>
      </c>
    </row>
    <row r="172" spans="2:71" x14ac:dyDescent="0.3">
      <c r="B172" s="269"/>
      <c r="C172" s="230"/>
      <c r="D172" s="233"/>
      <c r="E172" s="220"/>
      <c r="F172" s="123" t="s">
        <v>64</v>
      </c>
      <c r="G172" s="34">
        <v>19</v>
      </c>
      <c r="H172" s="16">
        <v>1</v>
      </c>
      <c r="I172" s="16"/>
      <c r="J172" s="17"/>
      <c r="K172" s="18">
        <f t="shared" si="122"/>
        <v>20</v>
      </c>
      <c r="L172" s="34">
        <v>33</v>
      </c>
      <c r="M172" s="16"/>
      <c r="N172" s="16">
        <v>1</v>
      </c>
      <c r="O172" s="17"/>
      <c r="P172" s="18">
        <f t="shared" si="111"/>
        <v>34</v>
      </c>
      <c r="Q172" s="34">
        <f>8+12</f>
        <v>20</v>
      </c>
      <c r="R172" s="16"/>
      <c r="S172" s="16">
        <v>1</v>
      </c>
      <c r="T172" s="17"/>
      <c r="U172" s="18">
        <f t="shared" si="112"/>
        <v>21</v>
      </c>
      <c r="V172" s="34">
        <v>61</v>
      </c>
      <c r="W172" s="16"/>
      <c r="X172" s="16">
        <v>2</v>
      </c>
      <c r="Y172" s="17"/>
      <c r="Z172" s="18">
        <f t="shared" si="113"/>
        <v>63</v>
      </c>
      <c r="AA172" s="34">
        <v>49</v>
      </c>
      <c r="AB172" s="16"/>
      <c r="AC172" s="16"/>
      <c r="AD172" s="17"/>
      <c r="AE172" s="18">
        <f t="shared" si="114"/>
        <v>49</v>
      </c>
      <c r="AF172" s="34">
        <v>30</v>
      </c>
      <c r="AG172" s="16">
        <v>1</v>
      </c>
      <c r="AH172" s="16">
        <v>3</v>
      </c>
      <c r="AI172" s="17"/>
      <c r="AJ172" s="18">
        <f t="shared" si="115"/>
        <v>34</v>
      </c>
      <c r="AK172" s="194">
        <f>11+6</f>
        <v>17</v>
      </c>
      <c r="AL172" s="16"/>
      <c r="AM172" s="16"/>
      <c r="AN172" s="17"/>
      <c r="AO172" s="18">
        <f t="shared" si="116"/>
        <v>17</v>
      </c>
      <c r="AP172" s="34">
        <v>24</v>
      </c>
      <c r="AQ172" s="16"/>
      <c r="AR172" s="16">
        <v>2</v>
      </c>
      <c r="AS172" s="17"/>
      <c r="AT172" s="18">
        <f t="shared" si="117"/>
        <v>26</v>
      </c>
      <c r="AU172" s="34">
        <v>50</v>
      </c>
      <c r="AV172" s="16"/>
      <c r="AW172" s="16">
        <v>1</v>
      </c>
      <c r="AX172" s="17"/>
      <c r="AY172" s="18">
        <f t="shared" si="118"/>
        <v>51</v>
      </c>
      <c r="AZ172" s="34">
        <v>99</v>
      </c>
      <c r="BA172" s="16"/>
      <c r="BB172" s="16"/>
      <c r="BC172" s="17"/>
      <c r="BD172" s="18">
        <f t="shared" si="119"/>
        <v>99</v>
      </c>
      <c r="BE172" s="34">
        <v>53</v>
      </c>
      <c r="BF172" s="16"/>
      <c r="BG172" s="16">
        <v>1</v>
      </c>
      <c r="BH172" s="17"/>
      <c r="BI172" s="18">
        <f t="shared" si="120"/>
        <v>54</v>
      </c>
      <c r="BJ172" s="34">
        <v>23</v>
      </c>
      <c r="BK172" s="16"/>
      <c r="BL172" s="16"/>
      <c r="BM172" s="17"/>
      <c r="BN172" s="18">
        <f t="shared" si="121"/>
        <v>23</v>
      </c>
      <c r="BO172" s="70">
        <f>SUM(G172,L172,Q172,V172,AA172,AF172,AK172,AP172,AU172,AZ172,BE172,BJ172)</f>
        <v>478</v>
      </c>
      <c r="BP172" s="16">
        <f>SUM(H172,M172,R172,W172,AB172,AG172,AL172,AQ172,AV172,BA172,BF172,BK172)</f>
        <v>2</v>
      </c>
      <c r="BQ172" s="16">
        <f>SUM(I172,N172,S172,X172,AC172,AH172,AM172,AR172,AW172,BB172,BG172,BL172)</f>
        <v>11</v>
      </c>
      <c r="BR172" s="17">
        <f>SUM(J172,O172,T172,Y172,AD172,AI172,AN172,AS172,AX172,BC172,BH172,BM172)</f>
        <v>0</v>
      </c>
      <c r="BS172" s="35">
        <f t="shared" si="123"/>
        <v>491</v>
      </c>
    </row>
    <row r="173" spans="2:71" x14ac:dyDescent="0.3">
      <c r="B173" s="269"/>
      <c r="C173" s="230"/>
      <c r="D173" s="233"/>
      <c r="E173" s="220"/>
      <c r="F173" s="123" t="s">
        <v>65</v>
      </c>
      <c r="G173" s="34">
        <v>1</v>
      </c>
      <c r="H173" s="16"/>
      <c r="I173" s="16"/>
      <c r="J173" s="17"/>
      <c r="K173" s="18">
        <f t="shared" si="122"/>
        <v>1</v>
      </c>
      <c r="L173" s="34">
        <v>3</v>
      </c>
      <c r="M173" s="16"/>
      <c r="N173" s="16"/>
      <c r="O173" s="17"/>
      <c r="P173" s="18">
        <f t="shared" si="111"/>
        <v>3</v>
      </c>
      <c r="Q173" s="34">
        <v>4</v>
      </c>
      <c r="R173" s="16"/>
      <c r="S173" s="16"/>
      <c r="T173" s="17"/>
      <c r="U173" s="18">
        <f t="shared" si="112"/>
        <v>4</v>
      </c>
      <c r="V173" s="34">
        <v>11</v>
      </c>
      <c r="W173" s="16"/>
      <c r="X173" s="16"/>
      <c r="Y173" s="17"/>
      <c r="Z173" s="18">
        <f t="shared" si="113"/>
        <v>11</v>
      </c>
      <c r="AA173" s="34">
        <v>1</v>
      </c>
      <c r="AB173" s="16"/>
      <c r="AC173" s="16"/>
      <c r="AD173" s="17"/>
      <c r="AE173" s="18">
        <f t="shared" si="114"/>
        <v>1</v>
      </c>
      <c r="AF173" s="34">
        <v>2</v>
      </c>
      <c r="AG173" s="16"/>
      <c r="AH173" s="16"/>
      <c r="AI173" s="17"/>
      <c r="AJ173" s="18">
        <f t="shared" si="115"/>
        <v>2</v>
      </c>
      <c r="AK173" s="34"/>
      <c r="AL173" s="16"/>
      <c r="AM173" s="16"/>
      <c r="AN173" s="17"/>
      <c r="AO173" s="18">
        <f t="shared" si="116"/>
        <v>0</v>
      </c>
      <c r="AP173" s="34">
        <v>6</v>
      </c>
      <c r="AQ173" s="16"/>
      <c r="AR173" s="16"/>
      <c r="AS173" s="17"/>
      <c r="AT173" s="18">
        <f t="shared" si="117"/>
        <v>6</v>
      </c>
      <c r="AU173" s="34">
        <v>5</v>
      </c>
      <c r="AV173" s="16"/>
      <c r="AW173" s="16"/>
      <c r="AX173" s="17"/>
      <c r="AY173" s="18">
        <f t="shared" si="118"/>
        <v>5</v>
      </c>
      <c r="AZ173" s="34">
        <v>8</v>
      </c>
      <c r="BA173" s="16"/>
      <c r="BB173" s="16"/>
      <c r="BC173" s="17"/>
      <c r="BD173" s="18">
        <f t="shared" si="119"/>
        <v>8</v>
      </c>
      <c r="BE173" s="34">
        <v>9</v>
      </c>
      <c r="BF173" s="16"/>
      <c r="BG173" s="16"/>
      <c r="BH173" s="17"/>
      <c r="BI173" s="18">
        <f t="shared" si="120"/>
        <v>9</v>
      </c>
      <c r="BJ173" s="34">
        <v>3</v>
      </c>
      <c r="BK173" s="16"/>
      <c r="BL173" s="16"/>
      <c r="BM173" s="17"/>
      <c r="BN173" s="18">
        <f t="shared" si="121"/>
        <v>3</v>
      </c>
      <c r="BO173" s="70">
        <f>SUM(G173,L173,Q173,V173,AA173,AF173,AK173,AP173,AU173,AZ173,BE173,BJ173)</f>
        <v>53</v>
      </c>
      <c r="BP173" s="16">
        <f>SUM(H173,M173,R173,W173,AB173,AG173,AL173,AQ173,AV173,BA173,BF173,BK173)</f>
        <v>0</v>
      </c>
      <c r="BQ173" s="16">
        <f>SUM(I173,N173,S173,X173,AC173,AH173,AM173,AR173,AW173,BB173,BG173,BL173)</f>
        <v>0</v>
      </c>
      <c r="BR173" s="17">
        <f>SUM(J173,O173,T173,Y173,AD173,AI173,AN173,AS173,AX173,BC173,BH173,BM173)</f>
        <v>0</v>
      </c>
      <c r="BS173" s="35">
        <f t="shared" si="123"/>
        <v>53</v>
      </c>
    </row>
    <row r="174" spans="2:71" x14ac:dyDescent="0.3">
      <c r="B174" s="269"/>
      <c r="C174" s="230"/>
      <c r="D174" s="233"/>
      <c r="E174" s="220"/>
      <c r="F174" s="123" t="s">
        <v>66</v>
      </c>
      <c r="G174" s="34"/>
      <c r="H174" s="16">
        <v>1</v>
      </c>
      <c r="I174" s="16">
        <v>1</v>
      </c>
      <c r="J174" s="17"/>
      <c r="K174" s="18">
        <f t="shared" si="122"/>
        <v>2</v>
      </c>
      <c r="L174" s="34">
        <v>1</v>
      </c>
      <c r="M174" s="16"/>
      <c r="N174" s="16"/>
      <c r="O174" s="17"/>
      <c r="P174" s="18">
        <f t="shared" si="111"/>
        <v>1</v>
      </c>
      <c r="Q174" s="34">
        <v>2</v>
      </c>
      <c r="R174" s="16"/>
      <c r="S174" s="16">
        <v>1</v>
      </c>
      <c r="T174" s="17"/>
      <c r="U174" s="18">
        <f t="shared" si="112"/>
        <v>3</v>
      </c>
      <c r="V174" s="34">
        <v>9</v>
      </c>
      <c r="W174" s="16"/>
      <c r="X174" s="16">
        <v>2</v>
      </c>
      <c r="Y174" s="17"/>
      <c r="Z174" s="18">
        <f t="shared" si="113"/>
        <v>11</v>
      </c>
      <c r="AA174" s="34">
        <v>2</v>
      </c>
      <c r="AB174" s="16"/>
      <c r="AC174" s="16">
        <v>1</v>
      </c>
      <c r="AD174" s="17"/>
      <c r="AE174" s="18">
        <f t="shared" si="114"/>
        <v>3</v>
      </c>
      <c r="AF174" s="34">
        <v>1</v>
      </c>
      <c r="AG174" s="16"/>
      <c r="AH174" s="16">
        <v>2</v>
      </c>
      <c r="AI174" s="17"/>
      <c r="AJ174" s="18">
        <f t="shared" si="115"/>
        <v>3</v>
      </c>
      <c r="AK174" s="34">
        <v>1</v>
      </c>
      <c r="AL174" s="16"/>
      <c r="AM174" s="16">
        <v>1</v>
      </c>
      <c r="AN174" s="17"/>
      <c r="AO174" s="18">
        <f t="shared" si="116"/>
        <v>2</v>
      </c>
      <c r="AP174" s="34"/>
      <c r="AQ174" s="16"/>
      <c r="AR174" s="16"/>
      <c r="AS174" s="17"/>
      <c r="AT174" s="18">
        <f t="shared" si="117"/>
        <v>0</v>
      </c>
      <c r="AU174" s="34">
        <v>4</v>
      </c>
      <c r="AV174" s="16"/>
      <c r="AW174" s="16">
        <v>4</v>
      </c>
      <c r="AX174" s="17"/>
      <c r="AY174" s="18">
        <f t="shared" si="118"/>
        <v>8</v>
      </c>
      <c r="AZ174" s="34">
        <v>2</v>
      </c>
      <c r="BA174" s="16"/>
      <c r="BB174" s="16">
        <v>7</v>
      </c>
      <c r="BC174" s="17"/>
      <c r="BD174" s="18">
        <f t="shared" si="119"/>
        <v>9</v>
      </c>
      <c r="BE174" s="34">
        <v>1</v>
      </c>
      <c r="BF174" s="16"/>
      <c r="BG174" s="16">
        <v>3</v>
      </c>
      <c r="BH174" s="17"/>
      <c r="BI174" s="18">
        <f t="shared" si="120"/>
        <v>4</v>
      </c>
      <c r="BJ174" s="34">
        <v>1</v>
      </c>
      <c r="BK174" s="16"/>
      <c r="BL174" s="16">
        <v>4</v>
      </c>
      <c r="BM174" s="17"/>
      <c r="BN174" s="18">
        <f t="shared" si="121"/>
        <v>5</v>
      </c>
      <c r="BO174" s="70">
        <f>SUM(G174,L174,Q174,V174,AA174,AF174,AK174,AP174,AU174,AZ174,BE174,BJ174)</f>
        <v>24</v>
      </c>
      <c r="BP174" s="16">
        <f>SUM(H174,M174,R174,W174,AB174,AG174,AL174,AQ174,AV174,BA174,BF174,BK174)</f>
        <v>1</v>
      </c>
      <c r="BQ174" s="16">
        <f>SUM(I174,N174,S174,X174,AC174,AH174,AM174,AR174,AW174,BB174,BG174,BL174)</f>
        <v>26</v>
      </c>
      <c r="BR174" s="17">
        <f>SUM(J174,O174,T174,Y174,AD174,AI174,AN174,AS174,AX174,BC174,BH174,BM174)</f>
        <v>0</v>
      </c>
      <c r="BS174" s="35">
        <f t="shared" si="123"/>
        <v>51</v>
      </c>
    </row>
    <row r="175" spans="2:71" x14ac:dyDescent="0.3">
      <c r="B175" s="269"/>
      <c r="C175" s="230"/>
      <c r="D175" s="233"/>
      <c r="E175" s="220"/>
      <c r="F175" s="123" t="s">
        <v>207</v>
      </c>
      <c r="G175" s="34">
        <v>1</v>
      </c>
      <c r="H175" s="16"/>
      <c r="I175" s="16"/>
      <c r="J175" s="17"/>
      <c r="K175" s="18">
        <f t="shared" si="122"/>
        <v>1</v>
      </c>
      <c r="L175" s="34">
        <v>1</v>
      </c>
      <c r="M175" s="16"/>
      <c r="N175" s="16"/>
      <c r="O175" s="17"/>
      <c r="P175" s="18">
        <f t="shared" si="111"/>
        <v>1</v>
      </c>
      <c r="Q175" s="34">
        <v>1</v>
      </c>
      <c r="R175" s="16"/>
      <c r="S175" s="16">
        <v>1</v>
      </c>
      <c r="T175" s="17"/>
      <c r="U175" s="18">
        <f t="shared" si="112"/>
        <v>2</v>
      </c>
      <c r="V175" s="34">
        <v>1</v>
      </c>
      <c r="W175" s="16"/>
      <c r="X175" s="16">
        <v>1</v>
      </c>
      <c r="Y175" s="17"/>
      <c r="Z175" s="18">
        <f t="shared" si="113"/>
        <v>2</v>
      </c>
      <c r="AA175" s="34"/>
      <c r="AB175" s="16"/>
      <c r="AC175" s="16"/>
      <c r="AD175" s="17"/>
      <c r="AE175" s="18">
        <f t="shared" si="114"/>
        <v>0</v>
      </c>
      <c r="AF175" s="34"/>
      <c r="AG175" s="16"/>
      <c r="AH175" s="16">
        <v>1</v>
      </c>
      <c r="AI175" s="17"/>
      <c r="AJ175" s="18">
        <f t="shared" si="115"/>
        <v>1</v>
      </c>
      <c r="AK175" s="34"/>
      <c r="AL175" s="16"/>
      <c r="AM175" s="16"/>
      <c r="AN175" s="17"/>
      <c r="AO175" s="18">
        <f t="shared" si="116"/>
        <v>0</v>
      </c>
      <c r="AP175" s="34"/>
      <c r="AQ175" s="16"/>
      <c r="AR175" s="16">
        <v>1</v>
      </c>
      <c r="AS175" s="17"/>
      <c r="AT175" s="18">
        <f t="shared" si="117"/>
        <v>1</v>
      </c>
      <c r="AU175" s="34"/>
      <c r="AV175" s="16">
        <v>1</v>
      </c>
      <c r="AW175" s="16">
        <v>1</v>
      </c>
      <c r="AX175" s="17"/>
      <c r="AY175" s="18">
        <f t="shared" si="118"/>
        <v>2</v>
      </c>
      <c r="AZ175" s="34">
        <v>1</v>
      </c>
      <c r="BA175" s="16"/>
      <c r="BB175" s="16">
        <v>1</v>
      </c>
      <c r="BC175" s="17"/>
      <c r="BD175" s="18">
        <f t="shared" si="119"/>
        <v>2</v>
      </c>
      <c r="BE175" s="34">
        <v>1</v>
      </c>
      <c r="BF175" s="16"/>
      <c r="BG175" s="16"/>
      <c r="BH175" s="17"/>
      <c r="BI175" s="18">
        <f t="shared" si="120"/>
        <v>1</v>
      </c>
      <c r="BJ175" s="34">
        <v>1</v>
      </c>
      <c r="BK175" s="16"/>
      <c r="BL175" s="16"/>
      <c r="BM175" s="17"/>
      <c r="BN175" s="18">
        <f t="shared" si="121"/>
        <v>1</v>
      </c>
      <c r="BO175" s="70">
        <f>SUM(G175,L175,Q175,V175,AA175,AF175,AK175,AP175,AU175,AZ175,BE175,BJ175)</f>
        <v>7</v>
      </c>
      <c r="BP175" s="16">
        <f>SUM(H175,M175,R175,W175,AB175,AG175,AL175,AQ175,AV175,BA175,BF175,BK175)</f>
        <v>1</v>
      </c>
      <c r="BQ175" s="16">
        <f>SUM(I175,N175,S175,X175,AC175,AH175,AM175,AR175,AW175,BB175,BG175,BL175)</f>
        <v>6</v>
      </c>
      <c r="BR175" s="17">
        <f>SUM(J175,O175,T175,Y175,AD175,AI175,AN175,AS175,AX175,BC175,BH175,BM175)</f>
        <v>0</v>
      </c>
      <c r="BS175" s="35">
        <f t="shared" si="123"/>
        <v>14</v>
      </c>
    </row>
    <row r="176" spans="2:71" x14ac:dyDescent="0.3">
      <c r="B176" s="269"/>
      <c r="C176" s="230"/>
      <c r="D176" s="233"/>
      <c r="E176" s="220"/>
      <c r="F176" s="123" t="s">
        <v>258</v>
      </c>
      <c r="G176" s="34">
        <v>37</v>
      </c>
      <c r="H176" s="16"/>
      <c r="I176" s="16">
        <v>2</v>
      </c>
      <c r="J176" s="17"/>
      <c r="K176" s="18">
        <f t="shared" si="122"/>
        <v>39</v>
      </c>
      <c r="L176" s="34">
        <v>54</v>
      </c>
      <c r="M176" s="16"/>
      <c r="N176" s="16">
        <v>1</v>
      </c>
      <c r="O176" s="17"/>
      <c r="P176" s="18">
        <f t="shared" si="111"/>
        <v>55</v>
      </c>
      <c r="Q176" s="34">
        <f>4+25</f>
        <v>29</v>
      </c>
      <c r="R176" s="16"/>
      <c r="S176" s="16">
        <f>3+1</f>
        <v>4</v>
      </c>
      <c r="T176" s="17"/>
      <c r="U176" s="18">
        <f t="shared" si="112"/>
        <v>33</v>
      </c>
      <c r="V176" s="34">
        <v>56</v>
      </c>
      <c r="W176" s="16"/>
      <c r="X176" s="16">
        <v>2</v>
      </c>
      <c r="Y176" s="17"/>
      <c r="Z176" s="18">
        <f t="shared" si="113"/>
        <v>58</v>
      </c>
      <c r="AA176" s="34">
        <v>83</v>
      </c>
      <c r="AB176" s="16"/>
      <c r="AC176" s="16">
        <v>2</v>
      </c>
      <c r="AD176" s="17"/>
      <c r="AE176" s="18">
        <f t="shared" si="114"/>
        <v>85</v>
      </c>
      <c r="AF176" s="34">
        <v>17</v>
      </c>
      <c r="AG176" s="16"/>
      <c r="AH176" s="16"/>
      <c r="AI176" s="17"/>
      <c r="AJ176" s="18">
        <f t="shared" si="115"/>
        <v>17</v>
      </c>
      <c r="AK176" s="194">
        <f>10+3</f>
        <v>13</v>
      </c>
      <c r="AL176" s="16"/>
      <c r="AM176" s="16"/>
      <c r="AN176" s="17"/>
      <c r="AO176" s="18">
        <f t="shared" si="116"/>
        <v>13</v>
      </c>
      <c r="AP176" s="34">
        <v>20</v>
      </c>
      <c r="AQ176" s="16"/>
      <c r="AR176" s="16">
        <v>2</v>
      </c>
      <c r="AS176" s="17"/>
      <c r="AT176" s="18">
        <f t="shared" si="117"/>
        <v>22</v>
      </c>
      <c r="AU176" s="34">
        <v>58</v>
      </c>
      <c r="AV176" s="16"/>
      <c r="AW176" s="16">
        <v>1</v>
      </c>
      <c r="AX176" s="17"/>
      <c r="AY176" s="18">
        <f t="shared" si="118"/>
        <v>59</v>
      </c>
      <c r="AZ176" s="34">
        <v>120</v>
      </c>
      <c r="BA176" s="16"/>
      <c r="BB176" s="16">
        <v>1</v>
      </c>
      <c r="BC176" s="17"/>
      <c r="BD176" s="18">
        <f t="shared" si="119"/>
        <v>121</v>
      </c>
      <c r="BE176" s="34">
        <v>82</v>
      </c>
      <c r="BF176" s="16"/>
      <c r="BG176" s="16">
        <v>2</v>
      </c>
      <c r="BH176" s="17"/>
      <c r="BI176" s="18">
        <f t="shared" si="120"/>
        <v>84</v>
      </c>
      <c r="BJ176" s="34">
        <v>19</v>
      </c>
      <c r="BK176" s="16"/>
      <c r="BL176" s="16"/>
      <c r="BM176" s="17"/>
      <c r="BN176" s="18">
        <f t="shared" si="121"/>
        <v>19</v>
      </c>
      <c r="BO176" s="70">
        <f>SUM(G176,L176,Q176,V176,AA176,AF176,AK176,AP176,AU176,AZ176,BE176,BJ176)</f>
        <v>588</v>
      </c>
      <c r="BP176" s="16">
        <f>SUM(H176,M176,R176,W176,AB176,AG176,AL176,AQ176,AV176,BA176,BF176,BK176)</f>
        <v>0</v>
      </c>
      <c r="BQ176" s="16">
        <f>SUM(I176,N176,S176,X176,AC176,AH176,AM176,AR176,AW176,BB176,BG176,BL176)</f>
        <v>17</v>
      </c>
      <c r="BR176" s="17">
        <f>SUM(J176,O176,T176,Y176,AD176,AI176,AN176,AS176,AX176,BC176,BH176,BM176)</f>
        <v>0</v>
      </c>
      <c r="BS176" s="35">
        <f t="shared" si="123"/>
        <v>605</v>
      </c>
    </row>
    <row r="177" spans="2:71" x14ac:dyDescent="0.3">
      <c r="B177" s="269"/>
      <c r="C177" s="230"/>
      <c r="D177" s="233"/>
      <c r="E177" s="220"/>
      <c r="F177" s="123" t="s">
        <v>259</v>
      </c>
      <c r="G177" s="34">
        <v>1</v>
      </c>
      <c r="H177" s="16"/>
      <c r="I177" s="16"/>
      <c r="J177" s="17"/>
      <c r="K177" s="18">
        <f t="shared" si="122"/>
        <v>1</v>
      </c>
      <c r="L177" s="34">
        <v>1</v>
      </c>
      <c r="M177" s="16"/>
      <c r="N177" s="16"/>
      <c r="O177" s="17"/>
      <c r="P177" s="18">
        <f t="shared" si="111"/>
        <v>1</v>
      </c>
      <c r="Q177" s="34">
        <v>3</v>
      </c>
      <c r="R177" s="16"/>
      <c r="S177" s="16"/>
      <c r="T177" s="17"/>
      <c r="U177" s="18">
        <f t="shared" si="112"/>
        <v>3</v>
      </c>
      <c r="V177" s="34">
        <v>7</v>
      </c>
      <c r="W177" s="16"/>
      <c r="X177" s="16"/>
      <c r="Y177" s="17"/>
      <c r="Z177" s="18">
        <f t="shared" si="113"/>
        <v>7</v>
      </c>
      <c r="AA177" s="34">
        <v>2</v>
      </c>
      <c r="AB177" s="16"/>
      <c r="AC177" s="16"/>
      <c r="AD177" s="17"/>
      <c r="AE177" s="18">
        <f t="shared" si="114"/>
        <v>2</v>
      </c>
      <c r="AF177" s="34">
        <v>2</v>
      </c>
      <c r="AG177" s="16"/>
      <c r="AH177" s="16"/>
      <c r="AI177" s="17"/>
      <c r="AJ177" s="18">
        <f t="shared" si="115"/>
        <v>2</v>
      </c>
      <c r="AK177" s="34">
        <v>2</v>
      </c>
      <c r="AL177" s="16"/>
      <c r="AM177" s="16"/>
      <c r="AN177" s="17"/>
      <c r="AO177" s="18">
        <f t="shared" si="116"/>
        <v>2</v>
      </c>
      <c r="AP177" s="34">
        <v>8</v>
      </c>
      <c r="AQ177" s="16"/>
      <c r="AR177" s="16"/>
      <c r="AS177" s="17"/>
      <c r="AT177" s="18">
        <f t="shared" si="117"/>
        <v>8</v>
      </c>
      <c r="AU177" s="34">
        <v>10</v>
      </c>
      <c r="AV177" s="16"/>
      <c r="AW177" s="16"/>
      <c r="AX177" s="17"/>
      <c r="AY177" s="18">
        <f t="shared" si="118"/>
        <v>10</v>
      </c>
      <c r="AZ177" s="34">
        <v>15</v>
      </c>
      <c r="BA177" s="16"/>
      <c r="BB177" s="16"/>
      <c r="BC177" s="17"/>
      <c r="BD177" s="18">
        <f t="shared" si="119"/>
        <v>15</v>
      </c>
      <c r="BE177" s="34">
        <v>4</v>
      </c>
      <c r="BF177" s="16"/>
      <c r="BG177" s="16"/>
      <c r="BH177" s="17"/>
      <c r="BI177" s="18">
        <f t="shared" si="120"/>
        <v>4</v>
      </c>
      <c r="BJ177" s="34"/>
      <c r="BK177" s="16"/>
      <c r="BL177" s="16"/>
      <c r="BM177" s="17"/>
      <c r="BN177" s="18">
        <f t="shared" si="121"/>
        <v>0</v>
      </c>
      <c r="BO177" s="70">
        <f>SUM(G177,L177,Q177,V177,AA177,AF177,AK177,AP177,AU177,AZ177,BE177,BJ177)</f>
        <v>55</v>
      </c>
      <c r="BP177" s="16">
        <f>SUM(H177,M177,R177,W177,AB177,AG177,AL177,AQ177,AV177,BA177,BF177,BK177)</f>
        <v>0</v>
      </c>
      <c r="BQ177" s="16">
        <f>SUM(I177,N177,S177,X177,AC177,AH177,AM177,AR177,AW177,BB177,BG177,BL177)</f>
        <v>0</v>
      </c>
      <c r="BR177" s="17">
        <f>SUM(J177,O177,T177,Y177,AD177,AI177,AN177,AS177,AX177,BC177,BH177,BM177)</f>
        <v>0</v>
      </c>
      <c r="BS177" s="35">
        <f t="shared" si="123"/>
        <v>55</v>
      </c>
    </row>
    <row r="178" spans="2:71" x14ac:dyDescent="0.3">
      <c r="B178" s="269"/>
      <c r="C178" s="230"/>
      <c r="D178" s="233"/>
      <c r="E178" s="220"/>
      <c r="F178" s="123" t="s">
        <v>260</v>
      </c>
      <c r="G178" s="34">
        <v>5</v>
      </c>
      <c r="H178" s="16"/>
      <c r="I178" s="16">
        <v>2</v>
      </c>
      <c r="J178" s="17"/>
      <c r="K178" s="18">
        <f t="shared" si="122"/>
        <v>7</v>
      </c>
      <c r="L178" s="34"/>
      <c r="M178" s="16">
        <v>1</v>
      </c>
      <c r="N178" s="16">
        <v>2</v>
      </c>
      <c r="O178" s="17"/>
      <c r="P178" s="18">
        <f t="shared" si="111"/>
        <v>3</v>
      </c>
      <c r="Q178" s="34">
        <v>7</v>
      </c>
      <c r="R178" s="16"/>
      <c r="S178" s="16">
        <v>2</v>
      </c>
      <c r="T178" s="17"/>
      <c r="U178" s="18">
        <f t="shared" si="112"/>
        <v>9</v>
      </c>
      <c r="V178" s="34">
        <v>3</v>
      </c>
      <c r="W178" s="16"/>
      <c r="X178" s="16">
        <v>5</v>
      </c>
      <c r="Y178" s="17"/>
      <c r="Z178" s="18">
        <f t="shared" si="113"/>
        <v>8</v>
      </c>
      <c r="AA178" s="34">
        <v>2</v>
      </c>
      <c r="AB178" s="16"/>
      <c r="AC178" s="16">
        <v>10</v>
      </c>
      <c r="AD178" s="17"/>
      <c r="AE178" s="18">
        <f t="shared" si="114"/>
        <v>12</v>
      </c>
      <c r="AF178" s="34"/>
      <c r="AG178" s="16"/>
      <c r="AH178" s="16">
        <v>1</v>
      </c>
      <c r="AI178" s="17"/>
      <c r="AJ178" s="18">
        <f t="shared" si="115"/>
        <v>1</v>
      </c>
      <c r="AK178" s="34"/>
      <c r="AL178" s="16"/>
      <c r="AM178" s="16">
        <v>2</v>
      </c>
      <c r="AN178" s="17"/>
      <c r="AO178" s="18">
        <f t="shared" si="116"/>
        <v>2</v>
      </c>
      <c r="AP178" s="34">
        <v>1</v>
      </c>
      <c r="AQ178" s="16"/>
      <c r="AR178" s="16"/>
      <c r="AS178" s="17"/>
      <c r="AT178" s="18">
        <f t="shared" si="117"/>
        <v>1</v>
      </c>
      <c r="AU178" s="34">
        <v>3</v>
      </c>
      <c r="AV178" s="16"/>
      <c r="AW178" s="16">
        <v>8</v>
      </c>
      <c r="AX178" s="17"/>
      <c r="AY178" s="18">
        <f t="shared" si="118"/>
        <v>11</v>
      </c>
      <c r="AZ178" s="34">
        <v>4</v>
      </c>
      <c r="BA178" s="16"/>
      <c r="BB178" s="16">
        <v>9</v>
      </c>
      <c r="BC178" s="17"/>
      <c r="BD178" s="18">
        <f t="shared" si="119"/>
        <v>13</v>
      </c>
      <c r="BE178" s="34">
        <v>1</v>
      </c>
      <c r="BF178" s="16"/>
      <c r="BG178" s="16">
        <v>1</v>
      </c>
      <c r="BH178" s="17"/>
      <c r="BI178" s="18">
        <f t="shared" si="120"/>
        <v>2</v>
      </c>
      <c r="BJ178" s="34"/>
      <c r="BK178" s="16"/>
      <c r="BL178" s="16">
        <v>2</v>
      </c>
      <c r="BM178" s="17"/>
      <c r="BN178" s="18">
        <f t="shared" si="121"/>
        <v>2</v>
      </c>
      <c r="BO178" s="70">
        <f>SUM(G178,L178,Q178,V178,AA178,AF178,AK178,AP178,AU178,AZ178,BE178,BJ178)</f>
        <v>26</v>
      </c>
      <c r="BP178" s="16">
        <f>SUM(H178,M178,R178,W178,AB178,AG178,AL178,AQ178,AV178,BA178,BF178,BK178)</f>
        <v>1</v>
      </c>
      <c r="BQ178" s="16">
        <f>SUM(I178,N178,S178,X178,AC178,AH178,AM178,AR178,AW178,BB178,BG178,BL178)</f>
        <v>44</v>
      </c>
      <c r="BR178" s="17">
        <f>SUM(J178,O178,T178,Y178,AD178,AI178,AN178,AS178,AX178,BC178,BH178,BM178)</f>
        <v>0</v>
      </c>
      <c r="BS178" s="35">
        <f t="shared" si="123"/>
        <v>71</v>
      </c>
    </row>
    <row r="179" spans="2:71" x14ac:dyDescent="0.3">
      <c r="B179" s="269"/>
      <c r="C179" s="230"/>
      <c r="D179" s="233"/>
      <c r="E179" s="220"/>
      <c r="F179" s="123" t="s">
        <v>261</v>
      </c>
      <c r="G179" s="34">
        <v>1</v>
      </c>
      <c r="H179" s="16"/>
      <c r="I179" s="16"/>
      <c r="J179" s="17"/>
      <c r="K179" s="18">
        <f t="shared" si="122"/>
        <v>1</v>
      </c>
      <c r="L179" s="34"/>
      <c r="M179" s="16"/>
      <c r="N179" s="16"/>
      <c r="O179" s="17"/>
      <c r="P179" s="18">
        <f t="shared" si="111"/>
        <v>0</v>
      </c>
      <c r="Q179" s="34"/>
      <c r="R179" s="16"/>
      <c r="S179" s="16">
        <v>1</v>
      </c>
      <c r="T179" s="17"/>
      <c r="U179" s="18">
        <f t="shared" si="112"/>
        <v>1</v>
      </c>
      <c r="V179" s="34">
        <v>1</v>
      </c>
      <c r="W179" s="16"/>
      <c r="X179" s="16"/>
      <c r="Y179" s="17"/>
      <c r="Z179" s="18">
        <f t="shared" si="113"/>
        <v>1</v>
      </c>
      <c r="AA179" s="34"/>
      <c r="AB179" s="16"/>
      <c r="AC179" s="16"/>
      <c r="AD179" s="17"/>
      <c r="AE179" s="18">
        <f t="shared" si="114"/>
        <v>0</v>
      </c>
      <c r="AF179" s="34"/>
      <c r="AG179" s="16"/>
      <c r="AH179" s="16">
        <v>1</v>
      </c>
      <c r="AI179" s="17"/>
      <c r="AJ179" s="18">
        <f t="shared" si="115"/>
        <v>1</v>
      </c>
      <c r="AK179" s="34"/>
      <c r="AL179" s="16"/>
      <c r="AM179" s="16"/>
      <c r="AN179" s="17"/>
      <c r="AO179" s="18">
        <f t="shared" si="116"/>
        <v>0</v>
      </c>
      <c r="AP179" s="34"/>
      <c r="AQ179" s="16"/>
      <c r="AR179" s="16"/>
      <c r="AS179" s="17"/>
      <c r="AT179" s="18">
        <f t="shared" si="117"/>
        <v>0</v>
      </c>
      <c r="AU179" s="34"/>
      <c r="AV179" s="16"/>
      <c r="AW179" s="16">
        <v>1</v>
      </c>
      <c r="AX179" s="17"/>
      <c r="AY179" s="18">
        <f t="shared" si="118"/>
        <v>1</v>
      </c>
      <c r="AZ179" s="34">
        <v>2</v>
      </c>
      <c r="BA179" s="16"/>
      <c r="BB179" s="16">
        <v>1</v>
      </c>
      <c r="BC179" s="17"/>
      <c r="BD179" s="18">
        <f t="shared" si="119"/>
        <v>3</v>
      </c>
      <c r="BE179" s="34"/>
      <c r="BF179" s="16"/>
      <c r="BG179" s="16">
        <v>1</v>
      </c>
      <c r="BH179" s="17"/>
      <c r="BI179" s="18">
        <f t="shared" si="120"/>
        <v>1</v>
      </c>
      <c r="BJ179" s="34"/>
      <c r="BK179" s="16"/>
      <c r="BL179" s="16"/>
      <c r="BM179" s="17"/>
      <c r="BN179" s="18">
        <f t="shared" si="121"/>
        <v>0</v>
      </c>
      <c r="BO179" s="70">
        <f>SUM(G179,L179,Q179,V179,AA179,AF179,AK179,AP179,AU179,AZ179,BE179,BJ179)</f>
        <v>4</v>
      </c>
      <c r="BP179" s="16">
        <f>SUM(H179,M179,R179,W179,AB179,AG179,AL179,AQ179,AV179,BA179,BF179,BK179)</f>
        <v>0</v>
      </c>
      <c r="BQ179" s="16">
        <f>SUM(I179,N179,S179,X179,AC179,AH179,AM179,AR179,AW179,BB179,BG179,BL179)</f>
        <v>5</v>
      </c>
      <c r="BR179" s="17">
        <f>SUM(J179,O179,T179,Y179,AD179,AI179,AN179,AS179,AX179,BC179,BH179,BM179)</f>
        <v>0</v>
      </c>
      <c r="BS179" s="35">
        <f t="shared" si="123"/>
        <v>9</v>
      </c>
    </row>
    <row r="180" spans="2:71" x14ac:dyDescent="0.3">
      <c r="B180" s="269"/>
      <c r="C180" s="230"/>
      <c r="D180" s="233"/>
      <c r="E180" s="220"/>
      <c r="F180" s="123" t="s">
        <v>296</v>
      </c>
      <c r="G180" s="34">
        <v>95</v>
      </c>
      <c r="H180" s="16">
        <v>1</v>
      </c>
      <c r="I180" s="16">
        <v>47</v>
      </c>
      <c r="J180" s="17"/>
      <c r="K180" s="18">
        <f t="shared" si="122"/>
        <v>143</v>
      </c>
      <c r="L180" s="34">
        <v>112</v>
      </c>
      <c r="M180" s="16">
        <v>8</v>
      </c>
      <c r="N180" s="16">
        <v>66</v>
      </c>
      <c r="O180" s="17"/>
      <c r="P180" s="18">
        <f t="shared" si="111"/>
        <v>186</v>
      </c>
      <c r="Q180" s="34">
        <v>9</v>
      </c>
      <c r="R180" s="16"/>
      <c r="S180" s="16"/>
      <c r="T180" s="17"/>
      <c r="U180" s="18">
        <f t="shared" si="112"/>
        <v>9</v>
      </c>
      <c r="V180" s="34"/>
      <c r="W180" s="16"/>
      <c r="X180" s="16"/>
      <c r="Y180" s="17"/>
      <c r="Z180" s="18">
        <f t="shared" si="113"/>
        <v>0</v>
      </c>
      <c r="AA180" s="34"/>
      <c r="AB180" s="16"/>
      <c r="AC180" s="16"/>
      <c r="AD180" s="17"/>
      <c r="AE180" s="18">
        <f t="shared" si="114"/>
        <v>0</v>
      </c>
      <c r="AF180" s="34"/>
      <c r="AG180" s="16"/>
      <c r="AH180" s="16"/>
      <c r="AI180" s="17"/>
      <c r="AJ180" s="18">
        <f t="shared" si="115"/>
        <v>0</v>
      </c>
      <c r="AK180" s="34"/>
      <c r="AL180" s="16"/>
      <c r="AM180" s="16"/>
      <c r="AN180" s="17"/>
      <c r="AO180" s="18">
        <f t="shared" si="116"/>
        <v>0</v>
      </c>
      <c r="AP180" s="34"/>
      <c r="AQ180" s="16"/>
      <c r="AR180" s="16"/>
      <c r="AS180" s="17"/>
      <c r="AT180" s="18">
        <f t="shared" si="117"/>
        <v>0</v>
      </c>
      <c r="AU180" s="34"/>
      <c r="AV180" s="16"/>
      <c r="AW180" s="16"/>
      <c r="AX180" s="17"/>
      <c r="AY180" s="18">
        <f t="shared" si="118"/>
        <v>0</v>
      </c>
      <c r="AZ180" s="34"/>
      <c r="BA180" s="16"/>
      <c r="BB180" s="16"/>
      <c r="BC180" s="17"/>
      <c r="BD180" s="18">
        <f t="shared" si="119"/>
        <v>0</v>
      </c>
      <c r="BE180" s="34"/>
      <c r="BF180" s="16"/>
      <c r="BG180" s="16"/>
      <c r="BH180" s="17"/>
      <c r="BI180" s="18">
        <f t="shared" si="120"/>
        <v>0</v>
      </c>
      <c r="BJ180" s="34"/>
      <c r="BK180" s="16"/>
      <c r="BL180" s="16"/>
      <c r="BM180" s="17"/>
      <c r="BN180" s="18">
        <f t="shared" si="121"/>
        <v>0</v>
      </c>
      <c r="BO180" s="70">
        <f>SUM(G180,L180,Q180,V180,AA180,AF180,AK180,AP180,AU180,AZ180,BE180,BJ180)</f>
        <v>216</v>
      </c>
      <c r="BP180" s="16">
        <f>SUM(H180,M180,R180,W180,AB180,AG180,AL180,AQ180,AV180,BA180,BF180,BK180)</f>
        <v>9</v>
      </c>
      <c r="BQ180" s="16">
        <f>SUM(I180,N180,S180,X180,AC180,AH180,AM180,AR180,AW180,BB180,BG180,BL180)</f>
        <v>113</v>
      </c>
      <c r="BR180" s="17">
        <f>SUM(J180,O180,T180,Y180,AD180,AI180,AN180,AS180,AX180,BC180,BH180,BM180)</f>
        <v>0</v>
      </c>
      <c r="BS180" s="35">
        <f t="shared" si="123"/>
        <v>338</v>
      </c>
    </row>
    <row r="181" spans="2:71" x14ac:dyDescent="0.3">
      <c r="B181" s="269"/>
      <c r="C181" s="230"/>
      <c r="D181" s="233"/>
      <c r="E181" s="220"/>
      <c r="F181" s="123" t="s">
        <v>297</v>
      </c>
      <c r="G181" s="34">
        <v>8</v>
      </c>
      <c r="H181" s="16"/>
      <c r="I181" s="16">
        <v>1</v>
      </c>
      <c r="J181" s="17"/>
      <c r="K181" s="18">
        <f t="shared" si="122"/>
        <v>9</v>
      </c>
      <c r="L181" s="34">
        <v>9</v>
      </c>
      <c r="M181" s="16">
        <v>1</v>
      </c>
      <c r="N181" s="16">
        <v>12</v>
      </c>
      <c r="O181" s="17"/>
      <c r="P181" s="18">
        <f t="shared" si="111"/>
        <v>22</v>
      </c>
      <c r="Q181" s="34">
        <v>2</v>
      </c>
      <c r="R181" s="16"/>
      <c r="S181" s="16"/>
      <c r="T181" s="17"/>
      <c r="U181" s="18">
        <f t="shared" si="112"/>
        <v>2</v>
      </c>
      <c r="V181" s="34"/>
      <c r="W181" s="16"/>
      <c r="X181" s="16"/>
      <c r="Y181" s="17"/>
      <c r="Z181" s="18">
        <f t="shared" si="113"/>
        <v>0</v>
      </c>
      <c r="AA181" s="34"/>
      <c r="AB181" s="16"/>
      <c r="AC181" s="16"/>
      <c r="AD181" s="17"/>
      <c r="AE181" s="18">
        <f t="shared" si="114"/>
        <v>0</v>
      </c>
      <c r="AF181" s="34"/>
      <c r="AG181" s="16"/>
      <c r="AH181" s="16"/>
      <c r="AI181" s="17"/>
      <c r="AJ181" s="18">
        <f t="shared" si="115"/>
        <v>0</v>
      </c>
      <c r="AK181" s="34"/>
      <c r="AL181" s="16"/>
      <c r="AM181" s="16"/>
      <c r="AN181" s="17"/>
      <c r="AO181" s="18">
        <f t="shared" si="116"/>
        <v>0</v>
      </c>
      <c r="AP181" s="34"/>
      <c r="AQ181" s="16"/>
      <c r="AR181" s="16"/>
      <c r="AS181" s="17"/>
      <c r="AT181" s="18">
        <f t="shared" si="117"/>
        <v>0</v>
      </c>
      <c r="AU181" s="34"/>
      <c r="AV181" s="16"/>
      <c r="AW181" s="16"/>
      <c r="AX181" s="17"/>
      <c r="AY181" s="18">
        <f t="shared" si="118"/>
        <v>0</v>
      </c>
      <c r="AZ181" s="34"/>
      <c r="BA181" s="16"/>
      <c r="BB181" s="16"/>
      <c r="BC181" s="17"/>
      <c r="BD181" s="18">
        <f t="shared" si="119"/>
        <v>0</v>
      </c>
      <c r="BE181" s="34"/>
      <c r="BF181" s="16"/>
      <c r="BG181" s="16"/>
      <c r="BH181" s="17"/>
      <c r="BI181" s="18">
        <f t="shared" si="120"/>
        <v>0</v>
      </c>
      <c r="BJ181" s="34"/>
      <c r="BK181" s="16"/>
      <c r="BL181" s="16"/>
      <c r="BM181" s="17"/>
      <c r="BN181" s="18">
        <f t="shared" si="121"/>
        <v>0</v>
      </c>
      <c r="BO181" s="70">
        <f>SUM(G181,L181,Q181,V181,AA181,AF181,AK181,AP181,AU181,AZ181,BE181,BJ181)</f>
        <v>19</v>
      </c>
      <c r="BP181" s="16">
        <f>SUM(H181,M181,R181,W181,AB181,AG181,AL181,AQ181,AV181,BA181,BF181,BK181)</f>
        <v>1</v>
      </c>
      <c r="BQ181" s="16">
        <f>SUM(I181,N181,S181,X181,AC181,AH181,AM181,AR181,AW181,BB181,BG181,BL181)</f>
        <v>13</v>
      </c>
      <c r="BR181" s="17">
        <f>SUM(J181,O181,T181,Y181,AD181,AI181,AN181,AS181,AX181,BC181,BH181,BM181)</f>
        <v>0</v>
      </c>
      <c r="BS181" s="35">
        <f t="shared" si="123"/>
        <v>33</v>
      </c>
    </row>
    <row r="182" spans="2:71" x14ac:dyDescent="0.3">
      <c r="B182" s="269"/>
      <c r="C182" s="230"/>
      <c r="D182" s="233"/>
      <c r="E182" s="220"/>
      <c r="F182" s="123" t="s">
        <v>298</v>
      </c>
      <c r="G182" s="34">
        <v>63</v>
      </c>
      <c r="H182" s="16">
        <v>3</v>
      </c>
      <c r="I182" s="16">
        <v>25</v>
      </c>
      <c r="J182" s="17"/>
      <c r="K182" s="18">
        <f t="shared" si="122"/>
        <v>91</v>
      </c>
      <c r="L182" s="34">
        <v>73</v>
      </c>
      <c r="M182" s="16">
        <v>4</v>
      </c>
      <c r="N182" s="16">
        <v>20</v>
      </c>
      <c r="O182" s="17"/>
      <c r="P182" s="18">
        <f t="shared" si="111"/>
        <v>97</v>
      </c>
      <c r="Q182" s="34">
        <v>8</v>
      </c>
      <c r="R182" s="16"/>
      <c r="S182" s="16"/>
      <c r="T182" s="17"/>
      <c r="U182" s="18">
        <f t="shared" si="112"/>
        <v>8</v>
      </c>
      <c r="V182" s="34"/>
      <c r="W182" s="16"/>
      <c r="X182" s="16"/>
      <c r="Y182" s="17"/>
      <c r="Z182" s="18">
        <f t="shared" si="113"/>
        <v>0</v>
      </c>
      <c r="AA182" s="34"/>
      <c r="AB182" s="16"/>
      <c r="AC182" s="16"/>
      <c r="AD182" s="17"/>
      <c r="AE182" s="18">
        <f t="shared" si="114"/>
        <v>0</v>
      </c>
      <c r="AF182" s="34"/>
      <c r="AG182" s="16"/>
      <c r="AH182" s="16"/>
      <c r="AI182" s="17"/>
      <c r="AJ182" s="18">
        <f t="shared" si="115"/>
        <v>0</v>
      </c>
      <c r="AK182" s="34"/>
      <c r="AL182" s="16"/>
      <c r="AM182" s="16"/>
      <c r="AN182" s="17"/>
      <c r="AO182" s="18">
        <f t="shared" si="116"/>
        <v>0</v>
      </c>
      <c r="AP182" s="34"/>
      <c r="AQ182" s="16"/>
      <c r="AR182" s="16"/>
      <c r="AS182" s="17"/>
      <c r="AT182" s="18">
        <f t="shared" si="117"/>
        <v>0</v>
      </c>
      <c r="AU182" s="34"/>
      <c r="AV182" s="16"/>
      <c r="AW182" s="16"/>
      <c r="AX182" s="17"/>
      <c r="AY182" s="18">
        <f t="shared" si="118"/>
        <v>0</v>
      </c>
      <c r="AZ182" s="34"/>
      <c r="BA182" s="16"/>
      <c r="BB182" s="16"/>
      <c r="BC182" s="17"/>
      <c r="BD182" s="18">
        <f t="shared" si="119"/>
        <v>0</v>
      </c>
      <c r="BE182" s="34"/>
      <c r="BF182" s="16"/>
      <c r="BG182" s="16"/>
      <c r="BH182" s="17"/>
      <c r="BI182" s="18">
        <f t="shared" si="120"/>
        <v>0</v>
      </c>
      <c r="BJ182" s="34"/>
      <c r="BK182" s="16"/>
      <c r="BL182" s="16"/>
      <c r="BM182" s="17"/>
      <c r="BN182" s="18">
        <f t="shared" si="121"/>
        <v>0</v>
      </c>
      <c r="BO182" s="70">
        <f>SUM(G182,L182,Q182,V182,AA182,AF182,AK182,AP182,AU182,AZ182,BE182,BJ182)</f>
        <v>144</v>
      </c>
      <c r="BP182" s="16">
        <f>SUM(H182,M182,R182,W182,AB182,AG182,AL182,AQ182,AV182,BA182,BF182,BK182)</f>
        <v>7</v>
      </c>
      <c r="BQ182" s="16">
        <f>SUM(I182,N182,S182,X182,AC182,AH182,AM182,AR182,AW182,BB182,BG182,BL182)</f>
        <v>45</v>
      </c>
      <c r="BR182" s="17">
        <f>SUM(J182,O182,T182,Y182,AD182,AI182,AN182,AS182,AX182,BC182,BH182,BM182)</f>
        <v>0</v>
      </c>
      <c r="BS182" s="35">
        <f t="shared" si="123"/>
        <v>196</v>
      </c>
    </row>
    <row r="183" spans="2:71" x14ac:dyDescent="0.3">
      <c r="B183" s="269"/>
      <c r="C183" s="230"/>
      <c r="D183" s="233"/>
      <c r="E183" s="220"/>
      <c r="F183" s="123" t="s">
        <v>299</v>
      </c>
      <c r="G183" s="34">
        <v>4</v>
      </c>
      <c r="H183" s="16"/>
      <c r="I183" s="16">
        <v>2</v>
      </c>
      <c r="J183" s="17"/>
      <c r="K183" s="18">
        <f t="shared" si="122"/>
        <v>6</v>
      </c>
      <c r="L183" s="34">
        <v>12</v>
      </c>
      <c r="M183" s="16"/>
      <c r="N183" s="16">
        <v>2</v>
      </c>
      <c r="O183" s="17"/>
      <c r="P183" s="18">
        <f t="shared" si="111"/>
        <v>14</v>
      </c>
      <c r="Q183" s="34"/>
      <c r="R183" s="16"/>
      <c r="S183" s="16"/>
      <c r="T183" s="17"/>
      <c r="U183" s="18">
        <f t="shared" si="112"/>
        <v>0</v>
      </c>
      <c r="V183" s="34"/>
      <c r="W183" s="16"/>
      <c r="X183" s="16"/>
      <c r="Y183" s="17"/>
      <c r="Z183" s="18">
        <f t="shared" si="113"/>
        <v>0</v>
      </c>
      <c r="AA183" s="34"/>
      <c r="AB183" s="16"/>
      <c r="AC183" s="16"/>
      <c r="AD183" s="17"/>
      <c r="AE183" s="18">
        <f t="shared" si="114"/>
        <v>0</v>
      </c>
      <c r="AF183" s="34"/>
      <c r="AG183" s="16"/>
      <c r="AH183" s="16"/>
      <c r="AI183" s="17"/>
      <c r="AJ183" s="18">
        <f t="shared" si="115"/>
        <v>0</v>
      </c>
      <c r="AK183" s="34"/>
      <c r="AL183" s="16"/>
      <c r="AM183" s="16"/>
      <c r="AN183" s="17"/>
      <c r="AO183" s="18">
        <f t="shared" si="116"/>
        <v>0</v>
      </c>
      <c r="AP183" s="34"/>
      <c r="AQ183" s="16"/>
      <c r="AR183" s="16"/>
      <c r="AS183" s="17"/>
      <c r="AT183" s="18">
        <f t="shared" si="117"/>
        <v>0</v>
      </c>
      <c r="AU183" s="34"/>
      <c r="AV183" s="16"/>
      <c r="AW183" s="16"/>
      <c r="AX183" s="17"/>
      <c r="AY183" s="18">
        <f t="shared" si="118"/>
        <v>0</v>
      </c>
      <c r="AZ183" s="34"/>
      <c r="BA183" s="16"/>
      <c r="BB183" s="16"/>
      <c r="BC183" s="17"/>
      <c r="BD183" s="18">
        <f t="shared" si="119"/>
        <v>0</v>
      </c>
      <c r="BE183" s="34"/>
      <c r="BF183" s="16"/>
      <c r="BG183" s="16"/>
      <c r="BH183" s="17"/>
      <c r="BI183" s="18">
        <f t="shared" si="120"/>
        <v>0</v>
      </c>
      <c r="BJ183" s="34"/>
      <c r="BK183" s="16"/>
      <c r="BL183" s="16"/>
      <c r="BM183" s="17"/>
      <c r="BN183" s="18">
        <f t="shared" si="121"/>
        <v>0</v>
      </c>
      <c r="BO183" s="70">
        <f>SUM(G183,L183,Q183,V183,AA183,AF183,AK183,AP183,AU183,AZ183,BE183,BJ183)</f>
        <v>16</v>
      </c>
      <c r="BP183" s="16">
        <f>SUM(H183,M183,R183,W183,AB183,AG183,AL183,AQ183,AV183,BA183,BF183,BK183)</f>
        <v>0</v>
      </c>
      <c r="BQ183" s="16">
        <f>SUM(I183,N183,S183,X183,AC183,AH183,AM183,AR183,AW183,BB183,BG183,BL183)</f>
        <v>4</v>
      </c>
      <c r="BR183" s="17">
        <f>SUM(J183,O183,T183,Y183,AD183,AI183,AN183,AS183,AX183,BC183,BH183,BM183)</f>
        <v>0</v>
      </c>
      <c r="BS183" s="35">
        <f t="shared" si="123"/>
        <v>20</v>
      </c>
    </row>
    <row r="184" spans="2:71" x14ac:dyDescent="0.3">
      <c r="B184" s="269"/>
      <c r="C184" s="230"/>
      <c r="D184" s="233"/>
      <c r="E184" s="220"/>
      <c r="F184" s="123" t="s">
        <v>462</v>
      </c>
      <c r="G184" s="34"/>
      <c r="H184" s="16"/>
      <c r="I184" s="16"/>
      <c r="J184" s="17"/>
      <c r="K184" s="18">
        <f t="shared" si="122"/>
        <v>0</v>
      </c>
      <c r="L184" s="34"/>
      <c r="M184" s="16"/>
      <c r="N184" s="16"/>
      <c r="O184" s="17"/>
      <c r="P184" s="18">
        <f t="shared" si="111"/>
        <v>0</v>
      </c>
      <c r="Q184" s="34">
        <f>104-9</f>
        <v>95</v>
      </c>
      <c r="R184" s="16">
        <f>6</f>
        <v>6</v>
      </c>
      <c r="S184" s="16">
        <v>56</v>
      </c>
      <c r="T184" s="17"/>
      <c r="U184" s="18">
        <f t="shared" si="112"/>
        <v>157</v>
      </c>
      <c r="V184" s="34">
        <v>178</v>
      </c>
      <c r="W184" s="16">
        <v>30</v>
      </c>
      <c r="X184" s="16">
        <v>108</v>
      </c>
      <c r="Y184" s="17"/>
      <c r="Z184" s="18">
        <f t="shared" ref="Z184:Z187" si="133">SUM(V184:Y184)</f>
        <v>316</v>
      </c>
      <c r="AA184" s="34">
        <v>215</v>
      </c>
      <c r="AB184" s="16">
        <v>32</v>
      </c>
      <c r="AC184" s="16">
        <v>115</v>
      </c>
      <c r="AD184" s="17"/>
      <c r="AE184" s="18">
        <f t="shared" ref="AE184:AE187" si="134">SUM(AA184:AD184)</f>
        <v>362</v>
      </c>
      <c r="AF184" s="34">
        <v>156</v>
      </c>
      <c r="AG184" s="16">
        <v>53</v>
      </c>
      <c r="AH184" s="16">
        <v>87</v>
      </c>
      <c r="AI184" s="17"/>
      <c r="AJ184" s="18">
        <f t="shared" ref="AJ184:AJ187" si="135">SUM(AF184:AI184)</f>
        <v>296</v>
      </c>
      <c r="AK184" s="34">
        <v>50</v>
      </c>
      <c r="AL184" s="16">
        <v>3</v>
      </c>
      <c r="AM184" s="16">
        <v>27</v>
      </c>
      <c r="AN184" s="17"/>
      <c r="AO184" s="18">
        <f t="shared" ref="AO184:AO187" si="136">SUM(AK184:AN184)</f>
        <v>80</v>
      </c>
      <c r="AP184" s="34">
        <v>44</v>
      </c>
      <c r="AQ184" s="16">
        <v>11</v>
      </c>
      <c r="AR184" s="16">
        <v>42</v>
      </c>
      <c r="AS184" s="17"/>
      <c r="AT184" s="18">
        <f t="shared" ref="AT184:AT187" si="137">SUM(AP184:AS184)</f>
        <v>97</v>
      </c>
      <c r="AU184" s="34">
        <v>146</v>
      </c>
      <c r="AV184" s="16">
        <v>22</v>
      </c>
      <c r="AW184" s="16">
        <v>111</v>
      </c>
      <c r="AX184" s="17"/>
      <c r="AY184" s="18">
        <f t="shared" ref="AY184:AY187" si="138">SUM(AU184:AX184)</f>
        <v>279</v>
      </c>
      <c r="AZ184" s="34">
        <v>249</v>
      </c>
      <c r="BA184" s="16">
        <v>56</v>
      </c>
      <c r="BB184" s="16">
        <v>156</v>
      </c>
      <c r="BC184" s="17"/>
      <c r="BD184" s="18">
        <f t="shared" ref="BD184:BD187" si="139">SUM(AZ184:BC184)</f>
        <v>461</v>
      </c>
      <c r="BE184" s="34">
        <v>171</v>
      </c>
      <c r="BF184" s="16">
        <v>34</v>
      </c>
      <c r="BG184" s="16">
        <v>86</v>
      </c>
      <c r="BH184" s="17"/>
      <c r="BI184" s="18">
        <f t="shared" ref="BI184:BI187" si="140">SUM(BE184:BH184)</f>
        <v>291</v>
      </c>
      <c r="BJ184" s="34">
        <v>51</v>
      </c>
      <c r="BK184" s="16">
        <v>8</v>
      </c>
      <c r="BL184" s="16">
        <v>33</v>
      </c>
      <c r="BM184" s="17"/>
      <c r="BN184" s="18">
        <f t="shared" ref="BN184:BN187" si="141">SUM(BJ184:BM184)</f>
        <v>92</v>
      </c>
      <c r="BO184" s="70">
        <f>SUM(G184,L184,Q184,V184,AA184,AF184,AK184,AP184,AU184,AZ184,BE184,BJ184)</f>
        <v>1355</v>
      </c>
      <c r="BP184" s="16">
        <f>SUM(H184,M184,R184,W184,AB184,AG184,AL184,AQ184,AV184,BA184,BF184,BK184)</f>
        <v>255</v>
      </c>
      <c r="BQ184" s="16">
        <f>SUM(I184,N184,S184,X184,AC184,AH184,AM184,AR184,AW184,BB184,BG184,BL184)</f>
        <v>821</v>
      </c>
      <c r="BR184" s="17">
        <f>SUM(J184,O184,T184,Y184,AD184,AI184,AN184,AS184,AX184,BC184,BH184,BM184)</f>
        <v>0</v>
      </c>
      <c r="BS184" s="35">
        <f t="shared" si="123"/>
        <v>2431</v>
      </c>
    </row>
    <row r="185" spans="2:71" x14ac:dyDescent="0.3">
      <c r="B185" s="269"/>
      <c r="C185" s="230"/>
      <c r="D185" s="233"/>
      <c r="E185" s="220"/>
      <c r="F185" s="123" t="s">
        <v>463</v>
      </c>
      <c r="G185" s="34"/>
      <c r="H185" s="16"/>
      <c r="I185" s="16"/>
      <c r="J185" s="17"/>
      <c r="K185" s="18">
        <f t="shared" si="122"/>
        <v>0</v>
      </c>
      <c r="L185" s="34"/>
      <c r="M185" s="16"/>
      <c r="N185" s="16"/>
      <c r="O185" s="17"/>
      <c r="P185" s="18">
        <f t="shared" si="111"/>
        <v>0</v>
      </c>
      <c r="Q185" s="34">
        <f>19-2</f>
        <v>17</v>
      </c>
      <c r="R185" s="16"/>
      <c r="S185" s="16">
        <v>13</v>
      </c>
      <c r="T185" s="17"/>
      <c r="U185" s="18">
        <f t="shared" si="112"/>
        <v>30</v>
      </c>
      <c r="V185" s="34">
        <v>37</v>
      </c>
      <c r="W185" s="16">
        <v>3</v>
      </c>
      <c r="X185" s="16">
        <v>20</v>
      </c>
      <c r="Y185" s="17"/>
      <c r="Z185" s="18">
        <f t="shared" si="133"/>
        <v>60</v>
      </c>
      <c r="AA185" s="34">
        <v>16</v>
      </c>
      <c r="AB185" s="16">
        <v>2</v>
      </c>
      <c r="AC185" s="16">
        <v>21</v>
      </c>
      <c r="AD185" s="17"/>
      <c r="AE185" s="18">
        <f t="shared" si="134"/>
        <v>39</v>
      </c>
      <c r="AF185" s="34">
        <v>34</v>
      </c>
      <c r="AG185" s="16"/>
      <c r="AH185" s="16">
        <v>23</v>
      </c>
      <c r="AI185" s="17"/>
      <c r="AJ185" s="18">
        <f t="shared" si="135"/>
        <v>57</v>
      </c>
      <c r="AK185" s="34">
        <v>14</v>
      </c>
      <c r="AL185" s="16"/>
      <c r="AM185" s="16">
        <v>5</v>
      </c>
      <c r="AN185" s="17"/>
      <c r="AO185" s="18">
        <f t="shared" si="136"/>
        <v>19</v>
      </c>
      <c r="AP185" s="34">
        <v>9</v>
      </c>
      <c r="AQ185" s="16"/>
      <c r="AR185" s="16">
        <v>10</v>
      </c>
      <c r="AS185" s="17"/>
      <c r="AT185" s="18">
        <f t="shared" si="137"/>
        <v>19</v>
      </c>
      <c r="AU185" s="34">
        <v>33</v>
      </c>
      <c r="AV185" s="16">
        <v>3</v>
      </c>
      <c r="AW185" s="16">
        <v>36</v>
      </c>
      <c r="AX185" s="17"/>
      <c r="AY185" s="18">
        <f t="shared" si="138"/>
        <v>72</v>
      </c>
      <c r="AZ185" s="34">
        <v>52</v>
      </c>
      <c r="BA185" s="16">
        <v>5</v>
      </c>
      <c r="BB185" s="16">
        <v>33</v>
      </c>
      <c r="BC185" s="17"/>
      <c r="BD185" s="18">
        <f t="shared" si="139"/>
        <v>90</v>
      </c>
      <c r="BE185" s="34">
        <v>38</v>
      </c>
      <c r="BF185" s="16">
        <v>3</v>
      </c>
      <c r="BG185" s="16">
        <v>18</v>
      </c>
      <c r="BH185" s="17"/>
      <c r="BI185" s="18">
        <f t="shared" si="140"/>
        <v>59</v>
      </c>
      <c r="BJ185" s="34">
        <v>18</v>
      </c>
      <c r="BK185" s="16">
        <v>2</v>
      </c>
      <c r="BL185" s="16">
        <v>9</v>
      </c>
      <c r="BM185" s="17"/>
      <c r="BN185" s="18">
        <f t="shared" si="141"/>
        <v>29</v>
      </c>
      <c r="BO185" s="70">
        <f>SUM(G185,L185,Q185,V185,AA185,AF185,AK185,AP185,AU185,AZ185,BE185,BJ185)</f>
        <v>268</v>
      </c>
      <c r="BP185" s="16">
        <f>SUM(H185,M185,R185,W185,AB185,AG185,AL185,AQ185,AV185,BA185,BF185,BK185)</f>
        <v>18</v>
      </c>
      <c r="BQ185" s="16">
        <f>SUM(I185,N185,S185,X185,AC185,AH185,AM185,AR185,AW185,BB185,BG185,BL185)</f>
        <v>188</v>
      </c>
      <c r="BR185" s="17">
        <f>SUM(J185,O185,T185,Y185,AD185,AI185,AN185,AS185,AX185,BC185,BH185,BM185)</f>
        <v>0</v>
      </c>
      <c r="BS185" s="35">
        <f t="shared" si="123"/>
        <v>474</v>
      </c>
    </row>
    <row r="186" spans="2:71" x14ac:dyDescent="0.3">
      <c r="B186" s="269"/>
      <c r="C186" s="230"/>
      <c r="D186" s="233"/>
      <c r="E186" s="220"/>
      <c r="F186" s="123" t="s">
        <v>464</v>
      </c>
      <c r="G186" s="34"/>
      <c r="H186" s="16"/>
      <c r="I186" s="16"/>
      <c r="J186" s="17"/>
      <c r="K186" s="18">
        <f t="shared" ref="K186:K187" si="142">SUM(G186:J186)</f>
        <v>0</v>
      </c>
      <c r="L186" s="34"/>
      <c r="M186" s="16"/>
      <c r="N186" s="16"/>
      <c r="O186" s="17"/>
      <c r="P186" s="18">
        <f t="shared" si="111"/>
        <v>0</v>
      </c>
      <c r="Q186" s="34">
        <f>73-8</f>
        <v>65</v>
      </c>
      <c r="R186" s="16">
        <v>3</v>
      </c>
      <c r="S186" s="16">
        <v>24</v>
      </c>
      <c r="T186" s="17"/>
      <c r="U186" s="18">
        <f t="shared" si="112"/>
        <v>92</v>
      </c>
      <c r="V186" s="34">
        <v>112</v>
      </c>
      <c r="W186" s="16">
        <v>6</v>
      </c>
      <c r="X186" s="16">
        <v>47</v>
      </c>
      <c r="Y186" s="17"/>
      <c r="Z186" s="18">
        <f t="shared" si="133"/>
        <v>165</v>
      </c>
      <c r="AA186" s="34">
        <v>171</v>
      </c>
      <c r="AB186" s="16">
        <v>8</v>
      </c>
      <c r="AC186" s="16">
        <v>42</v>
      </c>
      <c r="AD186" s="17"/>
      <c r="AE186" s="18">
        <f t="shared" si="134"/>
        <v>221</v>
      </c>
      <c r="AF186" s="34">
        <v>118</v>
      </c>
      <c r="AG186" s="16">
        <v>13</v>
      </c>
      <c r="AH186" s="16">
        <v>47</v>
      </c>
      <c r="AI186" s="17"/>
      <c r="AJ186" s="18">
        <f t="shared" si="135"/>
        <v>178</v>
      </c>
      <c r="AK186" s="34">
        <v>30</v>
      </c>
      <c r="AL186" s="16">
        <v>1</v>
      </c>
      <c r="AM186" s="16">
        <v>17</v>
      </c>
      <c r="AN186" s="17"/>
      <c r="AO186" s="18">
        <f t="shared" si="136"/>
        <v>48</v>
      </c>
      <c r="AP186" s="34">
        <v>39</v>
      </c>
      <c r="AQ186" s="16">
        <v>3</v>
      </c>
      <c r="AR186" s="16">
        <v>22</v>
      </c>
      <c r="AS186" s="17"/>
      <c r="AT186" s="18">
        <f t="shared" si="137"/>
        <v>64</v>
      </c>
      <c r="AU186" s="34">
        <v>106</v>
      </c>
      <c r="AV186" s="16">
        <v>14</v>
      </c>
      <c r="AW186" s="16">
        <v>39</v>
      </c>
      <c r="AX186" s="17"/>
      <c r="AY186" s="18">
        <f t="shared" si="138"/>
        <v>159</v>
      </c>
      <c r="AZ186" s="34">
        <v>181</v>
      </c>
      <c r="BA186" s="16">
        <v>22</v>
      </c>
      <c r="BB186" s="16">
        <v>66</v>
      </c>
      <c r="BC186" s="17"/>
      <c r="BD186" s="18">
        <f t="shared" si="139"/>
        <v>269</v>
      </c>
      <c r="BE186" s="34">
        <v>117</v>
      </c>
      <c r="BF186" s="16">
        <v>8</v>
      </c>
      <c r="BG186" s="16">
        <v>43</v>
      </c>
      <c r="BH186" s="17"/>
      <c r="BI186" s="18">
        <f t="shared" si="140"/>
        <v>168</v>
      </c>
      <c r="BJ186" s="34">
        <v>27</v>
      </c>
      <c r="BK186" s="16">
        <v>3</v>
      </c>
      <c r="BL186" s="16">
        <v>19</v>
      </c>
      <c r="BM186" s="17"/>
      <c r="BN186" s="18">
        <f t="shared" si="141"/>
        <v>49</v>
      </c>
      <c r="BO186" s="70">
        <f>SUM(G186,L186,Q186,V186,AA186,AF186,AK186,AP186,AU186,AZ186,BE186,BJ186)</f>
        <v>966</v>
      </c>
      <c r="BP186" s="16">
        <f>SUM(H186,M186,R186,W186,AB186,AG186,AL186,AQ186,AV186,BA186,BF186,BK186)</f>
        <v>81</v>
      </c>
      <c r="BQ186" s="16">
        <f>SUM(I186,N186,S186,X186,AC186,AH186,AM186,AR186,AW186,BB186,BG186,BL186)</f>
        <v>366</v>
      </c>
      <c r="BR186" s="17">
        <f>SUM(J186,O186,T186,Y186,AD186,AI186,AN186,AS186,AX186,BC186,BH186,BM186)</f>
        <v>0</v>
      </c>
      <c r="BS186" s="35">
        <f t="shared" si="123"/>
        <v>1413</v>
      </c>
    </row>
    <row r="187" spans="2:71" x14ac:dyDescent="0.3">
      <c r="B187" s="269"/>
      <c r="C187" s="230"/>
      <c r="D187" s="233"/>
      <c r="E187" s="220"/>
      <c r="F187" s="123" t="s">
        <v>465</v>
      </c>
      <c r="G187" s="34"/>
      <c r="H187" s="16"/>
      <c r="I187" s="16"/>
      <c r="J187" s="17"/>
      <c r="K187" s="18">
        <f t="shared" si="142"/>
        <v>0</v>
      </c>
      <c r="L187" s="34"/>
      <c r="M187" s="16"/>
      <c r="N187" s="16"/>
      <c r="O187" s="17"/>
      <c r="P187" s="18">
        <f t="shared" si="111"/>
        <v>0</v>
      </c>
      <c r="Q187" s="34">
        <f>13</f>
        <v>13</v>
      </c>
      <c r="R187" s="16">
        <f>2</f>
        <v>2</v>
      </c>
      <c r="S187" s="16">
        <v>9</v>
      </c>
      <c r="T187" s="17"/>
      <c r="U187" s="18">
        <f t="shared" si="112"/>
        <v>24</v>
      </c>
      <c r="V187" s="34">
        <v>30</v>
      </c>
      <c r="W187" s="16">
        <v>1</v>
      </c>
      <c r="X187" s="16">
        <v>10</v>
      </c>
      <c r="Y187" s="17"/>
      <c r="Z187" s="18">
        <f t="shared" si="133"/>
        <v>41</v>
      </c>
      <c r="AA187" s="34">
        <v>14</v>
      </c>
      <c r="AB187" s="16">
        <v>1</v>
      </c>
      <c r="AC187" s="16">
        <v>11</v>
      </c>
      <c r="AD187" s="17"/>
      <c r="AE187" s="18">
        <f t="shared" si="134"/>
        <v>26</v>
      </c>
      <c r="AF187" s="34">
        <v>21</v>
      </c>
      <c r="AG187" s="16">
        <v>1</v>
      </c>
      <c r="AH187" s="16">
        <v>8</v>
      </c>
      <c r="AI187" s="17"/>
      <c r="AJ187" s="18">
        <f t="shared" si="135"/>
        <v>30</v>
      </c>
      <c r="AK187" s="34">
        <v>7</v>
      </c>
      <c r="AL187" s="16">
        <v>1</v>
      </c>
      <c r="AM187" s="16">
        <v>6</v>
      </c>
      <c r="AN187" s="17"/>
      <c r="AO187" s="18">
        <f t="shared" si="136"/>
        <v>14</v>
      </c>
      <c r="AP187" s="34">
        <v>5</v>
      </c>
      <c r="AQ187" s="16"/>
      <c r="AR187" s="16">
        <v>2</v>
      </c>
      <c r="AS187" s="17"/>
      <c r="AT187" s="18">
        <f t="shared" si="137"/>
        <v>7</v>
      </c>
      <c r="AU187" s="34">
        <v>18</v>
      </c>
      <c r="AV187" s="16">
        <v>2</v>
      </c>
      <c r="AW187" s="16">
        <v>19</v>
      </c>
      <c r="AX187" s="17"/>
      <c r="AY187" s="18">
        <f t="shared" si="138"/>
        <v>39</v>
      </c>
      <c r="AZ187" s="34">
        <v>23</v>
      </c>
      <c r="BA187" s="16">
        <v>3</v>
      </c>
      <c r="BB187" s="16">
        <v>25</v>
      </c>
      <c r="BC187" s="17"/>
      <c r="BD187" s="18">
        <f t="shared" si="139"/>
        <v>51</v>
      </c>
      <c r="BE187" s="34">
        <v>26</v>
      </c>
      <c r="BF187" s="16">
        <v>2</v>
      </c>
      <c r="BG187" s="16">
        <v>6</v>
      </c>
      <c r="BH187" s="17"/>
      <c r="BI187" s="18">
        <f t="shared" si="140"/>
        <v>34</v>
      </c>
      <c r="BJ187" s="34">
        <v>11</v>
      </c>
      <c r="BK187" s="16">
        <v>2</v>
      </c>
      <c r="BL187" s="16">
        <v>5</v>
      </c>
      <c r="BM187" s="17"/>
      <c r="BN187" s="18">
        <f t="shared" si="141"/>
        <v>18</v>
      </c>
      <c r="BO187" s="70">
        <f>SUM(G187,L187,Q187,V187,AA187,AF187,AK187,AP187,AU187,AZ187,BE187,BJ187)</f>
        <v>168</v>
      </c>
      <c r="BP187" s="16">
        <f>SUM(H187,M187,R187,W187,AB187,AG187,AL187,AQ187,AV187,BA187,BF187,BK187)</f>
        <v>15</v>
      </c>
      <c r="BQ187" s="16">
        <f>SUM(I187,N187,S187,X187,AC187,AH187,AM187,AR187,AW187,BB187,BG187,BL187)</f>
        <v>101</v>
      </c>
      <c r="BR187" s="17">
        <f>SUM(J187,O187,T187,Y187,AD187,AI187,AN187,AS187,AX187,BC187,BH187,BM187)</f>
        <v>0</v>
      </c>
      <c r="BS187" s="35">
        <f t="shared" si="123"/>
        <v>284</v>
      </c>
    </row>
    <row r="188" spans="2:71" x14ac:dyDescent="0.3">
      <c r="B188" s="269"/>
      <c r="C188" s="230"/>
      <c r="D188" s="233"/>
      <c r="E188" s="220"/>
      <c r="F188" s="123" t="s">
        <v>208</v>
      </c>
      <c r="G188" s="34">
        <v>42</v>
      </c>
      <c r="H188" s="16">
        <v>12</v>
      </c>
      <c r="I188" s="16">
        <v>21</v>
      </c>
      <c r="J188" s="17"/>
      <c r="K188" s="18">
        <f t="shared" ref="K188:K193" si="143">SUM(G188:J188)</f>
        <v>75</v>
      </c>
      <c r="L188" s="34">
        <v>45</v>
      </c>
      <c r="M188" s="16">
        <v>38</v>
      </c>
      <c r="N188" s="16">
        <v>45</v>
      </c>
      <c r="O188" s="17"/>
      <c r="P188" s="18">
        <f t="shared" si="111"/>
        <v>128</v>
      </c>
      <c r="Q188" s="34">
        <v>5</v>
      </c>
      <c r="R188" s="16"/>
      <c r="S188" s="16"/>
      <c r="T188" s="17"/>
      <c r="U188" s="18">
        <f t="shared" si="112"/>
        <v>5</v>
      </c>
      <c r="V188" s="34"/>
      <c r="W188" s="16"/>
      <c r="X188" s="16"/>
      <c r="Y188" s="17"/>
      <c r="Z188" s="18">
        <f t="shared" si="113"/>
        <v>0</v>
      </c>
      <c r="AA188" s="34"/>
      <c r="AB188" s="16"/>
      <c r="AC188" s="16"/>
      <c r="AD188" s="17"/>
      <c r="AE188" s="18">
        <f t="shared" si="114"/>
        <v>0</v>
      </c>
      <c r="AF188" s="34"/>
      <c r="AG188" s="16"/>
      <c r="AH188" s="16"/>
      <c r="AI188" s="17"/>
      <c r="AJ188" s="18">
        <f t="shared" si="115"/>
        <v>0</v>
      </c>
      <c r="AK188" s="34"/>
      <c r="AL188" s="16"/>
      <c r="AM188" s="16"/>
      <c r="AN188" s="17"/>
      <c r="AO188" s="18">
        <f t="shared" si="116"/>
        <v>0</v>
      </c>
      <c r="AP188" s="34"/>
      <c r="AQ188" s="16"/>
      <c r="AR188" s="16"/>
      <c r="AS188" s="17"/>
      <c r="AT188" s="18">
        <f t="shared" si="117"/>
        <v>0</v>
      </c>
      <c r="AU188" s="34"/>
      <c r="AV188" s="16"/>
      <c r="AW188" s="16"/>
      <c r="AX188" s="17"/>
      <c r="AY188" s="18">
        <f t="shared" si="118"/>
        <v>0</v>
      </c>
      <c r="AZ188" s="34"/>
      <c r="BA188" s="16"/>
      <c r="BB188" s="16"/>
      <c r="BC188" s="17"/>
      <c r="BD188" s="18">
        <f t="shared" si="119"/>
        <v>0</v>
      </c>
      <c r="BE188" s="34"/>
      <c r="BF188" s="16"/>
      <c r="BG188" s="16"/>
      <c r="BH188" s="17"/>
      <c r="BI188" s="18">
        <f t="shared" si="120"/>
        <v>0</v>
      </c>
      <c r="BJ188" s="34"/>
      <c r="BK188" s="16"/>
      <c r="BL188" s="16"/>
      <c r="BM188" s="17"/>
      <c r="BN188" s="18">
        <f t="shared" si="121"/>
        <v>0</v>
      </c>
      <c r="BO188" s="70">
        <f>SUM(G188,L188,Q188,V188,AA188,AF188,AK188,AP188,AU188,AZ188,BE188,BJ188)</f>
        <v>92</v>
      </c>
      <c r="BP188" s="16">
        <f>SUM(H188,M188,R188,W188,AB188,AG188,AL188,AQ188,AV188,BA188,BF188,BK188)</f>
        <v>50</v>
      </c>
      <c r="BQ188" s="16">
        <f>SUM(I188,N188,S188,X188,AC188,AH188,AM188,AR188,AW188,BB188,BG188,BL188)</f>
        <v>66</v>
      </c>
      <c r="BR188" s="17">
        <f>SUM(J188,O188,T188,Y188,AD188,AI188,AN188,AS188,AX188,BC188,BH188,BM188)</f>
        <v>0</v>
      </c>
      <c r="BS188" s="35">
        <f t="shared" si="123"/>
        <v>208</v>
      </c>
    </row>
    <row r="189" spans="2:71" x14ac:dyDescent="0.3">
      <c r="B189" s="269"/>
      <c r="C189" s="230"/>
      <c r="D189" s="233"/>
      <c r="E189" s="220"/>
      <c r="F189" s="123" t="s">
        <v>209</v>
      </c>
      <c r="G189" s="34">
        <v>5</v>
      </c>
      <c r="H189" s="16"/>
      <c r="I189" s="16">
        <v>2</v>
      </c>
      <c r="J189" s="17"/>
      <c r="K189" s="18">
        <f t="shared" si="143"/>
        <v>7</v>
      </c>
      <c r="L189" s="34">
        <v>8</v>
      </c>
      <c r="M189" s="16">
        <v>4</v>
      </c>
      <c r="N189" s="16">
        <v>2</v>
      </c>
      <c r="O189" s="17"/>
      <c r="P189" s="18">
        <f t="shared" si="111"/>
        <v>14</v>
      </c>
      <c r="Q189" s="34"/>
      <c r="R189" s="16"/>
      <c r="S189" s="16"/>
      <c r="T189" s="17"/>
      <c r="U189" s="18">
        <f t="shared" si="112"/>
        <v>0</v>
      </c>
      <c r="V189" s="34"/>
      <c r="W189" s="16"/>
      <c r="X189" s="16"/>
      <c r="Y189" s="17"/>
      <c r="Z189" s="18">
        <f t="shared" si="113"/>
        <v>0</v>
      </c>
      <c r="AA189" s="34"/>
      <c r="AB189" s="16"/>
      <c r="AC189" s="16"/>
      <c r="AD189" s="17"/>
      <c r="AE189" s="18">
        <f t="shared" si="114"/>
        <v>0</v>
      </c>
      <c r="AF189" s="34"/>
      <c r="AG189" s="16"/>
      <c r="AH189" s="16"/>
      <c r="AI189" s="17"/>
      <c r="AJ189" s="18">
        <f t="shared" si="115"/>
        <v>0</v>
      </c>
      <c r="AK189" s="34"/>
      <c r="AL189" s="16"/>
      <c r="AM189" s="16"/>
      <c r="AN189" s="17"/>
      <c r="AO189" s="18">
        <f t="shared" si="116"/>
        <v>0</v>
      </c>
      <c r="AP189" s="34"/>
      <c r="AQ189" s="16"/>
      <c r="AR189" s="16"/>
      <c r="AS189" s="17"/>
      <c r="AT189" s="18">
        <f t="shared" si="117"/>
        <v>0</v>
      </c>
      <c r="AU189" s="34"/>
      <c r="AV189" s="16"/>
      <c r="AW189" s="16"/>
      <c r="AX189" s="17"/>
      <c r="AY189" s="18">
        <f t="shared" si="118"/>
        <v>0</v>
      </c>
      <c r="AZ189" s="34"/>
      <c r="BA189" s="16"/>
      <c r="BB189" s="16"/>
      <c r="BC189" s="17"/>
      <c r="BD189" s="18">
        <f t="shared" si="119"/>
        <v>0</v>
      </c>
      <c r="BE189" s="34"/>
      <c r="BF189" s="16"/>
      <c r="BG189" s="16"/>
      <c r="BH189" s="17"/>
      <c r="BI189" s="18">
        <f t="shared" si="120"/>
        <v>0</v>
      </c>
      <c r="BJ189" s="34"/>
      <c r="BK189" s="16"/>
      <c r="BL189" s="16"/>
      <c r="BM189" s="17"/>
      <c r="BN189" s="18">
        <f t="shared" si="121"/>
        <v>0</v>
      </c>
      <c r="BO189" s="70">
        <f>SUM(G189,L189,Q189,V189,AA189,AF189,AK189,AP189,AU189,AZ189,BE189,BJ189)</f>
        <v>13</v>
      </c>
      <c r="BP189" s="16">
        <f>SUM(H189,M189,R189,W189,AB189,AG189,AL189,AQ189,AV189,BA189,BF189,BK189)</f>
        <v>4</v>
      </c>
      <c r="BQ189" s="16">
        <f>SUM(I189,N189,S189,X189,AC189,AH189,AM189,AR189,AW189,BB189,BG189,BL189)</f>
        <v>4</v>
      </c>
      <c r="BR189" s="17">
        <f>SUM(J189,O189,T189,Y189,AD189,AI189,AN189,AS189,AX189,BC189,BH189,BM189)</f>
        <v>0</v>
      </c>
      <c r="BS189" s="35">
        <f t="shared" si="123"/>
        <v>21</v>
      </c>
    </row>
    <row r="190" spans="2:71" x14ac:dyDescent="0.3">
      <c r="B190" s="269"/>
      <c r="C190" s="230"/>
      <c r="D190" s="233"/>
      <c r="E190" s="220"/>
      <c r="F190" s="123" t="s">
        <v>210</v>
      </c>
      <c r="G190" s="34">
        <v>23</v>
      </c>
      <c r="H190" s="16">
        <v>10</v>
      </c>
      <c r="I190" s="16">
        <v>17</v>
      </c>
      <c r="J190" s="17"/>
      <c r="K190" s="18">
        <f t="shared" si="143"/>
        <v>50</v>
      </c>
      <c r="L190" s="34">
        <v>31</v>
      </c>
      <c r="M190" s="16">
        <v>7</v>
      </c>
      <c r="N190" s="16">
        <v>27</v>
      </c>
      <c r="O190" s="17"/>
      <c r="P190" s="18">
        <f t="shared" si="111"/>
        <v>65</v>
      </c>
      <c r="Q190" s="34">
        <v>1</v>
      </c>
      <c r="R190" s="16"/>
      <c r="S190" s="16"/>
      <c r="T190" s="17"/>
      <c r="U190" s="18">
        <f t="shared" si="112"/>
        <v>1</v>
      </c>
      <c r="V190" s="34"/>
      <c r="W190" s="16"/>
      <c r="X190" s="16"/>
      <c r="Y190" s="17"/>
      <c r="Z190" s="18">
        <f t="shared" si="113"/>
        <v>0</v>
      </c>
      <c r="AA190" s="34"/>
      <c r="AB190" s="16"/>
      <c r="AC190" s="16"/>
      <c r="AD190" s="17"/>
      <c r="AE190" s="18">
        <f t="shared" si="114"/>
        <v>0</v>
      </c>
      <c r="AF190" s="34"/>
      <c r="AG190" s="16"/>
      <c r="AH190" s="16"/>
      <c r="AI190" s="17"/>
      <c r="AJ190" s="18">
        <f t="shared" si="115"/>
        <v>0</v>
      </c>
      <c r="AK190" s="34"/>
      <c r="AL190" s="16"/>
      <c r="AM190" s="16"/>
      <c r="AN190" s="17"/>
      <c r="AO190" s="18">
        <f t="shared" si="116"/>
        <v>0</v>
      </c>
      <c r="AP190" s="34"/>
      <c r="AQ190" s="16"/>
      <c r="AR190" s="16"/>
      <c r="AS190" s="17"/>
      <c r="AT190" s="18">
        <f t="shared" si="117"/>
        <v>0</v>
      </c>
      <c r="AU190" s="34"/>
      <c r="AV190" s="16"/>
      <c r="AW190" s="16"/>
      <c r="AX190" s="17"/>
      <c r="AY190" s="18">
        <f t="shared" si="118"/>
        <v>0</v>
      </c>
      <c r="AZ190" s="34"/>
      <c r="BA190" s="16"/>
      <c r="BB190" s="16"/>
      <c r="BC190" s="17"/>
      <c r="BD190" s="18">
        <f t="shared" si="119"/>
        <v>0</v>
      </c>
      <c r="BE190" s="34"/>
      <c r="BF190" s="16"/>
      <c r="BG190" s="16"/>
      <c r="BH190" s="17"/>
      <c r="BI190" s="18">
        <f t="shared" si="120"/>
        <v>0</v>
      </c>
      <c r="BJ190" s="34"/>
      <c r="BK190" s="16"/>
      <c r="BL190" s="16"/>
      <c r="BM190" s="17"/>
      <c r="BN190" s="18">
        <f t="shared" si="121"/>
        <v>0</v>
      </c>
      <c r="BO190" s="70">
        <f>SUM(G190,L190,Q190,V190,AA190,AF190,AK190,AP190,AU190,AZ190,BE190,BJ190)</f>
        <v>55</v>
      </c>
      <c r="BP190" s="16">
        <f>SUM(H190,M190,R190,W190,AB190,AG190,AL190,AQ190,AV190,BA190,BF190,BK190)</f>
        <v>17</v>
      </c>
      <c r="BQ190" s="16">
        <f>SUM(I190,N190,S190,X190,AC190,AH190,AM190,AR190,AW190,BB190,BG190,BL190)</f>
        <v>44</v>
      </c>
      <c r="BR190" s="17">
        <f>SUM(J190,O190,T190,Y190,AD190,AI190,AN190,AS190,AX190,BC190,BH190,BM190)</f>
        <v>0</v>
      </c>
      <c r="BS190" s="35">
        <f t="shared" si="123"/>
        <v>116</v>
      </c>
    </row>
    <row r="191" spans="2:71" x14ac:dyDescent="0.3">
      <c r="B191" s="269"/>
      <c r="C191" s="230"/>
      <c r="D191" s="233"/>
      <c r="E191" s="220"/>
      <c r="F191" s="123" t="s">
        <v>211</v>
      </c>
      <c r="G191" s="34">
        <v>5</v>
      </c>
      <c r="H191" s="16"/>
      <c r="I191" s="16">
        <v>2</v>
      </c>
      <c r="J191" s="17"/>
      <c r="K191" s="18">
        <f t="shared" si="143"/>
        <v>7</v>
      </c>
      <c r="L191" s="34">
        <v>2</v>
      </c>
      <c r="M191" s="16">
        <v>4</v>
      </c>
      <c r="N191" s="16">
        <v>1</v>
      </c>
      <c r="O191" s="17"/>
      <c r="P191" s="18">
        <f t="shared" si="111"/>
        <v>7</v>
      </c>
      <c r="Q191" s="34"/>
      <c r="R191" s="16"/>
      <c r="S191" s="16"/>
      <c r="T191" s="17"/>
      <c r="U191" s="18">
        <f t="shared" si="112"/>
        <v>0</v>
      </c>
      <c r="V191" s="34"/>
      <c r="W191" s="16"/>
      <c r="X191" s="16"/>
      <c r="Y191" s="17"/>
      <c r="Z191" s="18">
        <f t="shared" si="113"/>
        <v>0</v>
      </c>
      <c r="AA191" s="34"/>
      <c r="AB191" s="16"/>
      <c r="AC191" s="16"/>
      <c r="AD191" s="17"/>
      <c r="AE191" s="18">
        <f t="shared" si="114"/>
        <v>0</v>
      </c>
      <c r="AF191" s="34"/>
      <c r="AG191" s="16"/>
      <c r="AH191" s="16"/>
      <c r="AI191" s="17"/>
      <c r="AJ191" s="18">
        <f t="shared" si="115"/>
        <v>0</v>
      </c>
      <c r="AK191" s="34"/>
      <c r="AL191" s="16"/>
      <c r="AM191" s="16"/>
      <c r="AN191" s="17"/>
      <c r="AO191" s="18">
        <f t="shared" si="116"/>
        <v>0</v>
      </c>
      <c r="AP191" s="34"/>
      <c r="AQ191" s="16"/>
      <c r="AR191" s="16"/>
      <c r="AS191" s="17"/>
      <c r="AT191" s="18">
        <f t="shared" si="117"/>
        <v>0</v>
      </c>
      <c r="AU191" s="34"/>
      <c r="AV191" s="16"/>
      <c r="AW191" s="16"/>
      <c r="AX191" s="17"/>
      <c r="AY191" s="18">
        <f t="shared" si="118"/>
        <v>0</v>
      </c>
      <c r="AZ191" s="34"/>
      <c r="BA191" s="16"/>
      <c r="BB191" s="16"/>
      <c r="BC191" s="17"/>
      <c r="BD191" s="18">
        <f t="shared" si="119"/>
        <v>0</v>
      </c>
      <c r="BE191" s="34"/>
      <c r="BF191" s="16"/>
      <c r="BG191" s="16"/>
      <c r="BH191" s="17"/>
      <c r="BI191" s="18">
        <f t="shared" si="120"/>
        <v>0</v>
      </c>
      <c r="BJ191" s="34"/>
      <c r="BK191" s="16"/>
      <c r="BL191" s="16"/>
      <c r="BM191" s="17"/>
      <c r="BN191" s="18">
        <f t="shared" si="121"/>
        <v>0</v>
      </c>
      <c r="BO191" s="70">
        <f>SUM(G191,L191,Q191,V191,AA191,AF191,AK191,AP191,AU191,AZ191,BE191,BJ191)</f>
        <v>7</v>
      </c>
      <c r="BP191" s="16">
        <f>SUM(H191,M191,R191,W191,AB191,AG191,AL191,AQ191,AV191,BA191,BF191,BK191)</f>
        <v>4</v>
      </c>
      <c r="BQ191" s="16">
        <f>SUM(I191,N191,S191,X191,AC191,AH191,AM191,AR191,AW191,BB191,BG191,BL191)</f>
        <v>3</v>
      </c>
      <c r="BR191" s="17">
        <f>SUM(J191,O191,T191,Y191,AD191,AI191,AN191,AS191,AX191,BC191,BH191,BM191)</f>
        <v>0</v>
      </c>
      <c r="BS191" s="35">
        <f t="shared" si="123"/>
        <v>14</v>
      </c>
    </row>
    <row r="192" spans="2:71" x14ac:dyDescent="0.3">
      <c r="B192" s="269"/>
      <c r="C192" s="230"/>
      <c r="D192" s="233"/>
      <c r="E192" s="220"/>
      <c r="F192" s="123" t="s">
        <v>466</v>
      </c>
      <c r="G192" s="34"/>
      <c r="H192" s="16"/>
      <c r="I192" s="16"/>
      <c r="J192" s="17"/>
      <c r="K192" s="18">
        <f t="shared" si="143"/>
        <v>0</v>
      </c>
      <c r="L192" s="34"/>
      <c r="M192" s="16"/>
      <c r="N192" s="16"/>
      <c r="O192" s="17"/>
      <c r="P192" s="18">
        <f t="shared" si="111"/>
        <v>0</v>
      </c>
      <c r="Q192" s="34">
        <f>86-5</f>
        <v>81</v>
      </c>
      <c r="R192" s="16">
        <f>4</f>
        <v>4</v>
      </c>
      <c r="S192" s="16">
        <v>81</v>
      </c>
      <c r="T192" s="17"/>
      <c r="U192" s="18">
        <f t="shared" si="112"/>
        <v>166</v>
      </c>
      <c r="V192" s="34">
        <v>64</v>
      </c>
      <c r="W192" s="16">
        <v>6</v>
      </c>
      <c r="X192" s="16">
        <v>71</v>
      </c>
      <c r="Y192" s="17"/>
      <c r="Z192" s="18">
        <f t="shared" ref="Z192:Z195" si="144">SUM(V192:Y192)</f>
        <v>141</v>
      </c>
      <c r="AA192" s="34">
        <v>38</v>
      </c>
      <c r="AB192" s="16">
        <v>6</v>
      </c>
      <c r="AC192" s="16">
        <v>66</v>
      </c>
      <c r="AD192" s="17"/>
      <c r="AE192" s="18">
        <f t="shared" ref="AE192:AE195" si="145">SUM(AA192:AD192)</f>
        <v>110</v>
      </c>
      <c r="AF192" s="34">
        <v>20</v>
      </c>
      <c r="AG192" s="16">
        <v>2</v>
      </c>
      <c r="AH192" s="16">
        <v>49</v>
      </c>
      <c r="AI192" s="17"/>
      <c r="AJ192" s="18">
        <f t="shared" ref="AJ192:AJ195" si="146">SUM(AF192:AI192)</f>
        <v>71</v>
      </c>
      <c r="AK192" s="34">
        <v>19</v>
      </c>
      <c r="AL192" s="16">
        <v>7</v>
      </c>
      <c r="AM192" s="16">
        <v>24</v>
      </c>
      <c r="AN192" s="17"/>
      <c r="AO192" s="18">
        <f t="shared" ref="AO192:AO195" si="147">SUM(AK192:AN192)</f>
        <v>50</v>
      </c>
      <c r="AP192" s="34">
        <v>17</v>
      </c>
      <c r="AQ192" s="16">
        <v>2</v>
      </c>
      <c r="AR192" s="16">
        <v>30</v>
      </c>
      <c r="AS192" s="17"/>
      <c r="AT192" s="18">
        <f t="shared" ref="AT192:AT195" si="148">SUM(AP192:AS192)</f>
        <v>49</v>
      </c>
      <c r="AU192" s="34">
        <v>19</v>
      </c>
      <c r="AV192" s="16">
        <v>1</v>
      </c>
      <c r="AW192" s="16">
        <v>48</v>
      </c>
      <c r="AX192" s="17"/>
      <c r="AY192" s="18">
        <f t="shared" ref="AY192:AY195" si="149">SUM(AU192:AX192)</f>
        <v>68</v>
      </c>
      <c r="AZ192" s="34">
        <v>54</v>
      </c>
      <c r="BA192" s="16">
        <v>7</v>
      </c>
      <c r="BB192" s="16">
        <v>74</v>
      </c>
      <c r="BC192" s="17"/>
      <c r="BD192" s="18">
        <f t="shared" ref="BD192:BD195" si="150">SUM(AZ192:BC192)</f>
        <v>135</v>
      </c>
      <c r="BE192" s="34">
        <v>21</v>
      </c>
      <c r="BF192" s="16">
        <v>5</v>
      </c>
      <c r="BG192" s="16">
        <v>31</v>
      </c>
      <c r="BH192" s="17"/>
      <c r="BI192" s="18">
        <f t="shared" ref="BI192:BI195" si="151">SUM(BE192:BH192)</f>
        <v>57</v>
      </c>
      <c r="BJ192" s="34">
        <v>17</v>
      </c>
      <c r="BK192" s="16">
        <v>10</v>
      </c>
      <c r="BL192" s="16">
        <v>18</v>
      </c>
      <c r="BM192" s="17"/>
      <c r="BN192" s="18">
        <f t="shared" ref="BN192:BN195" si="152">SUM(BJ192:BM192)</f>
        <v>45</v>
      </c>
      <c r="BO192" s="70">
        <f>SUM(G192,L192,Q192,V192,AA192,AF192,AK192,AP192,AU192,AZ192,BE192,BJ192)</f>
        <v>350</v>
      </c>
      <c r="BP192" s="16">
        <f>SUM(H192,M192,R192,W192,AB192,AG192,AL192,AQ192,AV192,BA192,BF192,BK192)</f>
        <v>50</v>
      </c>
      <c r="BQ192" s="16">
        <f>SUM(I192,N192,S192,X192,AC192,AH192,AM192,AR192,AW192,BB192,BG192,BL192)</f>
        <v>492</v>
      </c>
      <c r="BR192" s="17">
        <f>SUM(J192,O192,T192,Y192,AD192,AI192,AN192,AS192,AX192,BC192,BH192,BM192)</f>
        <v>0</v>
      </c>
      <c r="BS192" s="35">
        <f t="shared" si="123"/>
        <v>892</v>
      </c>
    </row>
    <row r="193" spans="2:71" x14ac:dyDescent="0.3">
      <c r="B193" s="269"/>
      <c r="C193" s="230"/>
      <c r="D193" s="233"/>
      <c r="E193" s="220"/>
      <c r="F193" s="123" t="s">
        <v>467</v>
      </c>
      <c r="G193" s="34"/>
      <c r="H193" s="16"/>
      <c r="I193" s="16"/>
      <c r="J193" s="17"/>
      <c r="K193" s="18">
        <f t="shared" si="143"/>
        <v>0</v>
      </c>
      <c r="L193" s="34"/>
      <c r="M193" s="16"/>
      <c r="N193" s="16"/>
      <c r="O193" s="17"/>
      <c r="P193" s="18">
        <f t="shared" si="111"/>
        <v>0</v>
      </c>
      <c r="Q193" s="34">
        <f>9</f>
        <v>9</v>
      </c>
      <c r="R193" s="16">
        <v>1</v>
      </c>
      <c r="S193" s="16">
        <v>12</v>
      </c>
      <c r="T193" s="17"/>
      <c r="U193" s="18">
        <f t="shared" si="112"/>
        <v>22</v>
      </c>
      <c r="V193" s="34">
        <v>14</v>
      </c>
      <c r="W193" s="16"/>
      <c r="X193" s="16">
        <v>18</v>
      </c>
      <c r="Y193" s="17"/>
      <c r="Z193" s="18">
        <f t="shared" si="144"/>
        <v>32</v>
      </c>
      <c r="AA193" s="34">
        <v>4</v>
      </c>
      <c r="AB193" s="16"/>
      <c r="AC193" s="16">
        <v>15</v>
      </c>
      <c r="AD193" s="17"/>
      <c r="AE193" s="18">
        <f t="shared" si="145"/>
        <v>19</v>
      </c>
      <c r="AF193" s="34">
        <v>12</v>
      </c>
      <c r="AG193" s="16"/>
      <c r="AH193" s="16">
        <v>7</v>
      </c>
      <c r="AI193" s="17"/>
      <c r="AJ193" s="18">
        <f t="shared" si="146"/>
        <v>19</v>
      </c>
      <c r="AK193" s="34">
        <v>3</v>
      </c>
      <c r="AL193" s="16">
        <v>3</v>
      </c>
      <c r="AM193" s="16">
        <v>7</v>
      </c>
      <c r="AN193" s="17"/>
      <c r="AO193" s="18">
        <f t="shared" si="147"/>
        <v>13</v>
      </c>
      <c r="AP193" s="34">
        <v>5</v>
      </c>
      <c r="AQ193" s="16"/>
      <c r="AR193" s="16">
        <v>6</v>
      </c>
      <c r="AS193" s="17"/>
      <c r="AT193" s="18">
        <f t="shared" si="148"/>
        <v>11</v>
      </c>
      <c r="AU193" s="34">
        <v>6</v>
      </c>
      <c r="AV193" s="16"/>
      <c r="AW193" s="16">
        <v>13</v>
      </c>
      <c r="AX193" s="17"/>
      <c r="AY193" s="18">
        <f t="shared" si="149"/>
        <v>19</v>
      </c>
      <c r="AZ193" s="34">
        <v>7</v>
      </c>
      <c r="BA193" s="16">
        <v>1</v>
      </c>
      <c r="BB193" s="16">
        <v>17</v>
      </c>
      <c r="BC193" s="17"/>
      <c r="BD193" s="18">
        <f t="shared" si="150"/>
        <v>25</v>
      </c>
      <c r="BE193" s="34">
        <v>5</v>
      </c>
      <c r="BF193" s="16"/>
      <c r="BG193" s="16">
        <v>3</v>
      </c>
      <c r="BH193" s="17"/>
      <c r="BI193" s="18">
        <f t="shared" si="151"/>
        <v>8</v>
      </c>
      <c r="BJ193" s="34">
        <v>6</v>
      </c>
      <c r="BK193" s="16"/>
      <c r="BL193" s="16">
        <v>4</v>
      </c>
      <c r="BM193" s="17"/>
      <c r="BN193" s="18">
        <f t="shared" si="152"/>
        <v>10</v>
      </c>
      <c r="BO193" s="70">
        <f>SUM(G193,L193,Q193,V193,AA193,AF193,AK193,AP193,AU193,AZ193,BE193,BJ193)</f>
        <v>71</v>
      </c>
      <c r="BP193" s="16">
        <f>SUM(H193,M193,R193,W193,AB193,AG193,AL193,AQ193,AV193,BA193,BF193,BK193)</f>
        <v>5</v>
      </c>
      <c r="BQ193" s="16">
        <f>SUM(I193,N193,S193,X193,AC193,AH193,AM193,AR193,AW193,BB193,BG193,BL193)</f>
        <v>102</v>
      </c>
      <c r="BR193" s="17">
        <f>SUM(J193,O193,T193,Y193,AD193,AI193,AN193,AS193,AX193,BC193,BH193,BM193)</f>
        <v>0</v>
      </c>
      <c r="BS193" s="35">
        <f t="shared" si="123"/>
        <v>178</v>
      </c>
    </row>
    <row r="194" spans="2:71" x14ac:dyDescent="0.3">
      <c r="B194" s="269"/>
      <c r="C194" s="230"/>
      <c r="D194" s="233"/>
      <c r="E194" s="220"/>
      <c r="F194" s="123" t="s">
        <v>468</v>
      </c>
      <c r="G194" s="34"/>
      <c r="H194" s="16"/>
      <c r="I194" s="16"/>
      <c r="J194" s="17"/>
      <c r="K194" s="18">
        <f t="shared" ref="K194:K195" si="153">SUM(G194:J194)</f>
        <v>0</v>
      </c>
      <c r="L194" s="34"/>
      <c r="M194" s="16"/>
      <c r="N194" s="16"/>
      <c r="O194" s="17"/>
      <c r="P194" s="18">
        <f t="shared" si="111"/>
        <v>0</v>
      </c>
      <c r="Q194" s="34">
        <f>62-1</f>
        <v>61</v>
      </c>
      <c r="R194" s="16">
        <v>5</v>
      </c>
      <c r="S194" s="16">
        <v>52</v>
      </c>
      <c r="T194" s="17"/>
      <c r="U194" s="18">
        <f t="shared" si="112"/>
        <v>118</v>
      </c>
      <c r="V194" s="34">
        <v>38</v>
      </c>
      <c r="W194" s="16">
        <v>12</v>
      </c>
      <c r="X194" s="16">
        <v>47</v>
      </c>
      <c r="Y194" s="17"/>
      <c r="Z194" s="18">
        <f t="shared" si="144"/>
        <v>97</v>
      </c>
      <c r="AA194" s="34">
        <v>26</v>
      </c>
      <c r="AB194" s="16">
        <v>6</v>
      </c>
      <c r="AC194" s="16">
        <v>38</v>
      </c>
      <c r="AD194" s="17"/>
      <c r="AE194" s="18">
        <f t="shared" si="145"/>
        <v>70</v>
      </c>
      <c r="AF194" s="34">
        <v>30</v>
      </c>
      <c r="AG194" s="16">
        <v>1</v>
      </c>
      <c r="AH194" s="16">
        <v>17</v>
      </c>
      <c r="AI194" s="17"/>
      <c r="AJ194" s="18">
        <f t="shared" si="146"/>
        <v>48</v>
      </c>
      <c r="AK194" s="34">
        <v>5</v>
      </c>
      <c r="AL194" s="16"/>
      <c r="AM194" s="16">
        <v>13</v>
      </c>
      <c r="AN194" s="17"/>
      <c r="AO194" s="18">
        <f t="shared" si="147"/>
        <v>18</v>
      </c>
      <c r="AP194" s="34">
        <v>8</v>
      </c>
      <c r="AQ194" s="16">
        <v>1</v>
      </c>
      <c r="AR194" s="16">
        <v>10</v>
      </c>
      <c r="AS194" s="17"/>
      <c r="AT194" s="18">
        <f t="shared" si="148"/>
        <v>19</v>
      </c>
      <c r="AU194" s="34">
        <v>18</v>
      </c>
      <c r="AV194" s="16">
        <v>2</v>
      </c>
      <c r="AW194" s="16">
        <v>18</v>
      </c>
      <c r="AX194" s="17"/>
      <c r="AY194" s="18">
        <f t="shared" si="149"/>
        <v>38</v>
      </c>
      <c r="AZ194" s="34">
        <v>36</v>
      </c>
      <c r="BA194" s="16">
        <v>5</v>
      </c>
      <c r="BB194" s="16">
        <v>55</v>
      </c>
      <c r="BC194" s="17"/>
      <c r="BD194" s="18">
        <f t="shared" si="150"/>
        <v>96</v>
      </c>
      <c r="BE194" s="34">
        <v>10</v>
      </c>
      <c r="BF194" s="16"/>
      <c r="BG194" s="16">
        <v>18</v>
      </c>
      <c r="BH194" s="17"/>
      <c r="BI194" s="18">
        <f t="shared" si="151"/>
        <v>28</v>
      </c>
      <c r="BJ194" s="34">
        <v>10</v>
      </c>
      <c r="BK194" s="16">
        <v>3</v>
      </c>
      <c r="BL194" s="16">
        <v>10</v>
      </c>
      <c r="BM194" s="17"/>
      <c r="BN194" s="18">
        <f t="shared" si="152"/>
        <v>23</v>
      </c>
      <c r="BO194" s="70">
        <f>SUM(G194,L194,Q194,V194,AA194,AF194,AK194,AP194,AU194,AZ194,BE194,BJ194)</f>
        <v>242</v>
      </c>
      <c r="BP194" s="16">
        <f>SUM(H194,M194,R194,W194,AB194,AG194,AL194,AQ194,AV194,BA194,BF194,BK194)</f>
        <v>35</v>
      </c>
      <c r="BQ194" s="16">
        <f>SUM(I194,N194,S194,X194,AC194,AH194,AM194,AR194,AW194,BB194,BG194,BL194)</f>
        <v>278</v>
      </c>
      <c r="BR194" s="17">
        <f>SUM(J194,O194,T194,Y194,AD194,AI194,AN194,AS194,AX194,BC194,BH194,BM194)</f>
        <v>0</v>
      </c>
      <c r="BS194" s="35">
        <f t="shared" si="123"/>
        <v>555</v>
      </c>
    </row>
    <row r="195" spans="2:71" x14ac:dyDescent="0.3">
      <c r="B195" s="269"/>
      <c r="C195" s="230"/>
      <c r="D195" s="233"/>
      <c r="E195" s="220"/>
      <c r="F195" s="123" t="s">
        <v>469</v>
      </c>
      <c r="G195" s="34"/>
      <c r="H195" s="16"/>
      <c r="I195" s="16"/>
      <c r="J195" s="17"/>
      <c r="K195" s="18">
        <f t="shared" si="153"/>
        <v>0</v>
      </c>
      <c r="L195" s="34"/>
      <c r="M195" s="16"/>
      <c r="N195" s="16"/>
      <c r="O195" s="17"/>
      <c r="P195" s="18">
        <f t="shared" si="111"/>
        <v>0</v>
      </c>
      <c r="Q195" s="34">
        <v>10</v>
      </c>
      <c r="R195" s="16"/>
      <c r="S195" s="16">
        <v>7</v>
      </c>
      <c r="T195" s="17"/>
      <c r="U195" s="18">
        <f t="shared" si="112"/>
        <v>17</v>
      </c>
      <c r="V195" s="34">
        <v>13</v>
      </c>
      <c r="W195" s="16"/>
      <c r="X195" s="16">
        <v>17</v>
      </c>
      <c r="Y195" s="17"/>
      <c r="Z195" s="18">
        <f t="shared" si="144"/>
        <v>30</v>
      </c>
      <c r="AA195" s="34">
        <v>7</v>
      </c>
      <c r="AB195" s="16"/>
      <c r="AC195" s="16">
        <v>3</v>
      </c>
      <c r="AD195" s="17"/>
      <c r="AE195" s="18">
        <f t="shared" si="145"/>
        <v>10</v>
      </c>
      <c r="AF195" s="34">
        <v>6</v>
      </c>
      <c r="AG195" s="16">
        <v>2</v>
      </c>
      <c r="AH195" s="16">
        <v>9</v>
      </c>
      <c r="AI195" s="17"/>
      <c r="AJ195" s="18">
        <f t="shared" si="146"/>
        <v>17</v>
      </c>
      <c r="AK195" s="34">
        <v>4</v>
      </c>
      <c r="AL195" s="16"/>
      <c r="AM195" s="16">
        <v>3</v>
      </c>
      <c r="AN195" s="17"/>
      <c r="AO195" s="18">
        <f t="shared" si="147"/>
        <v>7</v>
      </c>
      <c r="AP195" s="34">
        <v>2</v>
      </c>
      <c r="AQ195" s="16"/>
      <c r="AR195" s="16">
        <v>2</v>
      </c>
      <c r="AS195" s="17"/>
      <c r="AT195" s="18">
        <f t="shared" si="148"/>
        <v>4</v>
      </c>
      <c r="AU195" s="34">
        <v>3</v>
      </c>
      <c r="AV195" s="16"/>
      <c r="AW195" s="16">
        <v>6</v>
      </c>
      <c r="AX195" s="17"/>
      <c r="AY195" s="18">
        <f t="shared" si="149"/>
        <v>9</v>
      </c>
      <c r="AZ195" s="34">
        <v>7</v>
      </c>
      <c r="BA195" s="16">
        <v>2</v>
      </c>
      <c r="BB195" s="16">
        <v>1</v>
      </c>
      <c r="BC195" s="17"/>
      <c r="BD195" s="18">
        <f t="shared" si="150"/>
        <v>10</v>
      </c>
      <c r="BE195" s="34">
        <v>3</v>
      </c>
      <c r="BF195" s="16"/>
      <c r="BG195" s="16">
        <v>2</v>
      </c>
      <c r="BH195" s="17"/>
      <c r="BI195" s="18">
        <f t="shared" si="151"/>
        <v>5</v>
      </c>
      <c r="BJ195" s="34">
        <v>4</v>
      </c>
      <c r="BK195" s="16"/>
      <c r="BL195" s="16">
        <v>4</v>
      </c>
      <c r="BM195" s="17"/>
      <c r="BN195" s="18">
        <f t="shared" si="152"/>
        <v>8</v>
      </c>
      <c r="BO195" s="70">
        <f>SUM(G195,L195,Q195,V195,AA195,AF195,AK195,AP195,AU195,AZ195,BE195,BJ195)</f>
        <v>59</v>
      </c>
      <c r="BP195" s="16">
        <f>SUM(H195,M195,R195,W195,AB195,AG195,AL195,AQ195,AV195,BA195,BF195,BK195)</f>
        <v>4</v>
      </c>
      <c r="BQ195" s="16">
        <f>SUM(I195,N195,S195,X195,AC195,AH195,AM195,AR195,AW195,BB195,BG195,BL195)</f>
        <v>54</v>
      </c>
      <c r="BR195" s="17">
        <f>SUM(J195,O195,T195,Y195,AD195,AI195,AN195,AS195,AX195,BC195,BH195,BM195)</f>
        <v>0</v>
      </c>
      <c r="BS195" s="35">
        <f t="shared" si="123"/>
        <v>117</v>
      </c>
    </row>
    <row r="196" spans="2:71" x14ac:dyDescent="0.3">
      <c r="B196" s="269"/>
      <c r="C196" s="230"/>
      <c r="D196" s="233"/>
      <c r="E196" s="220"/>
      <c r="F196" s="171" t="s">
        <v>470</v>
      </c>
      <c r="G196" s="172"/>
      <c r="H196" s="173"/>
      <c r="I196" s="173"/>
      <c r="J196" s="174"/>
      <c r="K196" s="175">
        <f t="shared" ref="K196:K211" si="154">SUM(G196:J196)</f>
        <v>0</v>
      </c>
      <c r="L196" s="172"/>
      <c r="M196" s="173"/>
      <c r="N196" s="173"/>
      <c r="O196" s="174"/>
      <c r="P196" s="175">
        <f t="shared" si="111"/>
        <v>0</v>
      </c>
      <c r="Q196" s="172"/>
      <c r="R196" s="173"/>
      <c r="S196" s="173"/>
      <c r="T196" s="174"/>
      <c r="U196" s="175">
        <f t="shared" si="112"/>
        <v>0</v>
      </c>
      <c r="V196" s="172"/>
      <c r="W196" s="173"/>
      <c r="X196" s="173"/>
      <c r="Y196" s="174"/>
      <c r="Z196" s="175">
        <f t="shared" ref="Z196" si="155">SUM(V196:Y196)</f>
        <v>0</v>
      </c>
      <c r="AA196" s="172"/>
      <c r="AB196" s="173"/>
      <c r="AC196" s="173"/>
      <c r="AD196" s="174"/>
      <c r="AE196" s="175">
        <f t="shared" ref="AE196" si="156">SUM(AA196:AD196)</f>
        <v>0</v>
      </c>
      <c r="AF196" s="172"/>
      <c r="AG196" s="173"/>
      <c r="AH196" s="173"/>
      <c r="AI196" s="174"/>
      <c r="AJ196" s="175">
        <f t="shared" ref="AJ196" si="157">SUM(AF196:AI196)</f>
        <v>0</v>
      </c>
      <c r="AK196" s="172"/>
      <c r="AL196" s="173"/>
      <c r="AM196" s="173"/>
      <c r="AN196" s="174"/>
      <c r="AO196" s="175">
        <f t="shared" ref="AO196" si="158">SUM(AK196:AN196)</f>
        <v>0</v>
      </c>
      <c r="AP196" s="172"/>
      <c r="AQ196" s="173"/>
      <c r="AR196" s="173"/>
      <c r="AS196" s="174"/>
      <c r="AT196" s="175">
        <f t="shared" ref="AT196" si="159">SUM(AP196:AS196)</f>
        <v>0</v>
      </c>
      <c r="AU196" s="172"/>
      <c r="AV196" s="173"/>
      <c r="AW196" s="173"/>
      <c r="AX196" s="174"/>
      <c r="AY196" s="175">
        <f t="shared" ref="AY196" si="160">SUM(AU196:AX196)</f>
        <v>0</v>
      </c>
      <c r="AZ196" s="172"/>
      <c r="BA196" s="173"/>
      <c r="BB196" s="173"/>
      <c r="BC196" s="174"/>
      <c r="BD196" s="175">
        <f t="shared" ref="BD196" si="161">SUM(AZ196:BC196)</f>
        <v>0</v>
      </c>
      <c r="BE196" s="172"/>
      <c r="BF196" s="173"/>
      <c r="BG196" s="173"/>
      <c r="BH196" s="174"/>
      <c r="BI196" s="175">
        <f t="shared" ref="BI196" si="162">SUM(BE196:BH196)</f>
        <v>0</v>
      </c>
      <c r="BJ196" s="172">
        <v>8</v>
      </c>
      <c r="BK196" s="173"/>
      <c r="BL196" s="173">
        <v>5</v>
      </c>
      <c r="BM196" s="174"/>
      <c r="BN196" s="175">
        <f t="shared" ref="BN196" si="163">SUM(BJ196:BM196)</f>
        <v>13</v>
      </c>
      <c r="BO196" s="177">
        <f>SUM(G196,L196,Q196,V196,AA196,AF196,AK196,AP196,AU196,AZ196,BE196,BJ196)</f>
        <v>8</v>
      </c>
      <c r="BP196" s="173">
        <f>SUM(H196,M196,R196,W196,AB196,AG196,AL196,AQ196,AV196,BA196,BF196,BK196)</f>
        <v>0</v>
      </c>
      <c r="BQ196" s="173">
        <f>SUM(I196,N196,S196,X196,AC196,AH196,AM196,AR196,AW196,BB196,BG196,BL196)</f>
        <v>5</v>
      </c>
      <c r="BR196" s="174">
        <f>SUM(J196,O196,T196,Y196,AD196,AI196,AN196,AS196,AX196,BC196,BH196,BM196)</f>
        <v>0</v>
      </c>
      <c r="BS196" s="176">
        <f t="shared" si="123"/>
        <v>13</v>
      </c>
    </row>
    <row r="197" spans="2:71" x14ac:dyDescent="0.3">
      <c r="B197" s="269"/>
      <c r="C197" s="230"/>
      <c r="D197" s="233"/>
      <c r="E197" s="220"/>
      <c r="F197" s="171" t="s">
        <v>292</v>
      </c>
      <c r="G197" s="172">
        <v>5</v>
      </c>
      <c r="H197" s="173">
        <v>2</v>
      </c>
      <c r="I197" s="173">
        <v>1</v>
      </c>
      <c r="J197" s="174"/>
      <c r="K197" s="175">
        <f t="shared" si="154"/>
        <v>8</v>
      </c>
      <c r="L197" s="172">
        <v>15</v>
      </c>
      <c r="M197" s="173">
        <v>17</v>
      </c>
      <c r="N197" s="173">
        <v>4</v>
      </c>
      <c r="O197" s="174"/>
      <c r="P197" s="175">
        <f t="shared" si="111"/>
        <v>36</v>
      </c>
      <c r="Q197" s="172"/>
      <c r="R197" s="173"/>
      <c r="S197" s="173"/>
      <c r="T197" s="174"/>
      <c r="U197" s="175">
        <f t="shared" si="112"/>
        <v>0</v>
      </c>
      <c r="V197" s="172"/>
      <c r="W197" s="173"/>
      <c r="X197" s="173"/>
      <c r="Y197" s="174"/>
      <c r="Z197" s="175">
        <f t="shared" si="113"/>
        <v>0</v>
      </c>
      <c r="AA197" s="172">
        <v>9</v>
      </c>
      <c r="AB197" s="173"/>
      <c r="AC197" s="173">
        <v>18</v>
      </c>
      <c r="AD197" s="174"/>
      <c r="AE197" s="175">
        <f t="shared" si="114"/>
        <v>27</v>
      </c>
      <c r="AF197" s="172">
        <v>13</v>
      </c>
      <c r="AG197" s="173">
        <v>9</v>
      </c>
      <c r="AH197" s="173">
        <v>15</v>
      </c>
      <c r="AI197" s="174"/>
      <c r="AJ197" s="175">
        <f t="shared" si="115"/>
        <v>37</v>
      </c>
      <c r="AK197" s="172">
        <v>3</v>
      </c>
      <c r="AL197" s="173"/>
      <c r="AM197" s="173">
        <v>1</v>
      </c>
      <c r="AN197" s="174"/>
      <c r="AO197" s="175">
        <f t="shared" si="116"/>
        <v>4</v>
      </c>
      <c r="AP197" s="172">
        <v>9</v>
      </c>
      <c r="AQ197" s="173">
        <v>2</v>
      </c>
      <c r="AR197" s="173">
        <v>7</v>
      </c>
      <c r="AS197" s="174"/>
      <c r="AT197" s="175">
        <f t="shared" si="117"/>
        <v>18</v>
      </c>
      <c r="AU197" s="172">
        <v>11</v>
      </c>
      <c r="AV197" s="173">
        <v>1</v>
      </c>
      <c r="AW197" s="173">
        <v>7</v>
      </c>
      <c r="AX197" s="174"/>
      <c r="AY197" s="175">
        <f t="shared" si="118"/>
        <v>19</v>
      </c>
      <c r="AZ197" s="172">
        <v>15</v>
      </c>
      <c r="BA197" s="173">
        <v>11</v>
      </c>
      <c r="BB197" s="173">
        <v>26</v>
      </c>
      <c r="BC197" s="174"/>
      <c r="BD197" s="175">
        <f t="shared" si="119"/>
        <v>52</v>
      </c>
      <c r="BE197" s="172">
        <v>11</v>
      </c>
      <c r="BF197" s="173">
        <v>2</v>
      </c>
      <c r="BG197" s="173">
        <v>15</v>
      </c>
      <c r="BH197" s="174"/>
      <c r="BI197" s="175">
        <f t="shared" si="120"/>
        <v>28</v>
      </c>
      <c r="BJ197" s="172"/>
      <c r="BK197" s="173"/>
      <c r="BL197" s="173"/>
      <c r="BM197" s="174"/>
      <c r="BN197" s="175">
        <f t="shared" si="121"/>
        <v>0</v>
      </c>
      <c r="BO197" s="177">
        <f>SUM(G197,L197,Q197,V197,AA197,AF197,AK197,AP197,AU197,AZ197,BE197,BJ197)</f>
        <v>91</v>
      </c>
      <c r="BP197" s="173">
        <f>SUM(H197,M197,R197,W197,AB197,AG197,AL197,AQ197,AV197,BA197,BF197,BK197)</f>
        <v>44</v>
      </c>
      <c r="BQ197" s="173">
        <f>SUM(I197,N197,S197,X197,AC197,AH197,AM197,AR197,AW197,BB197,BG197,BL197)</f>
        <v>94</v>
      </c>
      <c r="BR197" s="174">
        <f>SUM(J197,O197,T197,Y197,AD197,AI197,AN197,AS197,AX197,BC197,BH197,BM197)</f>
        <v>0</v>
      </c>
      <c r="BS197" s="176">
        <f t="shared" si="123"/>
        <v>229</v>
      </c>
    </row>
    <row r="198" spans="2:71" x14ac:dyDescent="0.3">
      <c r="B198" s="269"/>
      <c r="C198" s="230"/>
      <c r="D198" s="233"/>
      <c r="E198" s="220"/>
      <c r="F198" s="171" t="s">
        <v>293</v>
      </c>
      <c r="G198" s="172"/>
      <c r="H198" s="173"/>
      <c r="I198" s="173"/>
      <c r="J198" s="174"/>
      <c r="K198" s="175">
        <f t="shared" si="154"/>
        <v>0</v>
      </c>
      <c r="L198" s="172">
        <v>1</v>
      </c>
      <c r="M198" s="173"/>
      <c r="N198" s="173">
        <v>1</v>
      </c>
      <c r="O198" s="174"/>
      <c r="P198" s="175">
        <f t="shared" si="111"/>
        <v>2</v>
      </c>
      <c r="Q198" s="172"/>
      <c r="R198" s="173"/>
      <c r="S198" s="173"/>
      <c r="T198" s="174"/>
      <c r="U198" s="175">
        <f t="shared" si="112"/>
        <v>0</v>
      </c>
      <c r="V198" s="172"/>
      <c r="W198" s="173"/>
      <c r="X198" s="173"/>
      <c r="Y198" s="174"/>
      <c r="Z198" s="175">
        <f t="shared" si="113"/>
        <v>0</v>
      </c>
      <c r="AA198" s="172">
        <v>4</v>
      </c>
      <c r="AB198" s="173">
        <v>3</v>
      </c>
      <c r="AC198" s="173">
        <v>2</v>
      </c>
      <c r="AD198" s="174"/>
      <c r="AE198" s="175">
        <f t="shared" si="114"/>
        <v>9</v>
      </c>
      <c r="AF198" s="172"/>
      <c r="AG198" s="173"/>
      <c r="AH198" s="173"/>
      <c r="AI198" s="174"/>
      <c r="AJ198" s="175">
        <f t="shared" si="115"/>
        <v>0</v>
      </c>
      <c r="AK198" s="172"/>
      <c r="AL198" s="173"/>
      <c r="AM198" s="173"/>
      <c r="AN198" s="174"/>
      <c r="AO198" s="175">
        <f t="shared" si="116"/>
        <v>0</v>
      </c>
      <c r="AP198" s="172"/>
      <c r="AQ198" s="173"/>
      <c r="AR198" s="173">
        <v>1</v>
      </c>
      <c r="AS198" s="174"/>
      <c r="AT198" s="175">
        <f t="shared" si="117"/>
        <v>1</v>
      </c>
      <c r="AU198" s="172"/>
      <c r="AV198" s="173"/>
      <c r="AW198" s="173">
        <v>2</v>
      </c>
      <c r="AX198" s="174"/>
      <c r="AY198" s="175">
        <f t="shared" si="118"/>
        <v>2</v>
      </c>
      <c r="AZ198" s="172">
        <v>2</v>
      </c>
      <c r="BA198" s="173"/>
      <c r="BB198" s="173">
        <v>2</v>
      </c>
      <c r="BC198" s="174"/>
      <c r="BD198" s="175">
        <f t="shared" si="119"/>
        <v>4</v>
      </c>
      <c r="BE198" s="172">
        <v>2</v>
      </c>
      <c r="BF198" s="173">
        <v>2</v>
      </c>
      <c r="BG198" s="173">
        <v>5</v>
      </c>
      <c r="BH198" s="174"/>
      <c r="BI198" s="175">
        <f t="shared" si="120"/>
        <v>9</v>
      </c>
      <c r="BJ198" s="172"/>
      <c r="BK198" s="173"/>
      <c r="BL198" s="173"/>
      <c r="BM198" s="174"/>
      <c r="BN198" s="175">
        <f t="shared" si="121"/>
        <v>0</v>
      </c>
      <c r="BO198" s="177">
        <f>SUM(G198,L198,Q198,V198,AA198,AF198,AK198,AP198,AU198,AZ198,BE198,BJ198)</f>
        <v>9</v>
      </c>
      <c r="BP198" s="173">
        <f>SUM(H198,M198,R198,W198,AB198,AG198,AL198,AQ198,AV198,BA198,BF198,BK198)</f>
        <v>5</v>
      </c>
      <c r="BQ198" s="173">
        <f>SUM(I198,N198,S198,X198,AC198,AH198,AM198,AR198,AW198,BB198,BG198,BL198)</f>
        <v>13</v>
      </c>
      <c r="BR198" s="174">
        <f>SUM(J198,O198,T198,Y198,AD198,AI198,AN198,AS198,AX198,BC198,BH198,BM198)</f>
        <v>0</v>
      </c>
      <c r="BS198" s="176">
        <f t="shared" si="123"/>
        <v>27</v>
      </c>
    </row>
    <row r="199" spans="2:71" x14ac:dyDescent="0.3">
      <c r="B199" s="269"/>
      <c r="C199" s="230"/>
      <c r="D199" s="233"/>
      <c r="E199" s="220"/>
      <c r="F199" s="123" t="s">
        <v>113</v>
      </c>
      <c r="G199" s="34">
        <v>54</v>
      </c>
      <c r="H199" s="16">
        <v>6</v>
      </c>
      <c r="I199" s="16">
        <v>5</v>
      </c>
      <c r="J199" s="17"/>
      <c r="K199" s="18">
        <f t="shared" si="154"/>
        <v>65</v>
      </c>
      <c r="L199" s="34">
        <v>770</v>
      </c>
      <c r="M199" s="16">
        <v>145</v>
      </c>
      <c r="N199" s="16">
        <v>153</v>
      </c>
      <c r="O199" s="17"/>
      <c r="P199" s="18">
        <f t="shared" si="111"/>
        <v>1068</v>
      </c>
      <c r="Q199" s="34">
        <v>492</v>
      </c>
      <c r="R199" s="16">
        <v>36</v>
      </c>
      <c r="S199" s="16">
        <v>86</v>
      </c>
      <c r="T199" s="17"/>
      <c r="U199" s="18">
        <f t="shared" si="112"/>
        <v>614</v>
      </c>
      <c r="V199" s="34">
        <v>715</v>
      </c>
      <c r="W199" s="16">
        <v>39</v>
      </c>
      <c r="X199" s="16">
        <v>130</v>
      </c>
      <c r="Y199" s="17"/>
      <c r="Z199" s="18">
        <f t="shared" si="113"/>
        <v>884</v>
      </c>
      <c r="AA199" s="34">
        <v>613</v>
      </c>
      <c r="AB199" s="16">
        <v>13</v>
      </c>
      <c r="AC199" s="16">
        <v>85</v>
      </c>
      <c r="AD199" s="17"/>
      <c r="AE199" s="18">
        <f t="shared" si="114"/>
        <v>711</v>
      </c>
      <c r="AF199" s="34">
        <v>483</v>
      </c>
      <c r="AG199" s="16">
        <v>16</v>
      </c>
      <c r="AH199" s="16">
        <v>54</v>
      </c>
      <c r="AI199" s="17"/>
      <c r="AJ199" s="18">
        <f t="shared" si="115"/>
        <v>553</v>
      </c>
      <c r="AK199" s="34">
        <v>187</v>
      </c>
      <c r="AL199" s="16">
        <v>11</v>
      </c>
      <c r="AM199" s="16">
        <v>26</v>
      </c>
      <c r="AN199" s="17"/>
      <c r="AO199" s="18">
        <f t="shared" si="116"/>
        <v>224</v>
      </c>
      <c r="AP199" s="34">
        <v>250</v>
      </c>
      <c r="AQ199" s="16">
        <v>16</v>
      </c>
      <c r="AR199" s="16">
        <v>28</v>
      </c>
      <c r="AS199" s="17"/>
      <c r="AT199" s="18">
        <f t="shared" si="117"/>
        <v>294</v>
      </c>
      <c r="AU199" s="34">
        <v>418</v>
      </c>
      <c r="AV199" s="16">
        <v>13</v>
      </c>
      <c r="AW199" s="16">
        <v>41</v>
      </c>
      <c r="AX199" s="17"/>
      <c r="AY199" s="18">
        <f t="shared" si="118"/>
        <v>472</v>
      </c>
      <c r="AZ199" s="34">
        <v>624</v>
      </c>
      <c r="BA199" s="16">
        <v>31</v>
      </c>
      <c r="BB199" s="16">
        <v>75</v>
      </c>
      <c r="BC199" s="17"/>
      <c r="BD199" s="18">
        <f t="shared" si="119"/>
        <v>730</v>
      </c>
      <c r="BE199" s="34">
        <v>362</v>
      </c>
      <c r="BF199" s="16">
        <v>15</v>
      </c>
      <c r="BG199" s="16">
        <v>37</v>
      </c>
      <c r="BH199" s="17"/>
      <c r="BI199" s="18">
        <f t="shared" si="120"/>
        <v>414</v>
      </c>
      <c r="BJ199" s="34">
        <v>182</v>
      </c>
      <c r="BK199" s="16">
        <v>14</v>
      </c>
      <c r="BL199" s="16">
        <v>12</v>
      </c>
      <c r="BM199" s="17"/>
      <c r="BN199" s="18">
        <f t="shared" si="121"/>
        <v>208</v>
      </c>
      <c r="BO199" s="70">
        <f>SUM(G199,L199,Q199,V199,AA199,AF199,AK199,AP199,AU199,AZ199,BE199,BJ199)</f>
        <v>5150</v>
      </c>
      <c r="BP199" s="16">
        <f>SUM(H199,M199,R199,W199,AB199,AG199,AL199,AQ199,AV199,BA199,BF199,BK199)</f>
        <v>355</v>
      </c>
      <c r="BQ199" s="16">
        <f>SUM(I199,N199,S199,X199,AC199,AH199,AM199,AR199,AW199,BB199,BG199,BL199)</f>
        <v>732</v>
      </c>
      <c r="BR199" s="17">
        <f>SUM(J199,O199,T199,Y199,AD199,AI199,AN199,AS199,AX199,BC199,BH199,BM199)</f>
        <v>0</v>
      </c>
      <c r="BS199" s="35">
        <f t="shared" si="123"/>
        <v>6237</v>
      </c>
    </row>
    <row r="200" spans="2:71" x14ac:dyDescent="0.3">
      <c r="B200" s="269"/>
      <c r="C200" s="230"/>
      <c r="D200" s="233"/>
      <c r="E200" s="220"/>
      <c r="F200" s="123" t="s">
        <v>115</v>
      </c>
      <c r="G200" s="34"/>
      <c r="H200" s="16"/>
      <c r="I200" s="16"/>
      <c r="J200" s="17"/>
      <c r="K200" s="18">
        <f t="shared" si="154"/>
        <v>0</v>
      </c>
      <c r="L200" s="34">
        <v>39</v>
      </c>
      <c r="M200" s="16">
        <v>1</v>
      </c>
      <c r="N200" s="16">
        <v>10</v>
      </c>
      <c r="O200" s="17"/>
      <c r="P200" s="18">
        <f t="shared" si="111"/>
        <v>50</v>
      </c>
      <c r="Q200" s="34">
        <v>42</v>
      </c>
      <c r="R200" s="16">
        <v>2</v>
      </c>
      <c r="S200" s="16">
        <v>1</v>
      </c>
      <c r="T200" s="17"/>
      <c r="U200" s="18">
        <f t="shared" si="112"/>
        <v>45</v>
      </c>
      <c r="V200" s="34">
        <v>67</v>
      </c>
      <c r="W200" s="16">
        <v>1</v>
      </c>
      <c r="X200" s="16">
        <v>7</v>
      </c>
      <c r="Y200" s="17"/>
      <c r="Z200" s="18">
        <f t="shared" si="113"/>
        <v>75</v>
      </c>
      <c r="AA200" s="34">
        <v>47</v>
      </c>
      <c r="AB200" s="16"/>
      <c r="AC200" s="16">
        <v>7</v>
      </c>
      <c r="AD200" s="17"/>
      <c r="AE200" s="18">
        <f t="shared" si="114"/>
        <v>54</v>
      </c>
      <c r="AF200" s="34">
        <v>56</v>
      </c>
      <c r="AG200" s="16">
        <v>2</v>
      </c>
      <c r="AH200" s="16">
        <v>4</v>
      </c>
      <c r="AI200" s="17"/>
      <c r="AJ200" s="18">
        <f t="shared" si="115"/>
        <v>62</v>
      </c>
      <c r="AK200" s="34">
        <v>25</v>
      </c>
      <c r="AL200" s="16"/>
      <c r="AM200" s="16">
        <v>6</v>
      </c>
      <c r="AN200" s="17"/>
      <c r="AO200" s="18">
        <f t="shared" si="116"/>
        <v>31</v>
      </c>
      <c r="AP200" s="34">
        <v>22</v>
      </c>
      <c r="AQ200" s="16">
        <v>2</v>
      </c>
      <c r="AR200" s="16">
        <v>4</v>
      </c>
      <c r="AS200" s="17"/>
      <c r="AT200" s="18">
        <f t="shared" si="117"/>
        <v>28</v>
      </c>
      <c r="AU200" s="34">
        <v>51</v>
      </c>
      <c r="AV200" s="16">
        <v>2</v>
      </c>
      <c r="AW200" s="16">
        <v>2</v>
      </c>
      <c r="AX200" s="17"/>
      <c r="AY200" s="18">
        <f t="shared" si="118"/>
        <v>55</v>
      </c>
      <c r="AZ200" s="34">
        <v>45</v>
      </c>
      <c r="BA200" s="16">
        <v>1</v>
      </c>
      <c r="BB200" s="16">
        <v>5</v>
      </c>
      <c r="BC200" s="17"/>
      <c r="BD200" s="18">
        <f t="shared" si="119"/>
        <v>51</v>
      </c>
      <c r="BE200" s="34">
        <v>27</v>
      </c>
      <c r="BF200" s="16"/>
      <c r="BG200" s="16">
        <v>2</v>
      </c>
      <c r="BH200" s="17"/>
      <c r="BI200" s="18">
        <f t="shared" si="120"/>
        <v>29</v>
      </c>
      <c r="BJ200" s="34">
        <v>15</v>
      </c>
      <c r="BK200" s="16"/>
      <c r="BL200" s="16"/>
      <c r="BM200" s="17"/>
      <c r="BN200" s="18">
        <f t="shared" si="121"/>
        <v>15</v>
      </c>
      <c r="BO200" s="70">
        <f>SUM(G200,L200,Q200,V200,AA200,AF200,AK200,AP200,AU200,AZ200,BE200,BJ200)</f>
        <v>436</v>
      </c>
      <c r="BP200" s="16">
        <f>SUM(H200,M200,R200,W200,AB200,AG200,AL200,AQ200,AV200,BA200,BF200,BK200)</f>
        <v>11</v>
      </c>
      <c r="BQ200" s="16">
        <f>SUM(I200,N200,S200,X200,AC200,AH200,AM200,AR200,AW200,BB200,BG200,BL200)</f>
        <v>48</v>
      </c>
      <c r="BR200" s="17">
        <f>SUM(J200,O200,T200,Y200,AD200,AI200,AN200,AS200,AX200,BC200,BH200,BM200)</f>
        <v>0</v>
      </c>
      <c r="BS200" s="35">
        <f t="shared" si="123"/>
        <v>495</v>
      </c>
    </row>
    <row r="201" spans="2:71" x14ac:dyDescent="0.3">
      <c r="B201" s="269"/>
      <c r="C201" s="230"/>
      <c r="D201" s="233"/>
      <c r="E201" s="220"/>
      <c r="F201" s="123" t="s">
        <v>116</v>
      </c>
      <c r="G201" s="34">
        <v>35</v>
      </c>
      <c r="H201" s="16">
        <v>5</v>
      </c>
      <c r="I201" s="16">
        <v>9</v>
      </c>
      <c r="J201" s="17"/>
      <c r="K201" s="18">
        <f t="shared" si="154"/>
        <v>49</v>
      </c>
      <c r="L201" s="34">
        <v>566</v>
      </c>
      <c r="M201" s="16">
        <v>61</v>
      </c>
      <c r="N201" s="16">
        <v>82</v>
      </c>
      <c r="O201" s="17"/>
      <c r="P201" s="18">
        <f t="shared" si="111"/>
        <v>709</v>
      </c>
      <c r="Q201" s="34">
        <v>361</v>
      </c>
      <c r="R201" s="16">
        <v>12</v>
      </c>
      <c r="S201" s="16">
        <v>36</v>
      </c>
      <c r="T201" s="17"/>
      <c r="U201" s="18">
        <f t="shared" si="112"/>
        <v>409</v>
      </c>
      <c r="V201" s="34">
        <v>552</v>
      </c>
      <c r="W201" s="16">
        <v>14</v>
      </c>
      <c r="X201" s="16">
        <v>45</v>
      </c>
      <c r="Y201" s="17"/>
      <c r="Z201" s="18">
        <f t="shared" si="113"/>
        <v>611</v>
      </c>
      <c r="AA201" s="34">
        <v>483</v>
      </c>
      <c r="AB201" s="16">
        <v>10</v>
      </c>
      <c r="AC201" s="16">
        <v>40</v>
      </c>
      <c r="AD201" s="17"/>
      <c r="AE201" s="18">
        <f t="shared" si="114"/>
        <v>533</v>
      </c>
      <c r="AF201" s="34">
        <v>349</v>
      </c>
      <c r="AG201" s="16">
        <v>9</v>
      </c>
      <c r="AH201" s="16">
        <v>23</v>
      </c>
      <c r="AI201" s="17"/>
      <c r="AJ201" s="18">
        <f t="shared" si="115"/>
        <v>381</v>
      </c>
      <c r="AK201" s="34">
        <v>133</v>
      </c>
      <c r="AL201" s="16">
        <v>2</v>
      </c>
      <c r="AM201" s="16">
        <v>15</v>
      </c>
      <c r="AN201" s="17"/>
      <c r="AO201" s="18">
        <f t="shared" si="116"/>
        <v>150</v>
      </c>
      <c r="AP201" s="34">
        <v>149</v>
      </c>
      <c r="AQ201" s="16">
        <v>4</v>
      </c>
      <c r="AR201" s="16">
        <v>19</v>
      </c>
      <c r="AS201" s="17"/>
      <c r="AT201" s="18">
        <f t="shared" si="117"/>
        <v>172</v>
      </c>
      <c r="AU201" s="34">
        <v>298</v>
      </c>
      <c r="AV201" s="16">
        <v>6</v>
      </c>
      <c r="AW201" s="16">
        <v>26</v>
      </c>
      <c r="AX201" s="17"/>
      <c r="AY201" s="18">
        <f t="shared" si="118"/>
        <v>330</v>
      </c>
      <c r="AZ201" s="34">
        <v>439</v>
      </c>
      <c r="BA201" s="16">
        <v>12</v>
      </c>
      <c r="BB201" s="16">
        <v>61</v>
      </c>
      <c r="BC201" s="17"/>
      <c r="BD201" s="18">
        <f t="shared" si="119"/>
        <v>512</v>
      </c>
      <c r="BE201" s="34">
        <v>267</v>
      </c>
      <c r="BF201" s="16">
        <v>5</v>
      </c>
      <c r="BG201" s="16">
        <v>23</v>
      </c>
      <c r="BH201" s="17"/>
      <c r="BI201" s="18">
        <f t="shared" si="120"/>
        <v>295</v>
      </c>
      <c r="BJ201" s="34">
        <v>123</v>
      </c>
      <c r="BK201" s="16">
        <v>4</v>
      </c>
      <c r="BL201" s="16">
        <v>9</v>
      </c>
      <c r="BM201" s="17"/>
      <c r="BN201" s="18">
        <f t="shared" si="121"/>
        <v>136</v>
      </c>
      <c r="BO201" s="70">
        <f>SUM(G201,L201,Q201,V201,AA201,AF201,AK201,AP201,AU201,AZ201,BE201,BJ201)</f>
        <v>3755</v>
      </c>
      <c r="BP201" s="16">
        <f>SUM(H201,M201,R201,W201,AB201,AG201,AL201,AQ201,AV201,BA201,BF201,BK201)</f>
        <v>144</v>
      </c>
      <c r="BQ201" s="16">
        <f>SUM(I201,N201,S201,X201,AC201,AH201,AM201,AR201,AW201,BB201,BG201,BL201)</f>
        <v>388</v>
      </c>
      <c r="BR201" s="17">
        <f>SUM(J201,O201,T201,Y201,AD201,AI201,AN201,AS201,AX201,BC201,BH201,BM201)</f>
        <v>0</v>
      </c>
      <c r="BS201" s="35">
        <f t="shared" si="123"/>
        <v>4287</v>
      </c>
    </row>
    <row r="202" spans="2:71" x14ac:dyDescent="0.3">
      <c r="B202" s="269"/>
      <c r="C202" s="230"/>
      <c r="D202" s="233"/>
      <c r="E202" s="220"/>
      <c r="F202" s="123" t="s">
        <v>114</v>
      </c>
      <c r="G202" s="34"/>
      <c r="H202" s="16"/>
      <c r="I202" s="16"/>
      <c r="J202" s="17"/>
      <c r="K202" s="18">
        <f t="shared" si="154"/>
        <v>0</v>
      </c>
      <c r="L202" s="34">
        <v>27</v>
      </c>
      <c r="M202" s="16">
        <v>2</v>
      </c>
      <c r="N202" s="16">
        <v>8</v>
      </c>
      <c r="O202" s="17"/>
      <c r="P202" s="18">
        <f t="shared" si="111"/>
        <v>37</v>
      </c>
      <c r="Q202" s="34">
        <v>30</v>
      </c>
      <c r="R202" s="16"/>
      <c r="S202" s="16">
        <v>1</v>
      </c>
      <c r="T202" s="17"/>
      <c r="U202" s="18">
        <f t="shared" si="112"/>
        <v>31</v>
      </c>
      <c r="V202" s="34">
        <v>46</v>
      </c>
      <c r="W202" s="16">
        <v>1</v>
      </c>
      <c r="X202" s="16">
        <v>2</v>
      </c>
      <c r="Y202" s="17"/>
      <c r="Z202" s="18">
        <f t="shared" si="113"/>
        <v>49</v>
      </c>
      <c r="AA202" s="34">
        <v>35</v>
      </c>
      <c r="AB202" s="16"/>
      <c r="AC202" s="16">
        <v>1</v>
      </c>
      <c r="AD202" s="17"/>
      <c r="AE202" s="18">
        <f t="shared" si="114"/>
        <v>36</v>
      </c>
      <c r="AF202" s="34">
        <v>40</v>
      </c>
      <c r="AG202" s="16"/>
      <c r="AH202" s="16"/>
      <c r="AI202" s="17"/>
      <c r="AJ202" s="18">
        <f t="shared" si="115"/>
        <v>40</v>
      </c>
      <c r="AK202" s="34">
        <v>15</v>
      </c>
      <c r="AL202" s="16">
        <v>1</v>
      </c>
      <c r="AM202" s="16">
        <v>3</v>
      </c>
      <c r="AN202" s="17"/>
      <c r="AO202" s="18">
        <f t="shared" si="116"/>
        <v>19</v>
      </c>
      <c r="AP202" s="34">
        <v>16</v>
      </c>
      <c r="AQ202" s="16"/>
      <c r="AR202" s="16">
        <v>2</v>
      </c>
      <c r="AS202" s="17"/>
      <c r="AT202" s="18">
        <f t="shared" si="117"/>
        <v>18</v>
      </c>
      <c r="AU202" s="34">
        <v>35</v>
      </c>
      <c r="AV202" s="16">
        <v>1</v>
      </c>
      <c r="AW202" s="16">
        <v>7</v>
      </c>
      <c r="AX202" s="17"/>
      <c r="AY202" s="18">
        <f t="shared" si="118"/>
        <v>43</v>
      </c>
      <c r="AZ202" s="34">
        <v>32</v>
      </c>
      <c r="BA202" s="16">
        <v>1</v>
      </c>
      <c r="BB202" s="16">
        <v>1</v>
      </c>
      <c r="BC202" s="17"/>
      <c r="BD202" s="18">
        <f t="shared" si="119"/>
        <v>34</v>
      </c>
      <c r="BE202" s="34">
        <v>19</v>
      </c>
      <c r="BF202" s="16">
        <v>4</v>
      </c>
      <c r="BG202" s="16">
        <v>3</v>
      </c>
      <c r="BH202" s="17"/>
      <c r="BI202" s="18">
        <f t="shared" si="120"/>
        <v>26</v>
      </c>
      <c r="BJ202" s="34">
        <v>10</v>
      </c>
      <c r="BK202" s="16"/>
      <c r="BL202" s="16">
        <v>2</v>
      </c>
      <c r="BM202" s="17"/>
      <c r="BN202" s="18">
        <f t="shared" si="121"/>
        <v>12</v>
      </c>
      <c r="BO202" s="70">
        <f>SUM(G202,L202,Q202,V202,AA202,AF202,AK202,AP202,AU202,AZ202,BE202,BJ202)</f>
        <v>305</v>
      </c>
      <c r="BP202" s="16">
        <f>SUM(H202,M202,R202,W202,AB202,AG202,AL202,AQ202,AV202,BA202,BF202,BK202)</f>
        <v>10</v>
      </c>
      <c r="BQ202" s="16">
        <f>SUM(I202,N202,S202,X202,AC202,AH202,AM202,AR202,AW202,BB202,BG202,BL202)</f>
        <v>30</v>
      </c>
      <c r="BR202" s="17">
        <f>SUM(J202,O202,T202,Y202,AD202,AI202,AN202,AS202,AX202,BC202,BH202,BM202)</f>
        <v>0</v>
      </c>
      <c r="BS202" s="35">
        <f t="shared" si="123"/>
        <v>345</v>
      </c>
    </row>
    <row r="203" spans="2:71" x14ac:dyDescent="0.3">
      <c r="B203" s="269"/>
      <c r="C203" s="230"/>
      <c r="D203" s="233"/>
      <c r="E203" s="220"/>
      <c r="F203" s="123" t="s">
        <v>117</v>
      </c>
      <c r="G203" s="34"/>
      <c r="H203" s="16"/>
      <c r="I203" s="16"/>
      <c r="J203" s="17"/>
      <c r="K203" s="18">
        <f t="shared" si="154"/>
        <v>0</v>
      </c>
      <c r="L203" s="34">
        <v>3</v>
      </c>
      <c r="M203" s="16"/>
      <c r="N203" s="16"/>
      <c r="O203" s="17"/>
      <c r="P203" s="18">
        <f t="shared" si="111"/>
        <v>3</v>
      </c>
      <c r="Q203" s="34"/>
      <c r="R203" s="16"/>
      <c r="S203" s="16"/>
      <c r="T203" s="17"/>
      <c r="U203" s="18">
        <f t="shared" si="112"/>
        <v>0</v>
      </c>
      <c r="V203" s="34"/>
      <c r="W203" s="16"/>
      <c r="X203" s="16"/>
      <c r="Y203" s="17"/>
      <c r="Z203" s="18">
        <f t="shared" si="113"/>
        <v>0</v>
      </c>
      <c r="AA203" s="34"/>
      <c r="AB203" s="16"/>
      <c r="AC203" s="16"/>
      <c r="AD203" s="17"/>
      <c r="AE203" s="18">
        <f t="shared" si="114"/>
        <v>0</v>
      </c>
      <c r="AF203" s="34"/>
      <c r="AG203" s="16"/>
      <c r="AH203" s="16"/>
      <c r="AI203" s="17"/>
      <c r="AJ203" s="18">
        <f t="shared" si="115"/>
        <v>0</v>
      </c>
      <c r="AK203" s="34"/>
      <c r="AL203" s="16"/>
      <c r="AM203" s="16"/>
      <c r="AN203" s="17"/>
      <c r="AO203" s="18">
        <f t="shared" si="116"/>
        <v>0</v>
      </c>
      <c r="AP203" s="34"/>
      <c r="AQ203" s="16"/>
      <c r="AR203" s="16"/>
      <c r="AS203" s="17"/>
      <c r="AT203" s="18">
        <f t="shared" si="117"/>
        <v>0</v>
      </c>
      <c r="AU203" s="34"/>
      <c r="AV203" s="16"/>
      <c r="AW203" s="16"/>
      <c r="AX203" s="17"/>
      <c r="AY203" s="18">
        <f t="shared" si="118"/>
        <v>0</v>
      </c>
      <c r="AZ203" s="34"/>
      <c r="BA203" s="16"/>
      <c r="BB203" s="16"/>
      <c r="BC203" s="17"/>
      <c r="BD203" s="18">
        <f t="shared" si="119"/>
        <v>0</v>
      </c>
      <c r="BE203" s="34"/>
      <c r="BF203" s="16"/>
      <c r="BG203" s="16">
        <v>1</v>
      </c>
      <c r="BH203" s="17"/>
      <c r="BI203" s="18">
        <f t="shared" si="120"/>
        <v>1</v>
      </c>
      <c r="BJ203" s="34"/>
      <c r="BK203" s="16"/>
      <c r="BL203" s="16"/>
      <c r="BM203" s="17"/>
      <c r="BN203" s="18">
        <f t="shared" si="121"/>
        <v>0</v>
      </c>
      <c r="BO203" s="70">
        <f>SUM(G203,L203,Q203,V203,AA203,AF203,AK203,AP203,AU203,AZ203,BE203,BJ203)</f>
        <v>3</v>
      </c>
      <c r="BP203" s="16">
        <f>SUM(H203,M203,R203,W203,AB203,AG203,AL203,AQ203,AV203,BA203,BF203,BK203)</f>
        <v>0</v>
      </c>
      <c r="BQ203" s="16">
        <f>SUM(I203,N203,S203,X203,AC203,AH203,AM203,AR203,AW203,BB203,BG203,BL203)</f>
        <v>1</v>
      </c>
      <c r="BR203" s="17">
        <f>SUM(J203,O203,T203,Y203,AD203,AI203,AN203,AS203,AX203,BC203,BH203,BM203)</f>
        <v>0</v>
      </c>
      <c r="BS203" s="35">
        <f t="shared" si="123"/>
        <v>4</v>
      </c>
    </row>
    <row r="204" spans="2:71" x14ac:dyDescent="0.3">
      <c r="B204" s="269"/>
      <c r="C204" s="230"/>
      <c r="D204" s="233"/>
      <c r="E204" s="220"/>
      <c r="F204" s="123" t="s">
        <v>138</v>
      </c>
      <c r="G204" s="34"/>
      <c r="H204" s="16"/>
      <c r="I204" s="16"/>
      <c r="J204" s="17"/>
      <c r="K204" s="18">
        <f t="shared" si="154"/>
        <v>0</v>
      </c>
      <c r="L204" s="34"/>
      <c r="M204" s="16"/>
      <c r="N204" s="16"/>
      <c r="O204" s="17"/>
      <c r="P204" s="18">
        <f t="shared" si="111"/>
        <v>0</v>
      </c>
      <c r="Q204" s="34"/>
      <c r="R204" s="16"/>
      <c r="S204" s="16"/>
      <c r="T204" s="17"/>
      <c r="U204" s="18">
        <f t="shared" si="112"/>
        <v>0</v>
      </c>
      <c r="V204" s="34">
        <v>1</v>
      </c>
      <c r="W204" s="16"/>
      <c r="X204" s="16">
        <v>1</v>
      </c>
      <c r="Y204" s="17"/>
      <c r="Z204" s="18">
        <f t="shared" si="113"/>
        <v>2</v>
      </c>
      <c r="AA204" s="34"/>
      <c r="AB204" s="16"/>
      <c r="AC204" s="16"/>
      <c r="AD204" s="17"/>
      <c r="AE204" s="18">
        <f t="shared" si="114"/>
        <v>0</v>
      </c>
      <c r="AF204" s="34"/>
      <c r="AG204" s="16"/>
      <c r="AH204" s="16"/>
      <c r="AI204" s="17"/>
      <c r="AJ204" s="18">
        <f t="shared" si="115"/>
        <v>0</v>
      </c>
      <c r="AK204" s="34"/>
      <c r="AL204" s="16"/>
      <c r="AM204" s="16"/>
      <c r="AN204" s="17"/>
      <c r="AO204" s="18">
        <f t="shared" si="116"/>
        <v>0</v>
      </c>
      <c r="AP204" s="34"/>
      <c r="AQ204" s="16"/>
      <c r="AR204" s="16"/>
      <c r="AS204" s="17"/>
      <c r="AT204" s="18">
        <f t="shared" si="117"/>
        <v>0</v>
      </c>
      <c r="AU204" s="34"/>
      <c r="AV204" s="16"/>
      <c r="AW204" s="16"/>
      <c r="AX204" s="17"/>
      <c r="AY204" s="18">
        <f t="shared" si="118"/>
        <v>0</v>
      </c>
      <c r="AZ204" s="34"/>
      <c r="BA204" s="16"/>
      <c r="BB204" s="16"/>
      <c r="BC204" s="17"/>
      <c r="BD204" s="18">
        <f t="shared" si="119"/>
        <v>0</v>
      </c>
      <c r="BE204" s="34"/>
      <c r="BF204" s="16"/>
      <c r="BG204" s="16"/>
      <c r="BH204" s="17"/>
      <c r="BI204" s="18">
        <f t="shared" si="120"/>
        <v>0</v>
      </c>
      <c r="BJ204" s="34"/>
      <c r="BK204" s="16"/>
      <c r="BL204" s="16"/>
      <c r="BM204" s="17"/>
      <c r="BN204" s="18">
        <f t="shared" si="121"/>
        <v>0</v>
      </c>
      <c r="BO204" s="70">
        <f>SUM(G204,L204,Q204,V204,AA204,AF204,AK204,AP204,AU204,AZ204,BE204,BJ204)</f>
        <v>1</v>
      </c>
      <c r="BP204" s="16">
        <f>SUM(H204,M204,R204,W204,AB204,AG204,AL204,AQ204,AV204,BA204,BF204,BK204)</f>
        <v>0</v>
      </c>
      <c r="BQ204" s="16">
        <f>SUM(I204,N204,S204,X204,AC204,AH204,AM204,AR204,AW204,BB204,BG204,BL204)</f>
        <v>1</v>
      </c>
      <c r="BR204" s="17">
        <f>SUM(J204,O204,T204,Y204,AD204,AI204,AN204,AS204,AX204,BC204,BH204,BM204)</f>
        <v>0</v>
      </c>
      <c r="BS204" s="35">
        <f t="shared" si="123"/>
        <v>2</v>
      </c>
    </row>
    <row r="205" spans="2:71" x14ac:dyDescent="0.3">
      <c r="B205" s="269"/>
      <c r="C205" s="230"/>
      <c r="D205" s="233"/>
      <c r="E205" s="220"/>
      <c r="F205" s="123" t="s">
        <v>471</v>
      </c>
      <c r="G205" s="34"/>
      <c r="H205" s="16"/>
      <c r="I205" s="16"/>
      <c r="J205" s="17"/>
      <c r="K205" s="18">
        <f t="shared" si="154"/>
        <v>0</v>
      </c>
      <c r="L205" s="34"/>
      <c r="M205" s="16"/>
      <c r="N205" s="16"/>
      <c r="O205" s="17"/>
      <c r="P205" s="18">
        <f t="shared" si="111"/>
        <v>0</v>
      </c>
      <c r="Q205" s="34"/>
      <c r="R205" s="16"/>
      <c r="S205" s="16"/>
      <c r="T205" s="17"/>
      <c r="U205" s="18">
        <f t="shared" si="112"/>
        <v>0</v>
      </c>
      <c r="V205" s="34"/>
      <c r="W205" s="16"/>
      <c r="X205" s="16"/>
      <c r="Y205" s="17"/>
      <c r="Z205" s="18">
        <f t="shared" si="113"/>
        <v>0</v>
      </c>
      <c r="AA205" s="34"/>
      <c r="AB205" s="16"/>
      <c r="AC205" s="16"/>
      <c r="AD205" s="17"/>
      <c r="AE205" s="18">
        <f t="shared" si="114"/>
        <v>0</v>
      </c>
      <c r="AF205" s="34"/>
      <c r="AG205" s="16"/>
      <c r="AH205" s="16">
        <v>1</v>
      </c>
      <c r="AI205" s="17"/>
      <c r="AJ205" s="18">
        <f t="shared" si="115"/>
        <v>1</v>
      </c>
      <c r="AK205" s="34"/>
      <c r="AL205" s="16"/>
      <c r="AM205" s="16">
        <v>2</v>
      </c>
      <c r="AN205" s="17"/>
      <c r="AO205" s="18">
        <f t="shared" si="116"/>
        <v>2</v>
      </c>
      <c r="AP205" s="34"/>
      <c r="AQ205" s="16"/>
      <c r="AR205" s="16"/>
      <c r="AS205" s="17"/>
      <c r="AT205" s="18">
        <f t="shared" si="117"/>
        <v>0</v>
      </c>
      <c r="AU205" s="34"/>
      <c r="AV205" s="16"/>
      <c r="AW205" s="16"/>
      <c r="AX205" s="17"/>
      <c r="AY205" s="18">
        <f t="shared" si="118"/>
        <v>0</v>
      </c>
      <c r="AZ205" s="34"/>
      <c r="BA205" s="16"/>
      <c r="BB205" s="16"/>
      <c r="BC205" s="17"/>
      <c r="BD205" s="18">
        <f t="shared" si="119"/>
        <v>0</v>
      </c>
      <c r="BE205" s="34"/>
      <c r="BF205" s="16"/>
      <c r="BG205" s="16"/>
      <c r="BH205" s="17"/>
      <c r="BI205" s="18">
        <f t="shared" si="120"/>
        <v>0</v>
      </c>
      <c r="BJ205" s="34"/>
      <c r="BK205" s="16"/>
      <c r="BL205" s="16"/>
      <c r="BM205" s="17"/>
      <c r="BN205" s="18">
        <f t="shared" si="121"/>
        <v>0</v>
      </c>
      <c r="BO205" s="70">
        <f>SUM(G205,L205,Q205,V205,AA205,AF205,AK205,AP205,AU205,AZ205,BE205,BJ205)</f>
        <v>0</v>
      </c>
      <c r="BP205" s="16">
        <f>SUM(H205,M205,R205,W205,AB205,AG205,AL205,AQ205,AV205,BA205,BF205,BK205)</f>
        <v>0</v>
      </c>
      <c r="BQ205" s="16">
        <f>SUM(I205,N205,S205,X205,AC205,AH205,AM205,AR205,AW205,BB205,BG205,BL205)</f>
        <v>3</v>
      </c>
      <c r="BR205" s="17">
        <f>SUM(J205,O205,T205,Y205,AD205,AI205,AN205,AS205,AX205,BC205,BH205,BM205)</f>
        <v>0</v>
      </c>
      <c r="BS205" s="35">
        <f t="shared" si="123"/>
        <v>3</v>
      </c>
    </row>
    <row r="206" spans="2:71" x14ac:dyDescent="0.3">
      <c r="B206" s="269"/>
      <c r="C206" s="230"/>
      <c r="D206" s="233"/>
      <c r="E206" s="220"/>
      <c r="F206" s="123" t="s">
        <v>384</v>
      </c>
      <c r="G206" s="34">
        <v>2</v>
      </c>
      <c r="H206" s="16"/>
      <c r="I206" s="16">
        <v>2</v>
      </c>
      <c r="J206" s="17"/>
      <c r="K206" s="18">
        <f t="shared" si="154"/>
        <v>4</v>
      </c>
      <c r="L206" s="34"/>
      <c r="M206" s="16"/>
      <c r="N206" s="16">
        <v>1</v>
      </c>
      <c r="O206" s="17"/>
      <c r="P206" s="18">
        <f t="shared" si="111"/>
        <v>1</v>
      </c>
      <c r="Q206" s="34"/>
      <c r="R206" s="16"/>
      <c r="S206" s="16">
        <v>1</v>
      </c>
      <c r="T206" s="17"/>
      <c r="U206" s="18">
        <f t="shared" si="112"/>
        <v>1</v>
      </c>
      <c r="V206" s="34">
        <v>3</v>
      </c>
      <c r="W206" s="16"/>
      <c r="X206" s="16">
        <v>5</v>
      </c>
      <c r="Y206" s="17"/>
      <c r="Z206" s="18">
        <f t="shared" si="113"/>
        <v>8</v>
      </c>
      <c r="AA206" s="34">
        <v>6</v>
      </c>
      <c r="AB206" s="16"/>
      <c r="AC206" s="16">
        <v>8</v>
      </c>
      <c r="AD206" s="17"/>
      <c r="AE206" s="18">
        <f t="shared" si="114"/>
        <v>14</v>
      </c>
      <c r="AF206" s="34">
        <v>2</v>
      </c>
      <c r="AG206" s="16"/>
      <c r="AH206" s="16">
        <v>6</v>
      </c>
      <c r="AI206" s="17"/>
      <c r="AJ206" s="18">
        <f t="shared" si="115"/>
        <v>8</v>
      </c>
      <c r="AK206" s="34">
        <v>2</v>
      </c>
      <c r="AL206" s="16"/>
      <c r="AM206" s="16">
        <v>3</v>
      </c>
      <c r="AN206" s="17"/>
      <c r="AO206" s="18">
        <f t="shared" si="116"/>
        <v>5</v>
      </c>
      <c r="AP206" s="34"/>
      <c r="AQ206" s="16"/>
      <c r="AR206" s="16"/>
      <c r="AS206" s="17"/>
      <c r="AT206" s="18">
        <f t="shared" si="117"/>
        <v>0</v>
      </c>
      <c r="AU206" s="34">
        <v>4</v>
      </c>
      <c r="AV206" s="16">
        <v>1</v>
      </c>
      <c r="AW206" s="16">
        <v>7</v>
      </c>
      <c r="AX206" s="17"/>
      <c r="AY206" s="18">
        <f t="shared" si="118"/>
        <v>12</v>
      </c>
      <c r="AZ206" s="34">
        <v>3</v>
      </c>
      <c r="BA206" s="16"/>
      <c r="BB206" s="16">
        <v>7</v>
      </c>
      <c r="BC206" s="17"/>
      <c r="BD206" s="18">
        <f t="shared" si="119"/>
        <v>10</v>
      </c>
      <c r="BE206" s="34">
        <v>2</v>
      </c>
      <c r="BF206" s="16"/>
      <c r="BG206" s="16">
        <v>6</v>
      </c>
      <c r="BH206" s="17"/>
      <c r="BI206" s="18">
        <f t="shared" si="120"/>
        <v>8</v>
      </c>
      <c r="BJ206" s="34">
        <v>2</v>
      </c>
      <c r="BK206" s="16"/>
      <c r="BL206" s="16">
        <v>5</v>
      </c>
      <c r="BM206" s="17"/>
      <c r="BN206" s="18">
        <f t="shared" si="121"/>
        <v>7</v>
      </c>
      <c r="BO206" s="70">
        <f>SUM(G206,L206,Q206,V206,AA206,AF206,AK206,AP206,AU206,AZ206,BE206,BJ206)</f>
        <v>26</v>
      </c>
      <c r="BP206" s="16">
        <f>SUM(H206,M206,R206,W206,AB206,AG206,AL206,AQ206,AV206,BA206,BF206,BK206)</f>
        <v>1</v>
      </c>
      <c r="BQ206" s="16">
        <f>SUM(I206,N206,S206,X206,AC206,AH206,AM206,AR206,AW206,BB206,BG206,BL206)</f>
        <v>51</v>
      </c>
      <c r="BR206" s="17">
        <f>SUM(J206,O206,T206,Y206,AD206,AI206,AN206,AS206,AX206,BC206,BH206,BM206)</f>
        <v>0</v>
      </c>
      <c r="BS206" s="35">
        <f t="shared" si="123"/>
        <v>78</v>
      </c>
    </row>
    <row r="207" spans="2:71" x14ac:dyDescent="0.3">
      <c r="B207" s="269"/>
      <c r="C207" s="230"/>
      <c r="D207" s="233"/>
      <c r="E207" s="220"/>
      <c r="F207" s="123" t="s">
        <v>385</v>
      </c>
      <c r="G207" s="34"/>
      <c r="H207" s="16"/>
      <c r="I207" s="16">
        <v>2</v>
      </c>
      <c r="J207" s="17"/>
      <c r="K207" s="18">
        <f t="shared" si="154"/>
        <v>2</v>
      </c>
      <c r="L207" s="34"/>
      <c r="M207" s="16"/>
      <c r="N207" s="16"/>
      <c r="O207" s="17"/>
      <c r="P207" s="18">
        <f t="shared" si="111"/>
        <v>0</v>
      </c>
      <c r="Q207" s="34"/>
      <c r="R207" s="16"/>
      <c r="S207" s="16"/>
      <c r="T207" s="17"/>
      <c r="U207" s="18">
        <f t="shared" si="112"/>
        <v>0</v>
      </c>
      <c r="V207" s="34">
        <v>1</v>
      </c>
      <c r="W207" s="16"/>
      <c r="X207" s="16"/>
      <c r="Y207" s="17"/>
      <c r="Z207" s="18">
        <f t="shared" si="113"/>
        <v>1</v>
      </c>
      <c r="AA207" s="34">
        <v>2</v>
      </c>
      <c r="AB207" s="16"/>
      <c r="AC207" s="16">
        <v>5</v>
      </c>
      <c r="AD207" s="17"/>
      <c r="AE207" s="18">
        <f t="shared" si="114"/>
        <v>7</v>
      </c>
      <c r="AF207" s="34"/>
      <c r="AG207" s="16"/>
      <c r="AH207" s="16">
        <v>2</v>
      </c>
      <c r="AI207" s="17"/>
      <c r="AJ207" s="18">
        <f t="shared" si="115"/>
        <v>2</v>
      </c>
      <c r="AK207" s="34"/>
      <c r="AL207" s="16"/>
      <c r="AM207" s="16"/>
      <c r="AN207" s="17"/>
      <c r="AO207" s="18">
        <f t="shared" si="116"/>
        <v>0</v>
      </c>
      <c r="AP207" s="34"/>
      <c r="AQ207" s="16"/>
      <c r="AR207" s="16"/>
      <c r="AS207" s="17"/>
      <c r="AT207" s="18">
        <f t="shared" si="117"/>
        <v>0</v>
      </c>
      <c r="AU207" s="34">
        <v>1</v>
      </c>
      <c r="AV207" s="16"/>
      <c r="AW207" s="16">
        <v>5</v>
      </c>
      <c r="AX207" s="17"/>
      <c r="AY207" s="18">
        <f t="shared" si="118"/>
        <v>6</v>
      </c>
      <c r="AZ207" s="34">
        <v>1</v>
      </c>
      <c r="BA207" s="16"/>
      <c r="BB207" s="16">
        <v>2</v>
      </c>
      <c r="BC207" s="17"/>
      <c r="BD207" s="18">
        <f t="shared" si="119"/>
        <v>3</v>
      </c>
      <c r="BE207" s="34">
        <v>2</v>
      </c>
      <c r="BF207" s="16"/>
      <c r="BG207" s="16">
        <v>2</v>
      </c>
      <c r="BH207" s="17"/>
      <c r="BI207" s="18">
        <f t="shared" si="120"/>
        <v>4</v>
      </c>
      <c r="BJ207" s="34"/>
      <c r="BK207" s="16"/>
      <c r="BL207" s="16">
        <v>2</v>
      </c>
      <c r="BM207" s="17"/>
      <c r="BN207" s="18">
        <f t="shared" si="121"/>
        <v>2</v>
      </c>
      <c r="BO207" s="70">
        <f>SUM(G207,L207,Q207,V207,AA207,AF207,AK207,AP207,AU207,AZ207,BE207,BJ207)</f>
        <v>7</v>
      </c>
      <c r="BP207" s="16">
        <f>SUM(H207,M207,R207,W207,AB207,AG207,AL207,AQ207,AV207,BA207,BF207,BK207)</f>
        <v>0</v>
      </c>
      <c r="BQ207" s="16">
        <f>SUM(I207,N207,S207,X207,AC207,AH207,AM207,AR207,AW207,BB207,BG207,BL207)</f>
        <v>20</v>
      </c>
      <c r="BR207" s="17">
        <f>SUM(J207,O207,T207,Y207,AD207,AI207,AN207,AS207,AX207,BC207,BH207,BM207)</f>
        <v>0</v>
      </c>
      <c r="BS207" s="35">
        <f t="shared" si="123"/>
        <v>27</v>
      </c>
    </row>
    <row r="208" spans="2:71" x14ac:dyDescent="0.3">
      <c r="B208" s="269"/>
      <c r="C208" s="230"/>
      <c r="D208" s="233"/>
      <c r="E208" s="220"/>
      <c r="F208" s="123" t="s">
        <v>386</v>
      </c>
      <c r="G208" s="34"/>
      <c r="H208" s="16"/>
      <c r="I208" s="16"/>
      <c r="J208" s="17"/>
      <c r="K208" s="18">
        <f t="shared" si="154"/>
        <v>0</v>
      </c>
      <c r="L208" s="34"/>
      <c r="M208" s="16"/>
      <c r="N208" s="16"/>
      <c r="O208" s="17"/>
      <c r="P208" s="18">
        <f t="shared" si="111"/>
        <v>0</v>
      </c>
      <c r="Q208" s="34"/>
      <c r="R208" s="16"/>
      <c r="S208" s="16"/>
      <c r="T208" s="17"/>
      <c r="U208" s="18">
        <f t="shared" si="112"/>
        <v>0</v>
      </c>
      <c r="V208" s="34">
        <v>1</v>
      </c>
      <c r="W208" s="16"/>
      <c r="X208" s="16">
        <v>1</v>
      </c>
      <c r="Y208" s="17"/>
      <c r="Z208" s="18">
        <f t="shared" si="113"/>
        <v>2</v>
      </c>
      <c r="AA208" s="34"/>
      <c r="AB208" s="16"/>
      <c r="AC208" s="16">
        <v>2</v>
      </c>
      <c r="AD208" s="17"/>
      <c r="AE208" s="18">
        <f t="shared" si="114"/>
        <v>2</v>
      </c>
      <c r="AF208" s="34"/>
      <c r="AG208" s="16"/>
      <c r="AH208" s="16"/>
      <c r="AI208" s="17"/>
      <c r="AJ208" s="18">
        <f t="shared" si="115"/>
        <v>0</v>
      </c>
      <c r="AK208" s="34"/>
      <c r="AL208" s="16"/>
      <c r="AM208" s="16"/>
      <c r="AN208" s="17"/>
      <c r="AO208" s="18">
        <f t="shared" si="116"/>
        <v>0</v>
      </c>
      <c r="AP208" s="34"/>
      <c r="AQ208" s="16"/>
      <c r="AR208" s="16"/>
      <c r="AS208" s="17"/>
      <c r="AT208" s="18">
        <f t="shared" si="117"/>
        <v>0</v>
      </c>
      <c r="AU208" s="34"/>
      <c r="AV208" s="16"/>
      <c r="AW208" s="16"/>
      <c r="AX208" s="17"/>
      <c r="AY208" s="18">
        <f t="shared" si="118"/>
        <v>0</v>
      </c>
      <c r="AZ208" s="34">
        <v>1</v>
      </c>
      <c r="BA208" s="16"/>
      <c r="BB208" s="16">
        <v>1</v>
      </c>
      <c r="BC208" s="17"/>
      <c r="BD208" s="18">
        <f t="shared" si="119"/>
        <v>2</v>
      </c>
      <c r="BE208" s="34">
        <v>3</v>
      </c>
      <c r="BF208" s="16"/>
      <c r="BG208" s="16">
        <v>4</v>
      </c>
      <c r="BH208" s="17"/>
      <c r="BI208" s="18">
        <f t="shared" si="120"/>
        <v>7</v>
      </c>
      <c r="BJ208" s="34"/>
      <c r="BK208" s="16"/>
      <c r="BL208" s="16"/>
      <c r="BM208" s="17"/>
      <c r="BN208" s="18">
        <f t="shared" si="121"/>
        <v>0</v>
      </c>
      <c r="BO208" s="70">
        <f>SUM(G208,L208,Q208,V208,AA208,AF208,AK208,AP208,AU208,AZ208,BE208,BJ208)</f>
        <v>5</v>
      </c>
      <c r="BP208" s="16">
        <f>SUM(H208,M208,R208,W208,AB208,AG208,AL208,AQ208,AV208,BA208,BF208,BK208)</f>
        <v>0</v>
      </c>
      <c r="BQ208" s="16">
        <f>SUM(I208,N208,S208,X208,AC208,AH208,AM208,AR208,AW208,BB208,BG208,BL208)</f>
        <v>8</v>
      </c>
      <c r="BR208" s="17">
        <f>SUM(J208,O208,T208,Y208,AD208,AI208,AN208,AS208,AX208,BC208,BH208,BM208)</f>
        <v>0</v>
      </c>
      <c r="BS208" s="35">
        <f t="shared" si="123"/>
        <v>13</v>
      </c>
    </row>
    <row r="209" spans="2:71" x14ac:dyDescent="0.3">
      <c r="B209" s="269"/>
      <c r="C209" s="230"/>
      <c r="D209" s="233"/>
      <c r="E209" s="220"/>
      <c r="F209" s="123" t="s">
        <v>387</v>
      </c>
      <c r="G209" s="34"/>
      <c r="H209" s="16"/>
      <c r="I209" s="16"/>
      <c r="J209" s="17"/>
      <c r="K209" s="18">
        <f t="shared" si="154"/>
        <v>0</v>
      </c>
      <c r="L209" s="34"/>
      <c r="M209" s="16"/>
      <c r="N209" s="16"/>
      <c r="O209" s="17"/>
      <c r="P209" s="18">
        <f t="shared" si="111"/>
        <v>0</v>
      </c>
      <c r="Q209" s="34"/>
      <c r="R209" s="16"/>
      <c r="S209" s="16"/>
      <c r="T209" s="17"/>
      <c r="U209" s="18">
        <f t="shared" si="112"/>
        <v>0</v>
      </c>
      <c r="V209" s="34">
        <v>2</v>
      </c>
      <c r="W209" s="16"/>
      <c r="X209" s="16">
        <v>1</v>
      </c>
      <c r="Y209" s="17"/>
      <c r="Z209" s="18">
        <f t="shared" si="113"/>
        <v>3</v>
      </c>
      <c r="AA209" s="34"/>
      <c r="AB209" s="16"/>
      <c r="AC209" s="16"/>
      <c r="AD209" s="17"/>
      <c r="AE209" s="18">
        <f t="shared" si="114"/>
        <v>0</v>
      </c>
      <c r="AF209" s="34"/>
      <c r="AG209" s="16"/>
      <c r="AH209" s="16"/>
      <c r="AI209" s="17"/>
      <c r="AJ209" s="18">
        <f t="shared" si="115"/>
        <v>0</v>
      </c>
      <c r="AK209" s="34"/>
      <c r="AL209" s="16"/>
      <c r="AM209" s="16"/>
      <c r="AN209" s="17"/>
      <c r="AO209" s="18">
        <f t="shared" si="116"/>
        <v>0</v>
      </c>
      <c r="AP209" s="34"/>
      <c r="AQ209" s="16"/>
      <c r="AR209" s="16"/>
      <c r="AS209" s="17"/>
      <c r="AT209" s="18">
        <f t="shared" si="117"/>
        <v>0</v>
      </c>
      <c r="AU209" s="34"/>
      <c r="AV209" s="16"/>
      <c r="AW209" s="16"/>
      <c r="AX209" s="17"/>
      <c r="AY209" s="18">
        <f t="shared" si="118"/>
        <v>0</v>
      </c>
      <c r="AZ209" s="34"/>
      <c r="BA209" s="16"/>
      <c r="BB209" s="16">
        <v>1</v>
      </c>
      <c r="BC209" s="17"/>
      <c r="BD209" s="18">
        <f t="shared" si="119"/>
        <v>1</v>
      </c>
      <c r="BE209" s="34"/>
      <c r="BF209" s="16"/>
      <c r="BG209" s="16">
        <v>1</v>
      </c>
      <c r="BH209" s="17"/>
      <c r="BI209" s="18">
        <f t="shared" si="120"/>
        <v>1</v>
      </c>
      <c r="BJ209" s="34"/>
      <c r="BK209" s="16"/>
      <c r="BL209" s="16"/>
      <c r="BM209" s="17"/>
      <c r="BN209" s="18">
        <f t="shared" si="121"/>
        <v>0</v>
      </c>
      <c r="BO209" s="70">
        <f>SUM(G209,L209,Q209,V209,AA209,AF209,AK209,AP209,AU209,AZ209,BE209,BJ209)</f>
        <v>2</v>
      </c>
      <c r="BP209" s="16">
        <f>SUM(H209,M209,R209,W209,AB209,AG209,AL209,AQ209,AV209,BA209,BF209,BK209)</f>
        <v>0</v>
      </c>
      <c r="BQ209" s="16">
        <f>SUM(I209,N209,S209,X209,AC209,AH209,AM209,AR209,AW209,BB209,BG209,BL209)</f>
        <v>3</v>
      </c>
      <c r="BR209" s="17">
        <f>SUM(J209,O209,T209,Y209,AD209,AI209,AN209,AS209,AX209,BC209,BH209,BM209)</f>
        <v>0</v>
      </c>
      <c r="BS209" s="35">
        <f t="shared" si="123"/>
        <v>5</v>
      </c>
    </row>
    <row r="210" spans="2:71" x14ac:dyDescent="0.3">
      <c r="B210" s="269"/>
      <c r="C210" s="230"/>
      <c r="D210" s="233"/>
      <c r="E210" s="220"/>
      <c r="F210" s="123" t="s">
        <v>388</v>
      </c>
      <c r="G210" s="34">
        <v>2</v>
      </c>
      <c r="H210" s="16"/>
      <c r="I210" s="16">
        <v>1</v>
      </c>
      <c r="J210" s="17"/>
      <c r="K210" s="18">
        <f t="shared" si="154"/>
        <v>3</v>
      </c>
      <c r="L210" s="34">
        <v>2</v>
      </c>
      <c r="M210" s="16"/>
      <c r="N210" s="16">
        <v>1</v>
      </c>
      <c r="O210" s="17"/>
      <c r="P210" s="18">
        <f t="shared" si="111"/>
        <v>3</v>
      </c>
      <c r="Q210" s="34">
        <v>10</v>
      </c>
      <c r="R210" s="16">
        <v>2</v>
      </c>
      <c r="S210" s="16">
        <v>26</v>
      </c>
      <c r="T210" s="17"/>
      <c r="U210" s="18">
        <f t="shared" si="112"/>
        <v>38</v>
      </c>
      <c r="V210" s="34">
        <v>7</v>
      </c>
      <c r="W210" s="16">
        <v>1</v>
      </c>
      <c r="X210" s="16">
        <v>18</v>
      </c>
      <c r="Y210" s="17"/>
      <c r="Z210" s="18">
        <f t="shared" si="113"/>
        <v>26</v>
      </c>
      <c r="AA210" s="34">
        <v>12</v>
      </c>
      <c r="AB210" s="16">
        <v>1</v>
      </c>
      <c r="AC210" s="16">
        <v>27</v>
      </c>
      <c r="AD210" s="17"/>
      <c r="AE210" s="18">
        <f t="shared" si="114"/>
        <v>40</v>
      </c>
      <c r="AF210" s="34">
        <v>9</v>
      </c>
      <c r="AG210" s="16">
        <v>3</v>
      </c>
      <c r="AH210" s="16">
        <v>8</v>
      </c>
      <c r="AI210" s="17"/>
      <c r="AJ210" s="18">
        <f t="shared" si="115"/>
        <v>20</v>
      </c>
      <c r="AK210" s="34">
        <v>7</v>
      </c>
      <c r="AL210" s="16"/>
      <c r="AM210" s="16">
        <v>19</v>
      </c>
      <c r="AN210" s="17"/>
      <c r="AO210" s="18">
        <f t="shared" si="116"/>
        <v>26</v>
      </c>
      <c r="AP210" s="34">
        <v>2</v>
      </c>
      <c r="AQ210" s="16"/>
      <c r="AR210" s="16">
        <v>12</v>
      </c>
      <c r="AS210" s="17"/>
      <c r="AT210" s="18">
        <f t="shared" si="117"/>
        <v>14</v>
      </c>
      <c r="AU210" s="34">
        <v>7</v>
      </c>
      <c r="AV210" s="16"/>
      <c r="AW210" s="16">
        <v>29</v>
      </c>
      <c r="AX210" s="17"/>
      <c r="AY210" s="18">
        <f t="shared" si="118"/>
        <v>36</v>
      </c>
      <c r="AZ210" s="34">
        <v>13</v>
      </c>
      <c r="BA210" s="16">
        <v>2</v>
      </c>
      <c r="BB210" s="16">
        <v>36</v>
      </c>
      <c r="BC210" s="17"/>
      <c r="BD210" s="18">
        <f t="shared" si="119"/>
        <v>51</v>
      </c>
      <c r="BE210" s="34">
        <v>2</v>
      </c>
      <c r="BF210" s="16">
        <v>1</v>
      </c>
      <c r="BG210" s="16">
        <v>14</v>
      </c>
      <c r="BH210" s="17"/>
      <c r="BI210" s="18">
        <f t="shared" si="120"/>
        <v>17</v>
      </c>
      <c r="BJ210" s="34">
        <v>1</v>
      </c>
      <c r="BK210" s="16">
        <v>1</v>
      </c>
      <c r="BL210" s="16">
        <v>12</v>
      </c>
      <c r="BM210" s="17"/>
      <c r="BN210" s="18">
        <f t="shared" si="121"/>
        <v>14</v>
      </c>
      <c r="BO210" s="70">
        <f>SUM(G210,L210,Q210,V210,AA210,AF210,AK210,AP210,AU210,AZ210,BE210,BJ210)</f>
        <v>74</v>
      </c>
      <c r="BP210" s="16">
        <f>SUM(H210,M210,R210,W210,AB210,AG210,AL210,AQ210,AV210,BA210,BF210,BK210)</f>
        <v>11</v>
      </c>
      <c r="BQ210" s="16">
        <f>SUM(I210,N210,S210,X210,AC210,AH210,AM210,AR210,AW210,BB210,BG210,BL210)</f>
        <v>203</v>
      </c>
      <c r="BR210" s="17">
        <f>SUM(J210,O210,T210,Y210,AD210,AI210,AN210,AS210,AX210,BC210,BH210,BM210)</f>
        <v>0</v>
      </c>
      <c r="BS210" s="35">
        <f t="shared" si="123"/>
        <v>288</v>
      </c>
    </row>
    <row r="211" spans="2:71" x14ac:dyDescent="0.3">
      <c r="B211" s="269"/>
      <c r="C211" s="230"/>
      <c r="D211" s="233"/>
      <c r="E211" s="220"/>
      <c r="F211" s="123" t="s">
        <v>389</v>
      </c>
      <c r="G211" s="34"/>
      <c r="H211" s="16"/>
      <c r="I211" s="16"/>
      <c r="J211" s="17"/>
      <c r="K211" s="18">
        <f t="shared" si="154"/>
        <v>0</v>
      </c>
      <c r="L211" s="34"/>
      <c r="M211" s="16"/>
      <c r="N211" s="16"/>
      <c r="O211" s="17"/>
      <c r="P211" s="18">
        <f t="shared" si="111"/>
        <v>0</v>
      </c>
      <c r="Q211" s="34"/>
      <c r="R211" s="16"/>
      <c r="S211" s="16"/>
      <c r="T211" s="17"/>
      <c r="U211" s="18">
        <f t="shared" si="112"/>
        <v>0</v>
      </c>
      <c r="V211" s="34"/>
      <c r="W211" s="16"/>
      <c r="X211" s="16"/>
      <c r="Y211" s="17"/>
      <c r="Z211" s="18">
        <f t="shared" si="113"/>
        <v>0</v>
      </c>
      <c r="AA211" s="34">
        <v>4</v>
      </c>
      <c r="AB211" s="16"/>
      <c r="AC211" s="16">
        <v>9</v>
      </c>
      <c r="AD211" s="17"/>
      <c r="AE211" s="18">
        <f t="shared" si="114"/>
        <v>13</v>
      </c>
      <c r="AF211" s="34">
        <v>2</v>
      </c>
      <c r="AG211" s="16">
        <v>1</v>
      </c>
      <c r="AH211" s="16">
        <v>6</v>
      </c>
      <c r="AI211" s="17"/>
      <c r="AJ211" s="18">
        <f t="shared" si="115"/>
        <v>9</v>
      </c>
      <c r="AK211" s="34">
        <v>4</v>
      </c>
      <c r="AL211" s="16"/>
      <c r="AM211" s="16">
        <v>10</v>
      </c>
      <c r="AN211" s="17"/>
      <c r="AO211" s="18">
        <f t="shared" si="116"/>
        <v>14</v>
      </c>
      <c r="AP211" s="34">
        <v>3</v>
      </c>
      <c r="AQ211" s="16"/>
      <c r="AR211" s="16">
        <v>3</v>
      </c>
      <c r="AS211" s="17"/>
      <c r="AT211" s="18">
        <f t="shared" si="117"/>
        <v>6</v>
      </c>
      <c r="AU211" s="34">
        <v>3</v>
      </c>
      <c r="AV211" s="16"/>
      <c r="AW211" s="16">
        <v>7</v>
      </c>
      <c r="AX211" s="17"/>
      <c r="AY211" s="18">
        <f t="shared" si="118"/>
        <v>10</v>
      </c>
      <c r="AZ211" s="34">
        <v>1</v>
      </c>
      <c r="BA211" s="16"/>
      <c r="BB211" s="16">
        <v>4</v>
      </c>
      <c r="BC211" s="17"/>
      <c r="BD211" s="18">
        <f t="shared" si="119"/>
        <v>5</v>
      </c>
      <c r="BE211" s="34">
        <v>1</v>
      </c>
      <c r="BF211" s="16"/>
      <c r="BG211" s="16"/>
      <c r="BH211" s="17"/>
      <c r="BI211" s="18">
        <f t="shared" si="120"/>
        <v>1</v>
      </c>
      <c r="BJ211" s="34"/>
      <c r="BK211" s="16"/>
      <c r="BL211" s="16"/>
      <c r="BM211" s="17"/>
      <c r="BN211" s="18">
        <f t="shared" si="121"/>
        <v>0</v>
      </c>
      <c r="BO211" s="70">
        <f>SUM(G211,L211,Q211,V211,AA211,AF211,AK211,AP211,AU211,AZ211,BE211,BJ211)</f>
        <v>18</v>
      </c>
      <c r="BP211" s="16">
        <f>SUM(H211,M211,R211,W211,AB211,AG211,AL211,AQ211,AV211,BA211,BF211,BK211)</f>
        <v>1</v>
      </c>
      <c r="BQ211" s="16">
        <f>SUM(I211,N211,S211,X211,AC211,AH211,AM211,AR211,AW211,BB211,BG211,BL211)</f>
        <v>39</v>
      </c>
      <c r="BR211" s="17">
        <f>SUM(J211,O211,T211,Y211,AD211,AI211,AN211,AS211,AX211,BC211,BH211,BM211)</f>
        <v>0</v>
      </c>
      <c r="BS211" s="35">
        <f t="shared" si="123"/>
        <v>58</v>
      </c>
    </row>
    <row r="212" spans="2:71" x14ac:dyDescent="0.3">
      <c r="B212" s="269"/>
      <c r="C212" s="230"/>
      <c r="D212" s="233"/>
      <c r="E212" s="219" t="s">
        <v>69</v>
      </c>
      <c r="F212" s="120" t="s">
        <v>70</v>
      </c>
      <c r="G212" s="30"/>
      <c r="H212" s="7"/>
      <c r="I212" s="7">
        <v>716</v>
      </c>
      <c r="J212" s="8"/>
      <c r="K212" s="9">
        <f t="shared" si="122"/>
        <v>716</v>
      </c>
      <c r="L212" s="30"/>
      <c r="M212" s="7"/>
      <c r="N212" s="7">
        <v>904</v>
      </c>
      <c r="O212" s="8"/>
      <c r="P212" s="9">
        <f t="shared" si="111"/>
        <v>904</v>
      </c>
      <c r="Q212" s="30"/>
      <c r="R212" s="7"/>
      <c r="S212" s="7">
        <v>1360</v>
      </c>
      <c r="T212" s="8"/>
      <c r="U212" s="9">
        <f t="shared" si="112"/>
        <v>1360</v>
      </c>
      <c r="V212" s="30"/>
      <c r="W212" s="7"/>
      <c r="X212" s="7">
        <v>1028</v>
      </c>
      <c r="Y212" s="8"/>
      <c r="Z212" s="9">
        <f t="shared" si="113"/>
        <v>1028</v>
      </c>
      <c r="AA212" s="30"/>
      <c r="AB212" s="7"/>
      <c r="AC212" s="7">
        <v>835</v>
      </c>
      <c r="AD212" s="8"/>
      <c r="AE212" s="9">
        <f t="shared" si="114"/>
        <v>835</v>
      </c>
      <c r="AF212" s="30"/>
      <c r="AG212" s="7"/>
      <c r="AH212" s="7">
        <v>1296</v>
      </c>
      <c r="AI212" s="8"/>
      <c r="AJ212" s="9">
        <f t="shared" si="115"/>
        <v>1296</v>
      </c>
      <c r="AK212" s="30"/>
      <c r="AL212" s="7"/>
      <c r="AM212" s="7">
        <v>512</v>
      </c>
      <c r="AN212" s="8"/>
      <c r="AO212" s="9">
        <f t="shared" si="116"/>
        <v>512</v>
      </c>
      <c r="AP212" s="30"/>
      <c r="AQ212" s="7"/>
      <c r="AR212" s="7">
        <v>440</v>
      </c>
      <c r="AS212" s="8"/>
      <c r="AT212" s="9">
        <f t="shared" si="117"/>
        <v>440</v>
      </c>
      <c r="AU212" s="30"/>
      <c r="AV212" s="7"/>
      <c r="AW212" s="7">
        <v>1023</v>
      </c>
      <c r="AX212" s="8"/>
      <c r="AY212" s="9">
        <f t="shared" si="118"/>
        <v>1023</v>
      </c>
      <c r="AZ212" s="30"/>
      <c r="BA212" s="7"/>
      <c r="BB212" s="7">
        <v>1716</v>
      </c>
      <c r="BC212" s="8"/>
      <c r="BD212" s="9">
        <f t="shared" si="119"/>
        <v>1716</v>
      </c>
      <c r="BE212" s="30"/>
      <c r="BF212" s="7"/>
      <c r="BG212" s="7">
        <v>1932</v>
      </c>
      <c r="BH212" s="8"/>
      <c r="BI212" s="9">
        <f t="shared" si="120"/>
        <v>1932</v>
      </c>
      <c r="BJ212" s="30"/>
      <c r="BK212" s="7"/>
      <c r="BL212" s="7">
        <v>620</v>
      </c>
      <c r="BM212" s="8"/>
      <c r="BN212" s="9">
        <f t="shared" si="121"/>
        <v>620</v>
      </c>
      <c r="BO212" s="65">
        <f>SUM(G212,L212,Q212,V212,AA212,AF212,AK212,AP212,AU212,AZ212,BE212,BJ212)</f>
        <v>0</v>
      </c>
      <c r="BP212" s="7">
        <f>SUM(H212,M212,R212,W212,AB212,AG212,AL212,AQ212,AV212,BA212,BF212,BK212)</f>
        <v>0</v>
      </c>
      <c r="BQ212" s="7">
        <f>SUM(I212,N212,S212,X212,AC212,AH212,AM212,AR212,AW212,BB212,BG212,BL212)</f>
        <v>12382</v>
      </c>
      <c r="BR212" s="8">
        <f>SUM(J212,O212,T212,Y212,AD212,AI212,AN212,AS212,AX212,BC212,BH212,BM212)</f>
        <v>0</v>
      </c>
      <c r="BS212" s="31">
        <f t="shared" si="123"/>
        <v>12382</v>
      </c>
    </row>
    <row r="213" spans="2:71" x14ac:dyDescent="0.3">
      <c r="B213" s="269"/>
      <c r="C213" s="230"/>
      <c r="D213" s="233"/>
      <c r="E213" s="235"/>
      <c r="F213" s="123" t="s">
        <v>71</v>
      </c>
      <c r="G213" s="34"/>
      <c r="H213" s="16"/>
      <c r="I213" s="16">
        <v>55</v>
      </c>
      <c r="J213" s="17"/>
      <c r="K213" s="18">
        <f t="shared" si="122"/>
        <v>55</v>
      </c>
      <c r="L213" s="34"/>
      <c r="M213" s="16"/>
      <c r="N213" s="16">
        <v>130</v>
      </c>
      <c r="O213" s="17"/>
      <c r="P213" s="18">
        <f t="shared" si="111"/>
        <v>130</v>
      </c>
      <c r="Q213" s="34"/>
      <c r="R213" s="16"/>
      <c r="S213" s="16">
        <v>312</v>
      </c>
      <c r="T213" s="17"/>
      <c r="U213" s="18">
        <f t="shared" si="112"/>
        <v>312</v>
      </c>
      <c r="V213" s="34"/>
      <c r="W213" s="16"/>
      <c r="X213" s="16">
        <v>240</v>
      </c>
      <c r="Y213" s="17"/>
      <c r="Z213" s="18">
        <f t="shared" si="113"/>
        <v>240</v>
      </c>
      <c r="AA213" s="34"/>
      <c r="AB213" s="16"/>
      <c r="AC213" s="16">
        <v>161</v>
      </c>
      <c r="AD213" s="17"/>
      <c r="AE213" s="18">
        <f t="shared" si="114"/>
        <v>161</v>
      </c>
      <c r="AF213" s="34"/>
      <c r="AG213" s="16"/>
      <c r="AH213" s="16">
        <v>268</v>
      </c>
      <c r="AI213" s="17"/>
      <c r="AJ213" s="18">
        <f t="shared" si="115"/>
        <v>268</v>
      </c>
      <c r="AK213" s="34"/>
      <c r="AL213" s="16"/>
      <c r="AM213" s="16">
        <v>120</v>
      </c>
      <c r="AN213" s="17"/>
      <c r="AO213" s="18">
        <f t="shared" si="116"/>
        <v>120</v>
      </c>
      <c r="AP213" s="34"/>
      <c r="AQ213" s="16"/>
      <c r="AR213" s="16">
        <v>152</v>
      </c>
      <c r="AS213" s="17"/>
      <c r="AT213" s="18">
        <f t="shared" si="117"/>
        <v>152</v>
      </c>
      <c r="AU213" s="34"/>
      <c r="AV213" s="16"/>
      <c r="AW213" s="16">
        <v>332</v>
      </c>
      <c r="AX213" s="17"/>
      <c r="AY213" s="18">
        <f t="shared" si="118"/>
        <v>332</v>
      </c>
      <c r="AZ213" s="34"/>
      <c r="BA213" s="16"/>
      <c r="BB213" s="16">
        <v>386</v>
      </c>
      <c r="BC213" s="17"/>
      <c r="BD213" s="18">
        <f t="shared" si="119"/>
        <v>386</v>
      </c>
      <c r="BE213" s="34"/>
      <c r="BF213" s="16"/>
      <c r="BG213" s="16">
        <v>511</v>
      </c>
      <c r="BH213" s="17"/>
      <c r="BI213" s="18">
        <f t="shared" si="120"/>
        <v>511</v>
      </c>
      <c r="BJ213" s="34"/>
      <c r="BK213" s="16"/>
      <c r="BL213" s="16">
        <v>112</v>
      </c>
      <c r="BM213" s="17"/>
      <c r="BN213" s="18">
        <f t="shared" si="121"/>
        <v>112</v>
      </c>
      <c r="BO213" s="70">
        <f>SUM(G213,L213,Q213,V213,AA213,AF213,AK213,AP213,AU213,AZ213,BE213,BJ213)</f>
        <v>0</v>
      </c>
      <c r="BP213" s="16">
        <f>SUM(H213,M213,R213,W213,AB213,AG213,AL213,AQ213,AV213,BA213,BF213,BK213)</f>
        <v>0</v>
      </c>
      <c r="BQ213" s="16">
        <f>SUM(I213,N213,S213,X213,AC213,AH213,AM213,AR213,AW213,BB213,BG213,BL213)</f>
        <v>2779</v>
      </c>
      <c r="BR213" s="17">
        <f>SUM(J213,O213,T213,Y213,AD213,AI213,AN213,AS213,AX213,BC213,BH213,BM213)</f>
        <v>0</v>
      </c>
      <c r="BS213" s="35">
        <f t="shared" si="123"/>
        <v>2779</v>
      </c>
    </row>
    <row r="214" spans="2:71" x14ac:dyDescent="0.3">
      <c r="B214" s="269"/>
      <c r="C214" s="230"/>
      <c r="D214" s="233"/>
      <c r="E214" s="235"/>
      <c r="F214" s="123" t="s">
        <v>472</v>
      </c>
      <c r="G214" s="34"/>
      <c r="H214" s="16"/>
      <c r="I214" s="16">
        <v>471</v>
      </c>
      <c r="J214" s="17"/>
      <c r="K214" s="18">
        <f t="shared" si="122"/>
        <v>471</v>
      </c>
      <c r="L214" s="34"/>
      <c r="M214" s="16"/>
      <c r="N214" s="16">
        <v>502</v>
      </c>
      <c r="O214" s="17"/>
      <c r="P214" s="18">
        <f t="shared" si="111"/>
        <v>502</v>
      </c>
      <c r="Q214" s="34"/>
      <c r="R214" s="16"/>
      <c r="S214" s="16">
        <v>206</v>
      </c>
      <c r="T214" s="17"/>
      <c r="U214" s="18">
        <f t="shared" si="112"/>
        <v>206</v>
      </c>
      <c r="V214" s="34"/>
      <c r="W214" s="16"/>
      <c r="X214" s="16">
        <v>589</v>
      </c>
      <c r="Y214" s="17"/>
      <c r="Z214" s="18">
        <f t="shared" si="113"/>
        <v>589</v>
      </c>
      <c r="AA214" s="34"/>
      <c r="AB214" s="16"/>
      <c r="AC214" s="16">
        <v>868</v>
      </c>
      <c r="AD214" s="17"/>
      <c r="AE214" s="18">
        <f t="shared" si="114"/>
        <v>868</v>
      </c>
      <c r="AF214" s="34"/>
      <c r="AG214" s="16"/>
      <c r="AH214" s="16">
        <v>745</v>
      </c>
      <c r="AI214" s="17"/>
      <c r="AJ214" s="18">
        <f t="shared" si="115"/>
        <v>745</v>
      </c>
      <c r="AK214" s="34"/>
      <c r="AL214" s="16"/>
      <c r="AM214" s="16">
        <v>534</v>
      </c>
      <c r="AN214" s="17"/>
      <c r="AO214" s="18">
        <f t="shared" si="116"/>
        <v>534</v>
      </c>
      <c r="AP214" s="34"/>
      <c r="AQ214" s="16"/>
      <c r="AR214" s="16">
        <v>359</v>
      </c>
      <c r="AS214" s="17"/>
      <c r="AT214" s="18">
        <f t="shared" si="117"/>
        <v>359</v>
      </c>
      <c r="AU214" s="34"/>
      <c r="AV214" s="16"/>
      <c r="AW214" s="16">
        <v>246</v>
      </c>
      <c r="AX214" s="17"/>
      <c r="AY214" s="18">
        <f t="shared" si="118"/>
        <v>246</v>
      </c>
      <c r="AZ214" s="34"/>
      <c r="BA214" s="16"/>
      <c r="BB214" s="16">
        <v>1143</v>
      </c>
      <c r="BC214" s="17"/>
      <c r="BD214" s="18">
        <f t="shared" si="119"/>
        <v>1143</v>
      </c>
      <c r="BE214" s="34"/>
      <c r="BF214" s="16"/>
      <c r="BG214" s="16">
        <v>838</v>
      </c>
      <c r="BH214" s="17"/>
      <c r="BI214" s="18">
        <f t="shared" si="120"/>
        <v>838</v>
      </c>
      <c r="BJ214" s="34"/>
      <c r="BK214" s="16"/>
      <c r="BL214" s="16">
        <v>389</v>
      </c>
      <c r="BM214" s="17"/>
      <c r="BN214" s="18">
        <f t="shared" si="121"/>
        <v>389</v>
      </c>
      <c r="BO214" s="70">
        <f>SUM(G214,L214,Q214,V214,AA214,AF214,AK214,AP214,AU214,AZ214,BE214,BJ214)</f>
        <v>0</v>
      </c>
      <c r="BP214" s="16">
        <f>SUM(H214,M214,R214,W214,AB214,AG214,AL214,AQ214,AV214,BA214,BF214,BK214)</f>
        <v>0</v>
      </c>
      <c r="BQ214" s="16">
        <f>SUM(I214,N214,S214,X214,AC214,AH214,AM214,AR214,AW214,BB214,BG214,BL214)</f>
        <v>6890</v>
      </c>
      <c r="BR214" s="17">
        <f>SUM(J214,O214,T214,Y214,AD214,AI214,AN214,AS214,AX214,BC214,BH214,BM214)</f>
        <v>0</v>
      </c>
      <c r="BS214" s="35">
        <f t="shared" si="123"/>
        <v>6890</v>
      </c>
    </row>
    <row r="215" spans="2:71" x14ac:dyDescent="0.3">
      <c r="B215" s="269"/>
      <c r="C215" s="230"/>
      <c r="D215" s="233"/>
      <c r="E215" s="235"/>
      <c r="F215" s="121" t="s">
        <v>473</v>
      </c>
      <c r="G215" s="32"/>
      <c r="H215" s="13"/>
      <c r="I215" s="13">
        <v>23</v>
      </c>
      <c r="J215" s="14"/>
      <c r="K215" s="15">
        <f t="shared" si="122"/>
        <v>23</v>
      </c>
      <c r="L215" s="32"/>
      <c r="M215" s="13"/>
      <c r="N215" s="13">
        <v>41</v>
      </c>
      <c r="O215" s="14"/>
      <c r="P215" s="15">
        <f t="shared" si="111"/>
        <v>41</v>
      </c>
      <c r="Q215" s="32"/>
      <c r="R215" s="13"/>
      <c r="S215" s="13">
        <v>26</v>
      </c>
      <c r="T215" s="14"/>
      <c r="U215" s="15">
        <f t="shared" si="112"/>
        <v>26</v>
      </c>
      <c r="V215" s="32"/>
      <c r="W215" s="13"/>
      <c r="X215" s="13">
        <v>146</v>
      </c>
      <c r="Y215" s="14"/>
      <c r="Z215" s="15">
        <f t="shared" si="113"/>
        <v>146</v>
      </c>
      <c r="AA215" s="32"/>
      <c r="AB215" s="13"/>
      <c r="AC215" s="13">
        <v>181</v>
      </c>
      <c r="AD215" s="14"/>
      <c r="AE215" s="15">
        <f t="shared" si="114"/>
        <v>181</v>
      </c>
      <c r="AF215" s="32"/>
      <c r="AG215" s="13"/>
      <c r="AH215" s="13">
        <v>170</v>
      </c>
      <c r="AI215" s="14"/>
      <c r="AJ215" s="15">
        <f t="shared" si="115"/>
        <v>170</v>
      </c>
      <c r="AK215" s="32"/>
      <c r="AL215" s="13"/>
      <c r="AM215" s="13">
        <v>100</v>
      </c>
      <c r="AN215" s="14"/>
      <c r="AO215" s="15">
        <f t="shared" si="116"/>
        <v>100</v>
      </c>
      <c r="AP215" s="32"/>
      <c r="AQ215" s="13"/>
      <c r="AR215" s="13">
        <v>103</v>
      </c>
      <c r="AS215" s="14"/>
      <c r="AT215" s="15">
        <f t="shared" si="117"/>
        <v>103</v>
      </c>
      <c r="AU215" s="32"/>
      <c r="AV215" s="13"/>
      <c r="AW215" s="13">
        <v>56</v>
      </c>
      <c r="AX215" s="14"/>
      <c r="AY215" s="15">
        <f t="shared" si="118"/>
        <v>56</v>
      </c>
      <c r="AZ215" s="32"/>
      <c r="BA215" s="13"/>
      <c r="BB215" s="13">
        <v>185</v>
      </c>
      <c r="BC215" s="14"/>
      <c r="BD215" s="15">
        <f t="shared" si="119"/>
        <v>185</v>
      </c>
      <c r="BE215" s="32"/>
      <c r="BF215" s="13"/>
      <c r="BG215" s="13">
        <v>171</v>
      </c>
      <c r="BH215" s="14"/>
      <c r="BI215" s="15">
        <f t="shared" si="120"/>
        <v>171</v>
      </c>
      <c r="BJ215" s="32"/>
      <c r="BK215" s="13"/>
      <c r="BL215" s="13">
        <v>32</v>
      </c>
      <c r="BM215" s="14"/>
      <c r="BN215" s="15">
        <f t="shared" si="121"/>
        <v>32</v>
      </c>
      <c r="BO215" s="66">
        <f>SUM(G215,L215,Q215,V215,AA215,AF215,AK215,AP215,AU215,AZ215,BE215,BJ215)</f>
        <v>0</v>
      </c>
      <c r="BP215" s="13">
        <f>SUM(H215,M215,R215,W215,AB215,AG215,AL215,AQ215,AV215,BA215,BF215,BK215)</f>
        <v>0</v>
      </c>
      <c r="BQ215" s="13">
        <f>SUM(I215,N215,S215,X215,AC215,AH215,AM215,AR215,AW215,BB215,BG215,BL215)</f>
        <v>1234</v>
      </c>
      <c r="BR215" s="14">
        <f>SUM(J215,O215,T215,Y215,AD215,AI215,AN215,AS215,AX215,BC215,BH215,BM215)</f>
        <v>0</v>
      </c>
      <c r="BS215" s="33">
        <f t="shared" si="123"/>
        <v>1234</v>
      </c>
    </row>
    <row r="216" spans="2:71" x14ac:dyDescent="0.3">
      <c r="B216" s="269"/>
      <c r="C216" s="230"/>
      <c r="D216" s="233"/>
      <c r="E216" s="235"/>
      <c r="F216" s="121" t="s">
        <v>178</v>
      </c>
      <c r="G216" s="32">
        <v>86</v>
      </c>
      <c r="H216" s="13">
        <v>336</v>
      </c>
      <c r="I216" s="13"/>
      <c r="J216" s="14"/>
      <c r="K216" s="15">
        <f t="shared" si="122"/>
        <v>422</v>
      </c>
      <c r="L216" s="32">
        <v>71</v>
      </c>
      <c r="M216" s="13">
        <v>737</v>
      </c>
      <c r="N216" s="13">
        <v>1</v>
      </c>
      <c r="O216" s="14"/>
      <c r="P216" s="15">
        <f t="shared" si="111"/>
        <v>809</v>
      </c>
      <c r="Q216" s="32">
        <v>86</v>
      </c>
      <c r="R216" s="13">
        <v>586</v>
      </c>
      <c r="S216" s="13"/>
      <c r="T216" s="14"/>
      <c r="U216" s="15">
        <f t="shared" si="112"/>
        <v>672</v>
      </c>
      <c r="V216" s="32">
        <v>66</v>
      </c>
      <c r="W216" s="13">
        <v>328</v>
      </c>
      <c r="X216" s="13"/>
      <c r="Y216" s="14"/>
      <c r="Z216" s="15">
        <f t="shared" si="113"/>
        <v>394</v>
      </c>
      <c r="AA216" s="32">
        <f>1+89</f>
        <v>90</v>
      </c>
      <c r="AB216" s="13">
        <v>35</v>
      </c>
      <c r="AC216" s="13"/>
      <c r="AD216" s="14"/>
      <c r="AE216" s="15">
        <f t="shared" si="114"/>
        <v>125</v>
      </c>
      <c r="AF216" s="32">
        <v>40</v>
      </c>
      <c r="AG216" s="13">
        <v>472</v>
      </c>
      <c r="AH216" s="13"/>
      <c r="AI216" s="14"/>
      <c r="AJ216" s="15">
        <f t="shared" si="115"/>
        <v>512</v>
      </c>
      <c r="AK216" s="32">
        <v>38</v>
      </c>
      <c r="AL216" s="13">
        <v>414</v>
      </c>
      <c r="AM216" s="13"/>
      <c r="AN216" s="14"/>
      <c r="AO216" s="15">
        <f t="shared" si="116"/>
        <v>452</v>
      </c>
      <c r="AP216" s="32">
        <v>92</v>
      </c>
      <c r="AQ216" s="13">
        <v>585</v>
      </c>
      <c r="AR216" s="13"/>
      <c r="AS216" s="14"/>
      <c r="AT216" s="15">
        <f t="shared" si="117"/>
        <v>677</v>
      </c>
      <c r="AU216" s="32">
        <v>50</v>
      </c>
      <c r="AV216" s="13">
        <v>301</v>
      </c>
      <c r="AW216" s="13"/>
      <c r="AX216" s="14"/>
      <c r="AY216" s="15">
        <f t="shared" si="118"/>
        <v>351</v>
      </c>
      <c r="AZ216" s="32">
        <v>85</v>
      </c>
      <c r="BA216" s="13">
        <v>587</v>
      </c>
      <c r="BB216" s="13"/>
      <c r="BC216" s="14"/>
      <c r="BD216" s="15">
        <f t="shared" si="119"/>
        <v>672</v>
      </c>
      <c r="BE216" s="32">
        <v>89</v>
      </c>
      <c r="BF216" s="13">
        <v>456</v>
      </c>
      <c r="BG216" s="13"/>
      <c r="BH216" s="14"/>
      <c r="BI216" s="15">
        <f t="shared" si="120"/>
        <v>545</v>
      </c>
      <c r="BJ216" s="32">
        <v>31</v>
      </c>
      <c r="BK216" s="13">
        <v>293</v>
      </c>
      <c r="BL216" s="13"/>
      <c r="BM216" s="14"/>
      <c r="BN216" s="15">
        <f t="shared" si="121"/>
        <v>324</v>
      </c>
      <c r="BO216" s="66">
        <f>SUM(G216,L216,Q216,V216,AA216,AF216,AK216,AP216,AU216,AZ216,BE216,BJ216)</f>
        <v>824</v>
      </c>
      <c r="BP216" s="13">
        <f>SUM(H216,M216,R216,W216,AB216,AG216,AL216,AQ216,AV216,BA216,BF216,BK216)</f>
        <v>5130</v>
      </c>
      <c r="BQ216" s="13">
        <f>SUM(I216,N216,S216,X216,AC216,AH216,AM216,AR216,AW216,BB216,BG216,BL216)</f>
        <v>1</v>
      </c>
      <c r="BR216" s="14">
        <f>SUM(J216,O216,T216,Y216,AD216,AI216,AN216,AS216,AX216,BC216,BH216,BM216)</f>
        <v>0</v>
      </c>
      <c r="BS216" s="33">
        <f t="shared" si="123"/>
        <v>5955</v>
      </c>
    </row>
    <row r="217" spans="2:71" x14ac:dyDescent="0.3">
      <c r="B217" s="269"/>
      <c r="C217" s="230"/>
      <c r="D217" s="233"/>
      <c r="E217" s="235"/>
      <c r="F217" s="121" t="s">
        <v>179</v>
      </c>
      <c r="G217" s="32">
        <v>19</v>
      </c>
      <c r="H217" s="13">
        <v>24</v>
      </c>
      <c r="I217" s="13"/>
      <c r="J217" s="14"/>
      <c r="K217" s="15">
        <f t="shared" si="122"/>
        <v>43</v>
      </c>
      <c r="L217" s="32">
        <v>31</v>
      </c>
      <c r="M217" s="13">
        <v>38</v>
      </c>
      <c r="N217" s="13"/>
      <c r="O217" s="14"/>
      <c r="P217" s="15">
        <f t="shared" si="111"/>
        <v>69</v>
      </c>
      <c r="Q217" s="32">
        <v>37</v>
      </c>
      <c r="R217" s="13">
        <v>72</v>
      </c>
      <c r="S217" s="13"/>
      <c r="T217" s="14"/>
      <c r="U217" s="15">
        <f t="shared" si="112"/>
        <v>109</v>
      </c>
      <c r="V217" s="32">
        <v>37</v>
      </c>
      <c r="W217" s="13">
        <v>32</v>
      </c>
      <c r="X217" s="13"/>
      <c r="Y217" s="14"/>
      <c r="Z217" s="15">
        <f t="shared" si="113"/>
        <v>69</v>
      </c>
      <c r="AA217" s="32">
        <f>19</f>
        <v>19</v>
      </c>
      <c r="AB217" s="13"/>
      <c r="AC217" s="13"/>
      <c r="AD217" s="14"/>
      <c r="AE217" s="15">
        <f t="shared" si="114"/>
        <v>19</v>
      </c>
      <c r="AF217" s="32">
        <v>30</v>
      </c>
      <c r="AG217" s="13">
        <v>66</v>
      </c>
      <c r="AH217" s="13"/>
      <c r="AI217" s="14"/>
      <c r="AJ217" s="15">
        <f t="shared" si="115"/>
        <v>96</v>
      </c>
      <c r="AK217" s="32">
        <v>25</v>
      </c>
      <c r="AL217" s="13">
        <v>62</v>
      </c>
      <c r="AM217" s="13"/>
      <c r="AN217" s="14"/>
      <c r="AO217" s="15">
        <f t="shared" si="116"/>
        <v>87</v>
      </c>
      <c r="AP217" s="32">
        <v>37</v>
      </c>
      <c r="AQ217" s="13">
        <v>120</v>
      </c>
      <c r="AR217" s="13"/>
      <c r="AS217" s="14"/>
      <c r="AT217" s="15">
        <f t="shared" si="117"/>
        <v>157</v>
      </c>
      <c r="AU217" s="32">
        <v>13</v>
      </c>
      <c r="AV217" s="13">
        <v>74</v>
      </c>
      <c r="AW217" s="13"/>
      <c r="AX217" s="14"/>
      <c r="AY217" s="15">
        <f t="shared" si="118"/>
        <v>87</v>
      </c>
      <c r="AZ217" s="32">
        <v>10</v>
      </c>
      <c r="BA217" s="13">
        <v>59</v>
      </c>
      <c r="BB217" s="13"/>
      <c r="BC217" s="14"/>
      <c r="BD217" s="15">
        <f t="shared" si="119"/>
        <v>69</v>
      </c>
      <c r="BE217" s="32">
        <v>51</v>
      </c>
      <c r="BF217" s="13">
        <v>95</v>
      </c>
      <c r="BG217" s="13"/>
      <c r="BH217" s="14"/>
      <c r="BI217" s="15">
        <f t="shared" si="120"/>
        <v>146</v>
      </c>
      <c r="BJ217" s="32">
        <v>3</v>
      </c>
      <c r="BK217" s="13">
        <v>42</v>
      </c>
      <c r="BL217" s="13"/>
      <c r="BM217" s="14"/>
      <c r="BN217" s="15">
        <f t="shared" si="121"/>
        <v>45</v>
      </c>
      <c r="BO217" s="66">
        <f>SUM(G217,L217,Q217,V217,AA217,AF217,AK217,AP217,AU217,AZ217,BE217,BJ217)</f>
        <v>312</v>
      </c>
      <c r="BP217" s="13">
        <f>SUM(H217,M217,R217,W217,AB217,AG217,AL217,AQ217,AV217,BA217,BF217,BK217)</f>
        <v>684</v>
      </c>
      <c r="BQ217" s="13">
        <f>SUM(I217,N217,S217,X217,AC217,AH217,AM217,AR217,AW217,BB217,BG217,BL217)</f>
        <v>0</v>
      </c>
      <c r="BR217" s="14">
        <f>SUM(J217,O217,T217,Y217,AD217,AI217,AN217,AS217,AX217,BC217,BH217,BM217)</f>
        <v>0</v>
      </c>
      <c r="BS217" s="33">
        <f t="shared" si="123"/>
        <v>996</v>
      </c>
    </row>
    <row r="218" spans="2:71" x14ac:dyDescent="0.3">
      <c r="B218" s="269"/>
      <c r="C218" s="230"/>
      <c r="D218" s="233"/>
      <c r="E218" s="235"/>
      <c r="F218" s="121" t="s">
        <v>160</v>
      </c>
      <c r="G218" s="32">
        <v>469</v>
      </c>
      <c r="H218" s="13">
        <v>25</v>
      </c>
      <c r="I218" s="13">
        <v>144</v>
      </c>
      <c r="J218" s="14"/>
      <c r="K218" s="15">
        <f t="shared" si="122"/>
        <v>638</v>
      </c>
      <c r="L218" s="32">
        <v>532</v>
      </c>
      <c r="M218" s="13">
        <v>31</v>
      </c>
      <c r="N218" s="13">
        <v>233</v>
      </c>
      <c r="O218" s="14"/>
      <c r="P218" s="15">
        <f t="shared" si="111"/>
        <v>796</v>
      </c>
      <c r="Q218" s="32"/>
      <c r="R218" s="13"/>
      <c r="S218" s="13"/>
      <c r="T218" s="14"/>
      <c r="U218" s="15">
        <f t="shared" si="112"/>
        <v>0</v>
      </c>
      <c r="V218" s="32"/>
      <c r="W218" s="13"/>
      <c r="X218" s="13"/>
      <c r="Y218" s="14"/>
      <c r="Z218" s="15">
        <f t="shared" si="113"/>
        <v>0</v>
      </c>
      <c r="AA218" s="32"/>
      <c r="AB218" s="13"/>
      <c r="AC218" s="13"/>
      <c r="AD218" s="14"/>
      <c r="AE218" s="15">
        <f t="shared" si="114"/>
        <v>0</v>
      </c>
      <c r="AF218" s="32"/>
      <c r="AG218" s="13"/>
      <c r="AH218" s="13"/>
      <c r="AI218" s="14"/>
      <c r="AJ218" s="15">
        <f t="shared" si="115"/>
        <v>0</v>
      </c>
      <c r="AK218" s="32"/>
      <c r="AL218" s="13"/>
      <c r="AM218" s="13"/>
      <c r="AN218" s="14"/>
      <c r="AO218" s="15">
        <f t="shared" si="116"/>
        <v>0</v>
      </c>
      <c r="AP218" s="32"/>
      <c r="AQ218" s="13"/>
      <c r="AR218" s="13"/>
      <c r="AS218" s="14"/>
      <c r="AT218" s="15">
        <f t="shared" si="117"/>
        <v>0</v>
      </c>
      <c r="AU218" s="32"/>
      <c r="AV218" s="13"/>
      <c r="AW218" s="13"/>
      <c r="AX218" s="14"/>
      <c r="AY218" s="15">
        <f t="shared" si="118"/>
        <v>0</v>
      </c>
      <c r="AZ218" s="32"/>
      <c r="BA218" s="13"/>
      <c r="BB218" s="13"/>
      <c r="BC218" s="14"/>
      <c r="BD218" s="15">
        <f t="shared" si="119"/>
        <v>0</v>
      </c>
      <c r="BE218" s="32"/>
      <c r="BF218" s="13"/>
      <c r="BG218" s="13"/>
      <c r="BH218" s="14"/>
      <c r="BI218" s="15">
        <f t="shared" si="120"/>
        <v>0</v>
      </c>
      <c r="BJ218" s="32"/>
      <c r="BK218" s="13"/>
      <c r="BL218" s="13"/>
      <c r="BM218" s="14"/>
      <c r="BN218" s="15">
        <f t="shared" si="121"/>
        <v>0</v>
      </c>
      <c r="BO218" s="66">
        <f>SUM(G218,L218,Q218,V218,AA218,AF218,AK218,AP218,AU218,AZ218,BE218,BJ218)</f>
        <v>1001</v>
      </c>
      <c r="BP218" s="13">
        <f>SUM(H218,M218,R218,W218,AB218,AG218,AL218,AQ218,AV218,BA218,BF218,BK218)</f>
        <v>56</v>
      </c>
      <c r="BQ218" s="13">
        <f>SUM(I218,N218,S218,X218,AC218,AH218,AM218,AR218,AW218,BB218,BG218,BL218)</f>
        <v>377</v>
      </c>
      <c r="BR218" s="14">
        <f>SUM(J218,O218,T218,Y218,AD218,AI218,AN218,AS218,AX218,BC218,BH218,BM218)</f>
        <v>0</v>
      </c>
      <c r="BS218" s="33">
        <f t="shared" si="123"/>
        <v>1434</v>
      </c>
    </row>
    <row r="219" spans="2:71" x14ac:dyDescent="0.3">
      <c r="B219" s="269"/>
      <c r="C219" s="230"/>
      <c r="D219" s="233"/>
      <c r="E219" s="235"/>
      <c r="F219" s="121" t="s">
        <v>161</v>
      </c>
      <c r="G219" s="32">
        <v>26</v>
      </c>
      <c r="H219" s="13">
        <v>4</v>
      </c>
      <c r="I219" s="13">
        <v>4</v>
      </c>
      <c r="J219" s="14"/>
      <c r="K219" s="15">
        <f t="shared" si="122"/>
        <v>34</v>
      </c>
      <c r="L219" s="32">
        <v>62</v>
      </c>
      <c r="M219" s="13"/>
      <c r="N219" s="13">
        <v>17</v>
      </c>
      <c r="O219" s="14"/>
      <c r="P219" s="15">
        <f t="shared" si="111"/>
        <v>79</v>
      </c>
      <c r="Q219" s="32"/>
      <c r="R219" s="13"/>
      <c r="S219" s="13"/>
      <c r="T219" s="14"/>
      <c r="U219" s="15">
        <f t="shared" si="112"/>
        <v>0</v>
      </c>
      <c r="V219" s="32"/>
      <c r="W219" s="13"/>
      <c r="X219" s="13"/>
      <c r="Y219" s="14"/>
      <c r="Z219" s="15">
        <f t="shared" si="113"/>
        <v>0</v>
      </c>
      <c r="AA219" s="32"/>
      <c r="AB219" s="13"/>
      <c r="AC219" s="13"/>
      <c r="AD219" s="14"/>
      <c r="AE219" s="15">
        <f t="shared" si="114"/>
        <v>0</v>
      </c>
      <c r="AF219" s="32"/>
      <c r="AG219" s="13"/>
      <c r="AH219" s="13"/>
      <c r="AI219" s="14"/>
      <c r="AJ219" s="15">
        <f t="shared" si="115"/>
        <v>0</v>
      </c>
      <c r="AK219" s="32"/>
      <c r="AL219" s="13"/>
      <c r="AM219" s="13"/>
      <c r="AN219" s="14"/>
      <c r="AO219" s="15">
        <f t="shared" si="116"/>
        <v>0</v>
      </c>
      <c r="AP219" s="32"/>
      <c r="AQ219" s="13"/>
      <c r="AR219" s="13"/>
      <c r="AS219" s="14"/>
      <c r="AT219" s="15">
        <f t="shared" si="117"/>
        <v>0</v>
      </c>
      <c r="AU219" s="32"/>
      <c r="AV219" s="13"/>
      <c r="AW219" s="13"/>
      <c r="AX219" s="14"/>
      <c r="AY219" s="15">
        <f t="shared" si="118"/>
        <v>0</v>
      </c>
      <c r="AZ219" s="32"/>
      <c r="BA219" s="13"/>
      <c r="BB219" s="13"/>
      <c r="BC219" s="14"/>
      <c r="BD219" s="15">
        <f t="shared" si="119"/>
        <v>0</v>
      </c>
      <c r="BE219" s="32"/>
      <c r="BF219" s="13"/>
      <c r="BG219" s="13"/>
      <c r="BH219" s="14"/>
      <c r="BI219" s="15">
        <f t="shared" si="120"/>
        <v>0</v>
      </c>
      <c r="BJ219" s="32"/>
      <c r="BK219" s="13"/>
      <c r="BL219" s="13"/>
      <c r="BM219" s="14"/>
      <c r="BN219" s="15">
        <f t="shared" si="121"/>
        <v>0</v>
      </c>
      <c r="BO219" s="66">
        <f>SUM(G219,L219,Q219,V219,AA219,AF219,AK219,AP219,AU219,AZ219,BE219,BJ219)</f>
        <v>88</v>
      </c>
      <c r="BP219" s="13">
        <f>SUM(H219,M219,R219,W219,AB219,AG219,AL219,AQ219,AV219,BA219,BF219,BK219)</f>
        <v>4</v>
      </c>
      <c r="BQ219" s="13">
        <f>SUM(I219,N219,S219,X219,AC219,AH219,AM219,AR219,AW219,BB219,BG219,BL219)</f>
        <v>21</v>
      </c>
      <c r="BR219" s="14">
        <f>SUM(J219,O219,T219,Y219,AD219,AI219,AN219,AS219,AX219,BC219,BH219,BM219)</f>
        <v>0</v>
      </c>
      <c r="BS219" s="33">
        <f t="shared" si="123"/>
        <v>113</v>
      </c>
    </row>
    <row r="220" spans="2:71" x14ac:dyDescent="0.3">
      <c r="B220" s="269"/>
      <c r="C220" s="230"/>
      <c r="D220" s="233"/>
      <c r="E220" s="235"/>
      <c r="F220" s="121" t="s">
        <v>162</v>
      </c>
      <c r="G220" s="32">
        <v>336</v>
      </c>
      <c r="H220" s="13">
        <v>14</v>
      </c>
      <c r="I220" s="13">
        <v>74</v>
      </c>
      <c r="J220" s="14"/>
      <c r="K220" s="15">
        <f t="shared" si="122"/>
        <v>424</v>
      </c>
      <c r="L220" s="32">
        <v>392</v>
      </c>
      <c r="M220" s="13">
        <v>19</v>
      </c>
      <c r="N220" s="13">
        <v>105</v>
      </c>
      <c r="O220" s="14"/>
      <c r="P220" s="15">
        <f t="shared" si="111"/>
        <v>516</v>
      </c>
      <c r="Q220" s="32"/>
      <c r="R220" s="13"/>
      <c r="S220" s="13"/>
      <c r="T220" s="14"/>
      <c r="U220" s="15">
        <f t="shared" si="112"/>
        <v>0</v>
      </c>
      <c r="V220" s="32"/>
      <c r="W220" s="13"/>
      <c r="X220" s="13"/>
      <c r="Y220" s="14"/>
      <c r="Z220" s="15">
        <f t="shared" si="113"/>
        <v>0</v>
      </c>
      <c r="AA220" s="32"/>
      <c r="AB220" s="13"/>
      <c r="AC220" s="13"/>
      <c r="AD220" s="14"/>
      <c r="AE220" s="15">
        <f t="shared" si="114"/>
        <v>0</v>
      </c>
      <c r="AF220" s="32"/>
      <c r="AG220" s="13"/>
      <c r="AH220" s="13"/>
      <c r="AI220" s="14"/>
      <c r="AJ220" s="15">
        <f t="shared" si="115"/>
        <v>0</v>
      </c>
      <c r="AK220" s="32"/>
      <c r="AL220" s="13"/>
      <c r="AM220" s="13"/>
      <c r="AN220" s="14"/>
      <c r="AO220" s="15">
        <f t="shared" si="116"/>
        <v>0</v>
      </c>
      <c r="AP220" s="32"/>
      <c r="AQ220" s="13"/>
      <c r="AR220" s="13"/>
      <c r="AS220" s="14"/>
      <c r="AT220" s="15">
        <f t="shared" si="117"/>
        <v>0</v>
      </c>
      <c r="AU220" s="32"/>
      <c r="AV220" s="13"/>
      <c r="AW220" s="13"/>
      <c r="AX220" s="14"/>
      <c r="AY220" s="15">
        <f t="shared" si="118"/>
        <v>0</v>
      </c>
      <c r="AZ220" s="32"/>
      <c r="BA220" s="13"/>
      <c r="BB220" s="13"/>
      <c r="BC220" s="14"/>
      <c r="BD220" s="15">
        <f t="shared" si="119"/>
        <v>0</v>
      </c>
      <c r="BE220" s="32"/>
      <c r="BF220" s="13"/>
      <c r="BG220" s="13"/>
      <c r="BH220" s="14"/>
      <c r="BI220" s="15">
        <f t="shared" si="120"/>
        <v>0</v>
      </c>
      <c r="BJ220" s="32"/>
      <c r="BK220" s="13"/>
      <c r="BL220" s="13"/>
      <c r="BM220" s="14"/>
      <c r="BN220" s="15">
        <f t="shared" si="121"/>
        <v>0</v>
      </c>
      <c r="BO220" s="66">
        <f>SUM(G220,L220,Q220,V220,AA220,AF220,AK220,AP220,AU220,AZ220,BE220,BJ220)</f>
        <v>728</v>
      </c>
      <c r="BP220" s="13">
        <f>SUM(H220,M220,R220,W220,AB220,AG220,AL220,AQ220,AV220,BA220,BF220,BK220)</f>
        <v>33</v>
      </c>
      <c r="BQ220" s="13">
        <f>SUM(I220,N220,S220,X220,AC220,AH220,AM220,AR220,AW220,BB220,BG220,BL220)</f>
        <v>179</v>
      </c>
      <c r="BR220" s="14">
        <f>SUM(J220,O220,T220,Y220,AD220,AI220,AN220,AS220,AX220,BC220,BH220,BM220)</f>
        <v>0</v>
      </c>
      <c r="BS220" s="33">
        <f t="shared" si="123"/>
        <v>940</v>
      </c>
    </row>
    <row r="221" spans="2:71" x14ac:dyDescent="0.3">
      <c r="B221" s="269"/>
      <c r="C221" s="230"/>
      <c r="D221" s="233"/>
      <c r="E221" s="235"/>
      <c r="F221" s="121" t="s">
        <v>163</v>
      </c>
      <c r="G221" s="32">
        <v>22</v>
      </c>
      <c r="H221" s="13"/>
      <c r="I221" s="13">
        <v>2</v>
      </c>
      <c r="J221" s="14"/>
      <c r="K221" s="15">
        <f t="shared" si="122"/>
        <v>24</v>
      </c>
      <c r="L221" s="32">
        <v>54</v>
      </c>
      <c r="M221" s="13">
        <v>1</v>
      </c>
      <c r="N221" s="13">
        <v>4</v>
      </c>
      <c r="O221" s="14"/>
      <c r="P221" s="15">
        <f t="shared" si="111"/>
        <v>59</v>
      </c>
      <c r="Q221" s="32"/>
      <c r="R221" s="13"/>
      <c r="S221" s="13"/>
      <c r="T221" s="14"/>
      <c r="U221" s="15">
        <f t="shared" si="112"/>
        <v>0</v>
      </c>
      <c r="V221" s="32"/>
      <c r="W221" s="13"/>
      <c r="X221" s="13"/>
      <c r="Y221" s="14"/>
      <c r="Z221" s="15">
        <f t="shared" si="113"/>
        <v>0</v>
      </c>
      <c r="AA221" s="32"/>
      <c r="AB221" s="13"/>
      <c r="AC221" s="13"/>
      <c r="AD221" s="14"/>
      <c r="AE221" s="15">
        <f t="shared" si="114"/>
        <v>0</v>
      </c>
      <c r="AF221" s="32"/>
      <c r="AG221" s="13"/>
      <c r="AH221" s="13"/>
      <c r="AI221" s="14"/>
      <c r="AJ221" s="15">
        <f t="shared" si="115"/>
        <v>0</v>
      </c>
      <c r="AK221" s="32"/>
      <c r="AL221" s="13"/>
      <c r="AM221" s="13"/>
      <c r="AN221" s="14"/>
      <c r="AO221" s="15">
        <f t="shared" si="116"/>
        <v>0</v>
      </c>
      <c r="AP221" s="32"/>
      <c r="AQ221" s="13"/>
      <c r="AR221" s="13"/>
      <c r="AS221" s="14"/>
      <c r="AT221" s="15">
        <f t="shared" si="117"/>
        <v>0</v>
      </c>
      <c r="AU221" s="32"/>
      <c r="AV221" s="13"/>
      <c r="AW221" s="13"/>
      <c r="AX221" s="14"/>
      <c r="AY221" s="15">
        <f t="shared" si="118"/>
        <v>0</v>
      </c>
      <c r="AZ221" s="32"/>
      <c r="BA221" s="13"/>
      <c r="BB221" s="13"/>
      <c r="BC221" s="14"/>
      <c r="BD221" s="15">
        <f t="shared" si="119"/>
        <v>0</v>
      </c>
      <c r="BE221" s="32"/>
      <c r="BF221" s="13"/>
      <c r="BG221" s="13"/>
      <c r="BH221" s="14"/>
      <c r="BI221" s="15">
        <f t="shared" si="120"/>
        <v>0</v>
      </c>
      <c r="BJ221" s="32"/>
      <c r="BK221" s="13"/>
      <c r="BL221" s="13"/>
      <c r="BM221" s="14"/>
      <c r="BN221" s="15">
        <f t="shared" si="121"/>
        <v>0</v>
      </c>
      <c r="BO221" s="66">
        <f>SUM(G221,L221,Q221,V221,AA221,AF221,AK221,AP221,AU221,AZ221,BE221,BJ221)</f>
        <v>76</v>
      </c>
      <c r="BP221" s="13">
        <f>SUM(H221,M221,R221,W221,AB221,AG221,AL221,AQ221,AV221,BA221,BF221,BK221)</f>
        <v>1</v>
      </c>
      <c r="BQ221" s="13">
        <f>SUM(I221,N221,S221,X221,AC221,AH221,AM221,AR221,AW221,BB221,BG221,BL221)</f>
        <v>6</v>
      </c>
      <c r="BR221" s="14">
        <f>SUM(J221,O221,T221,Y221,AD221,AI221,AN221,AS221,AX221,BC221,BH221,BM221)</f>
        <v>0</v>
      </c>
      <c r="BS221" s="33">
        <f t="shared" si="123"/>
        <v>83</v>
      </c>
    </row>
    <row r="222" spans="2:71" x14ac:dyDescent="0.3">
      <c r="B222" s="269"/>
      <c r="C222" s="230"/>
      <c r="D222" s="233"/>
      <c r="E222" s="235"/>
      <c r="F222" s="121" t="s">
        <v>166</v>
      </c>
      <c r="G222" s="32">
        <v>230</v>
      </c>
      <c r="H222" s="13">
        <v>373</v>
      </c>
      <c r="I222" s="13">
        <v>477</v>
      </c>
      <c r="J222" s="14"/>
      <c r="K222" s="15">
        <f t="shared" si="122"/>
        <v>1080</v>
      </c>
      <c r="L222" s="32">
        <v>321</v>
      </c>
      <c r="M222" s="13">
        <v>560</v>
      </c>
      <c r="N222" s="13">
        <v>813</v>
      </c>
      <c r="O222" s="14"/>
      <c r="P222" s="15">
        <f t="shared" si="111"/>
        <v>1694</v>
      </c>
      <c r="Q222" s="32"/>
      <c r="R222" s="13"/>
      <c r="S222" s="13"/>
      <c r="T222" s="14"/>
      <c r="U222" s="15">
        <f t="shared" si="112"/>
        <v>0</v>
      </c>
      <c r="V222" s="32"/>
      <c r="W222" s="13"/>
      <c r="X222" s="13"/>
      <c r="Y222" s="14"/>
      <c r="Z222" s="15">
        <f t="shared" si="113"/>
        <v>0</v>
      </c>
      <c r="AA222" s="32"/>
      <c r="AB222" s="13"/>
      <c r="AC222" s="13"/>
      <c r="AD222" s="14"/>
      <c r="AE222" s="15">
        <f t="shared" si="114"/>
        <v>0</v>
      </c>
      <c r="AF222" s="32"/>
      <c r="AG222" s="13"/>
      <c r="AH222" s="13"/>
      <c r="AI222" s="14"/>
      <c r="AJ222" s="15">
        <f t="shared" si="115"/>
        <v>0</v>
      </c>
      <c r="AK222" s="32"/>
      <c r="AL222" s="13"/>
      <c r="AM222" s="13"/>
      <c r="AN222" s="14"/>
      <c r="AO222" s="15">
        <f t="shared" si="116"/>
        <v>0</v>
      </c>
      <c r="AP222" s="32"/>
      <c r="AQ222" s="13"/>
      <c r="AR222" s="13"/>
      <c r="AS222" s="14"/>
      <c r="AT222" s="15">
        <f t="shared" si="117"/>
        <v>0</v>
      </c>
      <c r="AU222" s="32"/>
      <c r="AV222" s="13"/>
      <c r="AW222" s="13"/>
      <c r="AX222" s="14"/>
      <c r="AY222" s="15">
        <f t="shared" si="118"/>
        <v>0</v>
      </c>
      <c r="AZ222" s="32"/>
      <c r="BA222" s="13"/>
      <c r="BB222" s="13"/>
      <c r="BC222" s="14"/>
      <c r="BD222" s="15">
        <f t="shared" si="119"/>
        <v>0</v>
      </c>
      <c r="BE222" s="32"/>
      <c r="BF222" s="13"/>
      <c r="BG222" s="13"/>
      <c r="BH222" s="14"/>
      <c r="BI222" s="15">
        <f t="shared" si="120"/>
        <v>0</v>
      </c>
      <c r="BJ222" s="32"/>
      <c r="BK222" s="13"/>
      <c r="BL222" s="13"/>
      <c r="BM222" s="14"/>
      <c r="BN222" s="15">
        <f t="shared" si="121"/>
        <v>0</v>
      </c>
      <c r="BO222" s="66">
        <f>SUM(G222,L222,Q222,V222,AA222,AF222,AK222,AP222,AU222,AZ222,BE222,BJ222)</f>
        <v>551</v>
      </c>
      <c r="BP222" s="13">
        <f>SUM(H222,M222,R222,W222,AB222,AG222,AL222,AQ222,AV222,BA222,BF222,BK222)</f>
        <v>933</v>
      </c>
      <c r="BQ222" s="13">
        <f>SUM(I222,N222,S222,X222,AC222,AH222,AM222,AR222,AW222,BB222,BG222,BL222)</f>
        <v>1290</v>
      </c>
      <c r="BR222" s="14">
        <f>SUM(J222,O222,T222,Y222,AD222,AI222,AN222,AS222,AX222,BC222,BH222,BM222)</f>
        <v>0</v>
      </c>
      <c r="BS222" s="33">
        <f t="shared" si="123"/>
        <v>2774</v>
      </c>
    </row>
    <row r="223" spans="2:71" x14ac:dyDescent="0.3">
      <c r="B223" s="269"/>
      <c r="C223" s="230"/>
      <c r="D223" s="233"/>
      <c r="E223" s="235"/>
      <c r="F223" s="121" t="s">
        <v>167</v>
      </c>
      <c r="G223" s="32">
        <v>4</v>
      </c>
      <c r="H223" s="13">
        <v>11</v>
      </c>
      <c r="I223" s="13">
        <v>23</v>
      </c>
      <c r="J223" s="14"/>
      <c r="K223" s="15">
        <f t="shared" si="122"/>
        <v>38</v>
      </c>
      <c r="L223" s="32">
        <v>15</v>
      </c>
      <c r="M223" s="13">
        <v>29</v>
      </c>
      <c r="N223" s="13">
        <v>54</v>
      </c>
      <c r="O223" s="14"/>
      <c r="P223" s="15">
        <f t="shared" si="111"/>
        <v>98</v>
      </c>
      <c r="Q223" s="32"/>
      <c r="R223" s="13"/>
      <c r="S223" s="13"/>
      <c r="T223" s="14"/>
      <c r="U223" s="15">
        <f t="shared" si="112"/>
        <v>0</v>
      </c>
      <c r="V223" s="32"/>
      <c r="W223" s="13"/>
      <c r="X223" s="13"/>
      <c r="Y223" s="14"/>
      <c r="Z223" s="15">
        <f t="shared" si="113"/>
        <v>0</v>
      </c>
      <c r="AA223" s="32"/>
      <c r="AB223" s="13"/>
      <c r="AC223" s="13"/>
      <c r="AD223" s="14"/>
      <c r="AE223" s="15">
        <f t="shared" si="114"/>
        <v>0</v>
      </c>
      <c r="AF223" s="32"/>
      <c r="AG223" s="13"/>
      <c r="AH223" s="13"/>
      <c r="AI223" s="14"/>
      <c r="AJ223" s="15">
        <f t="shared" si="115"/>
        <v>0</v>
      </c>
      <c r="AK223" s="32"/>
      <c r="AL223" s="13"/>
      <c r="AM223" s="13"/>
      <c r="AN223" s="14"/>
      <c r="AO223" s="15">
        <f t="shared" si="116"/>
        <v>0</v>
      </c>
      <c r="AP223" s="32"/>
      <c r="AQ223" s="13"/>
      <c r="AR223" s="13"/>
      <c r="AS223" s="14"/>
      <c r="AT223" s="15">
        <f t="shared" si="117"/>
        <v>0</v>
      </c>
      <c r="AU223" s="32"/>
      <c r="AV223" s="13"/>
      <c r="AW223" s="13"/>
      <c r="AX223" s="14"/>
      <c r="AY223" s="15">
        <f t="shared" si="118"/>
        <v>0</v>
      </c>
      <c r="AZ223" s="32"/>
      <c r="BA223" s="13"/>
      <c r="BB223" s="13"/>
      <c r="BC223" s="14"/>
      <c r="BD223" s="15">
        <f t="shared" si="119"/>
        <v>0</v>
      </c>
      <c r="BE223" s="32"/>
      <c r="BF223" s="13"/>
      <c r="BG223" s="13"/>
      <c r="BH223" s="14"/>
      <c r="BI223" s="15">
        <f t="shared" si="120"/>
        <v>0</v>
      </c>
      <c r="BJ223" s="32"/>
      <c r="BK223" s="13"/>
      <c r="BL223" s="13"/>
      <c r="BM223" s="14"/>
      <c r="BN223" s="15">
        <f t="shared" si="121"/>
        <v>0</v>
      </c>
      <c r="BO223" s="66">
        <f>SUM(G223,L223,Q223,V223,AA223,AF223,AK223,AP223,AU223,AZ223,BE223,BJ223)</f>
        <v>19</v>
      </c>
      <c r="BP223" s="13">
        <f>SUM(H223,M223,R223,W223,AB223,AG223,AL223,AQ223,AV223,BA223,BF223,BK223)</f>
        <v>40</v>
      </c>
      <c r="BQ223" s="13">
        <f>SUM(I223,N223,S223,X223,AC223,AH223,AM223,AR223,AW223,BB223,BG223,BL223)</f>
        <v>77</v>
      </c>
      <c r="BR223" s="14">
        <f>SUM(J223,O223,T223,Y223,AD223,AI223,AN223,AS223,AX223,BC223,BH223,BM223)</f>
        <v>0</v>
      </c>
      <c r="BS223" s="33">
        <f t="shared" si="123"/>
        <v>136</v>
      </c>
    </row>
    <row r="224" spans="2:71" x14ac:dyDescent="0.3">
      <c r="B224" s="269"/>
      <c r="C224" s="230"/>
      <c r="D224" s="233"/>
      <c r="E224" s="235"/>
      <c r="F224" s="121" t="s">
        <v>168</v>
      </c>
      <c r="G224" s="32">
        <v>324</v>
      </c>
      <c r="H224" s="13">
        <v>94</v>
      </c>
      <c r="I224" s="13">
        <v>194</v>
      </c>
      <c r="J224" s="14"/>
      <c r="K224" s="15">
        <f t="shared" si="122"/>
        <v>612</v>
      </c>
      <c r="L224" s="32">
        <v>565</v>
      </c>
      <c r="M224" s="13">
        <v>155</v>
      </c>
      <c r="N224" s="13">
        <v>299</v>
      </c>
      <c r="O224" s="14"/>
      <c r="P224" s="15">
        <f t="shared" si="111"/>
        <v>1019</v>
      </c>
      <c r="Q224" s="32"/>
      <c r="R224" s="13"/>
      <c r="S224" s="13"/>
      <c r="T224" s="14"/>
      <c r="U224" s="15">
        <f t="shared" si="112"/>
        <v>0</v>
      </c>
      <c r="V224" s="32"/>
      <c r="W224" s="13"/>
      <c r="X224" s="13"/>
      <c r="Y224" s="14"/>
      <c r="Z224" s="15">
        <f t="shared" si="113"/>
        <v>0</v>
      </c>
      <c r="AA224" s="32"/>
      <c r="AB224" s="13"/>
      <c r="AC224" s="13"/>
      <c r="AD224" s="14"/>
      <c r="AE224" s="15">
        <f t="shared" si="114"/>
        <v>0</v>
      </c>
      <c r="AF224" s="32"/>
      <c r="AG224" s="13"/>
      <c r="AH224" s="13"/>
      <c r="AI224" s="14"/>
      <c r="AJ224" s="15">
        <f t="shared" si="115"/>
        <v>0</v>
      </c>
      <c r="AK224" s="32"/>
      <c r="AL224" s="13"/>
      <c r="AM224" s="13"/>
      <c r="AN224" s="14"/>
      <c r="AO224" s="15">
        <f t="shared" si="116"/>
        <v>0</v>
      </c>
      <c r="AP224" s="32"/>
      <c r="AQ224" s="13"/>
      <c r="AR224" s="13"/>
      <c r="AS224" s="14"/>
      <c r="AT224" s="15">
        <f t="shared" si="117"/>
        <v>0</v>
      </c>
      <c r="AU224" s="32"/>
      <c r="AV224" s="13"/>
      <c r="AW224" s="13"/>
      <c r="AX224" s="14"/>
      <c r="AY224" s="15">
        <f t="shared" si="118"/>
        <v>0</v>
      </c>
      <c r="AZ224" s="32"/>
      <c r="BA224" s="13"/>
      <c r="BB224" s="13"/>
      <c r="BC224" s="14"/>
      <c r="BD224" s="15">
        <f t="shared" si="119"/>
        <v>0</v>
      </c>
      <c r="BE224" s="32"/>
      <c r="BF224" s="13"/>
      <c r="BG224" s="13"/>
      <c r="BH224" s="14"/>
      <c r="BI224" s="15">
        <f t="shared" si="120"/>
        <v>0</v>
      </c>
      <c r="BJ224" s="32"/>
      <c r="BK224" s="13"/>
      <c r="BL224" s="13"/>
      <c r="BM224" s="14"/>
      <c r="BN224" s="15">
        <f t="shared" si="121"/>
        <v>0</v>
      </c>
      <c r="BO224" s="66">
        <f>SUM(G224,L224,Q224,V224,AA224,AF224,AK224,AP224,AU224,AZ224,BE224,BJ224)</f>
        <v>889</v>
      </c>
      <c r="BP224" s="13">
        <f>SUM(H224,M224,R224,W224,AB224,AG224,AL224,AQ224,AV224,BA224,BF224,BK224)</f>
        <v>249</v>
      </c>
      <c r="BQ224" s="13">
        <f>SUM(I224,N224,S224,X224,AC224,AH224,AM224,AR224,AW224,BB224,BG224,BL224)</f>
        <v>493</v>
      </c>
      <c r="BR224" s="14">
        <f>SUM(J224,O224,T224,Y224,AD224,AI224,AN224,AS224,AX224,BC224,BH224,BM224)</f>
        <v>0</v>
      </c>
      <c r="BS224" s="33">
        <f t="shared" si="123"/>
        <v>1631</v>
      </c>
    </row>
    <row r="225" spans="2:71" x14ac:dyDescent="0.3">
      <c r="B225" s="269"/>
      <c r="C225" s="230"/>
      <c r="D225" s="233"/>
      <c r="E225" s="235"/>
      <c r="F225" s="121" t="s">
        <v>169</v>
      </c>
      <c r="G225" s="32">
        <v>14</v>
      </c>
      <c r="H225" s="13">
        <v>3</v>
      </c>
      <c r="I225" s="13">
        <v>9</v>
      </c>
      <c r="J225" s="14"/>
      <c r="K225" s="15">
        <f t="shared" si="122"/>
        <v>26</v>
      </c>
      <c r="L225" s="32">
        <v>40</v>
      </c>
      <c r="M225" s="13">
        <v>6</v>
      </c>
      <c r="N225" s="13">
        <v>26</v>
      </c>
      <c r="O225" s="14"/>
      <c r="P225" s="15">
        <f t="shared" si="111"/>
        <v>72</v>
      </c>
      <c r="Q225" s="32"/>
      <c r="R225" s="13"/>
      <c r="S225" s="13"/>
      <c r="T225" s="14"/>
      <c r="U225" s="15">
        <f t="shared" si="112"/>
        <v>0</v>
      </c>
      <c r="V225" s="32"/>
      <c r="W225" s="13"/>
      <c r="X225" s="13"/>
      <c r="Y225" s="14"/>
      <c r="Z225" s="15">
        <f t="shared" si="113"/>
        <v>0</v>
      </c>
      <c r="AA225" s="32"/>
      <c r="AB225" s="13"/>
      <c r="AC225" s="13"/>
      <c r="AD225" s="14"/>
      <c r="AE225" s="15">
        <f t="shared" si="114"/>
        <v>0</v>
      </c>
      <c r="AF225" s="32"/>
      <c r="AG225" s="13"/>
      <c r="AH225" s="13"/>
      <c r="AI225" s="14"/>
      <c r="AJ225" s="15">
        <f t="shared" si="115"/>
        <v>0</v>
      </c>
      <c r="AK225" s="32"/>
      <c r="AL225" s="13"/>
      <c r="AM225" s="13"/>
      <c r="AN225" s="14"/>
      <c r="AO225" s="15">
        <f t="shared" si="116"/>
        <v>0</v>
      </c>
      <c r="AP225" s="32"/>
      <c r="AQ225" s="13"/>
      <c r="AR225" s="13"/>
      <c r="AS225" s="14"/>
      <c r="AT225" s="15">
        <f t="shared" si="117"/>
        <v>0</v>
      </c>
      <c r="AU225" s="32"/>
      <c r="AV225" s="13"/>
      <c r="AW225" s="13"/>
      <c r="AX225" s="14"/>
      <c r="AY225" s="15">
        <f t="shared" si="118"/>
        <v>0</v>
      </c>
      <c r="AZ225" s="32"/>
      <c r="BA225" s="13"/>
      <c r="BB225" s="13"/>
      <c r="BC225" s="14"/>
      <c r="BD225" s="15">
        <f t="shared" si="119"/>
        <v>0</v>
      </c>
      <c r="BE225" s="32"/>
      <c r="BF225" s="13"/>
      <c r="BG225" s="13"/>
      <c r="BH225" s="14"/>
      <c r="BI225" s="15">
        <f t="shared" si="120"/>
        <v>0</v>
      </c>
      <c r="BJ225" s="32"/>
      <c r="BK225" s="13"/>
      <c r="BL225" s="13"/>
      <c r="BM225" s="14"/>
      <c r="BN225" s="15">
        <f t="shared" si="121"/>
        <v>0</v>
      </c>
      <c r="BO225" s="66">
        <f>SUM(G225,L225,Q225,V225,AA225,AF225,AK225,AP225,AU225,AZ225,BE225,BJ225)</f>
        <v>54</v>
      </c>
      <c r="BP225" s="13">
        <f>SUM(H225,M225,R225,W225,AB225,AG225,AL225,AQ225,AV225,BA225,BF225,BK225)</f>
        <v>9</v>
      </c>
      <c r="BQ225" s="13">
        <f>SUM(I225,N225,S225,X225,AC225,AH225,AM225,AR225,AW225,BB225,BG225,BL225)</f>
        <v>35</v>
      </c>
      <c r="BR225" s="14">
        <f>SUM(J225,O225,T225,Y225,AD225,AI225,AN225,AS225,AX225,BC225,BH225,BM225)</f>
        <v>0</v>
      </c>
      <c r="BS225" s="33">
        <f t="shared" si="123"/>
        <v>98</v>
      </c>
    </row>
    <row r="226" spans="2:71" x14ac:dyDescent="0.3">
      <c r="B226" s="269"/>
      <c r="C226" s="230"/>
      <c r="D226" s="233"/>
      <c r="E226" s="235"/>
      <c r="F226" s="121" t="s">
        <v>72</v>
      </c>
      <c r="G226" s="32">
        <v>25</v>
      </c>
      <c r="H226" s="13"/>
      <c r="I226" s="13"/>
      <c r="J226" s="14"/>
      <c r="K226" s="15">
        <f t="shared" si="122"/>
        <v>25</v>
      </c>
      <c r="L226" s="32"/>
      <c r="M226" s="13"/>
      <c r="N226" s="13"/>
      <c r="O226" s="14"/>
      <c r="P226" s="15">
        <f t="shared" si="111"/>
        <v>0</v>
      </c>
      <c r="Q226" s="32"/>
      <c r="R226" s="13"/>
      <c r="S226" s="13"/>
      <c r="T226" s="14"/>
      <c r="U226" s="15">
        <f t="shared" si="112"/>
        <v>0</v>
      </c>
      <c r="V226" s="32"/>
      <c r="W226" s="13"/>
      <c r="X226" s="13"/>
      <c r="Y226" s="14"/>
      <c r="Z226" s="15">
        <f t="shared" si="113"/>
        <v>0</v>
      </c>
      <c r="AA226" s="32"/>
      <c r="AB226" s="13"/>
      <c r="AC226" s="13"/>
      <c r="AD226" s="14"/>
      <c r="AE226" s="15">
        <f t="shared" si="114"/>
        <v>0</v>
      </c>
      <c r="AF226" s="32"/>
      <c r="AG226" s="13"/>
      <c r="AH226" s="13"/>
      <c r="AI226" s="14"/>
      <c r="AJ226" s="15">
        <f t="shared" si="115"/>
        <v>0</v>
      </c>
      <c r="AK226" s="32"/>
      <c r="AL226" s="13"/>
      <c r="AM226" s="13"/>
      <c r="AN226" s="14"/>
      <c r="AO226" s="15">
        <f t="shared" si="116"/>
        <v>0</v>
      </c>
      <c r="AP226" s="32"/>
      <c r="AQ226" s="13"/>
      <c r="AR226" s="13"/>
      <c r="AS226" s="14"/>
      <c r="AT226" s="15">
        <f t="shared" si="117"/>
        <v>0</v>
      </c>
      <c r="AU226" s="32"/>
      <c r="AV226" s="13"/>
      <c r="AW226" s="13"/>
      <c r="AX226" s="14"/>
      <c r="AY226" s="15">
        <f t="shared" si="118"/>
        <v>0</v>
      </c>
      <c r="AZ226" s="32"/>
      <c r="BA226" s="13"/>
      <c r="BB226" s="13"/>
      <c r="BC226" s="14"/>
      <c r="BD226" s="15">
        <f t="shared" si="119"/>
        <v>0</v>
      </c>
      <c r="BE226" s="32"/>
      <c r="BF226" s="13"/>
      <c r="BG226" s="13"/>
      <c r="BH226" s="14"/>
      <c r="BI226" s="15">
        <f t="shared" si="120"/>
        <v>0</v>
      </c>
      <c r="BJ226" s="32"/>
      <c r="BK226" s="13"/>
      <c r="BL226" s="13"/>
      <c r="BM226" s="14"/>
      <c r="BN226" s="15">
        <f t="shared" si="121"/>
        <v>0</v>
      </c>
      <c r="BO226" s="66">
        <f>SUM(G226,L226,Q226,V226,AA226,AF226,AK226,AP226,AU226,AZ226,BE226,BJ226)</f>
        <v>25</v>
      </c>
      <c r="BP226" s="13">
        <f>SUM(H226,M226,R226,W226,AB226,AG226,AL226,AQ226,AV226,BA226,BF226,BK226)</f>
        <v>0</v>
      </c>
      <c r="BQ226" s="13">
        <f>SUM(I226,N226,S226,X226,AC226,AH226,AM226,AR226,AW226,BB226,BG226,BL226)</f>
        <v>0</v>
      </c>
      <c r="BR226" s="14">
        <f>SUM(J226,O226,T226,Y226,AD226,AI226,AN226,AS226,AX226,BC226,BH226,BM226)</f>
        <v>0</v>
      </c>
      <c r="BS226" s="33">
        <f t="shared" si="123"/>
        <v>25</v>
      </c>
    </row>
    <row r="227" spans="2:71" x14ac:dyDescent="0.3">
      <c r="B227" s="269"/>
      <c r="C227" s="230"/>
      <c r="D227" s="233"/>
      <c r="E227" s="235"/>
      <c r="F227" s="121" t="s">
        <v>182</v>
      </c>
      <c r="G227" s="32">
        <v>1</v>
      </c>
      <c r="H227" s="13"/>
      <c r="I227" s="13"/>
      <c r="J227" s="14"/>
      <c r="K227" s="15">
        <f t="shared" si="122"/>
        <v>1</v>
      </c>
      <c r="L227" s="32">
        <v>8</v>
      </c>
      <c r="M227" s="13"/>
      <c r="N227" s="13">
        <v>2</v>
      </c>
      <c r="O227" s="14"/>
      <c r="P227" s="15">
        <f t="shared" si="111"/>
        <v>10</v>
      </c>
      <c r="Q227" s="32">
        <v>6</v>
      </c>
      <c r="R227" s="13"/>
      <c r="S227" s="13">
        <v>1</v>
      </c>
      <c r="T227" s="14"/>
      <c r="U227" s="15">
        <f t="shared" si="112"/>
        <v>7</v>
      </c>
      <c r="V227" s="32">
        <f>17+6</f>
        <v>23</v>
      </c>
      <c r="W227" s="13"/>
      <c r="X227" s="13">
        <f>2+1</f>
        <v>3</v>
      </c>
      <c r="Y227" s="14"/>
      <c r="Z227" s="15">
        <f t="shared" si="113"/>
        <v>26</v>
      </c>
      <c r="AA227" s="32">
        <f>35+7</f>
        <v>42</v>
      </c>
      <c r="AB227" s="13"/>
      <c r="AC227" s="13">
        <f>8+2</f>
        <v>10</v>
      </c>
      <c r="AD227" s="14"/>
      <c r="AE227" s="15">
        <f t="shared" si="114"/>
        <v>52</v>
      </c>
      <c r="AF227" s="32">
        <f>2+20</f>
        <v>22</v>
      </c>
      <c r="AG227" s="13"/>
      <c r="AH227" s="13">
        <f>1</f>
        <v>1</v>
      </c>
      <c r="AI227" s="14"/>
      <c r="AJ227" s="15">
        <f t="shared" si="115"/>
        <v>23</v>
      </c>
      <c r="AK227" s="32">
        <f>9</f>
        <v>9</v>
      </c>
      <c r="AL227" s="13"/>
      <c r="AM227" s="13">
        <f>1</f>
        <v>1</v>
      </c>
      <c r="AN227" s="14"/>
      <c r="AO227" s="15">
        <f t="shared" si="116"/>
        <v>10</v>
      </c>
      <c r="AP227" s="32"/>
      <c r="AQ227" s="13"/>
      <c r="AR227" s="13"/>
      <c r="AS227" s="14"/>
      <c r="AT227" s="15">
        <f t="shared" si="117"/>
        <v>0</v>
      </c>
      <c r="AU227" s="32"/>
      <c r="AV227" s="13"/>
      <c r="AW227" s="13"/>
      <c r="AX227" s="14"/>
      <c r="AY227" s="15">
        <f t="shared" si="118"/>
        <v>0</v>
      </c>
      <c r="AZ227" s="32"/>
      <c r="BA227" s="13"/>
      <c r="BB227" s="13"/>
      <c r="BC227" s="14"/>
      <c r="BD227" s="15">
        <f t="shared" si="119"/>
        <v>0</v>
      </c>
      <c r="BE227" s="32"/>
      <c r="BF227" s="13"/>
      <c r="BG227" s="13"/>
      <c r="BH227" s="14"/>
      <c r="BI227" s="15">
        <f t="shared" si="120"/>
        <v>0</v>
      </c>
      <c r="BJ227" s="32"/>
      <c r="BK227" s="13"/>
      <c r="BL227" s="13"/>
      <c r="BM227" s="14"/>
      <c r="BN227" s="15">
        <f t="shared" si="121"/>
        <v>0</v>
      </c>
      <c r="BO227" s="66">
        <f>SUM(G227,L227,Q227,V227,AA227,AF227,AK227,AP227,AU227,AZ227,BE227,BJ227)</f>
        <v>111</v>
      </c>
      <c r="BP227" s="13">
        <f>SUM(H227,M227,R227,W227,AB227,AG227,AL227,AQ227,AV227,BA227,BF227,BK227)</f>
        <v>0</v>
      </c>
      <c r="BQ227" s="13">
        <f>SUM(I227,N227,S227,X227,AC227,AH227,AM227,AR227,AW227,BB227,BG227,BL227)</f>
        <v>18</v>
      </c>
      <c r="BR227" s="14">
        <f>SUM(J227,O227,T227,Y227,AD227,AI227,AN227,AS227,AX227,BC227,BH227,BM227)</f>
        <v>0</v>
      </c>
      <c r="BS227" s="33">
        <f t="shared" si="123"/>
        <v>129</v>
      </c>
    </row>
    <row r="228" spans="2:71" x14ac:dyDescent="0.3">
      <c r="B228" s="269"/>
      <c r="C228" s="230"/>
      <c r="D228" s="233"/>
      <c r="E228" s="235"/>
      <c r="F228" s="121" t="s">
        <v>164</v>
      </c>
      <c r="G228" s="32">
        <v>1414</v>
      </c>
      <c r="H228" s="13"/>
      <c r="I228" s="13"/>
      <c r="J228" s="14"/>
      <c r="K228" s="15">
        <f t="shared" ref="K228" si="164">SUM(G228:J228)</f>
        <v>1414</v>
      </c>
      <c r="L228" s="32">
        <v>1793</v>
      </c>
      <c r="M228" s="13"/>
      <c r="N228" s="13"/>
      <c r="O228" s="14"/>
      <c r="P228" s="15">
        <f t="shared" ref="P228" si="165">SUM(L228:O228)</f>
        <v>1793</v>
      </c>
      <c r="Q228" s="32">
        <v>1417</v>
      </c>
      <c r="R228" s="13"/>
      <c r="S228" s="13"/>
      <c r="T228" s="14"/>
      <c r="U228" s="15">
        <f t="shared" ref="U228" si="166">SUM(Q228:T228)</f>
        <v>1417</v>
      </c>
      <c r="V228" s="32">
        <v>1134</v>
      </c>
      <c r="W228" s="13"/>
      <c r="X228" s="13"/>
      <c r="Y228" s="14"/>
      <c r="Z228" s="15">
        <f t="shared" ref="Z228" si="167">SUM(V228:Y228)</f>
        <v>1134</v>
      </c>
      <c r="AA228" s="32">
        <v>1133</v>
      </c>
      <c r="AB228" s="13"/>
      <c r="AC228" s="13"/>
      <c r="AD228" s="14"/>
      <c r="AE228" s="15">
        <f t="shared" ref="AE228" si="168">SUM(AA228:AD228)</f>
        <v>1133</v>
      </c>
      <c r="AF228" s="32">
        <v>1003</v>
      </c>
      <c r="AG228" s="13"/>
      <c r="AH228" s="13"/>
      <c r="AI228" s="14"/>
      <c r="AJ228" s="15">
        <f t="shared" ref="AJ228" si="169">SUM(AF228:AI228)</f>
        <v>1003</v>
      </c>
      <c r="AK228" s="32">
        <v>889</v>
      </c>
      <c r="AL228" s="13"/>
      <c r="AM228" s="13"/>
      <c r="AN228" s="14"/>
      <c r="AO228" s="15">
        <f t="shared" ref="AO228" si="170">SUM(AK228:AN228)</f>
        <v>889</v>
      </c>
      <c r="AP228" s="32">
        <v>852</v>
      </c>
      <c r="AQ228" s="13"/>
      <c r="AR228" s="13"/>
      <c r="AS228" s="14"/>
      <c r="AT228" s="15">
        <f t="shared" ref="AT228" si="171">SUM(AP228:AS228)</f>
        <v>852</v>
      </c>
      <c r="AU228" s="32">
        <v>2757</v>
      </c>
      <c r="AV228" s="13"/>
      <c r="AW228" s="13"/>
      <c r="AX228" s="14"/>
      <c r="AY228" s="15">
        <f t="shared" ref="AY228" si="172">SUM(AU228:AX228)</f>
        <v>2757</v>
      </c>
      <c r="AZ228" s="32">
        <v>3071</v>
      </c>
      <c r="BA228" s="13"/>
      <c r="BB228" s="13"/>
      <c r="BC228" s="14"/>
      <c r="BD228" s="15">
        <f t="shared" ref="BD228" si="173">SUM(AZ228:BC228)</f>
        <v>3071</v>
      </c>
      <c r="BE228" s="32">
        <v>2268</v>
      </c>
      <c r="BF228" s="13"/>
      <c r="BG228" s="13"/>
      <c r="BH228" s="14"/>
      <c r="BI228" s="15">
        <f t="shared" ref="BI228" si="174">SUM(BE228:BH228)</f>
        <v>2268</v>
      </c>
      <c r="BJ228" s="32">
        <v>1831</v>
      </c>
      <c r="BK228" s="13"/>
      <c r="BL228" s="13"/>
      <c r="BM228" s="14"/>
      <c r="BN228" s="15">
        <f t="shared" ref="BN228" si="175">SUM(BJ228:BM228)</f>
        <v>1831</v>
      </c>
      <c r="BO228" s="66">
        <f>SUM(G228,L228,Q228,V228,AA228,AF228,AK228,AP228,AU228,AZ228,BE228,BJ228)</f>
        <v>19562</v>
      </c>
      <c r="BP228" s="13">
        <f>SUM(H228,M228,R228,W228,AB228,AG228,AL228,AQ228,AV228,BA228,BF228,BK228)</f>
        <v>0</v>
      </c>
      <c r="BQ228" s="13">
        <f>SUM(I228,N228,S228,X228,AC228,AH228,AM228,AR228,AW228,BB228,BG228,BL228)</f>
        <v>0</v>
      </c>
      <c r="BR228" s="14">
        <f>SUM(J228,O228,T228,Y228,AD228,AI228,AN228,AS228,AX228,BC228,BH228,BM228)</f>
        <v>0</v>
      </c>
      <c r="BS228" s="33">
        <f t="shared" si="123"/>
        <v>19562</v>
      </c>
    </row>
    <row r="229" spans="2:71" x14ac:dyDescent="0.3">
      <c r="B229" s="269"/>
      <c r="C229" s="230"/>
      <c r="D229" s="233"/>
      <c r="E229" s="235"/>
      <c r="F229" s="121" t="s">
        <v>165</v>
      </c>
      <c r="G229" s="32">
        <v>695</v>
      </c>
      <c r="H229" s="13"/>
      <c r="I229" s="13"/>
      <c r="J229" s="14"/>
      <c r="K229" s="15">
        <f t="shared" ref="K229" si="176">SUM(G229:J229)</f>
        <v>695</v>
      </c>
      <c r="L229" s="32">
        <v>773</v>
      </c>
      <c r="M229" s="13"/>
      <c r="N229" s="13"/>
      <c r="O229" s="14"/>
      <c r="P229" s="15">
        <f t="shared" ref="P229:P273" si="177">SUM(L229:O229)</f>
        <v>773</v>
      </c>
      <c r="Q229" s="32">
        <v>999</v>
      </c>
      <c r="R229" s="13"/>
      <c r="S229" s="13"/>
      <c r="T229" s="14"/>
      <c r="U229" s="15">
        <f t="shared" ref="U229:U273" si="178">SUM(Q229:T229)</f>
        <v>999</v>
      </c>
      <c r="V229" s="32">
        <v>1069</v>
      </c>
      <c r="W229" s="13"/>
      <c r="X229" s="13"/>
      <c r="Y229" s="14"/>
      <c r="Z229" s="15">
        <f t="shared" ref="Z229:Z273" si="179">SUM(V229:Y229)</f>
        <v>1069</v>
      </c>
      <c r="AA229" s="32">
        <v>781</v>
      </c>
      <c r="AB229" s="13"/>
      <c r="AC229" s="13"/>
      <c r="AD229" s="14"/>
      <c r="AE229" s="15">
        <f t="shared" ref="AE229:AE273" si="180">SUM(AA229:AD229)</f>
        <v>781</v>
      </c>
      <c r="AF229" s="32">
        <v>720</v>
      </c>
      <c r="AG229" s="13"/>
      <c r="AH229" s="13"/>
      <c r="AI229" s="14"/>
      <c r="AJ229" s="15">
        <f t="shared" ref="AJ229:AJ273" si="181">SUM(AF229:AI229)</f>
        <v>720</v>
      </c>
      <c r="AK229" s="32">
        <v>469</v>
      </c>
      <c r="AL229" s="13"/>
      <c r="AM229" s="13"/>
      <c r="AN229" s="14"/>
      <c r="AO229" s="15">
        <f t="shared" ref="AO229:AO273" si="182">SUM(AK229:AN229)</f>
        <v>469</v>
      </c>
      <c r="AP229" s="32"/>
      <c r="AQ229" s="13"/>
      <c r="AR229" s="13"/>
      <c r="AS229" s="14"/>
      <c r="AT229" s="15">
        <f t="shared" ref="AT229:AT273" si="183">SUM(AP229:AS229)</f>
        <v>0</v>
      </c>
      <c r="AU229" s="32"/>
      <c r="AV229" s="13"/>
      <c r="AW229" s="13"/>
      <c r="AX229" s="14"/>
      <c r="AY229" s="15">
        <f t="shared" ref="AY229:AY273" si="184">SUM(AU229:AX229)</f>
        <v>0</v>
      </c>
      <c r="AZ229" s="32"/>
      <c r="BA229" s="13"/>
      <c r="BB229" s="13"/>
      <c r="BC229" s="14"/>
      <c r="BD229" s="15">
        <f t="shared" ref="BD229:BD273" si="185">SUM(AZ229:BC229)</f>
        <v>0</v>
      </c>
      <c r="BE229" s="32"/>
      <c r="BF229" s="13"/>
      <c r="BG229" s="13"/>
      <c r="BH229" s="14"/>
      <c r="BI229" s="15">
        <f t="shared" ref="BI229:BI273" si="186">SUM(BE229:BH229)</f>
        <v>0</v>
      </c>
      <c r="BJ229" s="32"/>
      <c r="BK229" s="13"/>
      <c r="BL229" s="13"/>
      <c r="BM229" s="14"/>
      <c r="BN229" s="15">
        <f t="shared" ref="BN229:BN273" si="187">SUM(BJ229:BM229)</f>
        <v>0</v>
      </c>
      <c r="BO229" s="66">
        <f>SUM(G229,L229,Q229,V229,AA229,AF229,AK229,AP229,AU229,AZ229,BE229,BJ229)</f>
        <v>5506</v>
      </c>
      <c r="BP229" s="13">
        <f>SUM(H229,M229,R229,W229,AB229,AG229,AL229,AQ229,AV229,BA229,BF229,BK229)</f>
        <v>0</v>
      </c>
      <c r="BQ229" s="13">
        <f>SUM(I229,N229,S229,X229,AC229,AH229,AM229,AR229,AW229,BB229,BG229,BL229)</f>
        <v>0</v>
      </c>
      <c r="BR229" s="14">
        <f>SUM(J229,O229,T229,Y229,AD229,AI229,AN229,AS229,AX229,BC229,BH229,BM229)</f>
        <v>0</v>
      </c>
      <c r="BS229" s="33">
        <f t="shared" si="123"/>
        <v>5506</v>
      </c>
    </row>
    <row r="230" spans="2:71" x14ac:dyDescent="0.3">
      <c r="B230" s="269"/>
      <c r="C230" s="230"/>
      <c r="D230" s="233"/>
      <c r="E230" s="235"/>
      <c r="F230" s="121" t="s">
        <v>474</v>
      </c>
      <c r="G230" s="32"/>
      <c r="H230" s="13"/>
      <c r="I230" s="13"/>
      <c r="J230" s="14"/>
      <c r="K230" s="15">
        <f t="shared" si="122"/>
        <v>0</v>
      </c>
      <c r="L230" s="32"/>
      <c r="M230" s="13"/>
      <c r="N230" s="13"/>
      <c r="O230" s="14"/>
      <c r="P230" s="15">
        <f t="shared" si="177"/>
        <v>0</v>
      </c>
      <c r="Q230" s="32"/>
      <c r="R230" s="13"/>
      <c r="S230" s="13"/>
      <c r="T230" s="14"/>
      <c r="U230" s="15">
        <f t="shared" si="178"/>
        <v>0</v>
      </c>
      <c r="V230" s="32"/>
      <c r="W230" s="13"/>
      <c r="X230" s="13"/>
      <c r="Y230" s="14"/>
      <c r="Z230" s="15">
        <f t="shared" si="179"/>
        <v>0</v>
      </c>
      <c r="AA230" s="32"/>
      <c r="AB230" s="13">
        <v>902</v>
      </c>
      <c r="AC230" s="13"/>
      <c r="AD230" s="14"/>
      <c r="AE230" s="15">
        <f t="shared" si="180"/>
        <v>902</v>
      </c>
      <c r="AF230" s="32"/>
      <c r="AG230" s="13"/>
      <c r="AH230" s="13"/>
      <c r="AI230" s="14"/>
      <c r="AJ230" s="15">
        <f t="shared" si="181"/>
        <v>0</v>
      </c>
      <c r="AK230" s="32"/>
      <c r="AL230" s="13"/>
      <c r="AM230" s="13"/>
      <c r="AN230" s="14"/>
      <c r="AO230" s="15">
        <f t="shared" si="182"/>
        <v>0</v>
      </c>
      <c r="AP230" s="32"/>
      <c r="AQ230" s="13"/>
      <c r="AR230" s="13"/>
      <c r="AS230" s="14"/>
      <c r="AT230" s="15">
        <f t="shared" si="183"/>
        <v>0</v>
      </c>
      <c r="AU230" s="32"/>
      <c r="AV230" s="13"/>
      <c r="AW230" s="13"/>
      <c r="AX230" s="14"/>
      <c r="AY230" s="15">
        <f t="shared" si="184"/>
        <v>0</v>
      </c>
      <c r="AZ230" s="32"/>
      <c r="BA230" s="13"/>
      <c r="BB230" s="13"/>
      <c r="BC230" s="14"/>
      <c r="BD230" s="15">
        <f t="shared" si="185"/>
        <v>0</v>
      </c>
      <c r="BE230" s="32"/>
      <c r="BF230" s="13"/>
      <c r="BG230" s="13"/>
      <c r="BH230" s="14"/>
      <c r="BI230" s="15">
        <f t="shared" si="186"/>
        <v>0</v>
      </c>
      <c r="BJ230" s="32"/>
      <c r="BK230" s="13"/>
      <c r="BL230" s="13"/>
      <c r="BM230" s="14"/>
      <c r="BN230" s="15">
        <f t="shared" si="187"/>
        <v>0</v>
      </c>
      <c r="BO230" s="66">
        <f>SUM(G230,L230,Q230,V230,AA230,AF230,AK230,AP230,AU230,AZ230,BE230,BJ230)</f>
        <v>0</v>
      </c>
      <c r="BP230" s="13">
        <f>SUM(H230,M230,R230,W230,AB230,AG230,AL230,AQ230,AV230,BA230,BF230,BK230)</f>
        <v>902</v>
      </c>
      <c r="BQ230" s="13">
        <f>SUM(I230,N230,S230,X230,AC230,AH230,AM230,AR230,AW230,BB230,BG230,BL230)</f>
        <v>0</v>
      </c>
      <c r="BR230" s="14">
        <f>SUM(J230,O230,T230,Y230,AD230,AI230,AN230,AS230,AX230,BC230,BH230,BM230)</f>
        <v>0</v>
      </c>
      <c r="BS230" s="33">
        <f t="shared" si="123"/>
        <v>902</v>
      </c>
    </row>
    <row r="231" spans="2:71" x14ac:dyDescent="0.3">
      <c r="B231" s="269"/>
      <c r="C231" s="230"/>
      <c r="D231" s="233"/>
      <c r="E231" s="235"/>
      <c r="F231" s="121" t="s">
        <v>475</v>
      </c>
      <c r="G231" s="32"/>
      <c r="H231" s="13"/>
      <c r="I231" s="13"/>
      <c r="J231" s="14"/>
      <c r="K231" s="15">
        <f t="shared" si="122"/>
        <v>0</v>
      </c>
      <c r="L231" s="32"/>
      <c r="M231" s="13"/>
      <c r="N231" s="13"/>
      <c r="O231" s="14"/>
      <c r="P231" s="15">
        <f t="shared" si="177"/>
        <v>0</v>
      </c>
      <c r="Q231" s="32"/>
      <c r="R231" s="13"/>
      <c r="S231" s="13"/>
      <c r="T231" s="14"/>
      <c r="U231" s="15">
        <f t="shared" si="178"/>
        <v>0</v>
      </c>
      <c r="V231" s="32"/>
      <c r="W231" s="13"/>
      <c r="X231" s="13"/>
      <c r="Y231" s="14"/>
      <c r="Z231" s="15">
        <f t="shared" si="179"/>
        <v>0</v>
      </c>
      <c r="AA231" s="32"/>
      <c r="AB231" s="13">
        <v>56</v>
      </c>
      <c r="AC231" s="13"/>
      <c r="AD231" s="14"/>
      <c r="AE231" s="15">
        <f t="shared" si="180"/>
        <v>56</v>
      </c>
      <c r="AF231" s="32"/>
      <c r="AG231" s="13"/>
      <c r="AH231" s="13"/>
      <c r="AI231" s="14"/>
      <c r="AJ231" s="15">
        <f t="shared" si="181"/>
        <v>0</v>
      </c>
      <c r="AK231" s="32"/>
      <c r="AL231" s="13"/>
      <c r="AM231" s="13"/>
      <c r="AN231" s="14"/>
      <c r="AO231" s="15">
        <f t="shared" si="182"/>
        <v>0</v>
      </c>
      <c r="AP231" s="32"/>
      <c r="AQ231" s="13"/>
      <c r="AR231" s="13"/>
      <c r="AS231" s="14"/>
      <c r="AT231" s="15">
        <f t="shared" si="183"/>
        <v>0</v>
      </c>
      <c r="AU231" s="32"/>
      <c r="AV231" s="13"/>
      <c r="AW231" s="13"/>
      <c r="AX231" s="14"/>
      <c r="AY231" s="15">
        <f t="shared" si="184"/>
        <v>0</v>
      </c>
      <c r="AZ231" s="32"/>
      <c r="BA231" s="13"/>
      <c r="BB231" s="13"/>
      <c r="BC231" s="14"/>
      <c r="BD231" s="15">
        <f t="shared" si="185"/>
        <v>0</v>
      </c>
      <c r="BE231" s="32"/>
      <c r="BF231" s="13"/>
      <c r="BG231" s="13"/>
      <c r="BH231" s="14"/>
      <c r="BI231" s="15">
        <f t="shared" si="186"/>
        <v>0</v>
      </c>
      <c r="BJ231" s="32"/>
      <c r="BK231" s="13"/>
      <c r="BL231" s="13"/>
      <c r="BM231" s="14"/>
      <c r="BN231" s="15">
        <f t="shared" si="187"/>
        <v>0</v>
      </c>
      <c r="BO231" s="66">
        <f>SUM(G231,L231,Q231,V231,AA231,AF231,AK231,AP231,AU231,AZ231,BE231,BJ231)</f>
        <v>0</v>
      </c>
      <c r="BP231" s="13">
        <f>SUM(H231,M231,R231,W231,AB231,AG231,AL231,AQ231,AV231,BA231,BF231,BK231)</f>
        <v>56</v>
      </c>
      <c r="BQ231" s="13">
        <f>SUM(I231,N231,S231,X231,AC231,AH231,AM231,AR231,AW231,BB231,BG231,BL231)</f>
        <v>0</v>
      </c>
      <c r="BR231" s="14">
        <f>SUM(J231,O231,T231,Y231,AD231,AI231,AN231,AS231,AX231,BC231,BH231,BM231)</f>
        <v>0</v>
      </c>
      <c r="BS231" s="33">
        <f t="shared" si="123"/>
        <v>56</v>
      </c>
    </row>
    <row r="232" spans="2:71" x14ac:dyDescent="0.3">
      <c r="B232" s="269"/>
      <c r="C232" s="230"/>
      <c r="D232" s="233"/>
      <c r="E232" s="235"/>
      <c r="F232" s="178" t="s">
        <v>476</v>
      </c>
      <c r="G232" s="179"/>
      <c r="H232" s="180"/>
      <c r="I232" s="180"/>
      <c r="J232" s="181"/>
      <c r="K232" s="182">
        <f t="shared" si="122"/>
        <v>0</v>
      </c>
      <c r="L232" s="179"/>
      <c r="M232" s="180"/>
      <c r="N232" s="180"/>
      <c r="O232" s="181"/>
      <c r="P232" s="182">
        <f t="shared" si="177"/>
        <v>0</v>
      </c>
      <c r="Q232" s="179"/>
      <c r="R232" s="180"/>
      <c r="S232" s="180"/>
      <c r="T232" s="181"/>
      <c r="U232" s="182">
        <f t="shared" si="178"/>
        <v>0</v>
      </c>
      <c r="V232" s="179"/>
      <c r="W232" s="180"/>
      <c r="X232" s="180"/>
      <c r="Y232" s="181"/>
      <c r="Z232" s="182">
        <f t="shared" si="179"/>
        <v>0</v>
      </c>
      <c r="AA232" s="179"/>
      <c r="AB232" s="180">
        <v>394</v>
      </c>
      <c r="AC232" s="180"/>
      <c r="AD232" s="181"/>
      <c r="AE232" s="182">
        <f t="shared" si="180"/>
        <v>394</v>
      </c>
      <c r="AF232" s="179"/>
      <c r="AG232" s="180"/>
      <c r="AH232" s="180"/>
      <c r="AI232" s="181"/>
      <c r="AJ232" s="182">
        <f t="shared" si="181"/>
        <v>0</v>
      </c>
      <c r="AK232" s="179"/>
      <c r="AL232" s="180"/>
      <c r="AM232" s="180"/>
      <c r="AN232" s="181"/>
      <c r="AO232" s="182">
        <f t="shared" si="182"/>
        <v>0</v>
      </c>
      <c r="AP232" s="179"/>
      <c r="AQ232" s="180"/>
      <c r="AR232" s="180"/>
      <c r="AS232" s="181"/>
      <c r="AT232" s="182">
        <f t="shared" si="183"/>
        <v>0</v>
      </c>
      <c r="AU232" s="179"/>
      <c r="AV232" s="180"/>
      <c r="AW232" s="180"/>
      <c r="AX232" s="181"/>
      <c r="AY232" s="182">
        <f t="shared" si="184"/>
        <v>0</v>
      </c>
      <c r="AZ232" s="179"/>
      <c r="BA232" s="180"/>
      <c r="BB232" s="180"/>
      <c r="BC232" s="181"/>
      <c r="BD232" s="182">
        <f t="shared" si="185"/>
        <v>0</v>
      </c>
      <c r="BE232" s="179"/>
      <c r="BF232" s="180"/>
      <c r="BG232" s="180"/>
      <c r="BH232" s="181"/>
      <c r="BI232" s="182">
        <f t="shared" si="186"/>
        <v>0</v>
      </c>
      <c r="BJ232" s="179"/>
      <c r="BK232" s="180"/>
      <c r="BL232" s="180"/>
      <c r="BM232" s="181"/>
      <c r="BN232" s="182">
        <f t="shared" si="187"/>
        <v>0</v>
      </c>
      <c r="BO232" s="184">
        <f>SUM(G232,L232,Q232,V232,AA232,AF232,AK232,AP232,AU232,AZ232,BE232,BJ232)</f>
        <v>0</v>
      </c>
      <c r="BP232" s="180">
        <f>SUM(H232,M232,R232,W232,AB232,AG232,AL232,AQ232,AV232,BA232,BF232,BK232)</f>
        <v>394</v>
      </c>
      <c r="BQ232" s="180">
        <f>SUM(I232,N232,S232,X232,AC232,AH232,AM232,AR232,AW232,BB232,BG232,BL232)</f>
        <v>0</v>
      </c>
      <c r="BR232" s="181">
        <f>SUM(J232,O232,T232,Y232,AD232,AI232,AN232,AS232,AX232,BC232,BH232,BM232)</f>
        <v>0</v>
      </c>
      <c r="BS232" s="183">
        <f t="shared" si="123"/>
        <v>394</v>
      </c>
    </row>
    <row r="233" spans="2:71" x14ac:dyDescent="0.3">
      <c r="B233" s="269"/>
      <c r="C233" s="230"/>
      <c r="D233" s="233"/>
      <c r="E233" s="235"/>
      <c r="F233" s="121" t="s">
        <v>477</v>
      </c>
      <c r="G233" s="32"/>
      <c r="H233" s="13"/>
      <c r="I233" s="13"/>
      <c r="J233" s="14"/>
      <c r="K233" s="15">
        <f t="shared" si="122"/>
        <v>0</v>
      </c>
      <c r="L233" s="32"/>
      <c r="M233" s="13"/>
      <c r="N233" s="13"/>
      <c r="O233" s="14"/>
      <c r="P233" s="15">
        <f t="shared" si="177"/>
        <v>0</v>
      </c>
      <c r="Q233" s="32"/>
      <c r="R233" s="13"/>
      <c r="S233" s="13"/>
      <c r="T233" s="14"/>
      <c r="U233" s="15">
        <f t="shared" si="178"/>
        <v>0</v>
      </c>
      <c r="V233" s="32"/>
      <c r="W233" s="13"/>
      <c r="X233" s="13"/>
      <c r="Y233" s="14"/>
      <c r="Z233" s="15">
        <f t="shared" si="179"/>
        <v>0</v>
      </c>
      <c r="AA233" s="32">
        <v>39</v>
      </c>
      <c r="AB233" s="13">
        <v>2</v>
      </c>
      <c r="AC233" s="13">
        <v>40</v>
      </c>
      <c r="AD233" s="14"/>
      <c r="AE233" s="15">
        <f t="shared" si="180"/>
        <v>81</v>
      </c>
      <c r="AF233" s="32"/>
      <c r="AG233" s="13"/>
      <c r="AH233" s="13"/>
      <c r="AI233" s="14"/>
      <c r="AJ233" s="15">
        <f t="shared" si="181"/>
        <v>0</v>
      </c>
      <c r="AK233" s="32"/>
      <c r="AL233" s="13"/>
      <c r="AM233" s="13"/>
      <c r="AN233" s="14"/>
      <c r="AO233" s="15">
        <f t="shared" si="182"/>
        <v>0</v>
      </c>
      <c r="AP233" s="32"/>
      <c r="AQ233" s="13"/>
      <c r="AR233" s="13"/>
      <c r="AS233" s="14"/>
      <c r="AT233" s="15">
        <f t="shared" si="183"/>
        <v>0</v>
      </c>
      <c r="AU233" s="32"/>
      <c r="AV233" s="13"/>
      <c r="AW233" s="13"/>
      <c r="AX233" s="14"/>
      <c r="AY233" s="15">
        <f t="shared" si="184"/>
        <v>0</v>
      </c>
      <c r="AZ233" s="32">
        <v>22</v>
      </c>
      <c r="BA233" s="13">
        <v>5</v>
      </c>
      <c r="BB233" s="13">
        <v>23</v>
      </c>
      <c r="BC233" s="14"/>
      <c r="BD233" s="15">
        <f t="shared" si="185"/>
        <v>50</v>
      </c>
      <c r="BE233" s="32"/>
      <c r="BF233" s="13"/>
      <c r="BG233" s="13"/>
      <c r="BH233" s="14"/>
      <c r="BI233" s="15">
        <f t="shared" si="186"/>
        <v>0</v>
      </c>
      <c r="BJ233" s="32"/>
      <c r="BK233" s="13"/>
      <c r="BL233" s="13"/>
      <c r="BM233" s="14"/>
      <c r="BN233" s="15">
        <f t="shared" si="187"/>
        <v>0</v>
      </c>
      <c r="BO233" s="66">
        <f>SUM(G233,L233,Q233,V233,AA233,AF233,AK233,AP233,AU233,AZ233,BE233,BJ233)</f>
        <v>61</v>
      </c>
      <c r="BP233" s="13">
        <f>SUM(H233,M233,R233,W233,AB233,AG233,AL233,AQ233,AV233,BA233,BF233,BK233)</f>
        <v>7</v>
      </c>
      <c r="BQ233" s="13">
        <f>SUM(I233,N233,S233,X233,AC233,AH233,AM233,AR233,AW233,BB233,BG233,BL233)</f>
        <v>63</v>
      </c>
      <c r="BR233" s="14">
        <f>SUM(J233,O233,T233,Y233,AD233,AI233,AN233,AS233,AX233,BC233,BH233,BM233)</f>
        <v>0</v>
      </c>
      <c r="BS233" s="33">
        <f t="shared" si="123"/>
        <v>131</v>
      </c>
    </row>
    <row r="234" spans="2:71" x14ac:dyDescent="0.3">
      <c r="B234" s="269"/>
      <c r="C234" s="230"/>
      <c r="D234" s="233"/>
      <c r="E234" s="235"/>
      <c r="F234" s="121" t="s">
        <v>478</v>
      </c>
      <c r="G234" s="32"/>
      <c r="H234" s="13"/>
      <c r="I234" s="13"/>
      <c r="J234" s="14"/>
      <c r="K234" s="15">
        <f t="shared" si="122"/>
        <v>0</v>
      </c>
      <c r="L234" s="32"/>
      <c r="M234" s="13"/>
      <c r="N234" s="13"/>
      <c r="O234" s="14"/>
      <c r="P234" s="15">
        <f t="shared" si="177"/>
        <v>0</v>
      </c>
      <c r="Q234" s="32"/>
      <c r="R234" s="13"/>
      <c r="S234" s="13"/>
      <c r="T234" s="14"/>
      <c r="U234" s="15">
        <f t="shared" si="178"/>
        <v>0</v>
      </c>
      <c r="V234" s="32"/>
      <c r="W234" s="13"/>
      <c r="X234" s="13"/>
      <c r="Y234" s="14"/>
      <c r="Z234" s="15">
        <f t="shared" si="179"/>
        <v>0</v>
      </c>
      <c r="AA234" s="32">
        <v>22</v>
      </c>
      <c r="AB234" s="13">
        <v>1</v>
      </c>
      <c r="AC234" s="13">
        <v>19</v>
      </c>
      <c r="AD234" s="14"/>
      <c r="AE234" s="15">
        <f t="shared" si="180"/>
        <v>42</v>
      </c>
      <c r="AF234" s="32"/>
      <c r="AG234" s="13"/>
      <c r="AH234" s="13"/>
      <c r="AI234" s="14"/>
      <c r="AJ234" s="15">
        <f t="shared" si="181"/>
        <v>0</v>
      </c>
      <c r="AK234" s="32"/>
      <c r="AL234" s="13"/>
      <c r="AM234" s="13"/>
      <c r="AN234" s="14"/>
      <c r="AO234" s="15">
        <f t="shared" si="182"/>
        <v>0</v>
      </c>
      <c r="AP234" s="32"/>
      <c r="AQ234" s="13"/>
      <c r="AR234" s="13"/>
      <c r="AS234" s="14"/>
      <c r="AT234" s="15">
        <f t="shared" si="183"/>
        <v>0</v>
      </c>
      <c r="AU234" s="32"/>
      <c r="AV234" s="13"/>
      <c r="AW234" s="13"/>
      <c r="AX234" s="14"/>
      <c r="AY234" s="15">
        <f t="shared" si="184"/>
        <v>0</v>
      </c>
      <c r="AZ234" s="32">
        <v>16</v>
      </c>
      <c r="BA234" s="13">
        <v>1</v>
      </c>
      <c r="BB234" s="13">
        <v>22</v>
      </c>
      <c r="BC234" s="14"/>
      <c r="BD234" s="15">
        <f t="shared" si="185"/>
        <v>39</v>
      </c>
      <c r="BE234" s="32"/>
      <c r="BF234" s="13"/>
      <c r="BG234" s="13"/>
      <c r="BH234" s="14"/>
      <c r="BI234" s="15">
        <f t="shared" si="186"/>
        <v>0</v>
      </c>
      <c r="BJ234" s="32"/>
      <c r="BK234" s="13"/>
      <c r="BL234" s="13"/>
      <c r="BM234" s="14"/>
      <c r="BN234" s="15">
        <f t="shared" si="187"/>
        <v>0</v>
      </c>
      <c r="BO234" s="66">
        <f>SUM(G234,L234,Q234,V234,AA234,AF234,AK234,AP234,AU234,AZ234,BE234,BJ234)</f>
        <v>38</v>
      </c>
      <c r="BP234" s="13">
        <f>SUM(H234,M234,R234,W234,AB234,AG234,AL234,AQ234,AV234,BA234,BF234,BK234)</f>
        <v>2</v>
      </c>
      <c r="BQ234" s="13">
        <f>SUM(I234,N234,S234,X234,AC234,AH234,AM234,AR234,AW234,BB234,BG234,BL234)</f>
        <v>41</v>
      </c>
      <c r="BR234" s="14">
        <f>SUM(J234,O234,T234,Y234,AD234,AI234,AN234,AS234,AX234,BC234,BH234,BM234)</f>
        <v>0</v>
      </c>
      <c r="BS234" s="33">
        <f t="shared" si="123"/>
        <v>81</v>
      </c>
    </row>
    <row r="235" spans="2:71" x14ac:dyDescent="0.3">
      <c r="B235" s="269"/>
      <c r="C235" s="230"/>
      <c r="D235" s="233"/>
      <c r="E235" s="235"/>
      <c r="F235" s="121" t="s">
        <v>479</v>
      </c>
      <c r="G235" s="32"/>
      <c r="H235" s="13"/>
      <c r="I235" s="13"/>
      <c r="J235" s="14"/>
      <c r="K235" s="15">
        <f t="shared" si="122"/>
        <v>0</v>
      </c>
      <c r="L235" s="32"/>
      <c r="M235" s="13"/>
      <c r="N235" s="13"/>
      <c r="O235" s="14"/>
      <c r="P235" s="15">
        <f t="shared" si="177"/>
        <v>0</v>
      </c>
      <c r="Q235" s="32"/>
      <c r="R235" s="13"/>
      <c r="S235" s="13"/>
      <c r="T235" s="14"/>
      <c r="U235" s="15">
        <f t="shared" si="178"/>
        <v>0</v>
      </c>
      <c r="V235" s="32"/>
      <c r="W235" s="13"/>
      <c r="X235" s="13"/>
      <c r="Y235" s="14"/>
      <c r="Z235" s="15">
        <f t="shared" si="179"/>
        <v>0</v>
      </c>
      <c r="AA235" s="32">
        <v>396</v>
      </c>
      <c r="AB235" s="13"/>
      <c r="AC235" s="13">
        <v>23</v>
      </c>
      <c r="AD235" s="14"/>
      <c r="AE235" s="15">
        <f t="shared" si="180"/>
        <v>419</v>
      </c>
      <c r="AF235" s="32">
        <v>472</v>
      </c>
      <c r="AG235" s="13">
        <v>2</v>
      </c>
      <c r="AH235" s="13">
        <v>14</v>
      </c>
      <c r="AI235" s="14"/>
      <c r="AJ235" s="15">
        <f t="shared" si="181"/>
        <v>488</v>
      </c>
      <c r="AK235" s="32">
        <v>76</v>
      </c>
      <c r="AL235" s="13">
        <v>1</v>
      </c>
      <c r="AM235" s="13"/>
      <c r="AN235" s="14"/>
      <c r="AO235" s="15">
        <f t="shared" si="182"/>
        <v>77</v>
      </c>
      <c r="AP235" s="32">
        <v>78</v>
      </c>
      <c r="AQ235" s="13"/>
      <c r="AR235" s="13">
        <v>1</v>
      </c>
      <c r="AS235" s="14"/>
      <c r="AT235" s="15">
        <f t="shared" si="183"/>
        <v>79</v>
      </c>
      <c r="AU235" s="32">
        <v>311</v>
      </c>
      <c r="AV235" s="13"/>
      <c r="AW235" s="13">
        <v>5</v>
      </c>
      <c r="AX235" s="14"/>
      <c r="AY235" s="15">
        <f t="shared" si="184"/>
        <v>316</v>
      </c>
      <c r="AZ235" s="32">
        <v>658</v>
      </c>
      <c r="BA235" s="13"/>
      <c r="BB235" s="13">
        <v>16</v>
      </c>
      <c r="BC235" s="14"/>
      <c r="BD235" s="15">
        <f t="shared" si="185"/>
        <v>674</v>
      </c>
      <c r="BE235" s="32">
        <v>317</v>
      </c>
      <c r="BF235" s="13">
        <v>1</v>
      </c>
      <c r="BG235" s="13">
        <v>8</v>
      </c>
      <c r="BH235" s="14"/>
      <c r="BI235" s="15">
        <f t="shared" si="186"/>
        <v>326</v>
      </c>
      <c r="BJ235" s="32">
        <v>162</v>
      </c>
      <c r="BK235" s="13"/>
      <c r="BL235" s="13">
        <v>3</v>
      </c>
      <c r="BM235" s="14"/>
      <c r="BN235" s="15">
        <f t="shared" si="187"/>
        <v>165</v>
      </c>
      <c r="BO235" s="66">
        <f>SUM(G235,L235,Q235,V235,AA235,AF235,AK235,AP235,AU235,AZ235,BE235,BJ235)</f>
        <v>2470</v>
      </c>
      <c r="BP235" s="13">
        <f>SUM(H235,M235,R235,W235,AB235,AG235,AL235,AQ235,AV235,BA235,BF235,BK235)</f>
        <v>4</v>
      </c>
      <c r="BQ235" s="13">
        <f>SUM(I235,N235,S235,X235,AC235,AH235,AM235,AR235,AW235,BB235,BG235,BL235)</f>
        <v>70</v>
      </c>
      <c r="BR235" s="14">
        <f>SUM(J235,O235,T235,Y235,AD235,AI235,AN235,AS235,AX235,BC235,BH235,BM235)</f>
        <v>0</v>
      </c>
      <c r="BS235" s="33">
        <f t="shared" si="123"/>
        <v>2544</v>
      </c>
    </row>
    <row r="236" spans="2:71" x14ac:dyDescent="0.3">
      <c r="B236" s="269"/>
      <c r="C236" s="230"/>
      <c r="D236" s="233"/>
      <c r="E236" s="235"/>
      <c r="F236" s="121" t="s">
        <v>480</v>
      </c>
      <c r="G236" s="32"/>
      <c r="H236" s="13"/>
      <c r="I236" s="13"/>
      <c r="J236" s="14"/>
      <c r="K236" s="15">
        <f t="shared" si="122"/>
        <v>0</v>
      </c>
      <c r="L236" s="32"/>
      <c r="M236" s="13"/>
      <c r="N236" s="13"/>
      <c r="O236" s="14"/>
      <c r="P236" s="15">
        <f t="shared" si="177"/>
        <v>0</v>
      </c>
      <c r="Q236" s="32"/>
      <c r="R236" s="13"/>
      <c r="S236" s="13"/>
      <c r="T236" s="14"/>
      <c r="U236" s="15">
        <f t="shared" si="178"/>
        <v>0</v>
      </c>
      <c r="V236" s="32"/>
      <c r="W236" s="13"/>
      <c r="X236" s="13"/>
      <c r="Y236" s="14"/>
      <c r="Z236" s="15">
        <f t="shared" si="179"/>
        <v>0</v>
      </c>
      <c r="AA236" s="32">
        <v>103</v>
      </c>
      <c r="AB236" s="13"/>
      <c r="AC236" s="13">
        <v>1</v>
      </c>
      <c r="AD236" s="14"/>
      <c r="AE236" s="15">
        <f t="shared" si="180"/>
        <v>104</v>
      </c>
      <c r="AF236" s="32">
        <v>138</v>
      </c>
      <c r="AG236" s="13"/>
      <c r="AH236" s="13"/>
      <c r="AI236" s="14"/>
      <c r="AJ236" s="15">
        <f t="shared" si="181"/>
        <v>138</v>
      </c>
      <c r="AK236" s="32">
        <v>30</v>
      </c>
      <c r="AL236" s="13"/>
      <c r="AM236" s="13"/>
      <c r="AN236" s="14"/>
      <c r="AO236" s="15">
        <f t="shared" si="182"/>
        <v>30</v>
      </c>
      <c r="AP236" s="32">
        <v>32</v>
      </c>
      <c r="AQ236" s="13"/>
      <c r="AR236" s="13"/>
      <c r="AS236" s="14"/>
      <c r="AT236" s="15">
        <f t="shared" si="183"/>
        <v>32</v>
      </c>
      <c r="AU236" s="32">
        <v>124</v>
      </c>
      <c r="AV236" s="13"/>
      <c r="AW236" s="13">
        <v>3</v>
      </c>
      <c r="AX236" s="14"/>
      <c r="AY236" s="15">
        <f t="shared" si="184"/>
        <v>127</v>
      </c>
      <c r="AZ236" s="32">
        <v>198</v>
      </c>
      <c r="BA236" s="13"/>
      <c r="BB236" s="13">
        <v>3</v>
      </c>
      <c r="BC236" s="14"/>
      <c r="BD236" s="15">
        <f t="shared" si="185"/>
        <v>201</v>
      </c>
      <c r="BE236" s="32">
        <v>110</v>
      </c>
      <c r="BF236" s="13">
        <v>1</v>
      </c>
      <c r="BG236" s="13">
        <v>1</v>
      </c>
      <c r="BH236" s="14"/>
      <c r="BI236" s="15">
        <f t="shared" si="186"/>
        <v>112</v>
      </c>
      <c r="BJ236" s="32">
        <v>45</v>
      </c>
      <c r="BK236" s="13"/>
      <c r="BL236" s="13"/>
      <c r="BM236" s="14"/>
      <c r="BN236" s="15">
        <f t="shared" si="187"/>
        <v>45</v>
      </c>
      <c r="BO236" s="66">
        <f>SUM(G236,L236,Q236,V236,AA236,AF236,AK236,AP236,AU236,AZ236,BE236,BJ236)</f>
        <v>780</v>
      </c>
      <c r="BP236" s="13">
        <f>SUM(H236,M236,R236,W236,AB236,AG236,AL236,AQ236,AV236,BA236,BF236,BK236)</f>
        <v>1</v>
      </c>
      <c r="BQ236" s="13">
        <f>SUM(I236,N236,S236,X236,AC236,AH236,AM236,AR236,AW236,BB236,BG236,BL236)</f>
        <v>8</v>
      </c>
      <c r="BR236" s="14">
        <f>SUM(J236,O236,T236,Y236,AD236,AI236,AN236,AS236,AX236,BC236,BH236,BM236)</f>
        <v>0</v>
      </c>
      <c r="BS236" s="33">
        <f t="shared" si="123"/>
        <v>789</v>
      </c>
    </row>
    <row r="237" spans="2:71" x14ac:dyDescent="0.3">
      <c r="B237" s="269"/>
      <c r="C237" s="230"/>
      <c r="D237" s="233"/>
      <c r="E237" s="235"/>
      <c r="F237" s="121" t="s">
        <v>481</v>
      </c>
      <c r="G237" s="32"/>
      <c r="H237" s="13"/>
      <c r="I237" s="13"/>
      <c r="J237" s="14"/>
      <c r="K237" s="15">
        <f t="shared" si="122"/>
        <v>0</v>
      </c>
      <c r="L237" s="32"/>
      <c r="M237" s="13"/>
      <c r="N237" s="13"/>
      <c r="O237" s="14"/>
      <c r="P237" s="15">
        <f t="shared" si="177"/>
        <v>0</v>
      </c>
      <c r="Q237" s="32"/>
      <c r="R237" s="13"/>
      <c r="S237" s="13"/>
      <c r="T237" s="14"/>
      <c r="U237" s="15">
        <f t="shared" si="178"/>
        <v>0</v>
      </c>
      <c r="V237" s="32"/>
      <c r="W237" s="13"/>
      <c r="X237" s="13"/>
      <c r="Y237" s="14"/>
      <c r="Z237" s="15">
        <f t="shared" si="179"/>
        <v>0</v>
      </c>
      <c r="AA237" s="32">
        <v>227</v>
      </c>
      <c r="AB237" s="13">
        <v>1</v>
      </c>
      <c r="AC237" s="13">
        <v>21</v>
      </c>
      <c r="AD237" s="14"/>
      <c r="AE237" s="15">
        <f t="shared" si="180"/>
        <v>249</v>
      </c>
      <c r="AF237" s="32">
        <v>338</v>
      </c>
      <c r="AG237" s="13"/>
      <c r="AH237" s="13">
        <v>5</v>
      </c>
      <c r="AI237" s="14"/>
      <c r="AJ237" s="15">
        <f t="shared" si="181"/>
        <v>343</v>
      </c>
      <c r="AK237" s="32">
        <v>39</v>
      </c>
      <c r="AL237" s="13">
        <v>1</v>
      </c>
      <c r="AM237" s="13">
        <v>5</v>
      </c>
      <c r="AN237" s="14"/>
      <c r="AO237" s="15">
        <f t="shared" si="182"/>
        <v>45</v>
      </c>
      <c r="AP237" s="32">
        <v>47</v>
      </c>
      <c r="AQ237" s="13"/>
      <c r="AR237" s="13">
        <v>2</v>
      </c>
      <c r="AS237" s="14"/>
      <c r="AT237" s="15">
        <f t="shared" si="183"/>
        <v>49</v>
      </c>
      <c r="AU237" s="32">
        <v>201</v>
      </c>
      <c r="AV237" s="13"/>
      <c r="AW237" s="13">
        <v>3</v>
      </c>
      <c r="AX237" s="14"/>
      <c r="AY237" s="15">
        <f t="shared" si="184"/>
        <v>204</v>
      </c>
      <c r="AZ237" s="32">
        <v>411</v>
      </c>
      <c r="BA237" s="13"/>
      <c r="BB237" s="13">
        <v>1</v>
      </c>
      <c r="BC237" s="14"/>
      <c r="BD237" s="15">
        <f t="shared" si="185"/>
        <v>412</v>
      </c>
      <c r="BE237" s="32">
        <v>196</v>
      </c>
      <c r="BF237" s="13">
        <v>1</v>
      </c>
      <c r="BG237" s="13"/>
      <c r="BH237" s="14"/>
      <c r="BI237" s="15">
        <f t="shared" si="186"/>
        <v>197</v>
      </c>
      <c r="BJ237" s="32">
        <v>115</v>
      </c>
      <c r="BK237" s="13"/>
      <c r="BL237" s="13"/>
      <c r="BM237" s="14"/>
      <c r="BN237" s="15">
        <f t="shared" si="187"/>
        <v>115</v>
      </c>
      <c r="BO237" s="66">
        <f>SUM(G237,L237,Q237,V237,AA237,AF237,AK237,AP237,AU237,AZ237,BE237,BJ237)</f>
        <v>1574</v>
      </c>
      <c r="BP237" s="13">
        <f>SUM(H237,M237,R237,W237,AB237,AG237,AL237,AQ237,AV237,BA237,BF237,BK237)</f>
        <v>3</v>
      </c>
      <c r="BQ237" s="13">
        <f>SUM(I237,N237,S237,X237,AC237,AH237,AM237,AR237,AW237,BB237,BG237,BL237)</f>
        <v>37</v>
      </c>
      <c r="BR237" s="14">
        <f>SUM(J237,O237,T237,Y237,AD237,AI237,AN237,AS237,AX237,BC237,BH237,BM237)</f>
        <v>0</v>
      </c>
      <c r="BS237" s="33">
        <f t="shared" si="123"/>
        <v>1614</v>
      </c>
    </row>
    <row r="238" spans="2:71" x14ac:dyDescent="0.3">
      <c r="B238" s="269"/>
      <c r="C238" s="230"/>
      <c r="D238" s="233"/>
      <c r="E238" s="235"/>
      <c r="F238" s="121" t="s">
        <v>482</v>
      </c>
      <c r="G238" s="32"/>
      <c r="H238" s="13"/>
      <c r="I238" s="13"/>
      <c r="J238" s="14"/>
      <c r="K238" s="15">
        <f t="shared" si="122"/>
        <v>0</v>
      </c>
      <c r="L238" s="32"/>
      <c r="M238" s="13"/>
      <c r="N238" s="13"/>
      <c r="O238" s="14"/>
      <c r="P238" s="15">
        <f t="shared" si="177"/>
        <v>0</v>
      </c>
      <c r="Q238" s="32"/>
      <c r="R238" s="13"/>
      <c r="S238" s="13"/>
      <c r="T238" s="14"/>
      <c r="U238" s="15">
        <f t="shared" si="178"/>
        <v>0</v>
      </c>
      <c r="V238" s="32"/>
      <c r="W238" s="13"/>
      <c r="X238" s="13"/>
      <c r="Y238" s="14"/>
      <c r="Z238" s="15">
        <f t="shared" si="179"/>
        <v>0</v>
      </c>
      <c r="AA238" s="32">
        <v>63</v>
      </c>
      <c r="AB238" s="13"/>
      <c r="AC238" s="13">
        <v>4</v>
      </c>
      <c r="AD238" s="14"/>
      <c r="AE238" s="15">
        <f t="shared" si="180"/>
        <v>67</v>
      </c>
      <c r="AF238" s="32">
        <v>81</v>
      </c>
      <c r="AG238" s="13"/>
      <c r="AH238" s="13">
        <v>3</v>
      </c>
      <c r="AI238" s="14"/>
      <c r="AJ238" s="15">
        <f t="shared" si="181"/>
        <v>84</v>
      </c>
      <c r="AK238" s="32">
        <v>23</v>
      </c>
      <c r="AL238" s="13"/>
      <c r="AM238" s="13"/>
      <c r="AN238" s="14"/>
      <c r="AO238" s="15">
        <f t="shared" si="182"/>
        <v>23</v>
      </c>
      <c r="AP238" s="32">
        <v>22</v>
      </c>
      <c r="AQ238" s="13"/>
      <c r="AR238" s="13"/>
      <c r="AS238" s="14"/>
      <c r="AT238" s="15">
        <f t="shared" si="183"/>
        <v>22</v>
      </c>
      <c r="AU238" s="32">
        <v>82</v>
      </c>
      <c r="AV238" s="13"/>
      <c r="AW238" s="13">
        <v>1</v>
      </c>
      <c r="AX238" s="14"/>
      <c r="AY238" s="15">
        <f t="shared" si="184"/>
        <v>83</v>
      </c>
      <c r="AZ238" s="32">
        <v>150</v>
      </c>
      <c r="BA238" s="13"/>
      <c r="BB238" s="13">
        <v>1</v>
      </c>
      <c r="BC238" s="14"/>
      <c r="BD238" s="15">
        <f t="shared" si="185"/>
        <v>151</v>
      </c>
      <c r="BE238" s="32">
        <v>75</v>
      </c>
      <c r="BF238" s="13"/>
      <c r="BG238" s="13">
        <v>1</v>
      </c>
      <c r="BH238" s="14"/>
      <c r="BI238" s="15">
        <f t="shared" si="186"/>
        <v>76</v>
      </c>
      <c r="BJ238" s="32">
        <v>31</v>
      </c>
      <c r="BK238" s="13"/>
      <c r="BL238" s="13"/>
      <c r="BM238" s="14"/>
      <c r="BN238" s="15">
        <f t="shared" si="187"/>
        <v>31</v>
      </c>
      <c r="BO238" s="66">
        <f>SUM(G238,L238,Q238,V238,AA238,AF238,AK238,AP238,AU238,AZ238,BE238,BJ238)</f>
        <v>527</v>
      </c>
      <c r="BP238" s="13">
        <f>SUM(H238,M238,R238,W238,AB238,AG238,AL238,AQ238,AV238,BA238,BF238,BK238)</f>
        <v>0</v>
      </c>
      <c r="BQ238" s="13">
        <f>SUM(I238,N238,S238,X238,AC238,AH238,AM238,AR238,AW238,BB238,BG238,BL238)</f>
        <v>10</v>
      </c>
      <c r="BR238" s="14">
        <f>SUM(J238,O238,T238,Y238,AD238,AI238,AN238,AS238,AX238,BC238,BH238,BM238)</f>
        <v>0</v>
      </c>
      <c r="BS238" s="33">
        <f t="shared" si="123"/>
        <v>537</v>
      </c>
    </row>
    <row r="239" spans="2:71" x14ac:dyDescent="0.3">
      <c r="B239" s="269"/>
      <c r="C239" s="230"/>
      <c r="D239" s="233"/>
      <c r="E239" s="235"/>
      <c r="F239" s="121" t="s">
        <v>483</v>
      </c>
      <c r="G239" s="32"/>
      <c r="H239" s="13"/>
      <c r="I239" s="13"/>
      <c r="J239" s="14"/>
      <c r="K239" s="15">
        <f t="shared" si="122"/>
        <v>0</v>
      </c>
      <c r="L239" s="32"/>
      <c r="M239" s="13"/>
      <c r="N239" s="13"/>
      <c r="O239" s="14"/>
      <c r="P239" s="15">
        <f t="shared" si="177"/>
        <v>0</v>
      </c>
      <c r="Q239" s="32"/>
      <c r="R239" s="13"/>
      <c r="S239" s="13"/>
      <c r="T239" s="14"/>
      <c r="U239" s="15">
        <f t="shared" si="178"/>
        <v>0</v>
      </c>
      <c r="V239" s="32"/>
      <c r="W239" s="13"/>
      <c r="X239" s="13"/>
      <c r="Y239" s="14"/>
      <c r="Z239" s="15">
        <f t="shared" si="179"/>
        <v>0</v>
      </c>
      <c r="AA239" s="32">
        <v>1</v>
      </c>
      <c r="AB239" s="13"/>
      <c r="AC239" s="13"/>
      <c r="AD239" s="14"/>
      <c r="AE239" s="15">
        <f t="shared" si="180"/>
        <v>1</v>
      </c>
      <c r="AF239" s="32"/>
      <c r="AG239" s="13"/>
      <c r="AH239" s="13"/>
      <c r="AI239" s="14"/>
      <c r="AJ239" s="15">
        <f t="shared" si="181"/>
        <v>0</v>
      </c>
      <c r="AK239" s="32">
        <v>1</v>
      </c>
      <c r="AL239" s="13"/>
      <c r="AM239" s="13"/>
      <c r="AN239" s="14"/>
      <c r="AO239" s="15">
        <f t="shared" si="182"/>
        <v>1</v>
      </c>
      <c r="AP239" s="32"/>
      <c r="AQ239" s="13"/>
      <c r="AR239" s="13"/>
      <c r="AS239" s="14"/>
      <c r="AT239" s="15">
        <f t="shared" si="183"/>
        <v>0</v>
      </c>
      <c r="AU239" s="32"/>
      <c r="AV239" s="13"/>
      <c r="AW239" s="13"/>
      <c r="AX239" s="14"/>
      <c r="AY239" s="15">
        <f t="shared" si="184"/>
        <v>0</v>
      </c>
      <c r="AZ239" s="32">
        <f>1+1+1</f>
        <v>3</v>
      </c>
      <c r="BA239" s="13"/>
      <c r="BB239" s="13"/>
      <c r="BC239" s="14"/>
      <c r="BD239" s="15">
        <f t="shared" si="185"/>
        <v>3</v>
      </c>
      <c r="BE239" s="32"/>
      <c r="BF239" s="13"/>
      <c r="BG239" s="13"/>
      <c r="BH239" s="14"/>
      <c r="BI239" s="15">
        <f t="shared" si="186"/>
        <v>0</v>
      </c>
      <c r="BJ239" s="32">
        <v>1</v>
      </c>
      <c r="BK239" s="13"/>
      <c r="BL239" s="13"/>
      <c r="BM239" s="14"/>
      <c r="BN239" s="15">
        <f t="shared" si="187"/>
        <v>1</v>
      </c>
      <c r="BO239" s="66">
        <f>SUM(G239,L239,Q239,V239,AA239,AF239,AK239,AP239,AU239,AZ239,BE239,BJ239)</f>
        <v>6</v>
      </c>
      <c r="BP239" s="13">
        <f>SUM(H239,M239,R239,W239,AB239,AG239,AL239,AQ239,AV239,BA239,BF239,BK239)</f>
        <v>0</v>
      </c>
      <c r="BQ239" s="13">
        <f>SUM(I239,N239,S239,X239,AC239,AH239,AM239,AR239,AW239,BB239,BG239,BL239)</f>
        <v>0</v>
      </c>
      <c r="BR239" s="14">
        <f>SUM(J239,O239,T239,Y239,AD239,AI239,AN239,AS239,AX239,BC239,BH239,BM239)</f>
        <v>0</v>
      </c>
      <c r="BS239" s="33">
        <f t="shared" si="123"/>
        <v>6</v>
      </c>
    </row>
    <row r="240" spans="2:71" x14ac:dyDescent="0.3">
      <c r="B240" s="269"/>
      <c r="C240" s="230"/>
      <c r="D240" s="233"/>
      <c r="E240" s="235"/>
      <c r="F240" s="121" t="s">
        <v>484</v>
      </c>
      <c r="G240" s="32"/>
      <c r="H240" s="13"/>
      <c r="I240" s="13"/>
      <c r="J240" s="14"/>
      <c r="K240" s="15">
        <f t="shared" si="122"/>
        <v>0</v>
      </c>
      <c r="L240" s="32"/>
      <c r="M240" s="13"/>
      <c r="N240" s="13"/>
      <c r="O240" s="14"/>
      <c r="P240" s="15">
        <f t="shared" si="177"/>
        <v>0</v>
      </c>
      <c r="Q240" s="32"/>
      <c r="R240" s="13"/>
      <c r="S240" s="13"/>
      <c r="T240" s="14"/>
      <c r="U240" s="15">
        <f t="shared" si="178"/>
        <v>0</v>
      </c>
      <c r="V240" s="32"/>
      <c r="W240" s="13"/>
      <c r="X240" s="13"/>
      <c r="Y240" s="14"/>
      <c r="Z240" s="15">
        <f t="shared" si="179"/>
        <v>0</v>
      </c>
      <c r="AA240" s="32"/>
      <c r="AB240" s="13"/>
      <c r="AC240" s="13"/>
      <c r="AD240" s="14"/>
      <c r="AE240" s="15">
        <f t="shared" si="180"/>
        <v>0</v>
      </c>
      <c r="AF240" s="32">
        <v>6</v>
      </c>
      <c r="AG240" s="13"/>
      <c r="AH240" s="13">
        <v>3</v>
      </c>
      <c r="AI240" s="14"/>
      <c r="AJ240" s="15">
        <f t="shared" si="181"/>
        <v>9</v>
      </c>
      <c r="AK240" s="32">
        <v>15</v>
      </c>
      <c r="AL240" s="13"/>
      <c r="AM240" s="13">
        <v>1</v>
      </c>
      <c r="AN240" s="14"/>
      <c r="AO240" s="15">
        <f t="shared" si="182"/>
        <v>16</v>
      </c>
      <c r="AP240" s="32">
        <v>2</v>
      </c>
      <c r="AQ240" s="13"/>
      <c r="AR240" s="13">
        <v>2</v>
      </c>
      <c r="AS240" s="14"/>
      <c r="AT240" s="15">
        <f t="shared" si="183"/>
        <v>4</v>
      </c>
      <c r="AU240" s="32"/>
      <c r="AV240" s="13"/>
      <c r="AW240" s="13"/>
      <c r="AX240" s="14"/>
      <c r="AY240" s="15">
        <f t="shared" si="184"/>
        <v>0</v>
      </c>
      <c r="AZ240" s="32"/>
      <c r="BA240" s="13"/>
      <c r="BB240" s="13"/>
      <c r="BC240" s="14"/>
      <c r="BD240" s="15">
        <f t="shared" si="185"/>
        <v>0</v>
      </c>
      <c r="BE240" s="32"/>
      <c r="BF240" s="13"/>
      <c r="BG240" s="13"/>
      <c r="BH240" s="14"/>
      <c r="BI240" s="15">
        <f t="shared" si="186"/>
        <v>0</v>
      </c>
      <c r="BJ240" s="32"/>
      <c r="BK240" s="13"/>
      <c r="BL240" s="13"/>
      <c r="BM240" s="14"/>
      <c r="BN240" s="15">
        <f t="shared" si="187"/>
        <v>0</v>
      </c>
      <c r="BO240" s="66">
        <f>SUM(G240,L240,Q240,V240,AA240,AF240,AK240,AP240,AU240,AZ240,BE240,BJ240)</f>
        <v>23</v>
      </c>
      <c r="BP240" s="13">
        <f>SUM(H240,M240,R240,W240,AB240,AG240,AL240,AQ240,AV240,BA240,BF240,BK240)</f>
        <v>0</v>
      </c>
      <c r="BQ240" s="13">
        <f>SUM(I240,N240,S240,X240,AC240,AH240,AM240,AR240,AW240,BB240,BG240,BL240)</f>
        <v>6</v>
      </c>
      <c r="BR240" s="14">
        <f>SUM(J240,O240,T240,Y240,AD240,AI240,AN240,AS240,AX240,BC240,BH240,BM240)</f>
        <v>0</v>
      </c>
      <c r="BS240" s="33">
        <f t="shared" si="123"/>
        <v>29</v>
      </c>
    </row>
    <row r="241" spans="2:71" x14ac:dyDescent="0.3">
      <c r="B241" s="269"/>
      <c r="C241" s="230"/>
      <c r="D241" s="233"/>
      <c r="E241" s="235"/>
      <c r="F241" s="121" t="s">
        <v>485</v>
      </c>
      <c r="G241" s="32"/>
      <c r="H241" s="13"/>
      <c r="I241" s="13"/>
      <c r="J241" s="14"/>
      <c r="K241" s="15">
        <f t="shared" si="122"/>
        <v>0</v>
      </c>
      <c r="L241" s="32"/>
      <c r="M241" s="13"/>
      <c r="N241" s="13"/>
      <c r="O241" s="14"/>
      <c r="P241" s="15">
        <f t="shared" si="177"/>
        <v>0</v>
      </c>
      <c r="Q241" s="32"/>
      <c r="R241" s="13"/>
      <c r="S241" s="13"/>
      <c r="T241" s="14"/>
      <c r="U241" s="15">
        <f t="shared" si="178"/>
        <v>0</v>
      </c>
      <c r="V241" s="32"/>
      <c r="W241" s="13"/>
      <c r="X241" s="13"/>
      <c r="Y241" s="14"/>
      <c r="Z241" s="15">
        <f t="shared" si="179"/>
        <v>0</v>
      </c>
      <c r="AA241" s="32"/>
      <c r="AB241" s="13"/>
      <c r="AC241" s="13"/>
      <c r="AD241" s="14"/>
      <c r="AE241" s="15">
        <f t="shared" si="180"/>
        <v>0</v>
      </c>
      <c r="AF241" s="32"/>
      <c r="AG241" s="13"/>
      <c r="AH241" s="13"/>
      <c r="AI241" s="14"/>
      <c r="AJ241" s="15">
        <f t="shared" si="181"/>
        <v>0</v>
      </c>
      <c r="AK241" s="32">
        <v>207</v>
      </c>
      <c r="AL241" s="13">
        <v>4</v>
      </c>
      <c r="AM241" s="13">
        <v>2</v>
      </c>
      <c r="AN241" s="14"/>
      <c r="AO241" s="15">
        <f t="shared" si="182"/>
        <v>213</v>
      </c>
      <c r="AP241" s="32">
        <v>227</v>
      </c>
      <c r="AQ241" s="13">
        <v>1</v>
      </c>
      <c r="AR241" s="13">
        <v>4</v>
      </c>
      <c r="AS241" s="14"/>
      <c r="AT241" s="15">
        <f t="shared" si="183"/>
        <v>232</v>
      </c>
      <c r="AU241" s="32">
        <v>34</v>
      </c>
      <c r="AV241" s="13"/>
      <c r="AW241" s="13"/>
      <c r="AX241" s="14"/>
      <c r="AY241" s="15">
        <f t="shared" si="184"/>
        <v>34</v>
      </c>
      <c r="AZ241" s="32"/>
      <c r="BA241" s="13"/>
      <c r="BB241" s="13"/>
      <c r="BC241" s="14"/>
      <c r="BD241" s="15">
        <f t="shared" si="185"/>
        <v>0</v>
      </c>
      <c r="BE241" s="32">
        <v>1224</v>
      </c>
      <c r="BF241" s="13"/>
      <c r="BG241" s="13">
        <v>18</v>
      </c>
      <c r="BH241" s="14"/>
      <c r="BI241" s="15">
        <f t="shared" si="186"/>
        <v>1242</v>
      </c>
      <c r="BJ241" s="32">
        <v>670</v>
      </c>
      <c r="BK241" s="13">
        <v>1</v>
      </c>
      <c r="BL241" s="13">
        <v>2</v>
      </c>
      <c r="BM241" s="14"/>
      <c r="BN241" s="15">
        <f t="shared" si="187"/>
        <v>673</v>
      </c>
      <c r="BO241" s="66">
        <f>SUM(G241,L241,Q241,V241,AA241,AF241,AK241,AP241,AU241,AZ241,BE241,BJ241)</f>
        <v>2362</v>
      </c>
      <c r="BP241" s="13">
        <f>SUM(H241,M241,R241,W241,AB241,AG241,AL241,AQ241,AV241,BA241,BF241,BK241)</f>
        <v>6</v>
      </c>
      <c r="BQ241" s="13">
        <f>SUM(I241,N241,S241,X241,AC241,AH241,AM241,AR241,AW241,BB241,BG241,BL241)</f>
        <v>26</v>
      </c>
      <c r="BR241" s="14">
        <f>SUM(J241,O241,T241,Y241,AD241,AI241,AN241,AS241,AX241,BC241,BH241,BM241)</f>
        <v>0</v>
      </c>
      <c r="BS241" s="33">
        <f t="shared" si="123"/>
        <v>2394</v>
      </c>
    </row>
    <row r="242" spans="2:71" x14ac:dyDescent="0.3">
      <c r="B242" s="269"/>
      <c r="C242" s="230"/>
      <c r="D242" s="233"/>
      <c r="E242" s="235"/>
      <c r="F242" s="121" t="s">
        <v>486</v>
      </c>
      <c r="G242" s="32"/>
      <c r="H242" s="13"/>
      <c r="I242" s="13"/>
      <c r="J242" s="14"/>
      <c r="K242" s="15">
        <f t="shared" si="122"/>
        <v>0</v>
      </c>
      <c r="L242" s="32"/>
      <c r="M242" s="13"/>
      <c r="N242" s="13"/>
      <c r="O242" s="14"/>
      <c r="P242" s="15">
        <f t="shared" si="177"/>
        <v>0</v>
      </c>
      <c r="Q242" s="32"/>
      <c r="R242" s="13"/>
      <c r="S242" s="13"/>
      <c r="T242" s="14"/>
      <c r="U242" s="15">
        <f t="shared" si="178"/>
        <v>0</v>
      </c>
      <c r="V242" s="32"/>
      <c r="W242" s="13"/>
      <c r="X242" s="13"/>
      <c r="Y242" s="14"/>
      <c r="Z242" s="15">
        <f t="shared" si="179"/>
        <v>0</v>
      </c>
      <c r="AA242" s="32"/>
      <c r="AB242" s="13"/>
      <c r="AC242" s="13"/>
      <c r="AD242" s="14"/>
      <c r="AE242" s="15">
        <f t="shared" si="180"/>
        <v>0</v>
      </c>
      <c r="AF242" s="32"/>
      <c r="AG242" s="13"/>
      <c r="AH242" s="13"/>
      <c r="AI242" s="14"/>
      <c r="AJ242" s="15">
        <f t="shared" si="181"/>
        <v>0</v>
      </c>
      <c r="AK242" s="32">
        <v>64</v>
      </c>
      <c r="AL242" s="13"/>
      <c r="AM242" s="13"/>
      <c r="AN242" s="14"/>
      <c r="AO242" s="15">
        <f t="shared" si="182"/>
        <v>64</v>
      </c>
      <c r="AP242" s="32">
        <v>110</v>
      </c>
      <c r="AQ242" s="13"/>
      <c r="AR242" s="13">
        <v>1</v>
      </c>
      <c r="AS242" s="14"/>
      <c r="AT242" s="15">
        <f t="shared" si="183"/>
        <v>111</v>
      </c>
      <c r="AU242" s="32">
        <v>14</v>
      </c>
      <c r="AV242" s="13"/>
      <c r="AW242" s="13"/>
      <c r="AX242" s="14"/>
      <c r="AY242" s="15">
        <f t="shared" si="184"/>
        <v>14</v>
      </c>
      <c r="AZ242" s="32"/>
      <c r="BA242" s="13"/>
      <c r="BB242" s="13"/>
      <c r="BC242" s="14"/>
      <c r="BD242" s="15">
        <f t="shared" si="185"/>
        <v>0</v>
      </c>
      <c r="BE242" s="32">
        <v>538</v>
      </c>
      <c r="BF242" s="13">
        <v>1</v>
      </c>
      <c r="BG242" s="13">
        <v>6</v>
      </c>
      <c r="BH242" s="14"/>
      <c r="BI242" s="15">
        <f t="shared" si="186"/>
        <v>545</v>
      </c>
      <c r="BJ242" s="32">
        <v>230</v>
      </c>
      <c r="BK242" s="13"/>
      <c r="BL242" s="13">
        <v>1</v>
      </c>
      <c r="BM242" s="14"/>
      <c r="BN242" s="15">
        <f t="shared" si="187"/>
        <v>231</v>
      </c>
      <c r="BO242" s="66">
        <f>SUM(G242,L242,Q242,V242,AA242,AF242,AK242,AP242,AU242,AZ242,BE242,BJ242)</f>
        <v>956</v>
      </c>
      <c r="BP242" s="13">
        <f>SUM(H242,M242,R242,W242,AB242,AG242,AL242,AQ242,AV242,BA242,BF242,BK242)</f>
        <v>1</v>
      </c>
      <c r="BQ242" s="13">
        <f>SUM(I242,N242,S242,X242,AC242,AH242,AM242,AR242,AW242,BB242,BG242,BL242)</f>
        <v>8</v>
      </c>
      <c r="BR242" s="14">
        <f>SUM(J242,O242,T242,Y242,AD242,AI242,AN242,AS242,AX242,BC242,BH242,BM242)</f>
        <v>0</v>
      </c>
      <c r="BS242" s="33">
        <f t="shared" si="123"/>
        <v>965</v>
      </c>
    </row>
    <row r="243" spans="2:71" x14ac:dyDescent="0.3">
      <c r="B243" s="269"/>
      <c r="C243" s="230"/>
      <c r="D243" s="233"/>
      <c r="E243" s="235"/>
      <c r="F243" s="121" t="s">
        <v>487</v>
      </c>
      <c r="G243" s="32"/>
      <c r="H243" s="13"/>
      <c r="I243" s="13"/>
      <c r="J243" s="14"/>
      <c r="K243" s="15">
        <f t="shared" si="122"/>
        <v>0</v>
      </c>
      <c r="L243" s="32"/>
      <c r="M243" s="13"/>
      <c r="N243" s="13"/>
      <c r="O243" s="14"/>
      <c r="P243" s="15">
        <f t="shared" si="177"/>
        <v>0</v>
      </c>
      <c r="Q243" s="32"/>
      <c r="R243" s="13"/>
      <c r="S243" s="13"/>
      <c r="T243" s="14"/>
      <c r="U243" s="15">
        <f t="shared" si="178"/>
        <v>0</v>
      </c>
      <c r="V243" s="32"/>
      <c r="W243" s="13"/>
      <c r="X243" s="13"/>
      <c r="Y243" s="14"/>
      <c r="Z243" s="15">
        <f t="shared" si="179"/>
        <v>0</v>
      </c>
      <c r="AA243" s="32"/>
      <c r="AB243" s="13"/>
      <c r="AC243" s="13"/>
      <c r="AD243" s="14"/>
      <c r="AE243" s="15">
        <f t="shared" si="180"/>
        <v>0</v>
      </c>
      <c r="AF243" s="32"/>
      <c r="AG243" s="13"/>
      <c r="AH243" s="13"/>
      <c r="AI243" s="14"/>
      <c r="AJ243" s="15">
        <f t="shared" si="181"/>
        <v>0</v>
      </c>
      <c r="AK243" s="32">
        <v>173</v>
      </c>
      <c r="AL243" s="13">
        <v>3</v>
      </c>
      <c r="AM243" s="13">
        <v>6</v>
      </c>
      <c r="AN243" s="14"/>
      <c r="AO243" s="15">
        <f t="shared" si="182"/>
        <v>182</v>
      </c>
      <c r="AP243" s="32">
        <v>172</v>
      </c>
      <c r="AQ243" s="13">
        <v>2</v>
      </c>
      <c r="AR243" s="13">
        <v>6</v>
      </c>
      <c r="AS243" s="14"/>
      <c r="AT243" s="15">
        <f t="shared" si="183"/>
        <v>180</v>
      </c>
      <c r="AU243" s="32">
        <v>24</v>
      </c>
      <c r="AV243" s="13"/>
      <c r="AW243" s="13"/>
      <c r="AX243" s="14"/>
      <c r="AY243" s="15">
        <f t="shared" si="184"/>
        <v>24</v>
      </c>
      <c r="AZ243" s="32"/>
      <c r="BA243" s="13"/>
      <c r="BB243" s="13"/>
      <c r="BC243" s="14"/>
      <c r="BD243" s="15">
        <f t="shared" si="185"/>
        <v>0</v>
      </c>
      <c r="BE243" s="32">
        <v>799</v>
      </c>
      <c r="BF243" s="13">
        <v>2</v>
      </c>
      <c r="BG243" s="13">
        <v>21</v>
      </c>
      <c r="BH243" s="14"/>
      <c r="BI243" s="15">
        <f t="shared" si="186"/>
        <v>822</v>
      </c>
      <c r="BJ243" s="32">
        <v>446</v>
      </c>
      <c r="BK243" s="13"/>
      <c r="BL243" s="13">
        <v>5</v>
      </c>
      <c r="BM243" s="14"/>
      <c r="BN243" s="15">
        <f t="shared" si="187"/>
        <v>451</v>
      </c>
      <c r="BO243" s="66">
        <f>SUM(G243,L243,Q243,V243,AA243,AF243,AK243,AP243,AU243,AZ243,BE243,BJ243)</f>
        <v>1614</v>
      </c>
      <c r="BP243" s="13">
        <f>SUM(H243,M243,R243,W243,AB243,AG243,AL243,AQ243,AV243,BA243,BF243,BK243)</f>
        <v>7</v>
      </c>
      <c r="BQ243" s="13">
        <f>SUM(I243,N243,S243,X243,AC243,AH243,AM243,AR243,AW243,BB243,BG243,BL243)</f>
        <v>38</v>
      </c>
      <c r="BR243" s="14">
        <f>SUM(J243,O243,T243,Y243,AD243,AI243,AN243,AS243,AX243,BC243,BH243,BM243)</f>
        <v>0</v>
      </c>
      <c r="BS243" s="33">
        <f t="shared" si="123"/>
        <v>1659</v>
      </c>
    </row>
    <row r="244" spans="2:71" x14ac:dyDescent="0.3">
      <c r="B244" s="269"/>
      <c r="C244" s="230"/>
      <c r="D244" s="233"/>
      <c r="E244" s="235"/>
      <c r="F244" s="121" t="s">
        <v>488</v>
      </c>
      <c r="G244" s="32"/>
      <c r="H244" s="13"/>
      <c r="I244" s="13"/>
      <c r="J244" s="14"/>
      <c r="K244" s="15">
        <f t="shared" si="122"/>
        <v>0</v>
      </c>
      <c r="L244" s="32"/>
      <c r="M244" s="13"/>
      <c r="N244" s="13"/>
      <c r="O244" s="14"/>
      <c r="P244" s="15">
        <f t="shared" si="177"/>
        <v>0</v>
      </c>
      <c r="Q244" s="32"/>
      <c r="R244" s="13"/>
      <c r="S244" s="13"/>
      <c r="T244" s="14"/>
      <c r="U244" s="15">
        <f t="shared" si="178"/>
        <v>0</v>
      </c>
      <c r="V244" s="32"/>
      <c r="W244" s="13"/>
      <c r="X244" s="13"/>
      <c r="Y244" s="14"/>
      <c r="Z244" s="15">
        <f t="shared" si="179"/>
        <v>0</v>
      </c>
      <c r="AA244" s="32"/>
      <c r="AB244" s="13"/>
      <c r="AC244" s="13"/>
      <c r="AD244" s="14"/>
      <c r="AE244" s="15">
        <f t="shared" si="180"/>
        <v>0</v>
      </c>
      <c r="AF244" s="32"/>
      <c r="AG244" s="13"/>
      <c r="AH244" s="13"/>
      <c r="AI244" s="14"/>
      <c r="AJ244" s="15">
        <f t="shared" si="181"/>
        <v>0</v>
      </c>
      <c r="AK244" s="32">
        <v>39</v>
      </c>
      <c r="AL244" s="13"/>
      <c r="AM244" s="13"/>
      <c r="AN244" s="14"/>
      <c r="AO244" s="15">
        <f t="shared" si="182"/>
        <v>39</v>
      </c>
      <c r="AP244" s="32">
        <v>69</v>
      </c>
      <c r="AQ244" s="13"/>
      <c r="AR244" s="13">
        <v>4</v>
      </c>
      <c r="AS244" s="14"/>
      <c r="AT244" s="15">
        <f t="shared" si="183"/>
        <v>73</v>
      </c>
      <c r="AU244" s="32">
        <v>5</v>
      </c>
      <c r="AV244" s="13"/>
      <c r="AW244" s="13"/>
      <c r="AX244" s="14"/>
      <c r="AY244" s="15">
        <f t="shared" si="184"/>
        <v>5</v>
      </c>
      <c r="AZ244" s="32"/>
      <c r="BA244" s="13"/>
      <c r="BB244" s="13"/>
      <c r="BC244" s="14"/>
      <c r="BD244" s="15">
        <f t="shared" si="185"/>
        <v>0</v>
      </c>
      <c r="BE244" s="32">
        <v>379</v>
      </c>
      <c r="BF244" s="13"/>
      <c r="BG244" s="13">
        <v>2</v>
      </c>
      <c r="BH244" s="14"/>
      <c r="BI244" s="15">
        <f t="shared" si="186"/>
        <v>381</v>
      </c>
      <c r="BJ244" s="32">
        <v>158</v>
      </c>
      <c r="BK244" s="13"/>
      <c r="BL244" s="13">
        <v>1</v>
      </c>
      <c r="BM244" s="14"/>
      <c r="BN244" s="15">
        <f t="shared" si="187"/>
        <v>159</v>
      </c>
      <c r="BO244" s="66">
        <f>SUM(G244,L244,Q244,V244,AA244,AF244,AK244,AP244,AU244,AZ244,BE244,BJ244)</f>
        <v>650</v>
      </c>
      <c r="BP244" s="13">
        <f>SUM(H244,M244,R244,W244,AB244,AG244,AL244,AQ244,AV244,BA244,BF244,BK244)</f>
        <v>0</v>
      </c>
      <c r="BQ244" s="13">
        <f>SUM(I244,N244,S244,X244,AC244,AH244,AM244,AR244,AW244,BB244,BG244,BL244)</f>
        <v>7</v>
      </c>
      <c r="BR244" s="14">
        <f>SUM(J244,O244,T244,Y244,AD244,AI244,AN244,AS244,AX244,BC244,BH244,BM244)</f>
        <v>0</v>
      </c>
      <c r="BS244" s="33">
        <f t="shared" si="123"/>
        <v>657</v>
      </c>
    </row>
    <row r="245" spans="2:71" x14ac:dyDescent="0.3">
      <c r="B245" s="269"/>
      <c r="C245" s="230"/>
      <c r="D245" s="233"/>
      <c r="E245" s="235"/>
      <c r="F245" s="121" t="s">
        <v>180</v>
      </c>
      <c r="G245" s="32"/>
      <c r="H245" s="13"/>
      <c r="I245" s="13"/>
      <c r="J245" s="14"/>
      <c r="K245" s="15">
        <f t="shared" si="122"/>
        <v>0</v>
      </c>
      <c r="L245" s="32"/>
      <c r="M245" s="13"/>
      <c r="N245" s="13"/>
      <c r="O245" s="14"/>
      <c r="P245" s="15">
        <f t="shared" si="177"/>
        <v>0</v>
      </c>
      <c r="Q245" s="32"/>
      <c r="R245" s="13"/>
      <c r="S245" s="13"/>
      <c r="T245" s="14"/>
      <c r="U245" s="15">
        <f t="shared" si="178"/>
        <v>0</v>
      </c>
      <c r="V245" s="32">
        <v>208</v>
      </c>
      <c r="W245" s="13">
        <v>7</v>
      </c>
      <c r="X245" s="13">
        <v>24</v>
      </c>
      <c r="Y245" s="14"/>
      <c r="Z245" s="15">
        <f t="shared" si="179"/>
        <v>239</v>
      </c>
      <c r="AA245" s="32">
        <v>107</v>
      </c>
      <c r="AB245" s="13">
        <v>1</v>
      </c>
      <c r="AC245" s="13">
        <v>36</v>
      </c>
      <c r="AD245" s="14"/>
      <c r="AE245" s="15">
        <f t="shared" si="180"/>
        <v>144</v>
      </c>
      <c r="AF245" s="32">
        <v>116</v>
      </c>
      <c r="AG245" s="13">
        <v>30</v>
      </c>
      <c r="AH245" s="13">
        <v>52</v>
      </c>
      <c r="AI245" s="14"/>
      <c r="AJ245" s="15">
        <f t="shared" si="181"/>
        <v>198</v>
      </c>
      <c r="AK245" s="32"/>
      <c r="AL245" s="13"/>
      <c r="AM245" s="13"/>
      <c r="AN245" s="14"/>
      <c r="AO245" s="15">
        <f t="shared" si="182"/>
        <v>0</v>
      </c>
      <c r="AP245" s="32"/>
      <c r="AQ245" s="13"/>
      <c r="AR245" s="13"/>
      <c r="AS245" s="14"/>
      <c r="AT245" s="15">
        <f t="shared" si="183"/>
        <v>0</v>
      </c>
      <c r="AU245" s="32">
        <v>5</v>
      </c>
      <c r="AV245" s="13"/>
      <c r="AW245" s="13"/>
      <c r="AX245" s="14"/>
      <c r="AY245" s="15">
        <f t="shared" si="184"/>
        <v>5</v>
      </c>
      <c r="AZ245" s="32">
        <v>120</v>
      </c>
      <c r="BA245" s="13">
        <v>24</v>
      </c>
      <c r="BB245" s="13">
        <v>39</v>
      </c>
      <c r="BC245" s="14"/>
      <c r="BD245" s="15">
        <f t="shared" si="185"/>
        <v>183</v>
      </c>
      <c r="BE245" s="32"/>
      <c r="BF245" s="13"/>
      <c r="BG245" s="13"/>
      <c r="BH245" s="14"/>
      <c r="BI245" s="15">
        <f t="shared" si="186"/>
        <v>0</v>
      </c>
      <c r="BJ245" s="32"/>
      <c r="BK245" s="13"/>
      <c r="BL245" s="13"/>
      <c r="BM245" s="14"/>
      <c r="BN245" s="15">
        <f t="shared" si="187"/>
        <v>0</v>
      </c>
      <c r="BO245" s="66">
        <f>SUM(G245,L245,Q245,V245,AA245,AF245,AK245,AP245,AU245,AZ245,BE245,BJ245)</f>
        <v>556</v>
      </c>
      <c r="BP245" s="13">
        <f>SUM(H245,M245,R245,W245,AB245,AG245,AL245,AQ245,AV245,BA245,BF245,BK245)</f>
        <v>62</v>
      </c>
      <c r="BQ245" s="13">
        <f>SUM(I245,N245,S245,X245,AC245,AH245,AM245,AR245,AW245,BB245,BG245,BL245)</f>
        <v>151</v>
      </c>
      <c r="BR245" s="14">
        <f>SUM(J245,O245,T245,Y245,AD245,AI245,AN245,AS245,AX245,BC245,BH245,BM245)</f>
        <v>0</v>
      </c>
      <c r="BS245" s="33">
        <f t="shared" si="123"/>
        <v>769</v>
      </c>
    </row>
    <row r="246" spans="2:71" x14ac:dyDescent="0.3">
      <c r="B246" s="269"/>
      <c r="C246" s="230"/>
      <c r="D246" s="233"/>
      <c r="E246" s="235"/>
      <c r="F246" s="121" t="s">
        <v>181</v>
      </c>
      <c r="G246" s="32"/>
      <c r="H246" s="13"/>
      <c r="I246" s="13"/>
      <c r="J246" s="14"/>
      <c r="K246" s="15">
        <f t="shared" si="122"/>
        <v>0</v>
      </c>
      <c r="L246" s="32"/>
      <c r="M246" s="13"/>
      <c r="N246" s="13"/>
      <c r="O246" s="14"/>
      <c r="P246" s="15">
        <f t="shared" si="177"/>
        <v>0</v>
      </c>
      <c r="Q246" s="32"/>
      <c r="R246" s="13"/>
      <c r="S246" s="13"/>
      <c r="T246" s="14"/>
      <c r="U246" s="15">
        <f t="shared" si="178"/>
        <v>0</v>
      </c>
      <c r="V246" s="32">
        <v>7</v>
      </c>
      <c r="W246" s="13"/>
      <c r="X246" s="13"/>
      <c r="Y246" s="14"/>
      <c r="Z246" s="15">
        <f t="shared" si="179"/>
        <v>7</v>
      </c>
      <c r="AA246" s="32">
        <v>10</v>
      </c>
      <c r="AB246" s="13"/>
      <c r="AC246" s="13">
        <v>2</v>
      </c>
      <c r="AD246" s="14"/>
      <c r="AE246" s="15">
        <f t="shared" si="180"/>
        <v>12</v>
      </c>
      <c r="AF246" s="32">
        <v>14</v>
      </c>
      <c r="AG246" s="13"/>
      <c r="AH246" s="13">
        <v>2</v>
      </c>
      <c r="AI246" s="14"/>
      <c r="AJ246" s="15">
        <f t="shared" si="181"/>
        <v>16</v>
      </c>
      <c r="AK246" s="32"/>
      <c r="AL246" s="13"/>
      <c r="AM246" s="13"/>
      <c r="AN246" s="14"/>
      <c r="AO246" s="15">
        <f t="shared" si="182"/>
        <v>0</v>
      </c>
      <c r="AP246" s="32"/>
      <c r="AQ246" s="13"/>
      <c r="AR246" s="13"/>
      <c r="AS246" s="14"/>
      <c r="AT246" s="15">
        <f t="shared" si="183"/>
        <v>0</v>
      </c>
      <c r="AU246" s="32">
        <v>2</v>
      </c>
      <c r="AV246" s="13"/>
      <c r="AW246" s="13"/>
      <c r="AX246" s="14"/>
      <c r="AY246" s="15">
        <f t="shared" si="184"/>
        <v>2</v>
      </c>
      <c r="AZ246" s="32">
        <v>3</v>
      </c>
      <c r="BA246" s="13"/>
      <c r="BB246" s="13">
        <v>3</v>
      </c>
      <c r="BC246" s="14"/>
      <c r="BD246" s="15">
        <f t="shared" si="185"/>
        <v>6</v>
      </c>
      <c r="BE246" s="32"/>
      <c r="BF246" s="13"/>
      <c r="BG246" s="13"/>
      <c r="BH246" s="14"/>
      <c r="BI246" s="15">
        <f t="shared" si="186"/>
        <v>0</v>
      </c>
      <c r="BJ246" s="32"/>
      <c r="BK246" s="13"/>
      <c r="BL246" s="13"/>
      <c r="BM246" s="14"/>
      <c r="BN246" s="15">
        <f t="shared" si="187"/>
        <v>0</v>
      </c>
      <c r="BO246" s="66">
        <f>SUM(G246,L246,Q246,V246,AA246,AF246,AK246,AP246,AU246,AZ246,BE246,BJ246)</f>
        <v>36</v>
      </c>
      <c r="BP246" s="13">
        <f>SUM(H246,M246,R246,W246,AB246,AG246,AL246,AQ246,AV246,BA246,BF246,BK246)</f>
        <v>0</v>
      </c>
      <c r="BQ246" s="13">
        <f>SUM(I246,N246,S246,X246,AC246,AH246,AM246,AR246,AW246,BB246,BG246,BL246)</f>
        <v>7</v>
      </c>
      <c r="BR246" s="14">
        <f>SUM(J246,O246,T246,Y246,AD246,AI246,AN246,AS246,AX246,BC246,BH246,BM246)</f>
        <v>0</v>
      </c>
      <c r="BS246" s="33">
        <f t="shared" si="123"/>
        <v>43</v>
      </c>
    </row>
    <row r="247" spans="2:71" x14ac:dyDescent="0.3">
      <c r="B247" s="269"/>
      <c r="C247" s="230"/>
      <c r="D247" s="233"/>
      <c r="E247" s="235"/>
      <c r="F247" s="178" t="s">
        <v>489</v>
      </c>
      <c r="G247" s="179"/>
      <c r="H247" s="180"/>
      <c r="I247" s="180"/>
      <c r="J247" s="181"/>
      <c r="K247" s="182">
        <f t="shared" si="122"/>
        <v>0</v>
      </c>
      <c r="L247" s="179"/>
      <c r="M247" s="180"/>
      <c r="N247" s="180"/>
      <c r="O247" s="181"/>
      <c r="P247" s="182">
        <f t="shared" si="177"/>
        <v>0</v>
      </c>
      <c r="Q247" s="179"/>
      <c r="R247" s="180"/>
      <c r="S247" s="180"/>
      <c r="T247" s="181"/>
      <c r="U247" s="182">
        <f t="shared" si="178"/>
        <v>0</v>
      </c>
      <c r="V247" s="179"/>
      <c r="W247" s="180"/>
      <c r="X247" s="180"/>
      <c r="Y247" s="181"/>
      <c r="Z247" s="182">
        <f t="shared" si="179"/>
        <v>0</v>
      </c>
      <c r="AA247" s="179"/>
      <c r="AB247" s="180"/>
      <c r="AC247" s="180"/>
      <c r="AD247" s="181"/>
      <c r="AE247" s="182">
        <f t="shared" si="180"/>
        <v>0</v>
      </c>
      <c r="AF247" s="179"/>
      <c r="AG247" s="180"/>
      <c r="AH247" s="180"/>
      <c r="AI247" s="181"/>
      <c r="AJ247" s="182">
        <f t="shared" si="181"/>
        <v>0</v>
      </c>
      <c r="AK247" s="179">
        <v>6</v>
      </c>
      <c r="AL247" s="180"/>
      <c r="AM247" s="180"/>
      <c r="AN247" s="181"/>
      <c r="AO247" s="182">
        <f t="shared" si="182"/>
        <v>6</v>
      </c>
      <c r="AP247" s="179"/>
      <c r="AQ247" s="180"/>
      <c r="AR247" s="180"/>
      <c r="AS247" s="181"/>
      <c r="AT247" s="182">
        <f t="shared" si="183"/>
        <v>0</v>
      </c>
      <c r="AU247" s="179"/>
      <c r="AV247" s="180"/>
      <c r="AW247" s="180"/>
      <c r="AX247" s="181"/>
      <c r="AY247" s="182">
        <f t="shared" si="184"/>
        <v>0</v>
      </c>
      <c r="AZ247" s="179"/>
      <c r="BA247" s="180"/>
      <c r="BB247" s="180"/>
      <c r="BC247" s="181"/>
      <c r="BD247" s="182">
        <f t="shared" si="185"/>
        <v>0</v>
      </c>
      <c r="BE247" s="179"/>
      <c r="BF247" s="180"/>
      <c r="BG247" s="180"/>
      <c r="BH247" s="181"/>
      <c r="BI247" s="182">
        <f t="shared" si="186"/>
        <v>0</v>
      </c>
      <c r="BJ247" s="179"/>
      <c r="BK247" s="180"/>
      <c r="BL247" s="180"/>
      <c r="BM247" s="181"/>
      <c r="BN247" s="182">
        <f t="shared" si="187"/>
        <v>0</v>
      </c>
      <c r="BO247" s="184">
        <f>SUM(G247,L247,Q247,V247,AA247,AF247,AK247,AP247,AU247,AZ247,BE247,BJ247)</f>
        <v>6</v>
      </c>
      <c r="BP247" s="180">
        <f>SUM(H247,M247,R247,W247,AB247,AG247,AL247,AQ247,AV247,BA247,BF247,BK247)</f>
        <v>0</v>
      </c>
      <c r="BQ247" s="180">
        <f>SUM(I247,N247,S247,X247,AC247,AH247,AM247,AR247,AW247,BB247,BG247,BL247)</f>
        <v>0</v>
      </c>
      <c r="BR247" s="181">
        <f>SUM(J247,O247,T247,Y247,AD247,AI247,AN247,AS247,AX247,BC247,BH247,BM247)</f>
        <v>0</v>
      </c>
      <c r="BS247" s="183">
        <f t="shared" si="123"/>
        <v>6</v>
      </c>
    </row>
    <row r="248" spans="2:71" x14ac:dyDescent="0.3">
      <c r="B248" s="269"/>
      <c r="C248" s="230"/>
      <c r="D248" s="233"/>
      <c r="E248" s="235"/>
      <c r="F248" s="121" t="s">
        <v>490</v>
      </c>
      <c r="G248" s="32"/>
      <c r="H248" s="13"/>
      <c r="I248" s="13"/>
      <c r="J248" s="14"/>
      <c r="K248" s="15">
        <f t="shared" si="122"/>
        <v>0</v>
      </c>
      <c r="L248" s="32"/>
      <c r="M248" s="13"/>
      <c r="N248" s="13"/>
      <c r="O248" s="14"/>
      <c r="P248" s="15">
        <f t="shared" si="177"/>
        <v>0</v>
      </c>
      <c r="Q248" s="32"/>
      <c r="R248" s="13"/>
      <c r="S248" s="13"/>
      <c r="T248" s="14"/>
      <c r="U248" s="15">
        <f t="shared" si="178"/>
        <v>0</v>
      </c>
      <c r="V248" s="32"/>
      <c r="W248" s="13"/>
      <c r="X248" s="13"/>
      <c r="Y248" s="14"/>
      <c r="Z248" s="15">
        <f t="shared" si="179"/>
        <v>0</v>
      </c>
      <c r="AA248" s="32"/>
      <c r="AB248" s="13"/>
      <c r="AC248" s="13"/>
      <c r="AD248" s="14"/>
      <c r="AE248" s="15">
        <f t="shared" si="180"/>
        <v>0</v>
      </c>
      <c r="AF248" s="32"/>
      <c r="AG248" s="13"/>
      <c r="AH248" s="13"/>
      <c r="AI248" s="14"/>
      <c r="AJ248" s="15">
        <f t="shared" si="181"/>
        <v>0</v>
      </c>
      <c r="AK248" s="32"/>
      <c r="AL248" s="13"/>
      <c r="AM248" s="13"/>
      <c r="AN248" s="14"/>
      <c r="AO248" s="15">
        <f t="shared" si="182"/>
        <v>0</v>
      </c>
      <c r="AP248" s="32"/>
      <c r="AQ248" s="13"/>
      <c r="AR248" s="13"/>
      <c r="AS248" s="14"/>
      <c r="AT248" s="15">
        <f t="shared" si="183"/>
        <v>0</v>
      </c>
      <c r="AU248" s="32"/>
      <c r="AV248" s="13"/>
      <c r="AW248" s="13"/>
      <c r="AX248" s="14"/>
      <c r="AY248" s="15">
        <f t="shared" si="184"/>
        <v>0</v>
      </c>
      <c r="AZ248" s="32"/>
      <c r="BA248" s="13"/>
      <c r="BB248" s="13"/>
      <c r="BC248" s="14"/>
      <c r="BD248" s="15">
        <f t="shared" si="185"/>
        <v>0</v>
      </c>
      <c r="BE248" s="32">
        <v>200</v>
      </c>
      <c r="BF248" s="13">
        <v>175</v>
      </c>
      <c r="BG248" s="13"/>
      <c r="BH248" s="14"/>
      <c r="BI248" s="15">
        <f t="shared" si="186"/>
        <v>375</v>
      </c>
      <c r="BJ248" s="32">
        <v>657</v>
      </c>
      <c r="BK248" s="13">
        <v>359</v>
      </c>
      <c r="BL248" s="13"/>
      <c r="BM248" s="14"/>
      <c r="BN248" s="15">
        <f t="shared" si="187"/>
        <v>1016</v>
      </c>
      <c r="BO248" s="66">
        <f>SUM(G248,L248,Q248,V248,AA248,AF248,AK248,AP248,AU248,AZ248,BE248,BJ248)</f>
        <v>857</v>
      </c>
      <c r="BP248" s="13">
        <f>SUM(H248,M248,R248,W248,AB248,AG248,AL248,AQ248,AV248,BA248,BF248,BK248)</f>
        <v>534</v>
      </c>
      <c r="BQ248" s="13">
        <f>SUM(I248,N248,S248,X248,AC248,AH248,AM248,AR248,AW248,BB248,BG248,BL248)</f>
        <v>0</v>
      </c>
      <c r="BR248" s="14">
        <f>SUM(J248,O248,T248,Y248,AD248,AI248,AN248,AS248,AX248,BC248,BH248,BM248)</f>
        <v>0</v>
      </c>
      <c r="BS248" s="33">
        <f t="shared" si="123"/>
        <v>1391</v>
      </c>
    </row>
    <row r="249" spans="2:71" x14ac:dyDescent="0.3">
      <c r="B249" s="269"/>
      <c r="C249" s="230"/>
      <c r="D249" s="233"/>
      <c r="E249" s="235"/>
      <c r="F249" s="121" t="s">
        <v>491</v>
      </c>
      <c r="G249" s="32"/>
      <c r="H249" s="13"/>
      <c r="I249" s="13"/>
      <c r="J249" s="14"/>
      <c r="K249" s="15">
        <f t="shared" si="122"/>
        <v>0</v>
      </c>
      <c r="L249" s="32"/>
      <c r="M249" s="13"/>
      <c r="N249" s="13"/>
      <c r="O249" s="14"/>
      <c r="P249" s="15">
        <f t="shared" si="177"/>
        <v>0</v>
      </c>
      <c r="Q249" s="32"/>
      <c r="R249" s="13"/>
      <c r="S249" s="13"/>
      <c r="T249" s="14"/>
      <c r="U249" s="15">
        <f t="shared" si="178"/>
        <v>0</v>
      </c>
      <c r="V249" s="32"/>
      <c r="W249" s="13"/>
      <c r="X249" s="13"/>
      <c r="Y249" s="14"/>
      <c r="Z249" s="15">
        <f t="shared" si="179"/>
        <v>0</v>
      </c>
      <c r="AA249" s="32"/>
      <c r="AB249" s="13"/>
      <c r="AC249" s="13"/>
      <c r="AD249" s="14"/>
      <c r="AE249" s="15">
        <f t="shared" si="180"/>
        <v>0</v>
      </c>
      <c r="AF249" s="32"/>
      <c r="AG249" s="13"/>
      <c r="AH249" s="13"/>
      <c r="AI249" s="14"/>
      <c r="AJ249" s="15">
        <f t="shared" si="181"/>
        <v>0</v>
      </c>
      <c r="AK249" s="32"/>
      <c r="AL249" s="13"/>
      <c r="AM249" s="13"/>
      <c r="AN249" s="14"/>
      <c r="AO249" s="15">
        <f t="shared" si="182"/>
        <v>0</v>
      </c>
      <c r="AP249" s="32"/>
      <c r="AQ249" s="13"/>
      <c r="AR249" s="13"/>
      <c r="AS249" s="14"/>
      <c r="AT249" s="15">
        <f t="shared" si="183"/>
        <v>0</v>
      </c>
      <c r="AU249" s="32"/>
      <c r="AV249" s="13"/>
      <c r="AW249" s="13"/>
      <c r="AX249" s="14"/>
      <c r="AY249" s="15">
        <f t="shared" si="184"/>
        <v>0</v>
      </c>
      <c r="AZ249" s="32"/>
      <c r="BA249" s="13"/>
      <c r="BB249" s="13"/>
      <c r="BC249" s="14"/>
      <c r="BD249" s="15">
        <f t="shared" si="185"/>
        <v>0</v>
      </c>
      <c r="BE249" s="32">
        <v>9</v>
      </c>
      <c r="BF249" s="13">
        <v>12</v>
      </c>
      <c r="BG249" s="13"/>
      <c r="BH249" s="14"/>
      <c r="BI249" s="15">
        <f t="shared" si="186"/>
        <v>21</v>
      </c>
      <c r="BJ249" s="32">
        <v>22</v>
      </c>
      <c r="BK249" s="13">
        <v>6</v>
      </c>
      <c r="BL249" s="13"/>
      <c r="BM249" s="14"/>
      <c r="BN249" s="15">
        <f t="shared" si="187"/>
        <v>28</v>
      </c>
      <c r="BO249" s="66">
        <f>SUM(G249,L249,Q249,V249,AA249,AF249,AK249,AP249,AU249,AZ249,BE249,BJ249)</f>
        <v>31</v>
      </c>
      <c r="BP249" s="13">
        <f>SUM(H249,M249,R249,W249,AB249,AG249,AL249,AQ249,AV249,BA249,BF249,BK249)</f>
        <v>18</v>
      </c>
      <c r="BQ249" s="13">
        <f>SUM(I249,N249,S249,X249,AC249,AH249,AM249,AR249,AW249,BB249,BG249,BL249)</f>
        <v>0</v>
      </c>
      <c r="BR249" s="14">
        <f>SUM(J249,O249,T249,Y249,AD249,AI249,AN249,AS249,AX249,BC249,BH249,BM249)</f>
        <v>0</v>
      </c>
      <c r="BS249" s="33">
        <f t="shared" si="123"/>
        <v>49</v>
      </c>
    </row>
    <row r="250" spans="2:71" x14ac:dyDescent="0.3">
      <c r="B250" s="269"/>
      <c r="C250" s="230"/>
      <c r="D250" s="233"/>
      <c r="E250" s="235"/>
      <c r="F250" s="121" t="s">
        <v>492</v>
      </c>
      <c r="G250" s="32"/>
      <c r="H250" s="13"/>
      <c r="I250" s="13"/>
      <c r="J250" s="14"/>
      <c r="K250" s="15">
        <f t="shared" si="122"/>
        <v>0</v>
      </c>
      <c r="L250" s="32"/>
      <c r="M250" s="13"/>
      <c r="N250" s="13"/>
      <c r="O250" s="14"/>
      <c r="P250" s="15">
        <f t="shared" si="177"/>
        <v>0</v>
      </c>
      <c r="Q250" s="32"/>
      <c r="R250" s="13"/>
      <c r="S250" s="13"/>
      <c r="T250" s="14"/>
      <c r="U250" s="15">
        <f t="shared" si="178"/>
        <v>0</v>
      </c>
      <c r="V250" s="32"/>
      <c r="W250" s="13"/>
      <c r="X250" s="13"/>
      <c r="Y250" s="14"/>
      <c r="Z250" s="15">
        <f t="shared" si="179"/>
        <v>0</v>
      </c>
      <c r="AA250" s="32"/>
      <c r="AB250" s="13"/>
      <c r="AC250" s="13"/>
      <c r="AD250" s="14"/>
      <c r="AE250" s="15">
        <f t="shared" si="180"/>
        <v>0</v>
      </c>
      <c r="AF250" s="32"/>
      <c r="AG250" s="13"/>
      <c r="AH250" s="13"/>
      <c r="AI250" s="14"/>
      <c r="AJ250" s="15">
        <f t="shared" si="181"/>
        <v>0</v>
      </c>
      <c r="AK250" s="32"/>
      <c r="AL250" s="13"/>
      <c r="AM250" s="13"/>
      <c r="AN250" s="14"/>
      <c r="AO250" s="15">
        <f t="shared" si="182"/>
        <v>0</v>
      </c>
      <c r="AP250" s="32"/>
      <c r="AQ250" s="13"/>
      <c r="AR250" s="13"/>
      <c r="AS250" s="14"/>
      <c r="AT250" s="15">
        <f t="shared" si="183"/>
        <v>0</v>
      </c>
      <c r="AU250" s="32"/>
      <c r="AV250" s="13"/>
      <c r="AW250" s="13"/>
      <c r="AX250" s="14"/>
      <c r="AY250" s="15">
        <f t="shared" si="184"/>
        <v>0</v>
      </c>
      <c r="AZ250" s="32"/>
      <c r="BA250" s="13"/>
      <c r="BB250" s="13"/>
      <c r="BC250" s="14"/>
      <c r="BD250" s="15">
        <f t="shared" si="185"/>
        <v>0</v>
      </c>
      <c r="BE250" s="32">
        <v>138</v>
      </c>
      <c r="BF250" s="13">
        <v>42</v>
      </c>
      <c r="BG250" s="13">
        <v>4</v>
      </c>
      <c r="BH250" s="14"/>
      <c r="BI250" s="15">
        <f t="shared" si="186"/>
        <v>184</v>
      </c>
      <c r="BJ250" s="32">
        <v>265</v>
      </c>
      <c r="BK250" s="13">
        <v>100</v>
      </c>
      <c r="BL250" s="13">
        <v>1</v>
      </c>
      <c r="BM250" s="14"/>
      <c r="BN250" s="15">
        <f t="shared" si="187"/>
        <v>366</v>
      </c>
      <c r="BO250" s="66">
        <f>SUM(G250,L250,Q250,V250,AA250,AF250,AK250,AP250,AU250,AZ250,BE250,BJ250)</f>
        <v>403</v>
      </c>
      <c r="BP250" s="13">
        <f>SUM(H250,M250,R250,W250,AB250,AG250,AL250,AQ250,AV250,BA250,BF250,BK250)</f>
        <v>142</v>
      </c>
      <c r="BQ250" s="13">
        <f>SUM(I250,N250,S250,X250,AC250,AH250,AM250,AR250,AW250,BB250,BG250,BL250)</f>
        <v>5</v>
      </c>
      <c r="BR250" s="14">
        <f>SUM(J250,O250,T250,Y250,AD250,AI250,AN250,AS250,AX250,BC250,BH250,BM250)</f>
        <v>0</v>
      </c>
      <c r="BS250" s="33">
        <f t="shared" si="123"/>
        <v>550</v>
      </c>
    </row>
    <row r="251" spans="2:71" x14ac:dyDescent="0.3">
      <c r="B251" s="269"/>
      <c r="C251" s="230"/>
      <c r="D251" s="233"/>
      <c r="E251" s="235"/>
      <c r="F251" s="121" t="s">
        <v>493</v>
      </c>
      <c r="G251" s="32"/>
      <c r="H251" s="13"/>
      <c r="I251" s="13"/>
      <c r="J251" s="14"/>
      <c r="K251" s="15">
        <f t="shared" si="122"/>
        <v>0</v>
      </c>
      <c r="L251" s="32"/>
      <c r="M251" s="13"/>
      <c r="N251" s="13"/>
      <c r="O251" s="14"/>
      <c r="P251" s="15">
        <f t="shared" si="177"/>
        <v>0</v>
      </c>
      <c r="Q251" s="32"/>
      <c r="R251" s="13"/>
      <c r="S251" s="13"/>
      <c r="T251" s="14"/>
      <c r="U251" s="15">
        <f t="shared" si="178"/>
        <v>0</v>
      </c>
      <c r="V251" s="32"/>
      <c r="W251" s="13"/>
      <c r="X251" s="13"/>
      <c r="Y251" s="14"/>
      <c r="Z251" s="15">
        <f t="shared" si="179"/>
        <v>0</v>
      </c>
      <c r="AA251" s="32"/>
      <c r="AB251" s="13"/>
      <c r="AC251" s="13"/>
      <c r="AD251" s="14"/>
      <c r="AE251" s="15">
        <f t="shared" si="180"/>
        <v>0</v>
      </c>
      <c r="AF251" s="32"/>
      <c r="AG251" s="13"/>
      <c r="AH251" s="13"/>
      <c r="AI251" s="14"/>
      <c r="AJ251" s="15">
        <f t="shared" si="181"/>
        <v>0</v>
      </c>
      <c r="AK251" s="32"/>
      <c r="AL251" s="13"/>
      <c r="AM251" s="13"/>
      <c r="AN251" s="14"/>
      <c r="AO251" s="15">
        <f t="shared" si="182"/>
        <v>0</v>
      </c>
      <c r="AP251" s="32"/>
      <c r="AQ251" s="13"/>
      <c r="AR251" s="13"/>
      <c r="AS251" s="14"/>
      <c r="AT251" s="15">
        <f t="shared" si="183"/>
        <v>0</v>
      </c>
      <c r="AU251" s="32"/>
      <c r="AV251" s="13"/>
      <c r="AW251" s="13"/>
      <c r="AX251" s="14"/>
      <c r="AY251" s="15">
        <f t="shared" si="184"/>
        <v>0</v>
      </c>
      <c r="AZ251" s="32"/>
      <c r="BA251" s="13"/>
      <c r="BB251" s="13"/>
      <c r="BC251" s="14"/>
      <c r="BD251" s="15">
        <f t="shared" si="185"/>
        <v>0</v>
      </c>
      <c r="BE251" s="32">
        <v>3</v>
      </c>
      <c r="BF251" s="13">
        <v>5</v>
      </c>
      <c r="BG251" s="13"/>
      <c r="BH251" s="14"/>
      <c r="BI251" s="15">
        <f t="shared" si="186"/>
        <v>8</v>
      </c>
      <c r="BJ251" s="32">
        <v>15</v>
      </c>
      <c r="BK251" s="13">
        <v>5</v>
      </c>
      <c r="BL251" s="13"/>
      <c r="BM251" s="14"/>
      <c r="BN251" s="15">
        <f t="shared" si="187"/>
        <v>20</v>
      </c>
      <c r="BO251" s="66">
        <f>SUM(G251,L251,Q251,V251,AA251,AF251,AK251,AP251,AU251,AZ251,BE251,BJ251)</f>
        <v>18</v>
      </c>
      <c r="BP251" s="13">
        <f>SUM(H251,M251,R251,W251,AB251,AG251,AL251,AQ251,AV251,BA251,BF251,BK251)</f>
        <v>10</v>
      </c>
      <c r="BQ251" s="13">
        <f>SUM(I251,N251,S251,X251,AC251,AH251,AM251,AR251,AW251,BB251,BG251,BL251)</f>
        <v>0</v>
      </c>
      <c r="BR251" s="14">
        <f>SUM(J251,O251,T251,Y251,AD251,AI251,AN251,AS251,AX251,BC251,BH251,BM251)</f>
        <v>0</v>
      </c>
      <c r="BS251" s="33">
        <f t="shared" si="123"/>
        <v>28</v>
      </c>
    </row>
    <row r="252" spans="2:71" x14ac:dyDescent="0.3">
      <c r="B252" s="269"/>
      <c r="C252" s="230"/>
      <c r="D252" s="233"/>
      <c r="E252" s="235"/>
      <c r="F252" s="121" t="s">
        <v>494</v>
      </c>
      <c r="G252" s="32"/>
      <c r="H252" s="13"/>
      <c r="I252" s="13"/>
      <c r="J252" s="14"/>
      <c r="K252" s="15">
        <f t="shared" si="122"/>
        <v>0</v>
      </c>
      <c r="L252" s="32"/>
      <c r="M252" s="13"/>
      <c r="N252" s="13"/>
      <c r="O252" s="14"/>
      <c r="P252" s="15">
        <f t="shared" si="177"/>
        <v>0</v>
      </c>
      <c r="Q252" s="32"/>
      <c r="R252" s="13"/>
      <c r="S252" s="13"/>
      <c r="T252" s="14"/>
      <c r="U252" s="15">
        <f t="shared" si="178"/>
        <v>0</v>
      </c>
      <c r="V252" s="32"/>
      <c r="W252" s="13"/>
      <c r="X252" s="13"/>
      <c r="Y252" s="14"/>
      <c r="Z252" s="15">
        <f t="shared" si="179"/>
        <v>0</v>
      </c>
      <c r="AA252" s="32"/>
      <c r="AB252" s="13"/>
      <c r="AC252" s="13"/>
      <c r="AD252" s="14"/>
      <c r="AE252" s="15">
        <f t="shared" si="180"/>
        <v>0</v>
      </c>
      <c r="AF252" s="32"/>
      <c r="AG252" s="13"/>
      <c r="AH252" s="13"/>
      <c r="AI252" s="14"/>
      <c r="AJ252" s="15">
        <f t="shared" si="181"/>
        <v>0</v>
      </c>
      <c r="AK252" s="32"/>
      <c r="AL252" s="13"/>
      <c r="AM252" s="13"/>
      <c r="AN252" s="14"/>
      <c r="AO252" s="15">
        <f t="shared" si="182"/>
        <v>0</v>
      </c>
      <c r="AP252" s="32"/>
      <c r="AQ252" s="13"/>
      <c r="AR252" s="13"/>
      <c r="AS252" s="14"/>
      <c r="AT252" s="15">
        <f t="shared" si="183"/>
        <v>0</v>
      </c>
      <c r="AU252" s="32"/>
      <c r="AV252" s="13"/>
      <c r="AW252" s="13"/>
      <c r="AX252" s="14"/>
      <c r="AY252" s="15">
        <f t="shared" si="184"/>
        <v>0</v>
      </c>
      <c r="AZ252" s="32"/>
      <c r="BA252" s="13"/>
      <c r="BB252" s="13"/>
      <c r="BC252" s="14"/>
      <c r="BD252" s="15">
        <f t="shared" si="185"/>
        <v>0</v>
      </c>
      <c r="BE252" s="32">
        <v>19</v>
      </c>
      <c r="BF252" s="13">
        <v>7</v>
      </c>
      <c r="BG252" s="13">
        <v>3</v>
      </c>
      <c r="BH252" s="14"/>
      <c r="BI252" s="15">
        <f t="shared" si="186"/>
        <v>29</v>
      </c>
      <c r="BJ252" s="32">
        <v>9</v>
      </c>
      <c r="BK252" s="13">
        <v>6</v>
      </c>
      <c r="BL252" s="13"/>
      <c r="BM252" s="14"/>
      <c r="BN252" s="15">
        <f t="shared" si="187"/>
        <v>15</v>
      </c>
      <c r="BO252" s="66">
        <f>SUM(G252,L252,Q252,V252,AA252,AF252,AK252,AP252,AU252,AZ252,BE252,BJ252)</f>
        <v>28</v>
      </c>
      <c r="BP252" s="13">
        <f>SUM(H252,M252,R252,W252,AB252,AG252,AL252,AQ252,AV252,BA252,BF252,BK252)</f>
        <v>13</v>
      </c>
      <c r="BQ252" s="13">
        <f>SUM(I252,N252,S252,X252,AC252,AH252,AM252,AR252,AW252,BB252,BG252,BL252)</f>
        <v>3</v>
      </c>
      <c r="BR252" s="14">
        <f>SUM(J252,O252,T252,Y252,AD252,AI252,AN252,AS252,AX252,BC252,BH252,BM252)</f>
        <v>0</v>
      </c>
      <c r="BS252" s="33">
        <f t="shared" si="123"/>
        <v>44</v>
      </c>
    </row>
    <row r="253" spans="2:71" x14ac:dyDescent="0.3">
      <c r="B253" s="269"/>
      <c r="C253" s="230"/>
      <c r="D253" s="233"/>
      <c r="E253" s="235"/>
      <c r="F253" s="121" t="s">
        <v>495</v>
      </c>
      <c r="G253" s="32"/>
      <c r="H253" s="13"/>
      <c r="I253" s="13"/>
      <c r="J253" s="14"/>
      <c r="K253" s="15">
        <f t="shared" si="122"/>
        <v>0</v>
      </c>
      <c r="L253" s="32"/>
      <c r="M253" s="13"/>
      <c r="N253" s="13"/>
      <c r="O253" s="14"/>
      <c r="P253" s="15">
        <f t="shared" si="177"/>
        <v>0</v>
      </c>
      <c r="Q253" s="32"/>
      <c r="R253" s="13"/>
      <c r="S253" s="13"/>
      <c r="T253" s="14"/>
      <c r="U253" s="15">
        <f t="shared" si="178"/>
        <v>0</v>
      </c>
      <c r="V253" s="32"/>
      <c r="W253" s="13"/>
      <c r="X253" s="13"/>
      <c r="Y253" s="14"/>
      <c r="Z253" s="15">
        <f t="shared" si="179"/>
        <v>0</v>
      </c>
      <c r="AA253" s="32"/>
      <c r="AB253" s="13"/>
      <c r="AC253" s="13"/>
      <c r="AD253" s="14"/>
      <c r="AE253" s="15">
        <f t="shared" si="180"/>
        <v>0</v>
      </c>
      <c r="AF253" s="32"/>
      <c r="AG253" s="13"/>
      <c r="AH253" s="13"/>
      <c r="AI253" s="14"/>
      <c r="AJ253" s="15">
        <f t="shared" si="181"/>
        <v>0</v>
      </c>
      <c r="AK253" s="32"/>
      <c r="AL253" s="13"/>
      <c r="AM253" s="13"/>
      <c r="AN253" s="14"/>
      <c r="AO253" s="15">
        <f t="shared" si="182"/>
        <v>0</v>
      </c>
      <c r="AP253" s="32"/>
      <c r="AQ253" s="13"/>
      <c r="AR253" s="13"/>
      <c r="AS253" s="14"/>
      <c r="AT253" s="15">
        <f t="shared" si="183"/>
        <v>0</v>
      </c>
      <c r="AU253" s="32"/>
      <c r="AV253" s="13"/>
      <c r="AW253" s="13"/>
      <c r="AX253" s="14"/>
      <c r="AY253" s="15">
        <f t="shared" si="184"/>
        <v>0</v>
      </c>
      <c r="AZ253" s="32"/>
      <c r="BA253" s="13"/>
      <c r="BB253" s="13"/>
      <c r="BC253" s="14"/>
      <c r="BD253" s="15">
        <f t="shared" si="185"/>
        <v>0</v>
      </c>
      <c r="BE253" s="32">
        <v>3</v>
      </c>
      <c r="BF253" s="13"/>
      <c r="BG253" s="13"/>
      <c r="BH253" s="14"/>
      <c r="BI253" s="15">
        <f t="shared" si="186"/>
        <v>3</v>
      </c>
      <c r="BJ253" s="32">
        <v>1</v>
      </c>
      <c r="BK253" s="13"/>
      <c r="BL253" s="13"/>
      <c r="BM253" s="14"/>
      <c r="BN253" s="15">
        <f t="shared" si="187"/>
        <v>1</v>
      </c>
      <c r="BO253" s="66">
        <f>SUM(G253,L253,Q253,V253,AA253,AF253,AK253,AP253,AU253,AZ253,BE253,BJ253)</f>
        <v>4</v>
      </c>
      <c r="BP253" s="13">
        <f>SUM(H253,M253,R253,W253,AB253,AG253,AL253,AQ253,AV253,BA253,BF253,BK253)</f>
        <v>0</v>
      </c>
      <c r="BQ253" s="13">
        <f>SUM(I253,N253,S253,X253,AC253,AH253,AM253,AR253,AW253,BB253,BG253,BL253)</f>
        <v>0</v>
      </c>
      <c r="BR253" s="14">
        <f>SUM(J253,O253,T253,Y253,AD253,AI253,AN253,AS253,AX253,BC253,BH253,BM253)</f>
        <v>0</v>
      </c>
      <c r="BS253" s="33">
        <f t="shared" si="123"/>
        <v>4</v>
      </c>
    </row>
    <row r="254" spans="2:71" x14ac:dyDescent="0.3">
      <c r="B254" s="269"/>
      <c r="C254" s="230"/>
      <c r="D254" s="234"/>
      <c r="E254" s="236" t="s">
        <v>4</v>
      </c>
      <c r="F254" s="237"/>
      <c r="G254" s="38">
        <f>SUM(G168:G253)</f>
        <v>4092</v>
      </c>
      <c r="H254" s="19">
        <f>SUM(H168:H253)</f>
        <v>925</v>
      </c>
      <c r="I254" s="19">
        <f>SUM(I168:I253)</f>
        <v>2335</v>
      </c>
      <c r="J254" s="20">
        <f>SUM(J168:J253)</f>
        <v>0</v>
      </c>
      <c r="K254" s="21">
        <f t="shared" si="122"/>
        <v>7352</v>
      </c>
      <c r="L254" s="38">
        <f>SUM(L168:L253)</f>
        <v>6474</v>
      </c>
      <c r="M254" s="19">
        <f>SUM(M168:M253)</f>
        <v>1869</v>
      </c>
      <c r="N254" s="19">
        <f>SUM(N168:N253)</f>
        <v>3570</v>
      </c>
      <c r="O254" s="20">
        <f>SUM(O168:O253)</f>
        <v>0</v>
      </c>
      <c r="P254" s="21">
        <f t="shared" si="177"/>
        <v>11913</v>
      </c>
      <c r="Q254" s="38">
        <f>SUM(Q168:Q253)</f>
        <v>3936</v>
      </c>
      <c r="R254" s="19">
        <f>SUM(R168:R253)</f>
        <v>731</v>
      </c>
      <c r="S254" s="19">
        <f>SUM(S168:S253)</f>
        <v>2321</v>
      </c>
      <c r="T254" s="20">
        <f>SUM(T168:T253)</f>
        <v>0</v>
      </c>
      <c r="U254" s="21">
        <f t="shared" si="178"/>
        <v>6988</v>
      </c>
      <c r="V254" s="38">
        <f>SUM(V168:V253)</f>
        <v>4587</v>
      </c>
      <c r="W254" s="19">
        <f>SUM(W168:W253)</f>
        <v>481</v>
      </c>
      <c r="X254" s="19">
        <f>SUM(X168:X253)</f>
        <v>2593</v>
      </c>
      <c r="Y254" s="20">
        <f>SUM(Y168:Y253)</f>
        <v>0</v>
      </c>
      <c r="Z254" s="21">
        <f t="shared" si="179"/>
        <v>7661</v>
      </c>
      <c r="AA254" s="38">
        <f>SUM(AA168:AA253)</f>
        <v>4889</v>
      </c>
      <c r="AB254" s="19">
        <f>SUM(AB168:AB253)</f>
        <v>1474</v>
      </c>
      <c r="AC254" s="19">
        <f>SUM(AC168:AC253)</f>
        <v>2730</v>
      </c>
      <c r="AD254" s="20">
        <f>SUM(AD168:AD253)</f>
        <v>0</v>
      </c>
      <c r="AE254" s="21">
        <f t="shared" si="180"/>
        <v>9093</v>
      </c>
      <c r="AF254" s="38">
        <f>SUM(AF168:AF253)</f>
        <v>4403</v>
      </c>
      <c r="AG254" s="19">
        <f>SUM(AG168:AG253)</f>
        <v>683</v>
      </c>
      <c r="AH254" s="19">
        <f>SUM(AH168:AH253)</f>
        <v>2933</v>
      </c>
      <c r="AI254" s="20">
        <f>SUM(AI168:AI253)</f>
        <v>0</v>
      </c>
      <c r="AJ254" s="21">
        <f t="shared" si="181"/>
        <v>8019</v>
      </c>
      <c r="AK254" s="38">
        <f>SUM(AK168:AK253)</f>
        <v>2647</v>
      </c>
      <c r="AL254" s="19">
        <f>SUM(AL168:AL253)</f>
        <v>514</v>
      </c>
      <c r="AM254" s="19">
        <f>SUM(AM168:AM253)</f>
        <v>1471</v>
      </c>
      <c r="AN254" s="20">
        <f>SUM(AN168:AN253)</f>
        <v>0</v>
      </c>
      <c r="AO254" s="21">
        <f t="shared" si="182"/>
        <v>4632</v>
      </c>
      <c r="AP254" s="38">
        <f>SUM(AP168:AP253)</f>
        <v>2387</v>
      </c>
      <c r="AQ254" s="19">
        <f>SUM(AQ168:AQ253)</f>
        <v>749</v>
      </c>
      <c r="AR254" s="19">
        <f>SUM(AR168:AR253)</f>
        <v>1279</v>
      </c>
      <c r="AS254" s="20">
        <f>SUM(AS168:AS253)</f>
        <v>0</v>
      </c>
      <c r="AT254" s="21">
        <f t="shared" si="183"/>
        <v>4415</v>
      </c>
      <c r="AU254" s="38">
        <f>SUM(AU168:AU253)</f>
        <v>4939</v>
      </c>
      <c r="AV254" s="19">
        <f>SUM(AV168:AV253)</f>
        <v>444</v>
      </c>
      <c r="AW254" s="19">
        <f>SUM(AW168:AW253)</f>
        <v>2108</v>
      </c>
      <c r="AX254" s="20">
        <f>SUM(AX168:AX253)</f>
        <v>0</v>
      </c>
      <c r="AY254" s="21">
        <f t="shared" si="184"/>
        <v>7491</v>
      </c>
      <c r="AZ254" s="38">
        <f>SUM(AZ168:AZ253)</f>
        <v>6800</v>
      </c>
      <c r="BA254" s="19">
        <f>SUM(BA168:BA253)</f>
        <v>835</v>
      </c>
      <c r="BB254" s="19">
        <f>SUM(BB168:BB253)</f>
        <v>4206</v>
      </c>
      <c r="BC254" s="20">
        <f>SUM(BC168:BC253)</f>
        <v>0</v>
      </c>
      <c r="BD254" s="21">
        <f t="shared" si="185"/>
        <v>11841</v>
      </c>
      <c r="BE254" s="38">
        <f>SUM(BE168:BE253)</f>
        <v>7672</v>
      </c>
      <c r="BF254" s="19">
        <f>SUM(BF168:BF253)</f>
        <v>879</v>
      </c>
      <c r="BG254" s="19">
        <f>SUM(BG168:BG253)</f>
        <v>3846</v>
      </c>
      <c r="BH254" s="20">
        <f>SUM(BH168:BH253)</f>
        <v>0</v>
      </c>
      <c r="BI254" s="21">
        <f t="shared" si="186"/>
        <v>12397</v>
      </c>
      <c r="BJ254" s="38">
        <f>SUM(BJ168:BJ253)</f>
        <v>5231</v>
      </c>
      <c r="BK254" s="19">
        <f>SUM(BK168:BK253)</f>
        <v>859</v>
      </c>
      <c r="BL254" s="19">
        <f>SUM(BL168:BL253)</f>
        <v>1322</v>
      </c>
      <c r="BM254" s="20">
        <f>SUM(BM168:BM253)</f>
        <v>0</v>
      </c>
      <c r="BN254" s="21">
        <f t="shared" si="187"/>
        <v>7412</v>
      </c>
      <c r="BO254" s="69">
        <f>SUM(BO168:BO253)</f>
        <v>58057</v>
      </c>
      <c r="BP254" s="19">
        <f>SUM(BP168:BP253)</f>
        <v>10443</v>
      </c>
      <c r="BQ254" s="19">
        <f>SUM(BQ168:BQ253)</f>
        <v>30714</v>
      </c>
      <c r="BR254" s="20">
        <f>SUM(BR168:BR253)</f>
        <v>0</v>
      </c>
      <c r="BS254" s="39">
        <f t="shared" si="123"/>
        <v>99214</v>
      </c>
    </row>
    <row r="255" spans="2:71" x14ac:dyDescent="0.3">
      <c r="B255" s="269"/>
      <c r="C255" s="231"/>
      <c r="D255" s="238" t="s">
        <v>4</v>
      </c>
      <c r="E255" s="238"/>
      <c r="F255" s="238"/>
      <c r="G255" s="40">
        <f>G254</f>
        <v>4092</v>
      </c>
      <c r="H255" s="22">
        <f>H254</f>
        <v>925</v>
      </c>
      <c r="I255" s="22">
        <f>I254</f>
        <v>2335</v>
      </c>
      <c r="J255" s="23">
        <f>J254</f>
        <v>0</v>
      </c>
      <c r="K255" s="24">
        <f t="shared" ref="K255" si="188">SUM(G255:J255)</f>
        <v>7352</v>
      </c>
      <c r="L255" s="40">
        <f>L254</f>
        <v>6474</v>
      </c>
      <c r="M255" s="22">
        <f>M254</f>
        <v>1869</v>
      </c>
      <c r="N255" s="22">
        <f>N254</f>
        <v>3570</v>
      </c>
      <c r="O255" s="23">
        <f>O254</f>
        <v>0</v>
      </c>
      <c r="P255" s="24">
        <f t="shared" si="177"/>
        <v>11913</v>
      </c>
      <c r="Q255" s="40">
        <f>Q254</f>
        <v>3936</v>
      </c>
      <c r="R255" s="22">
        <f>R254</f>
        <v>731</v>
      </c>
      <c r="S255" s="22">
        <f>S254</f>
        <v>2321</v>
      </c>
      <c r="T255" s="23">
        <f>T254</f>
        <v>0</v>
      </c>
      <c r="U255" s="24">
        <f t="shared" si="178"/>
        <v>6988</v>
      </c>
      <c r="V255" s="40">
        <f>V254</f>
        <v>4587</v>
      </c>
      <c r="W255" s="22">
        <f>W254</f>
        <v>481</v>
      </c>
      <c r="X255" s="22">
        <f>X254</f>
        <v>2593</v>
      </c>
      <c r="Y255" s="23">
        <f>Y254</f>
        <v>0</v>
      </c>
      <c r="Z255" s="24">
        <f t="shared" si="179"/>
        <v>7661</v>
      </c>
      <c r="AA255" s="40">
        <f>AA254</f>
        <v>4889</v>
      </c>
      <c r="AB255" s="22">
        <f>AB254</f>
        <v>1474</v>
      </c>
      <c r="AC255" s="22">
        <f>AC254</f>
        <v>2730</v>
      </c>
      <c r="AD255" s="23">
        <f>AD254</f>
        <v>0</v>
      </c>
      <c r="AE255" s="24">
        <f t="shared" si="180"/>
        <v>9093</v>
      </c>
      <c r="AF255" s="40">
        <f>AF254</f>
        <v>4403</v>
      </c>
      <c r="AG255" s="22">
        <f>AG254</f>
        <v>683</v>
      </c>
      <c r="AH255" s="22">
        <f>AH254</f>
        <v>2933</v>
      </c>
      <c r="AI255" s="23">
        <f>AI254</f>
        <v>0</v>
      </c>
      <c r="AJ255" s="24">
        <f t="shared" si="181"/>
        <v>8019</v>
      </c>
      <c r="AK255" s="40">
        <f>AK254</f>
        <v>2647</v>
      </c>
      <c r="AL255" s="22">
        <f>AL254</f>
        <v>514</v>
      </c>
      <c r="AM255" s="22">
        <f>AM254</f>
        <v>1471</v>
      </c>
      <c r="AN255" s="23">
        <f>AN254</f>
        <v>0</v>
      </c>
      <c r="AO255" s="24">
        <f t="shared" si="182"/>
        <v>4632</v>
      </c>
      <c r="AP255" s="40">
        <f>AP254</f>
        <v>2387</v>
      </c>
      <c r="AQ255" s="22">
        <f>AQ254</f>
        <v>749</v>
      </c>
      <c r="AR255" s="22">
        <f>AR254</f>
        <v>1279</v>
      </c>
      <c r="AS255" s="23">
        <f>AS254</f>
        <v>0</v>
      </c>
      <c r="AT255" s="24">
        <f t="shared" si="183"/>
        <v>4415</v>
      </c>
      <c r="AU255" s="40">
        <f>AU254</f>
        <v>4939</v>
      </c>
      <c r="AV255" s="22">
        <f>AV254</f>
        <v>444</v>
      </c>
      <c r="AW255" s="22">
        <f>AW254</f>
        <v>2108</v>
      </c>
      <c r="AX255" s="23">
        <f>AX254</f>
        <v>0</v>
      </c>
      <c r="AY255" s="24">
        <f t="shared" si="184"/>
        <v>7491</v>
      </c>
      <c r="AZ255" s="40">
        <f>AZ254</f>
        <v>6800</v>
      </c>
      <c r="BA255" s="22">
        <f>BA254</f>
        <v>835</v>
      </c>
      <c r="BB255" s="22">
        <f>BB254</f>
        <v>4206</v>
      </c>
      <c r="BC255" s="23">
        <f>BC254</f>
        <v>0</v>
      </c>
      <c r="BD255" s="24">
        <f t="shared" si="185"/>
        <v>11841</v>
      </c>
      <c r="BE255" s="40">
        <f>BE254</f>
        <v>7672</v>
      </c>
      <c r="BF255" s="22">
        <f>BF254</f>
        <v>879</v>
      </c>
      <c r="BG255" s="22">
        <f>BG254</f>
        <v>3846</v>
      </c>
      <c r="BH255" s="23">
        <f>BH254</f>
        <v>0</v>
      </c>
      <c r="BI255" s="24">
        <f t="shared" si="186"/>
        <v>12397</v>
      </c>
      <c r="BJ255" s="40">
        <f>BJ254</f>
        <v>5231</v>
      </c>
      <c r="BK255" s="22">
        <f>BK254</f>
        <v>859</v>
      </c>
      <c r="BL255" s="22">
        <f>BL254</f>
        <v>1322</v>
      </c>
      <c r="BM255" s="23">
        <f>BM254</f>
        <v>0</v>
      </c>
      <c r="BN255" s="24">
        <f t="shared" si="187"/>
        <v>7412</v>
      </c>
      <c r="BO255" s="68">
        <f>BO254</f>
        <v>58057</v>
      </c>
      <c r="BP255" s="22">
        <f>BP254</f>
        <v>10443</v>
      </c>
      <c r="BQ255" s="22">
        <f>BQ254</f>
        <v>30714</v>
      </c>
      <c r="BR255" s="23">
        <f>BR254</f>
        <v>0</v>
      </c>
      <c r="BS255" s="41">
        <f t="shared" ref="BS255:BS310" si="189">SUM(BO255:BR255)</f>
        <v>99214</v>
      </c>
    </row>
    <row r="256" spans="2:71" x14ac:dyDescent="0.3">
      <c r="B256" s="269"/>
      <c r="C256" s="229" t="s">
        <v>1</v>
      </c>
      <c r="D256" s="249"/>
      <c r="E256" s="249"/>
      <c r="F256" s="120" t="s">
        <v>218</v>
      </c>
      <c r="G256" s="30">
        <v>2825</v>
      </c>
      <c r="H256" s="7"/>
      <c r="I256" s="7"/>
      <c r="J256" s="8"/>
      <c r="K256" s="9">
        <f t="shared" ref="K256:K273" si="190">SUM(G256:J256)</f>
        <v>2825</v>
      </c>
      <c r="L256" s="30">
        <v>3935</v>
      </c>
      <c r="M256" s="7"/>
      <c r="N256" s="7"/>
      <c r="O256" s="8"/>
      <c r="P256" s="9">
        <f t="shared" si="177"/>
        <v>3935</v>
      </c>
      <c r="Q256" s="30">
        <v>682</v>
      </c>
      <c r="R256" s="7"/>
      <c r="S256" s="7"/>
      <c r="T256" s="8"/>
      <c r="U256" s="9">
        <f t="shared" si="178"/>
        <v>682</v>
      </c>
      <c r="V256" s="30"/>
      <c r="W256" s="7"/>
      <c r="X256" s="7"/>
      <c r="Y256" s="8"/>
      <c r="Z256" s="9">
        <f t="shared" si="179"/>
        <v>0</v>
      </c>
      <c r="AA256" s="30"/>
      <c r="AB256" s="7"/>
      <c r="AC256" s="7"/>
      <c r="AD256" s="8"/>
      <c r="AE256" s="9">
        <f t="shared" si="180"/>
        <v>0</v>
      </c>
      <c r="AF256" s="30"/>
      <c r="AG256" s="7"/>
      <c r="AH256" s="7"/>
      <c r="AI256" s="8"/>
      <c r="AJ256" s="9">
        <f t="shared" si="181"/>
        <v>0</v>
      </c>
      <c r="AK256" s="30"/>
      <c r="AL256" s="7"/>
      <c r="AM256" s="7"/>
      <c r="AN256" s="8"/>
      <c r="AO256" s="9">
        <f t="shared" si="182"/>
        <v>0</v>
      </c>
      <c r="AP256" s="30"/>
      <c r="AQ256" s="7"/>
      <c r="AR256" s="7"/>
      <c r="AS256" s="8"/>
      <c r="AT256" s="9">
        <f t="shared" si="183"/>
        <v>0</v>
      </c>
      <c r="AU256" s="30"/>
      <c r="AV256" s="7"/>
      <c r="AW256" s="7"/>
      <c r="AX256" s="8"/>
      <c r="AY256" s="9">
        <f t="shared" si="184"/>
        <v>0</v>
      </c>
      <c r="AZ256" s="30"/>
      <c r="BA256" s="7"/>
      <c r="BB256" s="7"/>
      <c r="BC256" s="8"/>
      <c r="BD256" s="9">
        <f t="shared" si="185"/>
        <v>0</v>
      </c>
      <c r="BE256" s="30"/>
      <c r="BF256" s="7"/>
      <c r="BG256" s="7"/>
      <c r="BH256" s="8"/>
      <c r="BI256" s="9">
        <f t="shared" si="186"/>
        <v>0</v>
      </c>
      <c r="BJ256" s="30"/>
      <c r="BK256" s="7"/>
      <c r="BL256" s="7"/>
      <c r="BM256" s="8"/>
      <c r="BN256" s="9">
        <f t="shared" si="187"/>
        <v>0</v>
      </c>
      <c r="BO256" s="65">
        <f>SUM(G256,L256,Q256,V256,AA256,AF256,AK256,AP256,AU256,AZ256,BE256,BJ256)</f>
        <v>7442</v>
      </c>
      <c r="BP256" s="7">
        <f>SUM(H256,M256,R256,W256,AB256,AG256,AL256,AQ256,AV256,BA256,BF256,BK256)</f>
        <v>0</v>
      </c>
      <c r="BQ256" s="7">
        <f>SUM(I256,N256,S256,X256,AC256,AH256,AM256,AR256,AW256,BB256,BG256,BL256)</f>
        <v>0</v>
      </c>
      <c r="BR256" s="8">
        <f>SUM(J256,O256,T256,Y256,AD256,AI256,AN256,AS256,AX256,BC256,BH256,BM256)</f>
        <v>0</v>
      </c>
      <c r="BS256" s="31">
        <f t="shared" si="189"/>
        <v>7442</v>
      </c>
    </row>
    <row r="257" spans="2:71" x14ac:dyDescent="0.3">
      <c r="B257" s="269"/>
      <c r="C257" s="230"/>
      <c r="D257" s="250"/>
      <c r="E257" s="250"/>
      <c r="F257" s="123" t="s">
        <v>216</v>
      </c>
      <c r="G257" s="34">
        <v>435</v>
      </c>
      <c r="H257" s="16"/>
      <c r="I257" s="16"/>
      <c r="J257" s="17"/>
      <c r="K257" s="18">
        <f t="shared" ref="K257:K261" si="191">SUM(G257:J257)</f>
        <v>435</v>
      </c>
      <c r="L257" s="34">
        <v>860</v>
      </c>
      <c r="M257" s="16"/>
      <c r="N257" s="16"/>
      <c r="O257" s="17"/>
      <c r="P257" s="18">
        <f t="shared" si="177"/>
        <v>860</v>
      </c>
      <c r="Q257" s="34">
        <v>116</v>
      </c>
      <c r="R257" s="16"/>
      <c r="S257" s="16"/>
      <c r="T257" s="17"/>
      <c r="U257" s="18">
        <f t="shared" si="178"/>
        <v>116</v>
      </c>
      <c r="V257" s="34"/>
      <c r="W257" s="16"/>
      <c r="X257" s="16"/>
      <c r="Y257" s="17"/>
      <c r="Z257" s="18">
        <f t="shared" si="179"/>
        <v>0</v>
      </c>
      <c r="AA257" s="34"/>
      <c r="AB257" s="16"/>
      <c r="AC257" s="16"/>
      <c r="AD257" s="17"/>
      <c r="AE257" s="18">
        <f t="shared" si="180"/>
        <v>0</v>
      </c>
      <c r="AF257" s="34"/>
      <c r="AG257" s="16"/>
      <c r="AH257" s="16"/>
      <c r="AI257" s="17"/>
      <c r="AJ257" s="18">
        <f t="shared" si="181"/>
        <v>0</v>
      </c>
      <c r="AK257" s="34"/>
      <c r="AL257" s="16"/>
      <c r="AM257" s="16"/>
      <c r="AN257" s="17"/>
      <c r="AO257" s="18">
        <f t="shared" si="182"/>
        <v>0</v>
      </c>
      <c r="AP257" s="34"/>
      <c r="AQ257" s="16"/>
      <c r="AR257" s="16"/>
      <c r="AS257" s="17"/>
      <c r="AT257" s="18">
        <f t="shared" si="183"/>
        <v>0</v>
      </c>
      <c r="AU257" s="34"/>
      <c r="AV257" s="16"/>
      <c r="AW257" s="16"/>
      <c r="AX257" s="17"/>
      <c r="AY257" s="18">
        <f t="shared" si="184"/>
        <v>0</v>
      </c>
      <c r="AZ257" s="34"/>
      <c r="BA257" s="16"/>
      <c r="BB257" s="16"/>
      <c r="BC257" s="17"/>
      <c r="BD257" s="18">
        <f t="shared" si="185"/>
        <v>0</v>
      </c>
      <c r="BE257" s="34"/>
      <c r="BF257" s="16"/>
      <c r="BG257" s="16"/>
      <c r="BH257" s="17"/>
      <c r="BI257" s="18">
        <f t="shared" si="186"/>
        <v>0</v>
      </c>
      <c r="BJ257" s="34"/>
      <c r="BK257" s="16"/>
      <c r="BL257" s="16"/>
      <c r="BM257" s="17"/>
      <c r="BN257" s="18">
        <f t="shared" si="187"/>
        <v>0</v>
      </c>
      <c r="BO257" s="70">
        <f>SUM(G257,L257,Q257,V257,AA257,AF257,AK257,AP257,AU257,AZ257,BE257,BJ257)</f>
        <v>1411</v>
      </c>
      <c r="BP257" s="16">
        <f>SUM(H257,M257,R257,W257,AB257,AG257,AL257,AQ257,AV257,BA257,BF257,BK257)</f>
        <v>0</v>
      </c>
      <c r="BQ257" s="16">
        <f>SUM(I257,N257,S257,X257,AC257,AH257,AM257,AR257,AW257,BB257,BG257,BL257)</f>
        <v>0</v>
      </c>
      <c r="BR257" s="17">
        <f>SUM(J257,O257,T257,Y257,AD257,AI257,AN257,AS257,AX257,BC257,BH257,BM257)</f>
        <v>0</v>
      </c>
      <c r="BS257" s="35">
        <f t="shared" si="189"/>
        <v>1411</v>
      </c>
    </row>
    <row r="258" spans="2:71" x14ac:dyDescent="0.3">
      <c r="B258" s="269"/>
      <c r="C258" s="230"/>
      <c r="D258" s="250"/>
      <c r="E258" s="250"/>
      <c r="F258" s="123" t="s">
        <v>496</v>
      </c>
      <c r="G258" s="34"/>
      <c r="H258" s="16"/>
      <c r="I258" s="16">
        <v>1496</v>
      </c>
      <c r="J258" s="17"/>
      <c r="K258" s="18">
        <f t="shared" si="191"/>
        <v>1496</v>
      </c>
      <c r="L258" s="34"/>
      <c r="M258" s="16"/>
      <c r="N258" s="16">
        <v>2508</v>
      </c>
      <c r="O258" s="17"/>
      <c r="P258" s="18">
        <f t="shared" si="177"/>
        <v>2508</v>
      </c>
      <c r="Q258" s="34"/>
      <c r="R258" s="16"/>
      <c r="S258" s="16">
        <v>2912</v>
      </c>
      <c r="T258" s="17"/>
      <c r="U258" s="18">
        <f t="shared" si="178"/>
        <v>2912</v>
      </c>
      <c r="V258" s="34"/>
      <c r="W258" s="16"/>
      <c r="X258" s="16">
        <v>4273</v>
      </c>
      <c r="Y258" s="17"/>
      <c r="Z258" s="18">
        <f t="shared" si="179"/>
        <v>4273</v>
      </c>
      <c r="AA258" s="34"/>
      <c r="AB258" s="16"/>
      <c r="AC258" s="16">
        <v>4374</v>
      </c>
      <c r="AD258" s="17"/>
      <c r="AE258" s="18">
        <f t="shared" si="180"/>
        <v>4374</v>
      </c>
      <c r="AF258" s="34"/>
      <c r="AG258" s="16"/>
      <c r="AH258" s="16">
        <v>4045</v>
      </c>
      <c r="AI258" s="17"/>
      <c r="AJ258" s="18">
        <f t="shared" si="181"/>
        <v>4045</v>
      </c>
      <c r="AK258" s="34"/>
      <c r="AL258" s="16"/>
      <c r="AM258" s="16">
        <v>1645</v>
      </c>
      <c r="AN258" s="17"/>
      <c r="AO258" s="18">
        <f t="shared" si="182"/>
        <v>1645</v>
      </c>
      <c r="AP258" s="34"/>
      <c r="AQ258" s="16"/>
      <c r="AR258" s="16">
        <v>2107</v>
      </c>
      <c r="AS258" s="17"/>
      <c r="AT258" s="18">
        <f t="shared" si="183"/>
        <v>2107</v>
      </c>
      <c r="AU258" s="34"/>
      <c r="AV258" s="16"/>
      <c r="AW258" s="16">
        <v>3357</v>
      </c>
      <c r="AX258" s="17" t="s">
        <v>497</v>
      </c>
      <c r="AY258" s="18">
        <f t="shared" si="184"/>
        <v>3357</v>
      </c>
      <c r="AZ258" s="34"/>
      <c r="BA258" s="16"/>
      <c r="BB258" s="16">
        <v>5832</v>
      </c>
      <c r="BC258" s="17"/>
      <c r="BD258" s="18">
        <f t="shared" si="185"/>
        <v>5832</v>
      </c>
      <c r="BE258" s="34"/>
      <c r="BF258" s="16"/>
      <c r="BG258" s="16">
        <v>3624</v>
      </c>
      <c r="BH258" s="17"/>
      <c r="BI258" s="18">
        <f t="shared" si="186"/>
        <v>3624</v>
      </c>
      <c r="BJ258" s="34"/>
      <c r="BK258" s="16"/>
      <c r="BL258" s="16">
        <v>1485</v>
      </c>
      <c r="BM258" s="17"/>
      <c r="BN258" s="18">
        <f t="shared" si="187"/>
        <v>1485</v>
      </c>
      <c r="BO258" s="70">
        <f>SUM(G258,L258,Q258,V258,AA258,AF258,AK258,AP258,AU258,AZ258,BE258,BJ258)</f>
        <v>0</v>
      </c>
      <c r="BP258" s="16">
        <f>SUM(H258,M258,R258,W258,AB258,AG258,AL258,AQ258,AV258,BA258,BF258,BK258)</f>
        <v>0</v>
      </c>
      <c r="BQ258" s="16">
        <f>SUM(I258,N258,S258,X258,AC258,AH258,AM258,AR258,AW258,BB258,BG258,BL258)</f>
        <v>37658</v>
      </c>
      <c r="BR258" s="17">
        <f>SUM(J258,O258,T258,Y258,AD258,AI258,AN258,AS258,AX258,BC258,BH258,BM258)</f>
        <v>0</v>
      </c>
      <c r="BS258" s="35">
        <f t="shared" si="189"/>
        <v>37658</v>
      </c>
    </row>
    <row r="259" spans="2:71" x14ac:dyDescent="0.3">
      <c r="B259" s="269"/>
      <c r="C259" s="230"/>
      <c r="D259" s="250"/>
      <c r="E259" s="250"/>
      <c r="F259" s="123" t="s">
        <v>498</v>
      </c>
      <c r="G259" s="34"/>
      <c r="H259" s="16"/>
      <c r="I259" s="16"/>
      <c r="J259" s="17"/>
      <c r="K259" s="18">
        <f t="shared" si="191"/>
        <v>0</v>
      </c>
      <c r="L259" s="34"/>
      <c r="M259" s="16"/>
      <c r="N259" s="16"/>
      <c r="O259" s="17"/>
      <c r="P259" s="18">
        <f t="shared" si="177"/>
        <v>0</v>
      </c>
      <c r="Q259" s="34">
        <v>3085</v>
      </c>
      <c r="R259" s="16"/>
      <c r="S259" s="16"/>
      <c r="T259" s="17"/>
      <c r="U259" s="18">
        <f t="shared" si="178"/>
        <v>3085</v>
      </c>
      <c r="V259" s="34">
        <v>4630</v>
      </c>
      <c r="W259" s="16"/>
      <c r="X259" s="16"/>
      <c r="Y259" s="17"/>
      <c r="Z259" s="18">
        <f t="shared" si="179"/>
        <v>4630</v>
      </c>
      <c r="AA259" s="34">
        <v>5054</v>
      </c>
      <c r="AB259" s="16"/>
      <c r="AC259" s="16"/>
      <c r="AD259" s="17"/>
      <c r="AE259" s="18">
        <f t="shared" si="180"/>
        <v>5054</v>
      </c>
      <c r="AF259" s="34">
        <v>4395</v>
      </c>
      <c r="AG259" s="16"/>
      <c r="AH259" s="16"/>
      <c r="AI259" s="17"/>
      <c r="AJ259" s="18">
        <f t="shared" si="181"/>
        <v>4395</v>
      </c>
      <c r="AK259" s="34">
        <v>1903</v>
      </c>
      <c r="AL259" s="16"/>
      <c r="AM259" s="16"/>
      <c r="AN259" s="17"/>
      <c r="AO259" s="18">
        <f t="shared" si="182"/>
        <v>1903</v>
      </c>
      <c r="AP259" s="34">
        <v>2483</v>
      </c>
      <c r="AQ259" s="16"/>
      <c r="AR259" s="16"/>
      <c r="AS259" s="17"/>
      <c r="AT259" s="18">
        <f t="shared" si="183"/>
        <v>2483</v>
      </c>
      <c r="AU259" s="34">
        <v>4201</v>
      </c>
      <c r="AV259" s="16"/>
      <c r="AW259" s="16"/>
      <c r="AX259" s="17"/>
      <c r="AY259" s="18">
        <f t="shared" si="184"/>
        <v>4201</v>
      </c>
      <c r="AZ259" s="34">
        <v>6590</v>
      </c>
      <c r="BA259" s="16"/>
      <c r="BB259" s="16"/>
      <c r="BC259" s="17"/>
      <c r="BD259" s="18">
        <f t="shared" si="185"/>
        <v>6590</v>
      </c>
      <c r="BE259" s="34">
        <v>4206</v>
      </c>
      <c r="BF259" s="16"/>
      <c r="BG259" s="16"/>
      <c r="BH259" s="17"/>
      <c r="BI259" s="18">
        <f t="shared" si="186"/>
        <v>4206</v>
      </c>
      <c r="BJ259" s="34">
        <v>2657</v>
      </c>
      <c r="BK259" s="16"/>
      <c r="BL259" s="16"/>
      <c r="BM259" s="17"/>
      <c r="BN259" s="18">
        <f t="shared" si="187"/>
        <v>2657</v>
      </c>
      <c r="BO259" s="70">
        <f>SUM(G259,L259,Q259,V259,AA259,AF259,AK259,AP259,AU259,AZ259,BE259,BJ259)</f>
        <v>39204</v>
      </c>
      <c r="BP259" s="16">
        <f>SUM(H259,M259,R259,W259,AB259,AG259,AL259,AQ259,AV259,BA259,BF259,BK259)</f>
        <v>0</v>
      </c>
      <c r="BQ259" s="16">
        <f>SUM(I259,N259,S259,X259,AC259,AH259,AM259,AR259,AW259,BB259,BG259,BL259)</f>
        <v>0</v>
      </c>
      <c r="BR259" s="17">
        <f>SUM(J259,O259,T259,Y259,AD259,AI259,AN259,AS259,AX259,BC259,BH259,BM259)</f>
        <v>0</v>
      </c>
      <c r="BS259" s="35">
        <f t="shared" si="189"/>
        <v>39204</v>
      </c>
    </row>
    <row r="260" spans="2:71" x14ac:dyDescent="0.3">
      <c r="B260" s="269"/>
      <c r="C260" s="230"/>
      <c r="D260" s="250"/>
      <c r="E260" s="250"/>
      <c r="F260" s="123" t="s">
        <v>499</v>
      </c>
      <c r="G260" s="34"/>
      <c r="H260" s="16"/>
      <c r="I260" s="16"/>
      <c r="J260" s="17"/>
      <c r="K260" s="18">
        <f t="shared" si="191"/>
        <v>0</v>
      </c>
      <c r="L260" s="34"/>
      <c r="M260" s="16"/>
      <c r="N260" s="16"/>
      <c r="O260" s="17"/>
      <c r="P260" s="18">
        <f t="shared" si="177"/>
        <v>0</v>
      </c>
      <c r="Q260" s="34">
        <v>1242</v>
      </c>
      <c r="R260" s="16"/>
      <c r="S260" s="16"/>
      <c r="T260" s="17"/>
      <c r="U260" s="18">
        <f t="shared" si="178"/>
        <v>1242</v>
      </c>
      <c r="V260" s="34">
        <v>2130</v>
      </c>
      <c r="W260" s="16"/>
      <c r="X260" s="16"/>
      <c r="Y260" s="17"/>
      <c r="Z260" s="18">
        <f t="shared" si="179"/>
        <v>2130</v>
      </c>
      <c r="AA260" s="34">
        <v>1816</v>
      </c>
      <c r="AB260" s="16"/>
      <c r="AC260" s="16"/>
      <c r="AD260" s="17"/>
      <c r="AE260" s="18">
        <f t="shared" si="180"/>
        <v>1816</v>
      </c>
      <c r="AF260" s="34">
        <v>1776</v>
      </c>
      <c r="AG260" s="16"/>
      <c r="AH260" s="16"/>
      <c r="AI260" s="17"/>
      <c r="AJ260" s="18">
        <f t="shared" si="181"/>
        <v>1776</v>
      </c>
      <c r="AK260" s="34">
        <v>915</v>
      </c>
      <c r="AL260" s="16"/>
      <c r="AM260" s="16"/>
      <c r="AN260" s="17"/>
      <c r="AO260" s="18">
        <f t="shared" si="182"/>
        <v>915</v>
      </c>
      <c r="AP260" s="34">
        <v>1320</v>
      </c>
      <c r="AQ260" s="16"/>
      <c r="AR260" s="16"/>
      <c r="AS260" s="17"/>
      <c r="AT260" s="18">
        <f t="shared" si="183"/>
        <v>1320</v>
      </c>
      <c r="AU260" s="34">
        <v>2676</v>
      </c>
      <c r="AV260" s="16"/>
      <c r="AW260" s="16"/>
      <c r="AX260" s="17"/>
      <c r="AY260" s="18">
        <f t="shared" si="184"/>
        <v>2676</v>
      </c>
      <c r="AZ260" s="34">
        <v>3261</v>
      </c>
      <c r="BA260" s="16"/>
      <c r="BB260" s="16"/>
      <c r="BC260" s="17"/>
      <c r="BD260" s="18">
        <f t="shared" si="185"/>
        <v>3261</v>
      </c>
      <c r="BE260" s="34">
        <v>2880</v>
      </c>
      <c r="BF260" s="16"/>
      <c r="BG260" s="16"/>
      <c r="BH260" s="17"/>
      <c r="BI260" s="18">
        <f t="shared" si="186"/>
        <v>2880</v>
      </c>
      <c r="BJ260" s="34">
        <v>1196</v>
      </c>
      <c r="BK260" s="16"/>
      <c r="BL260" s="16"/>
      <c r="BM260" s="17"/>
      <c r="BN260" s="18">
        <f t="shared" si="187"/>
        <v>1196</v>
      </c>
      <c r="BO260" s="70">
        <f>SUM(G260,L260,Q260,V260,AA260,AF260,AK260,AP260,AU260,AZ260,BE260,BJ260)</f>
        <v>19212</v>
      </c>
      <c r="BP260" s="16">
        <f>SUM(H260,M260,R260,W260,AB260,AG260,AL260,AQ260,AV260,BA260,BF260,BK260)</f>
        <v>0</v>
      </c>
      <c r="BQ260" s="16">
        <f>SUM(I260,N260,S260,X260,AC260,AH260,AM260,AR260,AW260,BB260,BG260,BL260)</f>
        <v>0</v>
      </c>
      <c r="BR260" s="17">
        <f>SUM(J260,O260,T260,Y260,AD260,AI260,AN260,AS260,AX260,BC260,BH260,BM260)</f>
        <v>0</v>
      </c>
      <c r="BS260" s="35">
        <f t="shared" si="189"/>
        <v>19212</v>
      </c>
    </row>
    <row r="261" spans="2:71" x14ac:dyDescent="0.3">
      <c r="B261" s="269"/>
      <c r="C261" s="230"/>
      <c r="D261" s="250"/>
      <c r="E261" s="250"/>
      <c r="F261" s="123" t="s">
        <v>217</v>
      </c>
      <c r="G261" s="34">
        <v>97</v>
      </c>
      <c r="H261" s="16"/>
      <c r="I261" s="16"/>
      <c r="J261" s="17"/>
      <c r="K261" s="18">
        <f t="shared" si="191"/>
        <v>97</v>
      </c>
      <c r="L261" s="34">
        <v>30</v>
      </c>
      <c r="M261" s="16"/>
      <c r="N261" s="16"/>
      <c r="O261" s="17"/>
      <c r="P261" s="18">
        <f t="shared" si="177"/>
        <v>30</v>
      </c>
      <c r="Q261" s="34"/>
      <c r="R261" s="16"/>
      <c r="S261" s="16"/>
      <c r="T261" s="17"/>
      <c r="U261" s="18">
        <f t="shared" si="178"/>
        <v>0</v>
      </c>
      <c r="V261" s="34">
        <v>416</v>
      </c>
      <c r="W261" s="16"/>
      <c r="X261" s="16"/>
      <c r="Y261" s="17"/>
      <c r="Z261" s="18">
        <f t="shared" si="179"/>
        <v>416</v>
      </c>
      <c r="AA261" s="34">
        <v>163</v>
      </c>
      <c r="AB261" s="16"/>
      <c r="AC261" s="16"/>
      <c r="AD261" s="17"/>
      <c r="AE261" s="18">
        <f t="shared" si="180"/>
        <v>163</v>
      </c>
      <c r="AF261" s="34"/>
      <c r="AG261" s="16"/>
      <c r="AH261" s="16"/>
      <c r="AI261" s="17"/>
      <c r="AJ261" s="18">
        <f t="shared" si="181"/>
        <v>0</v>
      </c>
      <c r="AK261" s="34">
        <f>47</f>
        <v>47</v>
      </c>
      <c r="AL261" s="16"/>
      <c r="AM261" s="16"/>
      <c r="AN261" s="17"/>
      <c r="AO261" s="18">
        <f t="shared" si="182"/>
        <v>47</v>
      </c>
      <c r="AP261" s="34">
        <v>12</v>
      </c>
      <c r="AQ261" s="16"/>
      <c r="AR261" s="16"/>
      <c r="AS261" s="17"/>
      <c r="AT261" s="18">
        <f t="shared" si="183"/>
        <v>12</v>
      </c>
      <c r="AU261" s="34">
        <f>45+167</f>
        <v>212</v>
      </c>
      <c r="AV261" s="16"/>
      <c r="AW261" s="16"/>
      <c r="AX261" s="17"/>
      <c r="AY261" s="18">
        <f t="shared" si="184"/>
        <v>212</v>
      </c>
      <c r="AZ261" s="34">
        <f>1526+95</f>
        <v>1621</v>
      </c>
      <c r="BA261" s="16"/>
      <c r="BB261" s="16"/>
      <c r="BC261" s="17"/>
      <c r="BD261" s="18">
        <f t="shared" si="185"/>
        <v>1621</v>
      </c>
      <c r="BE261" s="34">
        <f>193+569</f>
        <v>762</v>
      </c>
      <c r="BF261" s="16"/>
      <c r="BG261" s="16"/>
      <c r="BH261" s="17"/>
      <c r="BI261" s="18">
        <f t="shared" si="186"/>
        <v>762</v>
      </c>
      <c r="BJ261" s="34">
        <v>265</v>
      </c>
      <c r="BK261" s="16"/>
      <c r="BL261" s="16"/>
      <c r="BM261" s="17"/>
      <c r="BN261" s="18">
        <f t="shared" si="187"/>
        <v>265</v>
      </c>
      <c r="BO261" s="70">
        <f>SUM(G261,L261,Q261,V261,AA261,AF261,AK261,AP261,AU261,AZ261,BE261,BJ261)</f>
        <v>3625</v>
      </c>
      <c r="BP261" s="16">
        <f>SUM(H261,M261,R261,W261,AB261,AG261,AL261,AQ261,AV261,BA261,BF261,BK261)</f>
        <v>0</v>
      </c>
      <c r="BQ261" s="16">
        <f>SUM(I261,N261,S261,X261,AC261,AH261,AM261,AR261,AW261,BB261,BG261,BL261)</f>
        <v>0</v>
      </c>
      <c r="BR261" s="17">
        <f>SUM(J261,O261,T261,Y261,AD261,AI261,AN261,AS261,AX261,BC261,BH261,BM261)</f>
        <v>0</v>
      </c>
      <c r="BS261" s="35">
        <f t="shared" si="189"/>
        <v>3625</v>
      </c>
    </row>
    <row r="262" spans="2:71" x14ac:dyDescent="0.3">
      <c r="B262" s="269"/>
      <c r="C262" s="230"/>
      <c r="D262" s="250"/>
      <c r="E262" s="250"/>
      <c r="F262" s="123" t="s">
        <v>219</v>
      </c>
      <c r="G262" s="34">
        <v>16</v>
      </c>
      <c r="H262" s="16"/>
      <c r="I262" s="16"/>
      <c r="J262" s="17"/>
      <c r="K262" s="18">
        <f t="shared" si="190"/>
        <v>16</v>
      </c>
      <c r="L262" s="34">
        <v>23</v>
      </c>
      <c r="M262" s="16"/>
      <c r="N262" s="16"/>
      <c r="O262" s="17"/>
      <c r="P262" s="18">
        <f t="shared" si="177"/>
        <v>23</v>
      </c>
      <c r="Q262" s="34">
        <v>83</v>
      </c>
      <c r="R262" s="16"/>
      <c r="S262" s="16"/>
      <c r="T262" s="17"/>
      <c r="U262" s="18">
        <f t="shared" si="178"/>
        <v>83</v>
      </c>
      <c r="V262" s="34"/>
      <c r="W262" s="16"/>
      <c r="X262" s="16"/>
      <c r="Y262" s="17"/>
      <c r="Z262" s="18">
        <f t="shared" si="179"/>
        <v>0</v>
      </c>
      <c r="AA262" s="34">
        <v>450</v>
      </c>
      <c r="AB262" s="16"/>
      <c r="AC262" s="16"/>
      <c r="AD262" s="17"/>
      <c r="AE262" s="18">
        <f t="shared" si="180"/>
        <v>450</v>
      </c>
      <c r="AF262" s="34">
        <v>178</v>
      </c>
      <c r="AG262" s="16"/>
      <c r="AH262" s="16"/>
      <c r="AI262" s="17"/>
      <c r="AJ262" s="18">
        <f t="shared" si="181"/>
        <v>178</v>
      </c>
      <c r="AK262" s="34">
        <f>96</f>
        <v>96</v>
      </c>
      <c r="AL262" s="16"/>
      <c r="AM262" s="16"/>
      <c r="AN262" s="17"/>
      <c r="AO262" s="18">
        <f t="shared" si="182"/>
        <v>96</v>
      </c>
      <c r="AP262" s="34">
        <v>88</v>
      </c>
      <c r="AQ262" s="16"/>
      <c r="AR262" s="16"/>
      <c r="AS262" s="17"/>
      <c r="AT262" s="18">
        <f t="shared" si="183"/>
        <v>88</v>
      </c>
      <c r="AU262" s="34">
        <v>76</v>
      </c>
      <c r="AV262" s="16"/>
      <c r="AW262" s="16"/>
      <c r="AX262" s="17"/>
      <c r="AY262" s="18">
        <f t="shared" si="184"/>
        <v>76</v>
      </c>
      <c r="AZ262" s="34">
        <v>389</v>
      </c>
      <c r="BA262" s="16"/>
      <c r="BB262" s="16"/>
      <c r="BC262" s="17"/>
      <c r="BD262" s="18">
        <f t="shared" si="185"/>
        <v>389</v>
      </c>
      <c r="BE262" s="34">
        <v>322</v>
      </c>
      <c r="BF262" s="16"/>
      <c r="BG262" s="16"/>
      <c r="BH262" s="17"/>
      <c r="BI262" s="18">
        <f t="shared" si="186"/>
        <v>322</v>
      </c>
      <c r="BJ262" s="34">
        <v>189</v>
      </c>
      <c r="BK262" s="16"/>
      <c r="BL262" s="16"/>
      <c r="BM262" s="17"/>
      <c r="BN262" s="18">
        <f t="shared" si="187"/>
        <v>189</v>
      </c>
      <c r="BO262" s="70">
        <f>SUM(G262,L262,Q262,V262,AA262,AF262,AK262,AP262,AU262,AZ262,BE262,BJ262)</f>
        <v>1910</v>
      </c>
      <c r="BP262" s="16">
        <f>SUM(H262,M262,R262,W262,AB262,AG262,AL262,AQ262,AV262,BA262,BF262,BK262)</f>
        <v>0</v>
      </c>
      <c r="BQ262" s="16">
        <f>SUM(I262,N262,S262,X262,AC262,AH262,AM262,AR262,AW262,BB262,BG262,BL262)</f>
        <v>0</v>
      </c>
      <c r="BR262" s="17">
        <f>SUM(J262,O262,T262,Y262,AD262,AI262,AN262,AS262,AX262,BC262,BH262,BM262)</f>
        <v>0</v>
      </c>
      <c r="BS262" s="35">
        <f t="shared" si="189"/>
        <v>1910</v>
      </c>
    </row>
    <row r="263" spans="2:71" x14ac:dyDescent="0.3">
      <c r="B263" s="269"/>
      <c r="C263" s="230"/>
      <c r="D263" s="250"/>
      <c r="E263" s="250"/>
      <c r="F263" s="123" t="s">
        <v>249</v>
      </c>
      <c r="G263" s="34">
        <v>88</v>
      </c>
      <c r="H263" s="16"/>
      <c r="I263" s="16"/>
      <c r="J263" s="17"/>
      <c r="K263" s="18">
        <f t="shared" ref="K263:K272" si="192">SUM(G263:J263)</f>
        <v>88</v>
      </c>
      <c r="L263" s="34">
        <v>553</v>
      </c>
      <c r="M263" s="16"/>
      <c r="N263" s="16"/>
      <c r="O263" s="17"/>
      <c r="P263" s="18">
        <f t="shared" si="177"/>
        <v>553</v>
      </c>
      <c r="Q263" s="34">
        <v>36</v>
      </c>
      <c r="R263" s="16"/>
      <c r="S263" s="16"/>
      <c r="T263" s="17"/>
      <c r="U263" s="18">
        <f t="shared" si="178"/>
        <v>36</v>
      </c>
      <c r="V263" s="34"/>
      <c r="W263" s="16"/>
      <c r="X263" s="16"/>
      <c r="Y263" s="17"/>
      <c r="Z263" s="18">
        <f t="shared" si="179"/>
        <v>0</v>
      </c>
      <c r="AA263" s="34"/>
      <c r="AB263" s="16"/>
      <c r="AC263" s="16"/>
      <c r="AD263" s="17"/>
      <c r="AE263" s="18">
        <f t="shared" si="180"/>
        <v>0</v>
      </c>
      <c r="AF263" s="34">
        <v>1148</v>
      </c>
      <c r="AG263" s="16"/>
      <c r="AH263" s="16"/>
      <c r="AI263" s="17"/>
      <c r="AJ263" s="18">
        <f t="shared" si="181"/>
        <v>1148</v>
      </c>
      <c r="AK263" s="34">
        <v>500</v>
      </c>
      <c r="AL263" s="16"/>
      <c r="AM263" s="16"/>
      <c r="AN263" s="17"/>
      <c r="AO263" s="18">
        <f t="shared" si="182"/>
        <v>500</v>
      </c>
      <c r="AP263" s="34">
        <v>294</v>
      </c>
      <c r="AQ263" s="16"/>
      <c r="AR263" s="16"/>
      <c r="AS263" s="17"/>
      <c r="AT263" s="18">
        <f t="shared" si="183"/>
        <v>294</v>
      </c>
      <c r="AU263" s="34">
        <v>188</v>
      </c>
      <c r="AV263" s="16"/>
      <c r="AW263" s="16"/>
      <c r="AX263" s="17"/>
      <c r="AY263" s="18">
        <f t="shared" si="184"/>
        <v>188</v>
      </c>
      <c r="AZ263" s="34">
        <v>1371</v>
      </c>
      <c r="BA263" s="16"/>
      <c r="BB263" s="16"/>
      <c r="BC263" s="17"/>
      <c r="BD263" s="18">
        <f t="shared" si="185"/>
        <v>1371</v>
      </c>
      <c r="BE263" s="34">
        <v>390</v>
      </c>
      <c r="BF263" s="16"/>
      <c r="BG263" s="16"/>
      <c r="BH263" s="17"/>
      <c r="BI263" s="18">
        <f t="shared" si="186"/>
        <v>390</v>
      </c>
      <c r="BJ263" s="34">
        <v>308</v>
      </c>
      <c r="BK263" s="16"/>
      <c r="BL263" s="16"/>
      <c r="BM263" s="17"/>
      <c r="BN263" s="18">
        <f t="shared" si="187"/>
        <v>308</v>
      </c>
      <c r="BO263" s="70">
        <f>SUM(G263,L263,Q263,V263,AA263,AF263,AK263,AP263,AU263,AZ263,BE263,BJ263)</f>
        <v>4876</v>
      </c>
      <c r="BP263" s="16">
        <f>SUM(H263,M263,R263,W263,AB263,AG263,AL263,AQ263,AV263,BA263,BF263,BK263)</f>
        <v>0</v>
      </c>
      <c r="BQ263" s="16">
        <f>SUM(I263,N263,S263,X263,AC263,AH263,AM263,AR263,AW263,BB263,BG263,BL263)</f>
        <v>0</v>
      </c>
      <c r="BR263" s="17">
        <f>SUM(J263,O263,T263,Y263,AD263,AI263,AN263,AS263,AX263,BC263,BH263,BM263)</f>
        <v>0</v>
      </c>
      <c r="BS263" s="35">
        <f t="shared" si="189"/>
        <v>4876</v>
      </c>
    </row>
    <row r="264" spans="2:71" x14ac:dyDescent="0.3">
      <c r="B264" s="269"/>
      <c r="C264" s="230"/>
      <c r="D264" s="250"/>
      <c r="E264" s="250"/>
      <c r="F264" s="123" t="s">
        <v>220</v>
      </c>
      <c r="G264" s="34"/>
      <c r="H264" s="16"/>
      <c r="I264" s="16"/>
      <c r="J264" s="17"/>
      <c r="K264" s="18">
        <f t="shared" si="192"/>
        <v>0</v>
      </c>
      <c r="L264" s="34"/>
      <c r="M264" s="16"/>
      <c r="N264" s="16"/>
      <c r="O264" s="17"/>
      <c r="P264" s="18">
        <f t="shared" si="177"/>
        <v>0</v>
      </c>
      <c r="Q264" s="34"/>
      <c r="R264" s="16"/>
      <c r="S264" s="16"/>
      <c r="T264" s="17"/>
      <c r="U264" s="18">
        <f t="shared" si="178"/>
        <v>0</v>
      </c>
      <c r="V264" s="34"/>
      <c r="W264" s="16"/>
      <c r="X264" s="16"/>
      <c r="Y264" s="17"/>
      <c r="Z264" s="18">
        <f t="shared" si="179"/>
        <v>0</v>
      </c>
      <c r="AA264" s="34"/>
      <c r="AB264" s="16"/>
      <c r="AC264" s="16"/>
      <c r="AD264" s="17"/>
      <c r="AE264" s="18">
        <f t="shared" si="180"/>
        <v>0</v>
      </c>
      <c r="AF264" s="34"/>
      <c r="AG264" s="16"/>
      <c r="AH264" s="16"/>
      <c r="AI264" s="17"/>
      <c r="AJ264" s="18">
        <f t="shared" si="181"/>
        <v>0</v>
      </c>
      <c r="AK264" s="34"/>
      <c r="AL264" s="16"/>
      <c r="AM264" s="16"/>
      <c r="AN264" s="17"/>
      <c r="AO264" s="18">
        <f t="shared" si="182"/>
        <v>0</v>
      </c>
      <c r="AP264" s="34"/>
      <c r="AQ264" s="16"/>
      <c r="AR264" s="16"/>
      <c r="AS264" s="17"/>
      <c r="AT264" s="18">
        <f t="shared" si="183"/>
        <v>0</v>
      </c>
      <c r="AU264" s="34"/>
      <c r="AV264" s="16"/>
      <c r="AW264" s="16"/>
      <c r="AX264" s="17"/>
      <c r="AY264" s="18">
        <f t="shared" si="184"/>
        <v>0</v>
      </c>
      <c r="AZ264" s="34"/>
      <c r="BA264" s="16"/>
      <c r="BB264" s="16"/>
      <c r="BC264" s="17"/>
      <c r="BD264" s="18">
        <f t="shared" si="185"/>
        <v>0</v>
      </c>
      <c r="BE264" s="34"/>
      <c r="BF264" s="16"/>
      <c r="BG264" s="16"/>
      <c r="BH264" s="17"/>
      <c r="BI264" s="18">
        <f t="shared" si="186"/>
        <v>0</v>
      </c>
      <c r="BJ264" s="34"/>
      <c r="BK264" s="16"/>
      <c r="BL264" s="16"/>
      <c r="BM264" s="17"/>
      <c r="BN264" s="18">
        <f t="shared" si="187"/>
        <v>0</v>
      </c>
      <c r="BO264" s="70">
        <f>SUM(G264,L264,Q264,V264,AA264,AF264,AK264,AP264,AU264,AZ264,BE264,BJ264)</f>
        <v>0</v>
      </c>
      <c r="BP264" s="16">
        <f>SUM(H264,M264,R264,W264,AB264,AG264,AL264,AQ264,AV264,BA264,BF264,BK264)</f>
        <v>0</v>
      </c>
      <c r="BQ264" s="16">
        <f>SUM(I264,N264,S264,X264,AC264,AH264,AM264,AR264,AW264,BB264,BG264,BL264)</f>
        <v>0</v>
      </c>
      <c r="BR264" s="17">
        <f>SUM(J264,O264,T264,Y264,AD264,AI264,AN264,AS264,AX264,BC264,BH264,BM264)</f>
        <v>0</v>
      </c>
      <c r="BS264" s="35">
        <f t="shared" si="189"/>
        <v>0</v>
      </c>
    </row>
    <row r="265" spans="2:71" x14ac:dyDescent="0.3">
      <c r="B265" s="269"/>
      <c r="C265" s="230"/>
      <c r="D265" s="250"/>
      <c r="E265" s="250"/>
      <c r="F265" s="123" t="s">
        <v>221</v>
      </c>
      <c r="G265" s="34"/>
      <c r="H265" s="16"/>
      <c r="I265" s="16"/>
      <c r="J265" s="17"/>
      <c r="K265" s="18">
        <f t="shared" si="192"/>
        <v>0</v>
      </c>
      <c r="L265" s="34"/>
      <c r="M265" s="16"/>
      <c r="N265" s="16"/>
      <c r="O265" s="17"/>
      <c r="P265" s="18">
        <f t="shared" si="177"/>
        <v>0</v>
      </c>
      <c r="Q265" s="34"/>
      <c r="R265" s="16"/>
      <c r="S265" s="16"/>
      <c r="T265" s="17"/>
      <c r="U265" s="18">
        <f t="shared" si="178"/>
        <v>0</v>
      </c>
      <c r="V265" s="34">
        <v>5574</v>
      </c>
      <c r="W265" s="16"/>
      <c r="X265" s="16"/>
      <c r="Y265" s="17"/>
      <c r="Z265" s="18">
        <f t="shared" si="179"/>
        <v>5574</v>
      </c>
      <c r="AA265" s="34">
        <v>6288</v>
      </c>
      <c r="AB265" s="16"/>
      <c r="AC265" s="16"/>
      <c r="AD265" s="17"/>
      <c r="AE265" s="18">
        <f t="shared" si="180"/>
        <v>6288</v>
      </c>
      <c r="AF265" s="34">
        <v>6571</v>
      </c>
      <c r="AG265" s="16"/>
      <c r="AH265" s="16"/>
      <c r="AI265" s="17"/>
      <c r="AJ265" s="18">
        <f t="shared" si="181"/>
        <v>6571</v>
      </c>
      <c r="AK265" s="34">
        <v>3522</v>
      </c>
      <c r="AL265" s="16"/>
      <c r="AM265" s="16"/>
      <c r="AN265" s="17"/>
      <c r="AO265" s="18">
        <f t="shared" si="182"/>
        <v>3522</v>
      </c>
      <c r="AP265" s="34">
        <v>8042</v>
      </c>
      <c r="AQ265" s="16"/>
      <c r="AR265" s="16"/>
      <c r="AS265" s="17"/>
      <c r="AT265" s="18">
        <f t="shared" si="183"/>
        <v>8042</v>
      </c>
      <c r="AU265" s="34">
        <v>11398</v>
      </c>
      <c r="AV265" s="16"/>
      <c r="AW265" s="16"/>
      <c r="AX265" s="17"/>
      <c r="AY265" s="18">
        <f t="shared" si="184"/>
        <v>11398</v>
      </c>
      <c r="AZ265" s="34">
        <v>10483</v>
      </c>
      <c r="BA265" s="16"/>
      <c r="BB265" s="16"/>
      <c r="BC265" s="17"/>
      <c r="BD265" s="18">
        <f t="shared" si="185"/>
        <v>10483</v>
      </c>
      <c r="BE265" s="34">
        <v>8241</v>
      </c>
      <c r="BF265" s="16"/>
      <c r="BG265" s="16"/>
      <c r="BH265" s="17"/>
      <c r="BI265" s="18">
        <f t="shared" si="186"/>
        <v>8241</v>
      </c>
      <c r="BJ265" s="34">
        <v>3391</v>
      </c>
      <c r="BK265" s="16"/>
      <c r="BL265" s="16"/>
      <c r="BM265" s="17"/>
      <c r="BN265" s="18">
        <f t="shared" si="187"/>
        <v>3391</v>
      </c>
      <c r="BO265" s="70">
        <f>SUM(G265,L265,Q265,V265,AA265,AF265,AK265,AP265,AU265,AZ265,BE265,BJ265)</f>
        <v>63510</v>
      </c>
      <c r="BP265" s="16">
        <f>SUM(H265,M265,R265,W265,AB265,AG265,AL265,AQ265,AV265,BA265,BF265,BK265)</f>
        <v>0</v>
      </c>
      <c r="BQ265" s="16">
        <f>SUM(I265,N265,S265,X265,AC265,AH265,AM265,AR265,AW265,BB265,BG265,BL265)</f>
        <v>0</v>
      </c>
      <c r="BR265" s="17">
        <f>SUM(J265,O265,T265,Y265,AD265,AI265,AN265,AS265,AX265,BC265,BH265,BM265)</f>
        <v>0</v>
      </c>
      <c r="BS265" s="35">
        <f t="shared" si="189"/>
        <v>63510</v>
      </c>
    </row>
    <row r="266" spans="2:71" x14ac:dyDescent="0.3">
      <c r="B266" s="269"/>
      <c r="C266" s="230"/>
      <c r="D266" s="250"/>
      <c r="E266" s="250"/>
      <c r="F266" s="123" t="s">
        <v>500</v>
      </c>
      <c r="G266" s="34"/>
      <c r="H266" s="16"/>
      <c r="I266" s="16"/>
      <c r="J266" s="17"/>
      <c r="K266" s="18">
        <f t="shared" si="192"/>
        <v>0</v>
      </c>
      <c r="L266" s="34"/>
      <c r="M266" s="16"/>
      <c r="N266" s="16"/>
      <c r="O266" s="17"/>
      <c r="P266" s="18">
        <f t="shared" si="177"/>
        <v>0</v>
      </c>
      <c r="Q266" s="34"/>
      <c r="R266" s="16"/>
      <c r="S266" s="16"/>
      <c r="T266" s="17"/>
      <c r="U266" s="18">
        <f t="shared" si="178"/>
        <v>0</v>
      </c>
      <c r="V266" s="34"/>
      <c r="W266" s="16"/>
      <c r="X266" s="16"/>
      <c r="Y266" s="17"/>
      <c r="Z266" s="18">
        <f t="shared" si="179"/>
        <v>0</v>
      </c>
      <c r="AA266" s="34"/>
      <c r="AB266" s="16"/>
      <c r="AC266" s="16"/>
      <c r="AD266" s="17"/>
      <c r="AE266" s="18">
        <f t="shared" si="180"/>
        <v>0</v>
      </c>
      <c r="AF266" s="34">
        <v>924</v>
      </c>
      <c r="AG266" s="16"/>
      <c r="AH266" s="16"/>
      <c r="AI266" s="17"/>
      <c r="AJ266" s="18">
        <f t="shared" si="181"/>
        <v>924</v>
      </c>
      <c r="AK266" s="34">
        <v>3101</v>
      </c>
      <c r="AL266" s="16"/>
      <c r="AM266" s="16"/>
      <c r="AN266" s="17"/>
      <c r="AO266" s="18">
        <f t="shared" si="182"/>
        <v>3101</v>
      </c>
      <c r="AP266" s="34">
        <v>2923</v>
      </c>
      <c r="AQ266" s="16"/>
      <c r="AR266" s="16"/>
      <c r="AS266" s="17"/>
      <c r="AT266" s="18">
        <f t="shared" si="183"/>
        <v>2923</v>
      </c>
      <c r="AU266" s="34"/>
      <c r="AV266" s="16"/>
      <c r="AW266" s="16"/>
      <c r="AX266" s="17"/>
      <c r="AY266" s="18">
        <f t="shared" si="184"/>
        <v>0</v>
      </c>
      <c r="AZ266" s="34"/>
      <c r="BA266" s="16"/>
      <c r="BB266" s="16"/>
      <c r="BC266" s="17"/>
      <c r="BD266" s="18">
        <f t="shared" si="185"/>
        <v>0</v>
      </c>
      <c r="BE266" s="34"/>
      <c r="BF266" s="16"/>
      <c r="BG266" s="16"/>
      <c r="BH266" s="17"/>
      <c r="BI266" s="18">
        <f t="shared" si="186"/>
        <v>0</v>
      </c>
      <c r="BJ266" s="34"/>
      <c r="BK266" s="16"/>
      <c r="BL266" s="16"/>
      <c r="BM266" s="17"/>
      <c r="BN266" s="18">
        <f t="shared" si="187"/>
        <v>0</v>
      </c>
      <c r="BO266" s="70">
        <f>SUM(G266,L266,Q266,V266,AA266,AF266,AK266,AP266,AU266,AZ266,BE266,BJ266)</f>
        <v>6948</v>
      </c>
      <c r="BP266" s="16">
        <f>SUM(H266,M266,R266,W266,AB266,AG266,AL266,AQ266,AV266,BA266,BF266,BK266)</f>
        <v>0</v>
      </c>
      <c r="BQ266" s="16">
        <f>SUM(I266,N266,S266,X266,AC266,AH266,AM266,AR266,AW266,BB266,BG266,BL266)</f>
        <v>0</v>
      </c>
      <c r="BR266" s="17">
        <f>SUM(J266,O266,T266,Y266,AD266,AI266,AN266,AS266,AX266,BC266,BH266,BM266)</f>
        <v>0</v>
      </c>
      <c r="BS266" s="35">
        <f t="shared" si="189"/>
        <v>6948</v>
      </c>
    </row>
    <row r="267" spans="2:71" x14ac:dyDescent="0.3">
      <c r="B267" s="269"/>
      <c r="C267" s="230"/>
      <c r="D267" s="250"/>
      <c r="E267" s="250"/>
      <c r="F267" s="123" t="s">
        <v>222</v>
      </c>
      <c r="G267" s="34"/>
      <c r="H267" s="16"/>
      <c r="I267" s="16">
        <v>610</v>
      </c>
      <c r="J267" s="17"/>
      <c r="K267" s="18">
        <f t="shared" si="192"/>
        <v>610</v>
      </c>
      <c r="L267" s="34"/>
      <c r="M267" s="16"/>
      <c r="N267" s="16"/>
      <c r="O267" s="17"/>
      <c r="P267" s="18">
        <f t="shared" si="177"/>
        <v>0</v>
      </c>
      <c r="Q267" s="34"/>
      <c r="R267" s="16"/>
      <c r="S267" s="16"/>
      <c r="T267" s="17"/>
      <c r="U267" s="18">
        <f t="shared" si="178"/>
        <v>0</v>
      </c>
      <c r="V267" s="34"/>
      <c r="W267" s="16"/>
      <c r="X267" s="16"/>
      <c r="Y267" s="17"/>
      <c r="Z267" s="18">
        <f t="shared" si="179"/>
        <v>0</v>
      </c>
      <c r="AA267" s="34"/>
      <c r="AB267" s="16"/>
      <c r="AC267" s="16"/>
      <c r="AD267" s="17"/>
      <c r="AE267" s="18">
        <f t="shared" si="180"/>
        <v>0</v>
      </c>
      <c r="AF267" s="34"/>
      <c r="AG267" s="16"/>
      <c r="AH267" s="16"/>
      <c r="AI267" s="17"/>
      <c r="AJ267" s="18">
        <f t="shared" si="181"/>
        <v>0</v>
      </c>
      <c r="AK267" s="34"/>
      <c r="AL267" s="16"/>
      <c r="AM267" s="16"/>
      <c r="AN267" s="17"/>
      <c r="AO267" s="18">
        <f t="shared" si="182"/>
        <v>0</v>
      </c>
      <c r="AP267" s="34"/>
      <c r="AQ267" s="16"/>
      <c r="AR267" s="16"/>
      <c r="AS267" s="17"/>
      <c r="AT267" s="18">
        <f t="shared" si="183"/>
        <v>0</v>
      </c>
      <c r="AU267" s="34"/>
      <c r="AV267" s="16"/>
      <c r="AW267" s="16"/>
      <c r="AX267" s="17"/>
      <c r="AY267" s="18">
        <f t="shared" si="184"/>
        <v>0</v>
      </c>
      <c r="AZ267" s="34"/>
      <c r="BA267" s="16"/>
      <c r="BB267" s="16"/>
      <c r="BC267" s="17"/>
      <c r="BD267" s="18">
        <f t="shared" si="185"/>
        <v>0</v>
      </c>
      <c r="BE267" s="34"/>
      <c r="BF267" s="16"/>
      <c r="BG267" s="16"/>
      <c r="BH267" s="17"/>
      <c r="BI267" s="18">
        <f t="shared" si="186"/>
        <v>0</v>
      </c>
      <c r="BJ267" s="34"/>
      <c r="BK267" s="16"/>
      <c r="BL267" s="16"/>
      <c r="BM267" s="17"/>
      <c r="BN267" s="18">
        <f t="shared" si="187"/>
        <v>0</v>
      </c>
      <c r="BO267" s="70">
        <f>SUM(G267,L267,Q267,V267,AA267,AF267,AK267,AP267,AU267,AZ267,BE267,BJ267)</f>
        <v>0</v>
      </c>
      <c r="BP267" s="16">
        <f>SUM(H267,M267,R267,W267,AB267,AG267,AL267,AQ267,AV267,BA267,BF267,BK267)</f>
        <v>0</v>
      </c>
      <c r="BQ267" s="16">
        <f>SUM(I267,N267,S267,X267,AC267,AH267,AM267,AR267,AW267,BB267,BG267,BL267)</f>
        <v>610</v>
      </c>
      <c r="BR267" s="17">
        <f>SUM(J267,O267,T267,Y267,AD267,AI267,AN267,AS267,AX267,BC267,BH267,BM267)</f>
        <v>0</v>
      </c>
      <c r="BS267" s="35">
        <f t="shared" si="189"/>
        <v>610</v>
      </c>
    </row>
    <row r="268" spans="2:71" x14ac:dyDescent="0.3">
      <c r="B268" s="269"/>
      <c r="C268" s="230"/>
      <c r="D268" s="250"/>
      <c r="E268" s="250"/>
      <c r="F268" s="123" t="s">
        <v>267</v>
      </c>
      <c r="G268" s="34"/>
      <c r="H268" s="16"/>
      <c r="I268" s="16">
        <v>108</v>
      </c>
      <c r="J268" s="17"/>
      <c r="K268" s="18">
        <f t="shared" si="192"/>
        <v>108</v>
      </c>
      <c r="L268" s="34"/>
      <c r="M268" s="16"/>
      <c r="N268" s="16">
        <v>200</v>
      </c>
      <c r="O268" s="17"/>
      <c r="P268" s="18">
        <f t="shared" si="177"/>
        <v>200</v>
      </c>
      <c r="Q268" s="34"/>
      <c r="R268" s="16"/>
      <c r="S268" s="16">
        <v>766</v>
      </c>
      <c r="T268" s="17"/>
      <c r="U268" s="18">
        <f t="shared" si="178"/>
        <v>766</v>
      </c>
      <c r="V268" s="34"/>
      <c r="W268" s="16"/>
      <c r="X268" s="16">
        <v>46</v>
      </c>
      <c r="Y268" s="17"/>
      <c r="Z268" s="18">
        <f t="shared" si="179"/>
        <v>46</v>
      </c>
      <c r="AA268" s="34"/>
      <c r="AB268" s="16"/>
      <c r="AC268" s="16">
        <v>149</v>
      </c>
      <c r="AD268" s="17"/>
      <c r="AE268" s="18">
        <f t="shared" si="180"/>
        <v>149</v>
      </c>
      <c r="AF268" s="34"/>
      <c r="AG268" s="16"/>
      <c r="AH268" s="16">
        <v>42</v>
      </c>
      <c r="AI268" s="17"/>
      <c r="AJ268" s="18">
        <f t="shared" si="181"/>
        <v>42</v>
      </c>
      <c r="AK268" s="34"/>
      <c r="AL268" s="16"/>
      <c r="AM268" s="16"/>
      <c r="AN268" s="17"/>
      <c r="AO268" s="18">
        <f t="shared" si="182"/>
        <v>0</v>
      </c>
      <c r="AP268" s="34"/>
      <c r="AQ268" s="16"/>
      <c r="AR268" s="16"/>
      <c r="AS268" s="17"/>
      <c r="AT268" s="18">
        <f t="shared" si="183"/>
        <v>0</v>
      </c>
      <c r="AU268" s="34"/>
      <c r="AV268" s="16"/>
      <c r="AW268" s="16"/>
      <c r="AX268" s="17"/>
      <c r="AY268" s="18">
        <f t="shared" si="184"/>
        <v>0</v>
      </c>
      <c r="AZ268" s="34"/>
      <c r="BA268" s="16"/>
      <c r="BB268" s="16"/>
      <c r="BC268" s="17"/>
      <c r="BD268" s="18">
        <f t="shared" si="185"/>
        <v>0</v>
      </c>
      <c r="BE268" s="34"/>
      <c r="BF268" s="16"/>
      <c r="BG268" s="16"/>
      <c r="BH268" s="17"/>
      <c r="BI268" s="18">
        <f t="shared" si="186"/>
        <v>0</v>
      </c>
      <c r="BJ268" s="34"/>
      <c r="BK268" s="16"/>
      <c r="BL268" s="16"/>
      <c r="BM268" s="17"/>
      <c r="BN268" s="18">
        <f t="shared" si="187"/>
        <v>0</v>
      </c>
      <c r="BO268" s="70">
        <f>SUM(G268,L268,Q268,V268,AA268,AF268,AK268,AP268,AU268,AZ268,BE268,BJ268)</f>
        <v>0</v>
      </c>
      <c r="BP268" s="16">
        <f>SUM(H268,M268,R268,W268,AB268,AG268,AL268,AQ268,AV268,BA268,BF268,BK268)</f>
        <v>0</v>
      </c>
      <c r="BQ268" s="16">
        <f>SUM(I268,N268,S268,X268,AC268,AH268,AM268,AR268,AW268,BB268,BG268,BL268)</f>
        <v>1311</v>
      </c>
      <c r="BR268" s="17">
        <f>SUM(J268,O268,T268,Y268,AD268,AI268,AN268,AS268,AX268,BC268,BH268,BM268)</f>
        <v>0</v>
      </c>
      <c r="BS268" s="35">
        <f t="shared" si="189"/>
        <v>1311</v>
      </c>
    </row>
    <row r="269" spans="2:71" x14ac:dyDescent="0.3">
      <c r="B269" s="269"/>
      <c r="C269" s="230"/>
      <c r="D269" s="250"/>
      <c r="E269" s="250"/>
      <c r="F269" s="123" t="s">
        <v>224</v>
      </c>
      <c r="G269" s="34"/>
      <c r="H269" s="16"/>
      <c r="I269" s="16"/>
      <c r="J269" s="17"/>
      <c r="K269" s="18">
        <f t="shared" si="192"/>
        <v>0</v>
      </c>
      <c r="L269" s="34"/>
      <c r="M269" s="16"/>
      <c r="N269" s="16"/>
      <c r="O269" s="17"/>
      <c r="P269" s="18">
        <f t="shared" si="177"/>
        <v>0</v>
      </c>
      <c r="Q269" s="34"/>
      <c r="R269" s="16"/>
      <c r="S269" s="16"/>
      <c r="T269" s="17"/>
      <c r="U269" s="18">
        <f t="shared" si="178"/>
        <v>0</v>
      </c>
      <c r="V269" s="34"/>
      <c r="W269" s="16"/>
      <c r="X269" s="16"/>
      <c r="Y269" s="17"/>
      <c r="Z269" s="18">
        <f t="shared" si="179"/>
        <v>0</v>
      </c>
      <c r="AA269" s="34"/>
      <c r="AB269" s="16"/>
      <c r="AC269" s="16"/>
      <c r="AD269" s="17"/>
      <c r="AE269" s="18">
        <f t="shared" si="180"/>
        <v>0</v>
      </c>
      <c r="AF269" s="34"/>
      <c r="AG269" s="16"/>
      <c r="AH269" s="16"/>
      <c r="AI269" s="17"/>
      <c r="AJ269" s="18">
        <f t="shared" si="181"/>
        <v>0</v>
      </c>
      <c r="AK269" s="34"/>
      <c r="AL269" s="16"/>
      <c r="AM269" s="16"/>
      <c r="AN269" s="17"/>
      <c r="AO269" s="18">
        <f t="shared" si="182"/>
        <v>0</v>
      </c>
      <c r="AP269" s="34"/>
      <c r="AQ269" s="16"/>
      <c r="AR269" s="16"/>
      <c r="AS269" s="17"/>
      <c r="AT269" s="18">
        <f t="shared" si="183"/>
        <v>0</v>
      </c>
      <c r="AU269" s="34"/>
      <c r="AV269" s="16"/>
      <c r="AW269" s="16"/>
      <c r="AX269" s="17"/>
      <c r="AY269" s="18">
        <f t="shared" si="184"/>
        <v>0</v>
      </c>
      <c r="AZ269" s="34"/>
      <c r="BA269" s="16"/>
      <c r="BB269" s="16"/>
      <c r="BC269" s="17"/>
      <c r="BD269" s="18">
        <f t="shared" si="185"/>
        <v>0</v>
      </c>
      <c r="BE269" s="34"/>
      <c r="BF269" s="16"/>
      <c r="BG269" s="16"/>
      <c r="BH269" s="17"/>
      <c r="BI269" s="18">
        <f t="shared" si="186"/>
        <v>0</v>
      </c>
      <c r="BJ269" s="34"/>
      <c r="BK269" s="16"/>
      <c r="BL269" s="16"/>
      <c r="BM269" s="17"/>
      <c r="BN269" s="18">
        <f t="shared" si="187"/>
        <v>0</v>
      </c>
      <c r="BO269" s="70">
        <f>SUM(G269,L269,Q269,V269,AA269,AF269,AK269,AP269,AU269,AZ269,BE269,BJ269)</f>
        <v>0</v>
      </c>
      <c r="BP269" s="16">
        <f>SUM(H269,M269,R269,W269,AB269,AG269,AL269,AQ269,AV269,BA269,BF269,BK269)</f>
        <v>0</v>
      </c>
      <c r="BQ269" s="16">
        <f>SUM(I269,N269,S269,X269,AC269,AH269,AM269,AR269,AW269,BB269,BG269,BL269)</f>
        <v>0</v>
      </c>
      <c r="BR269" s="17">
        <f>SUM(J269,O269,T269,Y269,AD269,AI269,AN269,AS269,AX269,BC269,BH269,BM269)</f>
        <v>0</v>
      </c>
      <c r="BS269" s="35">
        <f t="shared" si="189"/>
        <v>0</v>
      </c>
    </row>
    <row r="270" spans="2:71" x14ac:dyDescent="0.3">
      <c r="B270" s="269"/>
      <c r="C270" s="230"/>
      <c r="D270" s="250"/>
      <c r="E270" s="250"/>
      <c r="F270" s="123" t="s">
        <v>329</v>
      </c>
      <c r="G270" s="34">
        <v>1956</v>
      </c>
      <c r="H270" s="16"/>
      <c r="I270" s="16"/>
      <c r="J270" s="17"/>
      <c r="K270" s="18">
        <f t="shared" si="192"/>
        <v>1956</v>
      </c>
      <c r="L270" s="34">
        <v>2380</v>
      </c>
      <c r="M270" s="16"/>
      <c r="N270" s="16"/>
      <c r="O270" s="17"/>
      <c r="P270" s="18">
        <f t="shared" si="177"/>
        <v>2380</v>
      </c>
      <c r="Q270" s="34">
        <v>192</v>
      </c>
      <c r="R270" s="16"/>
      <c r="S270" s="16"/>
      <c r="T270" s="17"/>
      <c r="U270" s="18">
        <f t="shared" si="178"/>
        <v>192</v>
      </c>
      <c r="V270" s="34"/>
      <c r="W270" s="16"/>
      <c r="X270" s="16"/>
      <c r="Y270" s="17"/>
      <c r="Z270" s="18">
        <f t="shared" si="179"/>
        <v>0</v>
      </c>
      <c r="AA270" s="34"/>
      <c r="AB270" s="16"/>
      <c r="AC270" s="16"/>
      <c r="AD270" s="17"/>
      <c r="AE270" s="18">
        <f t="shared" si="180"/>
        <v>0</v>
      </c>
      <c r="AF270" s="34"/>
      <c r="AG270" s="16"/>
      <c r="AH270" s="16"/>
      <c r="AI270" s="17"/>
      <c r="AJ270" s="18">
        <f t="shared" si="181"/>
        <v>0</v>
      </c>
      <c r="AK270" s="34"/>
      <c r="AL270" s="16"/>
      <c r="AM270" s="16"/>
      <c r="AN270" s="17"/>
      <c r="AO270" s="18">
        <f t="shared" si="182"/>
        <v>0</v>
      </c>
      <c r="AP270" s="34"/>
      <c r="AQ270" s="16"/>
      <c r="AR270" s="16"/>
      <c r="AS270" s="17"/>
      <c r="AT270" s="18">
        <f t="shared" si="183"/>
        <v>0</v>
      </c>
      <c r="AU270" s="34"/>
      <c r="AV270" s="16"/>
      <c r="AW270" s="16"/>
      <c r="AX270" s="17"/>
      <c r="AY270" s="18">
        <f t="shared" si="184"/>
        <v>0</v>
      </c>
      <c r="AZ270" s="34"/>
      <c r="BA270" s="16"/>
      <c r="BB270" s="16"/>
      <c r="BC270" s="17"/>
      <c r="BD270" s="18">
        <f t="shared" si="185"/>
        <v>0</v>
      </c>
      <c r="BE270" s="34"/>
      <c r="BF270" s="16"/>
      <c r="BG270" s="16"/>
      <c r="BH270" s="17"/>
      <c r="BI270" s="18">
        <f t="shared" si="186"/>
        <v>0</v>
      </c>
      <c r="BJ270" s="34"/>
      <c r="BK270" s="16"/>
      <c r="BL270" s="16"/>
      <c r="BM270" s="17"/>
      <c r="BN270" s="18">
        <f t="shared" si="187"/>
        <v>0</v>
      </c>
      <c r="BO270" s="70">
        <f>SUM(G270,L270,Q270,V270,AA270,AF270,AK270,AP270,AU270,AZ270,BE270,BJ270)</f>
        <v>4528</v>
      </c>
      <c r="BP270" s="16">
        <f>SUM(H270,M270,R270,W270,AB270,AG270,AL270,AQ270,AV270,BA270,BF270,BK270)</f>
        <v>0</v>
      </c>
      <c r="BQ270" s="16">
        <f>SUM(I270,N270,S270,X270,AC270,AH270,AM270,AR270,AW270,BB270,BG270,BL270)</f>
        <v>0</v>
      </c>
      <c r="BR270" s="17">
        <f>SUM(J270,O270,T270,Y270,AD270,AI270,AN270,AS270,AX270,BC270,BH270,BM270)</f>
        <v>0</v>
      </c>
      <c r="BS270" s="35">
        <f t="shared" si="189"/>
        <v>4528</v>
      </c>
    </row>
    <row r="271" spans="2:71" x14ac:dyDescent="0.3">
      <c r="B271" s="269"/>
      <c r="C271" s="230"/>
      <c r="D271" s="250"/>
      <c r="E271" s="250"/>
      <c r="F271" s="123" t="s">
        <v>330</v>
      </c>
      <c r="G271" s="34"/>
      <c r="H271" s="16"/>
      <c r="I271" s="16"/>
      <c r="J271" s="17"/>
      <c r="K271" s="18">
        <f t="shared" si="192"/>
        <v>0</v>
      </c>
      <c r="L271" s="34"/>
      <c r="M271" s="16"/>
      <c r="N271" s="16"/>
      <c r="O271" s="17"/>
      <c r="P271" s="18">
        <f t="shared" si="177"/>
        <v>0</v>
      </c>
      <c r="Q271" s="34">
        <v>2424</v>
      </c>
      <c r="R271" s="16"/>
      <c r="S271" s="16"/>
      <c r="T271" s="17"/>
      <c r="U271" s="18">
        <f t="shared" si="178"/>
        <v>2424</v>
      </c>
      <c r="V271" s="34">
        <f>8219</f>
        <v>8219</v>
      </c>
      <c r="W271" s="16"/>
      <c r="X271" s="16"/>
      <c r="Y271" s="17"/>
      <c r="Z271" s="18">
        <f t="shared" si="179"/>
        <v>8219</v>
      </c>
      <c r="AA271" s="34">
        <v>7259</v>
      </c>
      <c r="AB271" s="16"/>
      <c r="AC271" s="16"/>
      <c r="AD271" s="17"/>
      <c r="AE271" s="18">
        <f t="shared" si="180"/>
        <v>7259</v>
      </c>
      <c r="AF271" s="34">
        <v>6515</v>
      </c>
      <c r="AG271" s="16"/>
      <c r="AH271" s="16"/>
      <c r="AI271" s="17"/>
      <c r="AJ271" s="18">
        <f t="shared" si="181"/>
        <v>6515</v>
      </c>
      <c r="AK271" s="34">
        <f>2084</f>
        <v>2084</v>
      </c>
      <c r="AL271" s="16"/>
      <c r="AM271" s="16"/>
      <c r="AN271" s="17"/>
      <c r="AO271" s="18">
        <f t="shared" si="182"/>
        <v>2084</v>
      </c>
      <c r="AP271" s="34">
        <v>510</v>
      </c>
      <c r="AQ271" s="16"/>
      <c r="AR271" s="16"/>
      <c r="AS271" s="17"/>
      <c r="AT271" s="18">
        <f t="shared" si="183"/>
        <v>510</v>
      </c>
      <c r="AU271" s="34">
        <f>616</f>
        <v>616</v>
      </c>
      <c r="AV271" s="16"/>
      <c r="AW271" s="16"/>
      <c r="AX271" s="17"/>
      <c r="AY271" s="18">
        <f t="shared" si="184"/>
        <v>616</v>
      </c>
      <c r="AZ271" s="34">
        <v>6851</v>
      </c>
      <c r="BA271" s="16"/>
      <c r="BB271" s="16"/>
      <c r="BC271" s="17"/>
      <c r="BD271" s="18">
        <f t="shared" si="185"/>
        <v>6851</v>
      </c>
      <c r="BE271" s="34">
        <v>4583</v>
      </c>
      <c r="BF271" s="16"/>
      <c r="BG271" s="16"/>
      <c r="BH271" s="17"/>
      <c r="BI271" s="18">
        <f t="shared" si="186"/>
        <v>4583</v>
      </c>
      <c r="BJ271" s="34">
        <f>1109</f>
        <v>1109</v>
      </c>
      <c r="BK271" s="16"/>
      <c r="BL271" s="16"/>
      <c r="BM271" s="17"/>
      <c r="BN271" s="18">
        <f t="shared" si="187"/>
        <v>1109</v>
      </c>
      <c r="BO271" s="70">
        <f>SUM(G271,L271,Q271,V271,AA271,AF271,AK271,AP271,AU271,AZ271,BE271,BJ271)</f>
        <v>40170</v>
      </c>
      <c r="BP271" s="16">
        <f>SUM(H271,M271,R271,W271,AB271,AG271,AL271,AQ271,AV271,BA271,BF271,BK271)</f>
        <v>0</v>
      </c>
      <c r="BQ271" s="16">
        <f>SUM(I271,N271,S271,X271,AC271,AH271,AM271,AR271,AW271,BB271,BG271,BL271)</f>
        <v>0</v>
      </c>
      <c r="BR271" s="17">
        <f>SUM(J271,O271,T271,Y271,AD271,AI271,AN271,AS271,AX271,BC271,BH271,BM271)</f>
        <v>0</v>
      </c>
      <c r="BS271" s="35">
        <f t="shared" si="189"/>
        <v>40170</v>
      </c>
    </row>
    <row r="272" spans="2:71" x14ac:dyDescent="0.3">
      <c r="B272" s="269"/>
      <c r="C272" s="230"/>
      <c r="D272" s="250"/>
      <c r="E272" s="250"/>
      <c r="F272" s="123" t="s">
        <v>223</v>
      </c>
      <c r="G272" s="34"/>
      <c r="H272" s="16"/>
      <c r="I272" s="16"/>
      <c r="J272" s="17"/>
      <c r="K272" s="18">
        <f t="shared" si="192"/>
        <v>0</v>
      </c>
      <c r="L272" s="34"/>
      <c r="M272" s="16"/>
      <c r="N272" s="16"/>
      <c r="O272" s="17"/>
      <c r="P272" s="18">
        <f t="shared" si="177"/>
        <v>0</v>
      </c>
      <c r="Q272" s="34"/>
      <c r="R272" s="16"/>
      <c r="S272" s="16"/>
      <c r="T272" s="17"/>
      <c r="U272" s="18">
        <f t="shared" si="178"/>
        <v>0</v>
      </c>
      <c r="V272" s="34"/>
      <c r="W272" s="16"/>
      <c r="X272" s="16"/>
      <c r="Y272" s="17"/>
      <c r="Z272" s="18">
        <f t="shared" si="179"/>
        <v>0</v>
      </c>
      <c r="AA272" s="34"/>
      <c r="AB272" s="16"/>
      <c r="AC272" s="16"/>
      <c r="AD272" s="17"/>
      <c r="AE272" s="18">
        <f t="shared" si="180"/>
        <v>0</v>
      </c>
      <c r="AF272" s="34"/>
      <c r="AG272" s="16"/>
      <c r="AH272" s="16"/>
      <c r="AI272" s="17"/>
      <c r="AJ272" s="18">
        <f t="shared" si="181"/>
        <v>0</v>
      </c>
      <c r="AK272" s="34"/>
      <c r="AL272" s="16"/>
      <c r="AM272" s="16"/>
      <c r="AN272" s="17"/>
      <c r="AO272" s="18">
        <f t="shared" si="182"/>
        <v>0</v>
      </c>
      <c r="AP272" s="34"/>
      <c r="AQ272" s="16"/>
      <c r="AR272" s="16"/>
      <c r="AS272" s="17"/>
      <c r="AT272" s="18">
        <f t="shared" si="183"/>
        <v>0</v>
      </c>
      <c r="AU272" s="34"/>
      <c r="AV272" s="16"/>
      <c r="AW272" s="16"/>
      <c r="AX272" s="17"/>
      <c r="AY272" s="18">
        <f t="shared" si="184"/>
        <v>0</v>
      </c>
      <c r="AZ272" s="34">
        <v>47</v>
      </c>
      <c r="BA272" s="16"/>
      <c r="BB272" s="16"/>
      <c r="BC272" s="17"/>
      <c r="BD272" s="18">
        <f t="shared" si="185"/>
        <v>47</v>
      </c>
      <c r="BE272" s="34">
        <v>26</v>
      </c>
      <c r="BF272" s="16"/>
      <c r="BG272" s="16"/>
      <c r="BH272" s="17"/>
      <c r="BI272" s="18">
        <f t="shared" si="186"/>
        <v>26</v>
      </c>
      <c r="BJ272" s="34"/>
      <c r="BK272" s="16"/>
      <c r="BL272" s="16"/>
      <c r="BM272" s="17"/>
      <c r="BN272" s="18">
        <f t="shared" si="187"/>
        <v>0</v>
      </c>
      <c r="BO272" s="70">
        <f>SUM(G272,L272,Q272,V272,AA272,AF272,AK272,AP272,AU272,AZ272,BE272,BJ272)</f>
        <v>73</v>
      </c>
      <c r="BP272" s="16">
        <f>SUM(H272,M272,R272,W272,AB272,AG272,AL272,AQ272,AV272,BA272,BF272,BK272)</f>
        <v>0</v>
      </c>
      <c r="BQ272" s="16">
        <f>SUM(I272,N272,S272,X272,AC272,AH272,AM272,AR272,AW272,BB272,BG272,BL272)</f>
        <v>0</v>
      </c>
      <c r="BR272" s="17">
        <f>SUM(J272,O272,T272,Y272,AD272,AI272,AN272,AS272,AX272,BC272,BH272,BM272)</f>
        <v>0</v>
      </c>
      <c r="BS272" s="35">
        <f t="shared" si="189"/>
        <v>73</v>
      </c>
    </row>
    <row r="273" spans="2:71" x14ac:dyDescent="0.3">
      <c r="B273" s="269"/>
      <c r="C273" s="230"/>
      <c r="D273" s="250"/>
      <c r="E273" s="250"/>
      <c r="F273" s="123" t="s">
        <v>501</v>
      </c>
      <c r="G273" s="34">
        <v>294</v>
      </c>
      <c r="H273" s="16"/>
      <c r="I273" s="16"/>
      <c r="J273" s="17"/>
      <c r="K273" s="18">
        <f t="shared" si="190"/>
        <v>294</v>
      </c>
      <c r="L273" s="34">
        <v>29</v>
      </c>
      <c r="M273" s="16"/>
      <c r="N273" s="16"/>
      <c r="O273" s="17"/>
      <c r="P273" s="18">
        <f t="shared" si="177"/>
        <v>29</v>
      </c>
      <c r="Q273" s="34"/>
      <c r="R273" s="16"/>
      <c r="S273" s="16"/>
      <c r="T273" s="17"/>
      <c r="U273" s="18">
        <f t="shared" si="178"/>
        <v>0</v>
      </c>
      <c r="V273" s="34">
        <f>1309</f>
        <v>1309</v>
      </c>
      <c r="W273" s="16"/>
      <c r="X273" s="16"/>
      <c r="Y273" s="17"/>
      <c r="Z273" s="18">
        <f t="shared" si="179"/>
        <v>1309</v>
      </c>
      <c r="AA273" s="34">
        <v>437</v>
      </c>
      <c r="AB273" s="16"/>
      <c r="AC273" s="16"/>
      <c r="AD273" s="17"/>
      <c r="AE273" s="18">
        <f t="shared" si="180"/>
        <v>437</v>
      </c>
      <c r="AF273" s="34"/>
      <c r="AG273" s="16"/>
      <c r="AH273" s="16"/>
      <c r="AI273" s="17"/>
      <c r="AJ273" s="18">
        <f t="shared" si="181"/>
        <v>0</v>
      </c>
      <c r="AK273" s="34"/>
      <c r="AL273" s="16"/>
      <c r="AM273" s="16"/>
      <c r="AN273" s="17"/>
      <c r="AO273" s="18">
        <f t="shared" si="182"/>
        <v>0</v>
      </c>
      <c r="AP273" s="34"/>
      <c r="AQ273" s="16"/>
      <c r="AR273" s="16"/>
      <c r="AS273" s="17"/>
      <c r="AT273" s="18">
        <f t="shared" si="183"/>
        <v>0</v>
      </c>
      <c r="AU273" s="34">
        <v>579</v>
      </c>
      <c r="AV273" s="16"/>
      <c r="AW273" s="16"/>
      <c r="AX273" s="17"/>
      <c r="AY273" s="18">
        <f t="shared" si="184"/>
        <v>579</v>
      </c>
      <c r="AZ273" s="34">
        <v>2009</v>
      </c>
      <c r="BA273" s="16"/>
      <c r="BB273" s="16"/>
      <c r="BC273" s="17"/>
      <c r="BD273" s="18">
        <f t="shared" si="185"/>
        <v>2009</v>
      </c>
      <c r="BE273" s="34">
        <v>816</v>
      </c>
      <c r="BF273" s="16"/>
      <c r="BG273" s="16"/>
      <c r="BH273" s="17"/>
      <c r="BI273" s="18">
        <f t="shared" si="186"/>
        <v>816</v>
      </c>
      <c r="BJ273" s="34">
        <v>170</v>
      </c>
      <c r="BK273" s="16"/>
      <c r="BL273" s="16"/>
      <c r="BM273" s="17"/>
      <c r="BN273" s="18">
        <f t="shared" si="187"/>
        <v>170</v>
      </c>
      <c r="BO273" s="70">
        <f>SUM(G273,L273,Q273,V273,AA273,AF273,AK273,AP273,AU273,AZ273,BE273,BJ273)</f>
        <v>5643</v>
      </c>
      <c r="BP273" s="16">
        <f>SUM(H273,M273,R273,W273,AB273,AG273,AL273,AQ273,AV273,BA273,BF273,BK273)</f>
        <v>0</v>
      </c>
      <c r="BQ273" s="16">
        <f>SUM(I273,N273,S273,X273,AC273,AH273,AM273,AR273,AW273,BB273,BG273,BL273)</f>
        <v>0</v>
      </c>
      <c r="BR273" s="17">
        <f>SUM(J273,O273,T273,Y273,AD273,AI273,AN273,AS273,AX273,BC273,BH273,BM273)</f>
        <v>0</v>
      </c>
      <c r="BS273" s="35">
        <f t="shared" si="189"/>
        <v>5643</v>
      </c>
    </row>
    <row r="274" spans="2:71" x14ac:dyDescent="0.3">
      <c r="B274" s="269"/>
      <c r="C274" s="230"/>
      <c r="D274" s="250"/>
      <c r="E274" s="250"/>
      <c r="F274" s="123" t="s">
        <v>502</v>
      </c>
      <c r="G274" s="34">
        <f>342+296</f>
        <v>638</v>
      </c>
      <c r="H274" s="16"/>
      <c r="I274" s="16"/>
      <c r="J274" s="17"/>
      <c r="K274" s="18">
        <f t="shared" ref="K274:K280" si="193">SUM(G274:J274)</f>
        <v>638</v>
      </c>
      <c r="L274" s="34">
        <f>778+40</f>
        <v>818</v>
      </c>
      <c r="M274" s="16"/>
      <c r="N274" s="16"/>
      <c r="O274" s="17"/>
      <c r="P274" s="18">
        <f t="shared" ref="P274:P347" si="194">SUM(L274:O274)</f>
        <v>818</v>
      </c>
      <c r="Q274" s="34">
        <v>84</v>
      </c>
      <c r="R274" s="16"/>
      <c r="S274" s="16"/>
      <c r="T274" s="17"/>
      <c r="U274" s="18">
        <f t="shared" ref="U274:U347" si="195">SUM(Q274:T274)</f>
        <v>84</v>
      </c>
      <c r="V274" s="34"/>
      <c r="W274" s="16"/>
      <c r="X274" s="16"/>
      <c r="Y274" s="17"/>
      <c r="Z274" s="18">
        <f t="shared" ref="Z274:Z347" si="196">SUM(V274:Y274)</f>
        <v>0</v>
      </c>
      <c r="AA274" s="34"/>
      <c r="AB274" s="16"/>
      <c r="AC274" s="16"/>
      <c r="AD274" s="17"/>
      <c r="AE274" s="18">
        <f t="shared" ref="AE274:AE347" si="197">SUM(AA274:AD274)</f>
        <v>0</v>
      </c>
      <c r="AF274" s="34"/>
      <c r="AG274" s="16"/>
      <c r="AH274" s="16"/>
      <c r="AI274" s="17"/>
      <c r="AJ274" s="18">
        <f t="shared" ref="AJ274:AJ347" si="198">SUM(AF274:AI274)</f>
        <v>0</v>
      </c>
      <c r="AK274" s="34"/>
      <c r="AL274" s="16"/>
      <c r="AM274" s="16"/>
      <c r="AN274" s="17"/>
      <c r="AO274" s="18">
        <f t="shared" ref="AO274:AO347" si="199">SUM(AK274:AN274)</f>
        <v>0</v>
      </c>
      <c r="AP274" s="34"/>
      <c r="AQ274" s="16"/>
      <c r="AR274" s="16"/>
      <c r="AS274" s="17"/>
      <c r="AT274" s="18">
        <f t="shared" ref="AT274:AT347" si="200">SUM(AP274:AS274)</f>
        <v>0</v>
      </c>
      <c r="AU274" s="34"/>
      <c r="AV274" s="16"/>
      <c r="AW274" s="16"/>
      <c r="AX274" s="17"/>
      <c r="AY274" s="18">
        <f t="shared" ref="AY274:AY347" si="201">SUM(AU274:AX274)</f>
        <v>0</v>
      </c>
      <c r="AZ274" s="34"/>
      <c r="BA274" s="16"/>
      <c r="BB274" s="16"/>
      <c r="BC274" s="17"/>
      <c r="BD274" s="18">
        <f t="shared" ref="BD274:BD347" si="202">SUM(AZ274:BC274)</f>
        <v>0</v>
      </c>
      <c r="BE274" s="34"/>
      <c r="BF274" s="16"/>
      <c r="BG274" s="16"/>
      <c r="BH274" s="17"/>
      <c r="BI274" s="18">
        <f t="shared" ref="BI274:BI347" si="203">SUM(BE274:BH274)</f>
        <v>0</v>
      </c>
      <c r="BJ274" s="34"/>
      <c r="BK274" s="16"/>
      <c r="BL274" s="16"/>
      <c r="BM274" s="17"/>
      <c r="BN274" s="18">
        <f t="shared" ref="BN274:BN347" si="204">SUM(BJ274:BM274)</f>
        <v>0</v>
      </c>
      <c r="BO274" s="70">
        <f>SUM(G274,L274,Q274,V274,AA274,AF274,AK274,AP274,AU274,AZ274,BE274,BJ274)</f>
        <v>1540</v>
      </c>
      <c r="BP274" s="16">
        <f>SUM(H274,M274,R274,W274,AB274,AG274,AL274,AQ274,AV274,BA274,BF274,BK274)</f>
        <v>0</v>
      </c>
      <c r="BQ274" s="16">
        <f>SUM(I274,N274,S274,X274,AC274,AH274,AM274,AR274,AW274,BB274,BG274,BL274)</f>
        <v>0</v>
      </c>
      <c r="BR274" s="17">
        <f>SUM(J274,O274,T274,Y274,AD274,AI274,AN274,AS274,AX274,BC274,BH274,BM274)</f>
        <v>0</v>
      </c>
      <c r="BS274" s="35">
        <f t="shared" si="189"/>
        <v>1540</v>
      </c>
    </row>
    <row r="275" spans="2:71" x14ac:dyDescent="0.3">
      <c r="B275" s="269"/>
      <c r="C275" s="230"/>
      <c r="D275" s="250"/>
      <c r="E275" s="250"/>
      <c r="F275" s="123" t="s">
        <v>503</v>
      </c>
      <c r="G275" s="34"/>
      <c r="H275" s="16"/>
      <c r="I275" s="16"/>
      <c r="J275" s="17"/>
      <c r="K275" s="18">
        <f t="shared" si="193"/>
        <v>0</v>
      </c>
      <c r="L275" s="34"/>
      <c r="M275" s="16"/>
      <c r="N275" s="16"/>
      <c r="O275" s="17"/>
      <c r="P275" s="18">
        <f t="shared" si="194"/>
        <v>0</v>
      </c>
      <c r="Q275" s="34">
        <v>138</v>
      </c>
      <c r="R275" s="16"/>
      <c r="S275" s="16"/>
      <c r="T275" s="17"/>
      <c r="U275" s="18">
        <f t="shared" si="195"/>
        <v>138</v>
      </c>
      <c r="V275" s="34">
        <v>352</v>
      </c>
      <c r="W275" s="16"/>
      <c r="X275" s="16"/>
      <c r="Y275" s="17"/>
      <c r="Z275" s="18">
        <f t="shared" si="196"/>
        <v>352</v>
      </c>
      <c r="AA275" s="34">
        <v>4986</v>
      </c>
      <c r="AB275" s="16"/>
      <c r="AC275" s="16"/>
      <c r="AD275" s="17"/>
      <c r="AE275" s="18">
        <f t="shared" si="197"/>
        <v>4986</v>
      </c>
      <c r="AF275" s="34">
        <v>947</v>
      </c>
      <c r="AG275" s="16"/>
      <c r="AH275" s="16"/>
      <c r="AI275" s="17"/>
      <c r="AJ275" s="18">
        <f t="shared" si="198"/>
        <v>947</v>
      </c>
      <c r="AK275" s="34"/>
      <c r="AL275" s="16"/>
      <c r="AM275" s="16"/>
      <c r="AN275" s="17"/>
      <c r="AO275" s="18">
        <f t="shared" si="199"/>
        <v>0</v>
      </c>
      <c r="AP275" s="34"/>
      <c r="AQ275" s="16"/>
      <c r="AR275" s="16"/>
      <c r="AS275" s="17"/>
      <c r="AT275" s="18">
        <f t="shared" si="200"/>
        <v>0</v>
      </c>
      <c r="AU275" s="34">
        <f>653+1090</f>
        <v>1743</v>
      </c>
      <c r="AV275" s="16"/>
      <c r="AW275" s="16"/>
      <c r="AX275" s="17"/>
      <c r="AY275" s="18">
        <f t="shared" si="201"/>
        <v>1743</v>
      </c>
      <c r="AZ275" s="34">
        <f>2349+1132</f>
        <v>3481</v>
      </c>
      <c r="BA275" s="16"/>
      <c r="BB275" s="16"/>
      <c r="BC275" s="17"/>
      <c r="BD275" s="18">
        <f t="shared" si="202"/>
        <v>3481</v>
      </c>
      <c r="BE275" s="34">
        <f>849+1812</f>
        <v>2661</v>
      </c>
      <c r="BF275" s="16"/>
      <c r="BG275" s="16"/>
      <c r="BH275" s="17"/>
      <c r="BI275" s="18">
        <f t="shared" si="203"/>
        <v>2661</v>
      </c>
      <c r="BJ275" s="34">
        <f>437+244</f>
        <v>681</v>
      </c>
      <c r="BK275" s="16"/>
      <c r="BL275" s="16"/>
      <c r="BM275" s="17"/>
      <c r="BN275" s="18">
        <f t="shared" si="204"/>
        <v>681</v>
      </c>
      <c r="BO275" s="70">
        <f>SUM(G275,L275,Q275,V275,AA275,AF275,AK275,AP275,AU275,AZ275,BE275,BJ275)</f>
        <v>14989</v>
      </c>
      <c r="BP275" s="16">
        <f>SUM(H275,M275,R275,W275,AB275,AG275,AL275,AQ275,AV275,BA275,BF275,BK275)</f>
        <v>0</v>
      </c>
      <c r="BQ275" s="16">
        <f>SUM(I275,N275,S275,X275,AC275,AH275,AM275,AR275,AW275,BB275,BG275,BL275)</f>
        <v>0</v>
      </c>
      <c r="BR275" s="17">
        <f>SUM(J275,O275,T275,Y275,AD275,AI275,AN275,AS275,AX275,BC275,BH275,BM275)</f>
        <v>0</v>
      </c>
      <c r="BS275" s="35">
        <f t="shared" si="189"/>
        <v>14989</v>
      </c>
    </row>
    <row r="276" spans="2:71" x14ac:dyDescent="0.3">
      <c r="B276" s="269"/>
      <c r="C276" s="230"/>
      <c r="D276" s="250"/>
      <c r="E276" s="250"/>
      <c r="F276" s="123" t="s">
        <v>504</v>
      </c>
      <c r="G276" s="34">
        <v>2386</v>
      </c>
      <c r="H276" s="16"/>
      <c r="I276" s="16"/>
      <c r="J276" s="17"/>
      <c r="K276" s="18">
        <f t="shared" si="193"/>
        <v>2386</v>
      </c>
      <c r="L276" s="34">
        <v>3137</v>
      </c>
      <c r="M276" s="16"/>
      <c r="N276" s="16"/>
      <c r="O276" s="17"/>
      <c r="P276" s="18">
        <f t="shared" si="194"/>
        <v>3137</v>
      </c>
      <c r="Q276" s="34">
        <v>602</v>
      </c>
      <c r="R276" s="16"/>
      <c r="S276" s="16"/>
      <c r="T276" s="17"/>
      <c r="U276" s="18">
        <f t="shared" si="195"/>
        <v>602</v>
      </c>
      <c r="V276" s="34"/>
      <c r="W276" s="16"/>
      <c r="X276" s="16"/>
      <c r="Y276" s="17"/>
      <c r="Z276" s="18">
        <f t="shared" si="196"/>
        <v>0</v>
      </c>
      <c r="AA276" s="34"/>
      <c r="AB276" s="16"/>
      <c r="AC276" s="16"/>
      <c r="AD276" s="17"/>
      <c r="AE276" s="18">
        <f t="shared" si="197"/>
        <v>0</v>
      </c>
      <c r="AF276" s="34"/>
      <c r="AG276" s="16"/>
      <c r="AH276" s="16"/>
      <c r="AI276" s="17"/>
      <c r="AJ276" s="18">
        <f t="shared" si="198"/>
        <v>0</v>
      </c>
      <c r="AK276" s="34"/>
      <c r="AL276" s="16"/>
      <c r="AM276" s="16"/>
      <c r="AN276" s="17"/>
      <c r="AO276" s="18">
        <f t="shared" si="199"/>
        <v>0</v>
      </c>
      <c r="AP276" s="34"/>
      <c r="AQ276" s="16"/>
      <c r="AR276" s="16"/>
      <c r="AS276" s="17"/>
      <c r="AT276" s="18">
        <f t="shared" si="200"/>
        <v>0</v>
      </c>
      <c r="AU276" s="34"/>
      <c r="AV276" s="16"/>
      <c r="AW276" s="16"/>
      <c r="AX276" s="17"/>
      <c r="AY276" s="18">
        <f t="shared" si="201"/>
        <v>0</v>
      </c>
      <c r="AZ276" s="34"/>
      <c r="BA276" s="16"/>
      <c r="BB276" s="16"/>
      <c r="BC276" s="17"/>
      <c r="BD276" s="18">
        <f t="shared" si="202"/>
        <v>0</v>
      </c>
      <c r="BE276" s="34"/>
      <c r="BF276" s="16"/>
      <c r="BG276" s="16"/>
      <c r="BH276" s="17"/>
      <c r="BI276" s="18">
        <f t="shared" si="203"/>
        <v>0</v>
      </c>
      <c r="BJ276" s="34"/>
      <c r="BK276" s="16"/>
      <c r="BL276" s="16"/>
      <c r="BM276" s="17"/>
      <c r="BN276" s="18">
        <f t="shared" si="204"/>
        <v>0</v>
      </c>
      <c r="BO276" s="70">
        <f>SUM(G276,L276,Q276,V276,AA276,AF276,AK276,AP276,AU276,AZ276,BE276,BJ276)</f>
        <v>6125</v>
      </c>
      <c r="BP276" s="16">
        <f>SUM(H276,M276,R276,W276,AB276,AG276,AL276,AQ276,AV276,BA276,BF276,BK276)</f>
        <v>0</v>
      </c>
      <c r="BQ276" s="16">
        <f>SUM(I276,N276,S276,X276,AC276,AH276,AM276,AR276,AW276,BB276,BG276,BL276)</f>
        <v>0</v>
      </c>
      <c r="BR276" s="17">
        <f>SUM(J276,O276,T276,Y276,AD276,AI276,AN276,AS276,AX276,BC276,BH276,BM276)</f>
        <v>0</v>
      </c>
      <c r="BS276" s="35">
        <f t="shared" si="189"/>
        <v>6125</v>
      </c>
    </row>
    <row r="277" spans="2:71" x14ac:dyDescent="0.3">
      <c r="B277" s="269"/>
      <c r="C277" s="230"/>
      <c r="D277" s="250"/>
      <c r="E277" s="250"/>
      <c r="F277" s="123" t="s">
        <v>505</v>
      </c>
      <c r="G277" s="49"/>
      <c r="H277" s="50"/>
      <c r="I277" s="50"/>
      <c r="J277" s="51"/>
      <c r="K277" s="52">
        <f t="shared" si="193"/>
        <v>0</v>
      </c>
      <c r="L277" s="49"/>
      <c r="M277" s="50"/>
      <c r="N277" s="50"/>
      <c r="O277" s="51"/>
      <c r="P277" s="52">
        <f t="shared" si="194"/>
        <v>0</v>
      </c>
      <c r="Q277" s="49">
        <v>2642</v>
      </c>
      <c r="R277" s="50"/>
      <c r="S277" s="50"/>
      <c r="T277" s="51"/>
      <c r="U277" s="52">
        <f t="shared" si="195"/>
        <v>2642</v>
      </c>
      <c r="V277" s="49">
        <v>4430</v>
      </c>
      <c r="W277" s="50"/>
      <c r="X277" s="50"/>
      <c r="Y277" s="51"/>
      <c r="Z277" s="52">
        <f t="shared" si="196"/>
        <v>4430</v>
      </c>
      <c r="AA277" s="49">
        <v>5364</v>
      </c>
      <c r="AB277" s="50"/>
      <c r="AC277" s="50"/>
      <c r="AD277" s="51"/>
      <c r="AE277" s="52">
        <f t="shared" si="197"/>
        <v>5364</v>
      </c>
      <c r="AF277" s="49">
        <v>4111</v>
      </c>
      <c r="AG277" s="50"/>
      <c r="AH277" s="50"/>
      <c r="AI277" s="51"/>
      <c r="AJ277" s="52">
        <f t="shared" si="198"/>
        <v>4111</v>
      </c>
      <c r="AK277" s="49">
        <v>1703</v>
      </c>
      <c r="AL277" s="50"/>
      <c r="AM277" s="50"/>
      <c r="AN277" s="51"/>
      <c r="AO277" s="52">
        <f t="shared" si="199"/>
        <v>1703</v>
      </c>
      <c r="AP277" s="49">
        <v>1489</v>
      </c>
      <c r="AQ277" s="50"/>
      <c r="AR277" s="50"/>
      <c r="AS277" s="51"/>
      <c r="AT277" s="52">
        <f t="shared" si="200"/>
        <v>1489</v>
      </c>
      <c r="AU277" s="49">
        <v>3894</v>
      </c>
      <c r="AV277" s="50"/>
      <c r="AW277" s="50"/>
      <c r="AX277" s="51"/>
      <c r="AY277" s="52">
        <f t="shared" si="201"/>
        <v>3894</v>
      </c>
      <c r="AZ277" s="49">
        <v>6270</v>
      </c>
      <c r="BA277" s="50"/>
      <c r="BB277" s="50"/>
      <c r="BC277" s="51"/>
      <c r="BD277" s="52">
        <f t="shared" si="202"/>
        <v>6270</v>
      </c>
      <c r="BE277" s="49">
        <v>3694</v>
      </c>
      <c r="BF277" s="50"/>
      <c r="BG277" s="50"/>
      <c r="BH277" s="51"/>
      <c r="BI277" s="52">
        <f t="shared" si="203"/>
        <v>3694</v>
      </c>
      <c r="BJ277" s="49">
        <v>1290</v>
      </c>
      <c r="BK277" s="50"/>
      <c r="BL277" s="50"/>
      <c r="BM277" s="51"/>
      <c r="BN277" s="52">
        <f t="shared" si="204"/>
        <v>1290</v>
      </c>
      <c r="BO277" s="167">
        <f>SUM(G277,L277,Q277,V277,AA277,AF277,AK277,AP277,AU277,AZ277,BE277,BJ277)</f>
        <v>34887</v>
      </c>
      <c r="BP277" s="50">
        <f>SUM(H277,M277,R277,W277,AB277,AG277,AL277,AQ277,AV277,BA277,BF277,BK277)</f>
        <v>0</v>
      </c>
      <c r="BQ277" s="50">
        <f>SUM(I277,N277,S277,X277,AC277,AH277,AM277,AR277,AW277,BB277,BG277,BL277)</f>
        <v>0</v>
      </c>
      <c r="BR277" s="51">
        <f>SUM(J277,O277,T277,Y277,AD277,AI277,AN277,AS277,AX277,BC277,BH277,BM277)</f>
        <v>0</v>
      </c>
      <c r="BS277" s="53">
        <f t="shared" si="189"/>
        <v>34887</v>
      </c>
    </row>
    <row r="278" spans="2:71" x14ac:dyDescent="0.3">
      <c r="B278" s="269"/>
      <c r="C278" s="230"/>
      <c r="D278" s="250"/>
      <c r="E278" s="250"/>
      <c r="F278" s="133" t="s">
        <v>506</v>
      </c>
      <c r="G278" s="49"/>
      <c r="H278" s="50"/>
      <c r="I278" s="50"/>
      <c r="J278" s="51"/>
      <c r="K278" s="52">
        <f t="shared" si="193"/>
        <v>0</v>
      </c>
      <c r="L278" s="49"/>
      <c r="M278" s="50"/>
      <c r="N278" s="50"/>
      <c r="O278" s="51"/>
      <c r="P278" s="52">
        <f t="shared" si="194"/>
        <v>0</v>
      </c>
      <c r="Q278" s="286">
        <v>11</v>
      </c>
      <c r="R278" s="50"/>
      <c r="S278" s="50"/>
      <c r="T278" s="51"/>
      <c r="U278" s="52">
        <f t="shared" si="195"/>
        <v>11</v>
      </c>
      <c r="V278" s="49">
        <v>328</v>
      </c>
      <c r="W278" s="50"/>
      <c r="X278" s="50"/>
      <c r="Y278" s="51"/>
      <c r="Z278" s="52">
        <f t="shared" si="196"/>
        <v>328</v>
      </c>
      <c r="AA278" s="49">
        <v>432</v>
      </c>
      <c r="AB278" s="50"/>
      <c r="AC278" s="50"/>
      <c r="AD278" s="51"/>
      <c r="AE278" s="52">
        <f t="shared" si="197"/>
        <v>432</v>
      </c>
      <c r="AF278" s="49">
        <v>417</v>
      </c>
      <c r="AG278" s="50"/>
      <c r="AH278" s="50"/>
      <c r="AI278" s="51"/>
      <c r="AJ278" s="52">
        <f t="shared" si="198"/>
        <v>417</v>
      </c>
      <c r="AK278" s="49">
        <v>68</v>
      </c>
      <c r="AL278" s="50"/>
      <c r="AM278" s="50"/>
      <c r="AN278" s="51"/>
      <c r="AO278" s="52">
        <f t="shared" si="199"/>
        <v>68</v>
      </c>
      <c r="AP278" s="49"/>
      <c r="AQ278" s="50"/>
      <c r="AR278" s="50"/>
      <c r="AS278" s="51"/>
      <c r="AT278" s="52">
        <f t="shared" si="200"/>
        <v>0</v>
      </c>
      <c r="AU278" s="49"/>
      <c r="AV278" s="50"/>
      <c r="AW278" s="50"/>
      <c r="AX278" s="51"/>
      <c r="AY278" s="52">
        <f t="shared" si="201"/>
        <v>0</v>
      </c>
      <c r="AZ278" s="49"/>
      <c r="BA278" s="50"/>
      <c r="BB278" s="50"/>
      <c r="BC278" s="51"/>
      <c r="BD278" s="52">
        <f t="shared" si="202"/>
        <v>0</v>
      </c>
      <c r="BE278" s="49"/>
      <c r="BF278" s="50"/>
      <c r="BG278" s="50"/>
      <c r="BH278" s="51"/>
      <c r="BI278" s="52">
        <f t="shared" si="203"/>
        <v>0</v>
      </c>
      <c r="BJ278" s="49"/>
      <c r="BK278" s="50"/>
      <c r="BL278" s="50"/>
      <c r="BM278" s="51"/>
      <c r="BN278" s="52">
        <f t="shared" si="204"/>
        <v>0</v>
      </c>
      <c r="BO278" s="167">
        <f>SUM(G278,L278,Q278,V278,AA278,AF278,AK278,AP278,AU278,AZ278,BE278,BJ278)</f>
        <v>1256</v>
      </c>
      <c r="BP278" s="50">
        <f>SUM(H278,M278,R278,W278,AB278,AG278,AL278,AQ278,AV278,BA278,BF278,BK278)</f>
        <v>0</v>
      </c>
      <c r="BQ278" s="50">
        <f>SUM(I278,N278,S278,X278,AC278,AH278,AM278,AR278,AW278,BB278,BG278,BL278)</f>
        <v>0</v>
      </c>
      <c r="BR278" s="51">
        <f>SUM(J278,O278,T278,Y278,AD278,AI278,AN278,AS278,AX278,BC278,BH278,BM278)</f>
        <v>0</v>
      </c>
      <c r="BS278" s="53">
        <f t="shared" si="189"/>
        <v>1256</v>
      </c>
    </row>
    <row r="279" spans="2:71" x14ac:dyDescent="0.3">
      <c r="B279" s="269"/>
      <c r="C279" s="230"/>
      <c r="D279" s="250"/>
      <c r="E279" s="250"/>
      <c r="F279" s="133" t="s">
        <v>507</v>
      </c>
      <c r="G279" s="49"/>
      <c r="H279" s="50"/>
      <c r="I279" s="50"/>
      <c r="J279" s="51"/>
      <c r="K279" s="52">
        <f t="shared" si="193"/>
        <v>0</v>
      </c>
      <c r="L279" s="49"/>
      <c r="M279" s="50"/>
      <c r="N279" s="50"/>
      <c r="O279" s="51"/>
      <c r="P279" s="52">
        <f t="shared" ref="P279" si="205">SUM(L279:O279)</f>
        <v>0</v>
      </c>
      <c r="Q279" s="49">
        <v>52</v>
      </c>
      <c r="R279" s="50"/>
      <c r="S279" s="50"/>
      <c r="T279" s="51"/>
      <c r="U279" s="52">
        <f t="shared" ref="U279" si="206">SUM(Q279:T279)</f>
        <v>52</v>
      </c>
      <c r="V279" s="49">
        <v>372</v>
      </c>
      <c r="W279" s="50"/>
      <c r="X279" s="50"/>
      <c r="Y279" s="51"/>
      <c r="Z279" s="52">
        <f t="shared" ref="Z279" si="207">SUM(V279:Y279)</f>
        <v>372</v>
      </c>
      <c r="AA279" s="49">
        <v>439</v>
      </c>
      <c r="AB279" s="50"/>
      <c r="AC279" s="50"/>
      <c r="AD279" s="51"/>
      <c r="AE279" s="52">
        <f t="shared" ref="AE279" si="208">SUM(AA279:AD279)</f>
        <v>439</v>
      </c>
      <c r="AF279" s="49">
        <v>451</v>
      </c>
      <c r="AG279" s="50"/>
      <c r="AH279" s="50"/>
      <c r="AI279" s="51"/>
      <c r="AJ279" s="52">
        <f t="shared" ref="AJ279" si="209">SUM(AF279:AI279)</f>
        <v>451</v>
      </c>
      <c r="AK279" s="49">
        <v>119</v>
      </c>
      <c r="AL279" s="50"/>
      <c r="AM279" s="50"/>
      <c r="AN279" s="51"/>
      <c r="AO279" s="52">
        <f t="shared" ref="AO279" si="210">SUM(AK279:AN279)</f>
        <v>119</v>
      </c>
      <c r="AP279" s="49"/>
      <c r="AQ279" s="50"/>
      <c r="AR279" s="50"/>
      <c r="AS279" s="51"/>
      <c r="AT279" s="52">
        <f t="shared" ref="AT279" si="211">SUM(AP279:AS279)</f>
        <v>0</v>
      </c>
      <c r="AU279" s="49"/>
      <c r="AV279" s="50"/>
      <c r="AW279" s="50"/>
      <c r="AX279" s="51"/>
      <c r="AY279" s="52">
        <f t="shared" ref="AY279" si="212">SUM(AU279:AX279)</f>
        <v>0</v>
      </c>
      <c r="AZ279" s="49"/>
      <c r="BA279" s="50"/>
      <c r="BB279" s="50"/>
      <c r="BC279" s="51"/>
      <c r="BD279" s="52">
        <f t="shared" ref="BD279" si="213">SUM(AZ279:BC279)</f>
        <v>0</v>
      </c>
      <c r="BE279" s="49"/>
      <c r="BF279" s="50"/>
      <c r="BG279" s="50"/>
      <c r="BH279" s="51"/>
      <c r="BI279" s="52">
        <f t="shared" ref="BI279" si="214">SUM(BE279:BH279)</f>
        <v>0</v>
      </c>
      <c r="BJ279" s="49"/>
      <c r="BK279" s="50"/>
      <c r="BL279" s="50"/>
      <c r="BM279" s="51"/>
      <c r="BN279" s="52">
        <f t="shared" ref="BN279" si="215">SUM(BJ279:BM279)</f>
        <v>0</v>
      </c>
      <c r="BO279" s="167">
        <f>SUM(G279,L279,Q279,V279,AA279,AF279,AK279,AP279,AU279,AZ279,BE279,BJ279)</f>
        <v>1433</v>
      </c>
      <c r="BP279" s="50">
        <f>SUM(H279,M279,R279,W279,AB279,AG279,AL279,AQ279,AV279,BA279,BF279,BK279)</f>
        <v>0</v>
      </c>
      <c r="BQ279" s="50">
        <f>SUM(I279,N279,S279,X279,AC279,AH279,AM279,AR279,AW279,BB279,BG279,BL279)</f>
        <v>0</v>
      </c>
      <c r="BR279" s="51">
        <f>SUM(J279,O279,T279,Y279,AD279,AI279,AN279,AS279,AX279,BC279,BH279,BM279)</f>
        <v>0</v>
      </c>
      <c r="BS279" s="53">
        <f t="shared" si="189"/>
        <v>1433</v>
      </c>
    </row>
    <row r="280" spans="2:71" x14ac:dyDescent="0.3">
      <c r="B280" s="269"/>
      <c r="C280" s="230"/>
      <c r="D280" s="250"/>
      <c r="E280" s="250"/>
      <c r="F280" s="123" t="s">
        <v>508</v>
      </c>
      <c r="G280" s="49"/>
      <c r="H280" s="50"/>
      <c r="I280" s="50"/>
      <c r="J280" s="51"/>
      <c r="K280" s="52">
        <f t="shared" si="193"/>
        <v>0</v>
      </c>
      <c r="L280" s="49"/>
      <c r="M280" s="50"/>
      <c r="N280" s="50"/>
      <c r="O280" s="51"/>
      <c r="P280" s="52">
        <f t="shared" si="194"/>
        <v>0</v>
      </c>
      <c r="Q280" s="49"/>
      <c r="R280" s="50"/>
      <c r="S280" s="50"/>
      <c r="T280" s="51"/>
      <c r="U280" s="52">
        <f t="shared" si="195"/>
        <v>0</v>
      </c>
      <c r="V280" s="49">
        <f>8263+228</f>
        <v>8491</v>
      </c>
      <c r="W280" s="50"/>
      <c r="X280" s="50"/>
      <c r="Y280" s="51"/>
      <c r="Z280" s="52">
        <f t="shared" si="196"/>
        <v>8491</v>
      </c>
      <c r="AA280" s="49">
        <f>1703+338</f>
        <v>2041</v>
      </c>
      <c r="AB280" s="50"/>
      <c r="AC280" s="50"/>
      <c r="AD280" s="51"/>
      <c r="AE280" s="52">
        <f t="shared" si="197"/>
        <v>2041</v>
      </c>
      <c r="AF280" s="49"/>
      <c r="AG280" s="50"/>
      <c r="AH280" s="50"/>
      <c r="AI280" s="51"/>
      <c r="AJ280" s="52">
        <f t="shared" si="198"/>
        <v>0</v>
      </c>
      <c r="AK280" s="49"/>
      <c r="AL280" s="50"/>
      <c r="AM280" s="50"/>
      <c r="AN280" s="51"/>
      <c r="AO280" s="52">
        <f t="shared" si="199"/>
        <v>0</v>
      </c>
      <c r="AP280" s="49"/>
      <c r="AQ280" s="50"/>
      <c r="AR280" s="50"/>
      <c r="AS280" s="51"/>
      <c r="AT280" s="52">
        <f t="shared" si="200"/>
        <v>0</v>
      </c>
      <c r="AU280" s="49"/>
      <c r="AV280" s="50"/>
      <c r="AW280" s="50"/>
      <c r="AX280" s="51"/>
      <c r="AY280" s="52">
        <f t="shared" si="201"/>
        <v>0</v>
      </c>
      <c r="AZ280" s="49"/>
      <c r="BA280" s="50"/>
      <c r="BB280" s="50"/>
      <c r="BC280" s="51"/>
      <c r="BD280" s="52">
        <f t="shared" si="202"/>
        <v>0</v>
      </c>
      <c r="BE280" s="49"/>
      <c r="BF280" s="50"/>
      <c r="BG280" s="50"/>
      <c r="BH280" s="51"/>
      <c r="BI280" s="52">
        <f t="shared" si="203"/>
        <v>0</v>
      </c>
      <c r="BJ280" s="49"/>
      <c r="BK280" s="50"/>
      <c r="BL280" s="50"/>
      <c r="BM280" s="51"/>
      <c r="BN280" s="52">
        <f t="shared" si="204"/>
        <v>0</v>
      </c>
      <c r="BO280" s="167">
        <f>SUM(G280,L280,Q280,V280,AA280,AF280,AK280,AP280,AU280,AZ280,BE280,BJ280)</f>
        <v>10532</v>
      </c>
      <c r="BP280" s="50">
        <f>SUM(H280,M280,R280,W280,AB280,AG280,AL280,AQ280,AV280,BA280,BF280,BK280)</f>
        <v>0</v>
      </c>
      <c r="BQ280" s="50">
        <f>SUM(I280,N280,S280,X280,AC280,AH280,AM280,AR280,AW280,BB280,BG280,BL280)</f>
        <v>0</v>
      </c>
      <c r="BR280" s="51">
        <f>SUM(J280,O280,T280,Y280,AD280,AI280,AN280,AS280,AX280,BC280,BH280,BM280)</f>
        <v>0</v>
      </c>
      <c r="BS280" s="53">
        <f t="shared" si="189"/>
        <v>10532</v>
      </c>
    </row>
    <row r="281" spans="2:71" x14ac:dyDescent="0.3">
      <c r="B281" s="269"/>
      <c r="C281" s="230"/>
      <c r="D281" s="250"/>
      <c r="E281" s="250"/>
      <c r="F281" s="133" t="s">
        <v>355</v>
      </c>
      <c r="G281" s="49"/>
      <c r="H281" s="50"/>
      <c r="I281" s="50"/>
      <c r="J281" s="51"/>
      <c r="K281" s="52">
        <f t="shared" ref="K281" si="216">SUM(G281:J281)</f>
        <v>0</v>
      </c>
      <c r="L281" s="49"/>
      <c r="M281" s="50"/>
      <c r="N281" s="50"/>
      <c r="O281" s="51"/>
      <c r="P281" s="52">
        <f t="shared" si="194"/>
        <v>0</v>
      </c>
      <c r="Q281" s="49"/>
      <c r="R281" s="50"/>
      <c r="S281" s="50"/>
      <c r="T281" s="51"/>
      <c r="U281" s="52">
        <f t="shared" si="195"/>
        <v>0</v>
      </c>
      <c r="V281" s="49"/>
      <c r="W281" s="50"/>
      <c r="X281" s="50"/>
      <c r="Y281" s="51"/>
      <c r="Z281" s="52">
        <f t="shared" si="196"/>
        <v>0</v>
      </c>
      <c r="AA281" s="49"/>
      <c r="AB281" s="50"/>
      <c r="AC281" s="50"/>
      <c r="AD281" s="51"/>
      <c r="AE281" s="52">
        <f t="shared" si="197"/>
        <v>0</v>
      </c>
      <c r="AF281" s="49"/>
      <c r="AG281" s="50"/>
      <c r="AH281" s="50"/>
      <c r="AI281" s="51"/>
      <c r="AJ281" s="52">
        <f t="shared" si="198"/>
        <v>0</v>
      </c>
      <c r="AK281" s="49">
        <f>12940+1</f>
        <v>12941</v>
      </c>
      <c r="AL281" s="50"/>
      <c r="AM281" s="50"/>
      <c r="AN281" s="51"/>
      <c r="AO281" s="52">
        <f t="shared" si="199"/>
        <v>12941</v>
      </c>
      <c r="AP281" s="49"/>
      <c r="AQ281" s="50"/>
      <c r="AR281" s="50"/>
      <c r="AS281" s="51"/>
      <c r="AT281" s="52">
        <f t="shared" si="200"/>
        <v>0</v>
      </c>
      <c r="AU281" s="49"/>
      <c r="AV281" s="50"/>
      <c r="AW281" s="50"/>
      <c r="AX281" s="51"/>
      <c r="AY281" s="52">
        <f t="shared" si="201"/>
        <v>0</v>
      </c>
      <c r="AZ281" s="49"/>
      <c r="BA281" s="50"/>
      <c r="BB281" s="50"/>
      <c r="BC281" s="51"/>
      <c r="BD281" s="52">
        <f t="shared" si="202"/>
        <v>0</v>
      </c>
      <c r="BE281" s="49"/>
      <c r="BF281" s="50"/>
      <c r="BG281" s="50"/>
      <c r="BH281" s="51"/>
      <c r="BI281" s="52">
        <f t="shared" si="203"/>
        <v>0</v>
      </c>
      <c r="BJ281" s="49"/>
      <c r="BK281" s="50"/>
      <c r="BL281" s="50"/>
      <c r="BM281" s="51"/>
      <c r="BN281" s="52">
        <f t="shared" si="204"/>
        <v>0</v>
      </c>
      <c r="BO281" s="167">
        <f>SUM(G281,L281,Q281,V281,AA281,AF281,AK281,AP281,AU281,AZ281,BE281,BJ281)</f>
        <v>12941</v>
      </c>
      <c r="BP281" s="50">
        <f>SUM(H281,M281,R281,W281,AB281,AG281,AL281,AQ281,AV281,BA281,BF281,BK281)</f>
        <v>0</v>
      </c>
      <c r="BQ281" s="50">
        <f>SUM(I281,N281,S281,X281,AC281,AH281,AM281,AR281,AW281,BB281,BG281,BL281)</f>
        <v>0</v>
      </c>
      <c r="BR281" s="51">
        <f>SUM(J281,O281,T281,Y281,AD281,AI281,AN281,AS281,AX281,BC281,BH281,BM281)</f>
        <v>0</v>
      </c>
      <c r="BS281" s="53">
        <f t="shared" si="189"/>
        <v>12941</v>
      </c>
    </row>
    <row r="282" spans="2:71" x14ac:dyDescent="0.3">
      <c r="B282" s="269"/>
      <c r="C282" s="230"/>
      <c r="D282" s="250"/>
      <c r="E282" s="250"/>
      <c r="F282" s="133" t="s">
        <v>331</v>
      </c>
      <c r="G282" s="49"/>
      <c r="H282" s="50"/>
      <c r="I282" s="50"/>
      <c r="J282" s="51"/>
      <c r="K282" s="52">
        <f t="shared" ref="K282" si="217">SUM(G282:J282)</f>
        <v>0</v>
      </c>
      <c r="L282" s="49"/>
      <c r="M282" s="50"/>
      <c r="N282" s="50"/>
      <c r="O282" s="51"/>
      <c r="P282" s="52">
        <f t="shared" si="194"/>
        <v>0</v>
      </c>
      <c r="Q282" s="49"/>
      <c r="R282" s="50"/>
      <c r="S282" s="50"/>
      <c r="T282" s="51"/>
      <c r="U282" s="52">
        <f t="shared" si="195"/>
        <v>0</v>
      </c>
      <c r="V282" s="49"/>
      <c r="W282" s="50"/>
      <c r="X282" s="50"/>
      <c r="Y282" s="51"/>
      <c r="Z282" s="52">
        <f t="shared" si="196"/>
        <v>0</v>
      </c>
      <c r="AA282" s="49"/>
      <c r="AB282" s="50"/>
      <c r="AC282" s="50"/>
      <c r="AD282" s="51"/>
      <c r="AE282" s="52">
        <f t="shared" si="197"/>
        <v>0</v>
      </c>
      <c r="AF282" s="49"/>
      <c r="AG282" s="50"/>
      <c r="AH282" s="50"/>
      <c r="AI282" s="51"/>
      <c r="AJ282" s="52">
        <f t="shared" si="198"/>
        <v>0</v>
      </c>
      <c r="AK282" s="49"/>
      <c r="AL282" s="50"/>
      <c r="AM282" s="50"/>
      <c r="AN282" s="51"/>
      <c r="AO282" s="52">
        <f t="shared" si="199"/>
        <v>0</v>
      </c>
      <c r="AP282" s="49"/>
      <c r="AQ282" s="50"/>
      <c r="AR282" s="50"/>
      <c r="AS282" s="51"/>
      <c r="AT282" s="52">
        <f t="shared" si="200"/>
        <v>0</v>
      </c>
      <c r="AU282" s="49"/>
      <c r="AV282" s="50"/>
      <c r="AW282" s="50"/>
      <c r="AX282" s="51"/>
      <c r="AY282" s="52">
        <f t="shared" si="201"/>
        <v>0</v>
      </c>
      <c r="AZ282" s="49"/>
      <c r="BA282" s="50"/>
      <c r="BB282" s="50"/>
      <c r="BC282" s="51"/>
      <c r="BD282" s="52">
        <f t="shared" si="202"/>
        <v>0</v>
      </c>
      <c r="BE282" s="49"/>
      <c r="BF282" s="50"/>
      <c r="BG282" s="50"/>
      <c r="BH282" s="51"/>
      <c r="BI282" s="52">
        <f t="shared" si="203"/>
        <v>0</v>
      </c>
      <c r="BJ282" s="49">
        <v>1000</v>
      </c>
      <c r="BK282" s="50"/>
      <c r="BL282" s="50"/>
      <c r="BM282" s="51"/>
      <c r="BN282" s="52">
        <f t="shared" si="204"/>
        <v>1000</v>
      </c>
      <c r="BO282" s="167">
        <f>SUM(G282,L282,Q282,V282,AA282,AF282,AK282,AP282,AU282,AZ282,BE282,BJ282)</f>
        <v>1000</v>
      </c>
      <c r="BP282" s="50">
        <f>SUM(H282,M282,R282,W282,AB282,AG282,AL282,AQ282,AV282,BA282,BF282,BK282)</f>
        <v>0</v>
      </c>
      <c r="BQ282" s="50">
        <f>SUM(I282,N282,S282,X282,AC282,AH282,AM282,AR282,AW282,BB282,BG282,BL282)</f>
        <v>0</v>
      </c>
      <c r="BR282" s="51">
        <f>SUM(J282,O282,T282,Y282,AD282,AI282,AN282,AS282,AX282,BC282,BH282,BM282)</f>
        <v>0</v>
      </c>
      <c r="BS282" s="53">
        <f t="shared" si="189"/>
        <v>1000</v>
      </c>
    </row>
    <row r="283" spans="2:71" x14ac:dyDescent="0.3">
      <c r="B283" s="269"/>
      <c r="C283" s="231"/>
      <c r="D283" s="251"/>
      <c r="E283" s="251"/>
      <c r="F283" s="114" t="s">
        <v>4</v>
      </c>
      <c r="G283" s="40">
        <f>SUM(G256:G282)</f>
        <v>8735</v>
      </c>
      <c r="H283" s="22">
        <f>SUM(H256:H282)</f>
        <v>0</v>
      </c>
      <c r="I283" s="22">
        <f>SUM(I256:I282)</f>
        <v>2214</v>
      </c>
      <c r="J283" s="23">
        <f>SUM(J256:J282)</f>
        <v>0</v>
      </c>
      <c r="K283" s="24">
        <f t="shared" ref="K283:K378" si="218">SUM(G283:J283)</f>
        <v>10949</v>
      </c>
      <c r="L283" s="40">
        <f>SUM(L256:L282)</f>
        <v>11765</v>
      </c>
      <c r="M283" s="22">
        <f>SUM(M256:M282)</f>
        <v>0</v>
      </c>
      <c r="N283" s="22">
        <f>SUM(N256:N282)</f>
        <v>2708</v>
      </c>
      <c r="O283" s="23">
        <f>SUM(O256:O282)</f>
        <v>0</v>
      </c>
      <c r="P283" s="24">
        <f t="shared" si="194"/>
        <v>14473</v>
      </c>
      <c r="Q283" s="40">
        <f>SUM(Q256:Q282)</f>
        <v>11389</v>
      </c>
      <c r="R283" s="22">
        <f>SUM(R256:R282)</f>
        <v>0</v>
      </c>
      <c r="S283" s="22">
        <f>SUM(S256:S282)</f>
        <v>3678</v>
      </c>
      <c r="T283" s="23">
        <f>SUM(T256:T282)</f>
        <v>0</v>
      </c>
      <c r="U283" s="24">
        <f t="shared" si="195"/>
        <v>15067</v>
      </c>
      <c r="V283" s="40">
        <f>SUM(V256:V282)</f>
        <v>36251</v>
      </c>
      <c r="W283" s="22">
        <f>SUM(W256:W282)</f>
        <v>0</v>
      </c>
      <c r="X283" s="22">
        <f>SUM(X256:X282)</f>
        <v>4319</v>
      </c>
      <c r="Y283" s="23">
        <f>SUM(Y256:Y282)</f>
        <v>0</v>
      </c>
      <c r="Z283" s="24">
        <f t="shared" si="196"/>
        <v>40570</v>
      </c>
      <c r="AA283" s="40">
        <f>SUM(AA256:AA282)</f>
        <v>34729</v>
      </c>
      <c r="AB283" s="22">
        <f>SUM(AB256:AB282)</f>
        <v>0</v>
      </c>
      <c r="AC283" s="22">
        <f>SUM(AC256:AC282)</f>
        <v>4523</v>
      </c>
      <c r="AD283" s="23">
        <f>SUM(AD256:AD282)</f>
        <v>0</v>
      </c>
      <c r="AE283" s="24">
        <f t="shared" si="197"/>
        <v>39252</v>
      </c>
      <c r="AF283" s="40">
        <f>SUM(AF256:AF282)</f>
        <v>27433</v>
      </c>
      <c r="AG283" s="22">
        <f>SUM(AG256:AG282)</f>
        <v>0</v>
      </c>
      <c r="AH283" s="22">
        <f>SUM(AH256:AH282)</f>
        <v>4087</v>
      </c>
      <c r="AI283" s="23">
        <f>SUM(AI256:AI282)</f>
        <v>0</v>
      </c>
      <c r="AJ283" s="24">
        <f t="shared" si="198"/>
        <v>31520</v>
      </c>
      <c r="AK283" s="40">
        <f>SUM(AK256:AK282)</f>
        <v>26999</v>
      </c>
      <c r="AL283" s="22">
        <f>SUM(AL256:AL282)</f>
        <v>0</v>
      </c>
      <c r="AM283" s="22">
        <f>SUM(AM256:AM282)</f>
        <v>1645</v>
      </c>
      <c r="AN283" s="23">
        <f>SUM(AN256:AN282)</f>
        <v>0</v>
      </c>
      <c r="AO283" s="24">
        <f t="shared" si="199"/>
        <v>28644</v>
      </c>
      <c r="AP283" s="40">
        <f>SUM(AP256:AP282)</f>
        <v>17161</v>
      </c>
      <c r="AQ283" s="22">
        <f>SUM(AQ256:AQ282)</f>
        <v>0</v>
      </c>
      <c r="AR283" s="22">
        <f>SUM(AR256:AR282)</f>
        <v>2107</v>
      </c>
      <c r="AS283" s="23">
        <f>SUM(AS256:AS282)</f>
        <v>0</v>
      </c>
      <c r="AT283" s="24">
        <f t="shared" si="200"/>
        <v>19268</v>
      </c>
      <c r="AU283" s="40">
        <f>SUM(AU256:AU282)</f>
        <v>25583</v>
      </c>
      <c r="AV283" s="22">
        <f>SUM(AV256:AV282)</f>
        <v>0</v>
      </c>
      <c r="AW283" s="22">
        <f>SUM(AW256:AW282)</f>
        <v>3357</v>
      </c>
      <c r="AX283" s="23">
        <f>SUM(AX256:AX282)</f>
        <v>0</v>
      </c>
      <c r="AY283" s="24">
        <f t="shared" si="201"/>
        <v>28940</v>
      </c>
      <c r="AZ283" s="40">
        <f>SUM(AZ256:AZ282)</f>
        <v>42373</v>
      </c>
      <c r="BA283" s="22">
        <f>SUM(BA256:BA282)</f>
        <v>0</v>
      </c>
      <c r="BB283" s="22">
        <f>SUM(BB256:BB282)</f>
        <v>5832</v>
      </c>
      <c r="BC283" s="23">
        <f>SUM(BC256:BC282)</f>
        <v>0</v>
      </c>
      <c r="BD283" s="24">
        <f t="shared" si="202"/>
        <v>48205</v>
      </c>
      <c r="BE283" s="40">
        <f>SUM(BE256:BE282)</f>
        <v>28581</v>
      </c>
      <c r="BF283" s="22">
        <f>SUM(BF256:BF282)</f>
        <v>0</v>
      </c>
      <c r="BG283" s="22">
        <f>SUM(BG256:BG282)</f>
        <v>3624</v>
      </c>
      <c r="BH283" s="23">
        <f>SUM(BH256:BH282)</f>
        <v>0</v>
      </c>
      <c r="BI283" s="24">
        <f t="shared" si="203"/>
        <v>32205</v>
      </c>
      <c r="BJ283" s="40">
        <f>SUM(BJ256:BJ282)</f>
        <v>12256</v>
      </c>
      <c r="BK283" s="22">
        <f>SUM(BK256:BK282)</f>
        <v>0</v>
      </c>
      <c r="BL283" s="22">
        <f>SUM(BL256:BL282)</f>
        <v>1485</v>
      </c>
      <c r="BM283" s="23">
        <f>SUM(BM256:BM282)</f>
        <v>0</v>
      </c>
      <c r="BN283" s="24">
        <f t="shared" si="204"/>
        <v>13741</v>
      </c>
      <c r="BO283" s="68">
        <f>SUM(BO256:BO282)</f>
        <v>283255</v>
      </c>
      <c r="BP283" s="22">
        <f>SUM(BP256:BP282)</f>
        <v>0</v>
      </c>
      <c r="BQ283" s="22">
        <f>SUM(BQ256:BQ282)</f>
        <v>39579</v>
      </c>
      <c r="BR283" s="23">
        <f>SUM(BR256:BR282)</f>
        <v>0</v>
      </c>
      <c r="BS283" s="41">
        <f t="shared" si="189"/>
        <v>322834</v>
      </c>
    </row>
    <row r="284" spans="2:71" x14ac:dyDescent="0.3">
      <c r="B284" s="269"/>
      <c r="C284" s="215" t="s">
        <v>74</v>
      </c>
      <c r="D284" s="216"/>
      <c r="E284" s="220" t="s">
        <v>75</v>
      </c>
      <c r="F284" s="123" t="s">
        <v>118</v>
      </c>
      <c r="G284" s="34">
        <v>3</v>
      </c>
      <c r="H284" s="16"/>
      <c r="I284" s="16">
        <v>5</v>
      </c>
      <c r="J284" s="51"/>
      <c r="K284" s="18">
        <f t="shared" si="218"/>
        <v>8</v>
      </c>
      <c r="L284" s="34">
        <v>4</v>
      </c>
      <c r="M284" s="16"/>
      <c r="N284" s="16">
        <v>3</v>
      </c>
      <c r="O284" s="51"/>
      <c r="P284" s="18">
        <f t="shared" si="194"/>
        <v>7</v>
      </c>
      <c r="Q284" s="34">
        <v>4</v>
      </c>
      <c r="R284" s="16"/>
      <c r="S284" s="16">
        <v>2</v>
      </c>
      <c r="T284" s="51"/>
      <c r="U284" s="18">
        <f t="shared" si="195"/>
        <v>6</v>
      </c>
      <c r="V284" s="34">
        <v>7</v>
      </c>
      <c r="W284" s="16"/>
      <c r="X284" s="16">
        <v>6</v>
      </c>
      <c r="Y284" s="51"/>
      <c r="Z284" s="18">
        <f t="shared" si="196"/>
        <v>13</v>
      </c>
      <c r="AA284" s="34">
        <v>7</v>
      </c>
      <c r="AB284" s="16"/>
      <c r="AC284" s="16">
        <v>3</v>
      </c>
      <c r="AD284" s="51"/>
      <c r="AE284" s="18">
        <f t="shared" si="197"/>
        <v>10</v>
      </c>
      <c r="AF284" s="34">
        <v>9</v>
      </c>
      <c r="AG284" s="16"/>
      <c r="AH284" s="16">
        <v>10</v>
      </c>
      <c r="AI284" s="51"/>
      <c r="AJ284" s="18">
        <f t="shared" si="198"/>
        <v>19</v>
      </c>
      <c r="AK284" s="34"/>
      <c r="AL284" s="16"/>
      <c r="AM284" s="16"/>
      <c r="AN284" s="51"/>
      <c r="AO284" s="18">
        <f t="shared" si="199"/>
        <v>0</v>
      </c>
      <c r="AP284" s="34"/>
      <c r="AQ284" s="16"/>
      <c r="AR284" s="16">
        <v>1</v>
      </c>
      <c r="AS284" s="51"/>
      <c r="AT284" s="18">
        <f t="shared" si="200"/>
        <v>1</v>
      </c>
      <c r="AU284" s="34">
        <v>6</v>
      </c>
      <c r="AV284" s="16"/>
      <c r="AW284" s="16">
        <v>5</v>
      </c>
      <c r="AX284" s="51"/>
      <c r="AY284" s="18">
        <f t="shared" si="201"/>
        <v>11</v>
      </c>
      <c r="AZ284" s="34">
        <v>3</v>
      </c>
      <c r="BA284" s="16"/>
      <c r="BB284" s="16">
        <v>4</v>
      </c>
      <c r="BC284" s="51"/>
      <c r="BD284" s="18">
        <f t="shared" si="202"/>
        <v>7</v>
      </c>
      <c r="BE284" s="34">
        <v>5</v>
      </c>
      <c r="BF284" s="16"/>
      <c r="BG284" s="16">
        <v>8</v>
      </c>
      <c r="BH284" s="51"/>
      <c r="BI284" s="18">
        <f t="shared" si="203"/>
        <v>13</v>
      </c>
      <c r="BJ284" s="34">
        <v>9</v>
      </c>
      <c r="BK284" s="16"/>
      <c r="BL284" s="16">
        <v>6</v>
      </c>
      <c r="BM284" s="51"/>
      <c r="BN284" s="18">
        <f t="shared" si="204"/>
        <v>15</v>
      </c>
      <c r="BO284" s="70">
        <f>SUM(G284,L284,Q284,V284,AA284,AF284,AK284,AP284,AU284,AZ284,BE284,BJ284)</f>
        <v>57</v>
      </c>
      <c r="BP284" s="16">
        <f>SUM(H284,M284,R284,W284,AB284,AG284,AL284,AQ284,AV284,BA284,BF284,BK284)</f>
        <v>0</v>
      </c>
      <c r="BQ284" s="16">
        <f>SUM(I284,N284,S284,X284,AC284,AH284,AM284,AR284,AW284,BB284,BG284,BL284)</f>
        <v>53</v>
      </c>
      <c r="BR284" s="17">
        <f>SUM(J284,O284,T284,Y284,AD284,AI284,AN284,AS284,AX284,BC284,BH284,BM284)</f>
        <v>0</v>
      </c>
      <c r="BS284" s="35">
        <f t="shared" si="189"/>
        <v>110</v>
      </c>
    </row>
    <row r="285" spans="2:71" x14ac:dyDescent="0.3">
      <c r="B285" s="269"/>
      <c r="C285" s="215"/>
      <c r="D285" s="216"/>
      <c r="E285" s="220"/>
      <c r="F285" s="123" t="s">
        <v>77</v>
      </c>
      <c r="G285" s="34">
        <v>55</v>
      </c>
      <c r="H285" s="16"/>
      <c r="I285" s="16">
        <v>22</v>
      </c>
      <c r="J285" s="151">
        <v>23</v>
      </c>
      <c r="K285" s="18">
        <f t="shared" si="218"/>
        <v>100</v>
      </c>
      <c r="L285" s="34">
        <v>50</v>
      </c>
      <c r="M285" s="16"/>
      <c r="N285" s="16">
        <v>26</v>
      </c>
      <c r="O285" s="151">
        <v>19</v>
      </c>
      <c r="P285" s="18">
        <f t="shared" si="194"/>
        <v>95</v>
      </c>
      <c r="Q285" s="34">
        <f>7</f>
        <v>7</v>
      </c>
      <c r="R285" s="16"/>
      <c r="S285" s="16">
        <v>5</v>
      </c>
      <c r="T285" s="151">
        <v>6</v>
      </c>
      <c r="U285" s="18">
        <f t="shared" si="195"/>
        <v>18</v>
      </c>
      <c r="V285" s="34"/>
      <c r="W285" s="16"/>
      <c r="X285" s="16"/>
      <c r="Y285" s="17"/>
      <c r="Z285" s="18">
        <f t="shared" si="196"/>
        <v>0</v>
      </c>
      <c r="AA285" s="34"/>
      <c r="AB285" s="16"/>
      <c r="AC285" s="16"/>
      <c r="AD285" s="17"/>
      <c r="AE285" s="18">
        <f t="shared" si="197"/>
        <v>0</v>
      </c>
      <c r="AF285" s="34"/>
      <c r="AG285" s="16"/>
      <c r="AH285" s="16"/>
      <c r="AI285" s="17"/>
      <c r="AJ285" s="18">
        <f t="shared" si="198"/>
        <v>0</v>
      </c>
      <c r="AK285" s="34"/>
      <c r="AL285" s="16"/>
      <c r="AM285" s="16"/>
      <c r="AN285" s="17"/>
      <c r="AO285" s="18">
        <f t="shared" si="199"/>
        <v>0</v>
      </c>
      <c r="AP285" s="34"/>
      <c r="AQ285" s="16"/>
      <c r="AR285" s="16"/>
      <c r="AS285" s="17"/>
      <c r="AT285" s="18">
        <f t="shared" si="200"/>
        <v>0</v>
      </c>
      <c r="AU285" s="34"/>
      <c r="AV285" s="16"/>
      <c r="AW285" s="16"/>
      <c r="AX285" s="17"/>
      <c r="AY285" s="18">
        <f t="shared" si="201"/>
        <v>0</v>
      </c>
      <c r="AZ285" s="34"/>
      <c r="BA285" s="16"/>
      <c r="BB285" s="16"/>
      <c r="BC285" s="17"/>
      <c r="BD285" s="18">
        <f t="shared" si="202"/>
        <v>0</v>
      </c>
      <c r="BE285" s="34"/>
      <c r="BF285" s="16"/>
      <c r="BG285" s="16"/>
      <c r="BH285" s="17"/>
      <c r="BI285" s="18">
        <f t="shared" si="203"/>
        <v>0</v>
      </c>
      <c r="BJ285" s="34"/>
      <c r="BK285" s="16"/>
      <c r="BL285" s="16"/>
      <c r="BM285" s="17"/>
      <c r="BN285" s="18">
        <f t="shared" si="204"/>
        <v>0</v>
      </c>
      <c r="BO285" s="70">
        <f>SUM(G285,L285,Q285,V285,AA285,AF285,AK285,AP285,AU285,AZ285,BE285,BJ285)</f>
        <v>112</v>
      </c>
      <c r="BP285" s="16">
        <f>SUM(H285,M285,R285,W285,AB285,AG285,AL285,AQ285,AV285,BA285,BF285,BK285)</f>
        <v>0</v>
      </c>
      <c r="BQ285" s="16">
        <f>SUM(I285,N285,S285,X285,AC285,AH285,AM285,AR285,AW285,BB285,BG285,BL285)</f>
        <v>53</v>
      </c>
      <c r="BR285" s="17">
        <f>SUM(J285,O285,T285,Y285,AD285,AI285,AN285,AS285,AX285,BC285,BH285,BM285)</f>
        <v>48</v>
      </c>
      <c r="BS285" s="35">
        <f t="shared" si="189"/>
        <v>213</v>
      </c>
    </row>
    <row r="286" spans="2:71" x14ac:dyDescent="0.3">
      <c r="B286" s="269"/>
      <c r="C286" s="215"/>
      <c r="D286" s="216"/>
      <c r="E286" s="220"/>
      <c r="F286" s="123" t="s">
        <v>78</v>
      </c>
      <c r="G286" s="34"/>
      <c r="H286" s="16"/>
      <c r="I286" s="16"/>
      <c r="J286" s="17"/>
      <c r="K286" s="18">
        <f t="shared" si="218"/>
        <v>0</v>
      </c>
      <c r="L286" s="34">
        <v>16</v>
      </c>
      <c r="M286" s="16"/>
      <c r="N286" s="16">
        <v>11</v>
      </c>
      <c r="O286" s="151">
        <v>10</v>
      </c>
      <c r="P286" s="18">
        <f t="shared" si="194"/>
        <v>37</v>
      </c>
      <c r="Q286" s="34">
        <v>5</v>
      </c>
      <c r="R286" s="16"/>
      <c r="S286" s="16">
        <v>4</v>
      </c>
      <c r="T286" s="151">
        <v>2</v>
      </c>
      <c r="U286" s="18">
        <f t="shared" si="195"/>
        <v>11</v>
      </c>
      <c r="V286" s="34"/>
      <c r="W286" s="16"/>
      <c r="X286" s="16"/>
      <c r="Y286" s="17"/>
      <c r="Z286" s="18">
        <f t="shared" si="196"/>
        <v>0</v>
      </c>
      <c r="AA286" s="34"/>
      <c r="AB286" s="16"/>
      <c r="AC286" s="16"/>
      <c r="AD286" s="17"/>
      <c r="AE286" s="18">
        <f t="shared" si="197"/>
        <v>0</v>
      </c>
      <c r="AF286" s="34"/>
      <c r="AG286" s="16"/>
      <c r="AH286" s="16"/>
      <c r="AI286" s="17"/>
      <c r="AJ286" s="18">
        <f t="shared" si="198"/>
        <v>0</v>
      </c>
      <c r="AK286" s="34"/>
      <c r="AL286" s="16"/>
      <c r="AM286" s="16"/>
      <c r="AN286" s="17"/>
      <c r="AO286" s="18">
        <f t="shared" si="199"/>
        <v>0</v>
      </c>
      <c r="AP286" s="34"/>
      <c r="AQ286" s="16"/>
      <c r="AR286" s="16"/>
      <c r="AS286" s="17"/>
      <c r="AT286" s="18">
        <f t="shared" si="200"/>
        <v>0</v>
      </c>
      <c r="AU286" s="34"/>
      <c r="AV286" s="16"/>
      <c r="AW286" s="16"/>
      <c r="AX286" s="17"/>
      <c r="AY286" s="18">
        <f t="shared" si="201"/>
        <v>0</v>
      </c>
      <c r="AZ286" s="34"/>
      <c r="BA286" s="16"/>
      <c r="BB286" s="16"/>
      <c r="BC286" s="17"/>
      <c r="BD286" s="18">
        <f t="shared" si="202"/>
        <v>0</v>
      </c>
      <c r="BE286" s="34"/>
      <c r="BF286" s="16"/>
      <c r="BG286" s="16"/>
      <c r="BH286" s="17"/>
      <c r="BI286" s="18">
        <f t="shared" si="203"/>
        <v>0</v>
      </c>
      <c r="BJ286" s="34"/>
      <c r="BK286" s="16"/>
      <c r="BL286" s="16"/>
      <c r="BM286" s="17"/>
      <c r="BN286" s="18">
        <f t="shared" si="204"/>
        <v>0</v>
      </c>
      <c r="BO286" s="70">
        <f>SUM(G286,L286,Q286,V286,AA286,AF286,AK286,AP286,AU286,AZ286,BE286,BJ286)</f>
        <v>21</v>
      </c>
      <c r="BP286" s="16">
        <f>SUM(H286,M286,R286,W286,AB286,AG286,AL286,AQ286,AV286,BA286,BF286,BK286)</f>
        <v>0</v>
      </c>
      <c r="BQ286" s="16">
        <f>SUM(I286,N286,S286,X286,AC286,AH286,AM286,AR286,AW286,BB286,BG286,BL286)</f>
        <v>15</v>
      </c>
      <c r="BR286" s="17">
        <f>SUM(J286,O286,T286,Y286,AD286,AI286,AN286,AS286,AX286,BC286,BH286,BM286)</f>
        <v>12</v>
      </c>
      <c r="BS286" s="35">
        <f t="shared" si="189"/>
        <v>48</v>
      </c>
    </row>
    <row r="287" spans="2:71" x14ac:dyDescent="0.3">
      <c r="B287" s="269"/>
      <c r="C287" s="215"/>
      <c r="D287" s="216"/>
      <c r="E287" s="220"/>
      <c r="F287" s="123" t="s">
        <v>79</v>
      </c>
      <c r="G287" s="34"/>
      <c r="H287" s="16"/>
      <c r="I287" s="16"/>
      <c r="J287" s="17"/>
      <c r="K287" s="18">
        <f t="shared" si="218"/>
        <v>0</v>
      </c>
      <c r="L287" s="34">
        <v>18</v>
      </c>
      <c r="M287" s="16"/>
      <c r="N287" s="16">
        <v>12</v>
      </c>
      <c r="O287" s="17"/>
      <c r="P287" s="18">
        <f t="shared" si="194"/>
        <v>30</v>
      </c>
      <c r="Q287" s="34">
        <v>1</v>
      </c>
      <c r="R287" s="16"/>
      <c r="S287" s="16">
        <v>1</v>
      </c>
      <c r="T287" s="17"/>
      <c r="U287" s="18">
        <f t="shared" si="195"/>
        <v>2</v>
      </c>
      <c r="V287" s="34"/>
      <c r="W287" s="16"/>
      <c r="X287" s="16"/>
      <c r="Y287" s="17"/>
      <c r="Z287" s="18">
        <f t="shared" si="196"/>
        <v>0</v>
      </c>
      <c r="AA287" s="34"/>
      <c r="AB287" s="16"/>
      <c r="AC287" s="16"/>
      <c r="AD287" s="17"/>
      <c r="AE287" s="18">
        <f t="shared" si="197"/>
        <v>0</v>
      </c>
      <c r="AF287" s="34"/>
      <c r="AG287" s="16"/>
      <c r="AH287" s="16"/>
      <c r="AI287" s="17"/>
      <c r="AJ287" s="18">
        <f t="shared" si="198"/>
        <v>0</v>
      </c>
      <c r="AK287" s="34"/>
      <c r="AL287" s="16"/>
      <c r="AM287" s="16"/>
      <c r="AN287" s="17"/>
      <c r="AO287" s="18">
        <f t="shared" si="199"/>
        <v>0</v>
      </c>
      <c r="AP287" s="34"/>
      <c r="AQ287" s="16"/>
      <c r="AR287" s="16"/>
      <c r="AS287" s="17"/>
      <c r="AT287" s="18">
        <f t="shared" si="200"/>
        <v>0</v>
      </c>
      <c r="AU287" s="34"/>
      <c r="AV287" s="16"/>
      <c r="AW287" s="16"/>
      <c r="AX287" s="17"/>
      <c r="AY287" s="18">
        <f t="shared" si="201"/>
        <v>0</v>
      </c>
      <c r="AZ287" s="34"/>
      <c r="BA287" s="16"/>
      <c r="BB287" s="16"/>
      <c r="BC287" s="17"/>
      <c r="BD287" s="18">
        <f t="shared" si="202"/>
        <v>0</v>
      </c>
      <c r="BE287" s="34"/>
      <c r="BF287" s="16"/>
      <c r="BG287" s="16"/>
      <c r="BH287" s="17"/>
      <c r="BI287" s="18">
        <f t="shared" si="203"/>
        <v>0</v>
      </c>
      <c r="BJ287" s="34"/>
      <c r="BK287" s="16"/>
      <c r="BL287" s="16"/>
      <c r="BM287" s="17"/>
      <c r="BN287" s="18">
        <f t="shared" si="204"/>
        <v>0</v>
      </c>
      <c r="BO287" s="70">
        <f>SUM(G287,L287,Q287,V287,AA287,AF287,AK287,AP287,AU287,AZ287,BE287,BJ287)</f>
        <v>19</v>
      </c>
      <c r="BP287" s="16">
        <f>SUM(H287,M287,R287,W287,AB287,AG287,AL287,AQ287,AV287,BA287,BF287,BK287)</f>
        <v>0</v>
      </c>
      <c r="BQ287" s="16">
        <f>SUM(I287,N287,S287,X287,AC287,AH287,AM287,AR287,AW287,BB287,BG287,BL287)</f>
        <v>13</v>
      </c>
      <c r="BR287" s="17">
        <f>SUM(J287,O287,T287,Y287,AD287,AI287,AN287,AS287,AX287,BC287,BH287,BM287)</f>
        <v>0</v>
      </c>
      <c r="BS287" s="35">
        <f t="shared" si="189"/>
        <v>32</v>
      </c>
    </row>
    <row r="288" spans="2:71" x14ac:dyDescent="0.3">
      <c r="B288" s="269"/>
      <c r="C288" s="215"/>
      <c r="D288" s="216"/>
      <c r="E288" s="220"/>
      <c r="F288" s="123" t="s">
        <v>80</v>
      </c>
      <c r="G288" s="34">
        <v>18</v>
      </c>
      <c r="H288" s="16"/>
      <c r="I288" s="16">
        <v>9</v>
      </c>
      <c r="J288" s="17"/>
      <c r="K288" s="18">
        <f t="shared" si="218"/>
        <v>27</v>
      </c>
      <c r="L288" s="34">
        <v>14</v>
      </c>
      <c r="M288" s="16"/>
      <c r="N288" s="16">
        <v>7</v>
      </c>
      <c r="O288" s="17"/>
      <c r="P288" s="18">
        <f t="shared" si="194"/>
        <v>21</v>
      </c>
      <c r="Q288" s="34">
        <v>5</v>
      </c>
      <c r="R288" s="16"/>
      <c r="S288" s="16">
        <v>2</v>
      </c>
      <c r="T288" s="17"/>
      <c r="U288" s="18">
        <f t="shared" si="195"/>
        <v>7</v>
      </c>
      <c r="V288" s="34"/>
      <c r="W288" s="16"/>
      <c r="X288" s="16"/>
      <c r="Y288" s="17"/>
      <c r="Z288" s="18">
        <f t="shared" si="196"/>
        <v>0</v>
      </c>
      <c r="AA288" s="34"/>
      <c r="AB288" s="16"/>
      <c r="AC288" s="16"/>
      <c r="AD288" s="17"/>
      <c r="AE288" s="18">
        <f t="shared" si="197"/>
        <v>0</v>
      </c>
      <c r="AF288" s="34"/>
      <c r="AG288" s="16"/>
      <c r="AH288" s="16"/>
      <c r="AI288" s="17"/>
      <c r="AJ288" s="18">
        <f t="shared" si="198"/>
        <v>0</v>
      </c>
      <c r="AK288" s="34"/>
      <c r="AL288" s="16"/>
      <c r="AM288" s="16"/>
      <c r="AN288" s="17"/>
      <c r="AO288" s="18">
        <f t="shared" si="199"/>
        <v>0</v>
      </c>
      <c r="AP288" s="34"/>
      <c r="AQ288" s="16"/>
      <c r="AR288" s="16"/>
      <c r="AS288" s="17"/>
      <c r="AT288" s="18">
        <f t="shared" si="200"/>
        <v>0</v>
      </c>
      <c r="AU288" s="34"/>
      <c r="AV288" s="16"/>
      <c r="AW288" s="16"/>
      <c r="AX288" s="17"/>
      <c r="AY288" s="18">
        <f t="shared" si="201"/>
        <v>0</v>
      </c>
      <c r="AZ288" s="34"/>
      <c r="BA288" s="16"/>
      <c r="BB288" s="16"/>
      <c r="BC288" s="17"/>
      <c r="BD288" s="18">
        <f t="shared" si="202"/>
        <v>0</v>
      </c>
      <c r="BE288" s="34"/>
      <c r="BF288" s="16"/>
      <c r="BG288" s="16"/>
      <c r="BH288" s="17"/>
      <c r="BI288" s="18">
        <f t="shared" si="203"/>
        <v>0</v>
      </c>
      <c r="BJ288" s="34"/>
      <c r="BK288" s="16"/>
      <c r="BL288" s="16"/>
      <c r="BM288" s="17"/>
      <c r="BN288" s="18">
        <f t="shared" si="204"/>
        <v>0</v>
      </c>
      <c r="BO288" s="70">
        <f>SUM(G288,L288,Q288,V288,AA288,AF288,AK288,AP288,AU288,AZ288,BE288,BJ288)</f>
        <v>37</v>
      </c>
      <c r="BP288" s="16">
        <f>SUM(H288,M288,R288,W288,AB288,AG288,AL288,AQ288,AV288,BA288,BF288,BK288)</f>
        <v>0</v>
      </c>
      <c r="BQ288" s="16">
        <f>SUM(I288,N288,S288,X288,AC288,AH288,AM288,AR288,AW288,BB288,BG288,BL288)</f>
        <v>18</v>
      </c>
      <c r="BR288" s="17">
        <f>SUM(J288,O288,T288,Y288,AD288,AI288,AN288,AS288,AX288,BC288,BH288,BM288)</f>
        <v>0</v>
      </c>
      <c r="BS288" s="35">
        <f t="shared" si="189"/>
        <v>55</v>
      </c>
    </row>
    <row r="289" spans="2:71" x14ac:dyDescent="0.3">
      <c r="B289" s="269"/>
      <c r="C289" s="215"/>
      <c r="D289" s="216"/>
      <c r="E289" s="220"/>
      <c r="F289" s="123" t="s">
        <v>84</v>
      </c>
      <c r="G289" s="34">
        <v>4</v>
      </c>
      <c r="H289" s="16"/>
      <c r="I289" s="16"/>
      <c r="J289" s="17"/>
      <c r="K289" s="18">
        <f t="shared" si="218"/>
        <v>4</v>
      </c>
      <c r="L289" s="34">
        <v>1</v>
      </c>
      <c r="M289" s="16"/>
      <c r="N289" s="16"/>
      <c r="O289" s="17"/>
      <c r="P289" s="18">
        <f t="shared" si="194"/>
        <v>1</v>
      </c>
      <c r="Q289" s="34"/>
      <c r="R289" s="16"/>
      <c r="S289" s="16"/>
      <c r="T289" s="17"/>
      <c r="U289" s="18">
        <f t="shared" si="195"/>
        <v>0</v>
      </c>
      <c r="V289" s="34"/>
      <c r="W289" s="16"/>
      <c r="X289" s="16"/>
      <c r="Y289" s="17"/>
      <c r="Z289" s="18">
        <f t="shared" si="196"/>
        <v>0</v>
      </c>
      <c r="AA289" s="34"/>
      <c r="AB289" s="16"/>
      <c r="AC289" s="16"/>
      <c r="AD289" s="17"/>
      <c r="AE289" s="18">
        <f t="shared" si="197"/>
        <v>0</v>
      </c>
      <c r="AF289" s="34"/>
      <c r="AG289" s="16"/>
      <c r="AH289" s="16"/>
      <c r="AI289" s="17"/>
      <c r="AJ289" s="18">
        <f t="shared" si="198"/>
        <v>0</v>
      </c>
      <c r="AK289" s="34"/>
      <c r="AL289" s="16"/>
      <c r="AM289" s="16"/>
      <c r="AN289" s="17"/>
      <c r="AO289" s="18">
        <f t="shared" si="199"/>
        <v>0</v>
      </c>
      <c r="AP289" s="34"/>
      <c r="AQ289" s="16"/>
      <c r="AR289" s="16"/>
      <c r="AS289" s="17"/>
      <c r="AT289" s="18">
        <f t="shared" si="200"/>
        <v>0</v>
      </c>
      <c r="AU289" s="34"/>
      <c r="AV289" s="16"/>
      <c r="AW289" s="16"/>
      <c r="AX289" s="17"/>
      <c r="AY289" s="18">
        <f t="shared" si="201"/>
        <v>0</v>
      </c>
      <c r="AZ289" s="34"/>
      <c r="BA289" s="16"/>
      <c r="BB289" s="16"/>
      <c r="BC289" s="17"/>
      <c r="BD289" s="18">
        <f t="shared" si="202"/>
        <v>0</v>
      </c>
      <c r="BE289" s="34"/>
      <c r="BF289" s="16"/>
      <c r="BG289" s="16"/>
      <c r="BH289" s="17"/>
      <c r="BI289" s="18">
        <f t="shared" si="203"/>
        <v>0</v>
      </c>
      <c r="BJ289" s="34"/>
      <c r="BK289" s="16"/>
      <c r="BL289" s="16"/>
      <c r="BM289" s="17"/>
      <c r="BN289" s="18">
        <f t="shared" si="204"/>
        <v>0</v>
      </c>
      <c r="BO289" s="70">
        <f>SUM(G289,L289,Q289,V289,AA289,AF289,AK289,AP289,AU289,AZ289,BE289,BJ289)</f>
        <v>5</v>
      </c>
      <c r="BP289" s="16">
        <f>SUM(H289,M289,R289,W289,AB289,AG289,AL289,AQ289,AV289,BA289,BF289,BK289)</f>
        <v>0</v>
      </c>
      <c r="BQ289" s="16">
        <f>SUM(I289,N289,S289,X289,AC289,AH289,AM289,AR289,AW289,BB289,BG289,BL289)</f>
        <v>0</v>
      </c>
      <c r="BR289" s="17">
        <f>SUM(J289,O289,T289,Y289,AD289,AI289,AN289,AS289,AX289,BC289,BH289,BM289)</f>
        <v>0</v>
      </c>
      <c r="BS289" s="35">
        <f t="shared" si="189"/>
        <v>5</v>
      </c>
    </row>
    <row r="290" spans="2:71" x14ac:dyDescent="0.3">
      <c r="B290" s="269"/>
      <c r="C290" s="215"/>
      <c r="D290" s="216"/>
      <c r="E290" s="220"/>
      <c r="F290" s="123" t="s">
        <v>145</v>
      </c>
      <c r="G290" s="34"/>
      <c r="H290" s="16"/>
      <c r="I290" s="16"/>
      <c r="J290" s="17"/>
      <c r="K290" s="18">
        <f t="shared" si="218"/>
        <v>0</v>
      </c>
      <c r="L290" s="34"/>
      <c r="M290" s="16"/>
      <c r="N290" s="16"/>
      <c r="O290" s="17"/>
      <c r="P290" s="18">
        <f t="shared" si="194"/>
        <v>0</v>
      </c>
      <c r="Q290" s="34"/>
      <c r="R290" s="16"/>
      <c r="S290" s="16"/>
      <c r="T290" s="17"/>
      <c r="U290" s="18">
        <f t="shared" si="195"/>
        <v>0</v>
      </c>
      <c r="V290" s="34"/>
      <c r="W290" s="16"/>
      <c r="X290" s="16"/>
      <c r="Y290" s="17"/>
      <c r="Z290" s="18">
        <f t="shared" si="196"/>
        <v>0</v>
      </c>
      <c r="AA290" s="34"/>
      <c r="AB290" s="16"/>
      <c r="AC290" s="16"/>
      <c r="AD290" s="17"/>
      <c r="AE290" s="18">
        <f t="shared" si="197"/>
        <v>0</v>
      </c>
      <c r="AF290" s="34"/>
      <c r="AG290" s="16"/>
      <c r="AH290" s="16"/>
      <c r="AI290" s="17"/>
      <c r="AJ290" s="18">
        <f t="shared" si="198"/>
        <v>0</v>
      </c>
      <c r="AK290" s="34"/>
      <c r="AL290" s="16"/>
      <c r="AM290" s="16"/>
      <c r="AN290" s="17"/>
      <c r="AO290" s="18">
        <f t="shared" si="199"/>
        <v>0</v>
      </c>
      <c r="AP290" s="34"/>
      <c r="AQ290" s="16"/>
      <c r="AR290" s="16"/>
      <c r="AS290" s="17"/>
      <c r="AT290" s="18">
        <f t="shared" si="200"/>
        <v>0</v>
      </c>
      <c r="AU290" s="34"/>
      <c r="AV290" s="16"/>
      <c r="AW290" s="16"/>
      <c r="AX290" s="17"/>
      <c r="AY290" s="18">
        <f t="shared" si="201"/>
        <v>0</v>
      </c>
      <c r="AZ290" s="34"/>
      <c r="BA290" s="16"/>
      <c r="BB290" s="16"/>
      <c r="BC290" s="17"/>
      <c r="BD290" s="18">
        <f t="shared" si="202"/>
        <v>0</v>
      </c>
      <c r="BE290" s="34"/>
      <c r="BF290" s="16"/>
      <c r="BG290" s="16"/>
      <c r="BH290" s="17"/>
      <c r="BI290" s="18">
        <f t="shared" si="203"/>
        <v>0</v>
      </c>
      <c r="BJ290" s="34"/>
      <c r="BK290" s="16"/>
      <c r="BL290" s="16"/>
      <c r="BM290" s="17"/>
      <c r="BN290" s="18">
        <f t="shared" si="204"/>
        <v>0</v>
      </c>
      <c r="BO290" s="70">
        <f>SUM(G290,L290,Q290,V290,AA290,AF290,AK290,AP290,AU290,AZ290,BE290,BJ290)</f>
        <v>0</v>
      </c>
      <c r="BP290" s="16">
        <f>SUM(H290,M290,R290,W290,AB290,AG290,AL290,AQ290,AV290,BA290,BF290,BK290)</f>
        <v>0</v>
      </c>
      <c r="BQ290" s="16">
        <f>SUM(I290,N290,S290,X290,AC290,AH290,AM290,AR290,AW290,BB290,BG290,BL290)</f>
        <v>0</v>
      </c>
      <c r="BR290" s="17">
        <f>SUM(J290,O290,T290,Y290,AD290,AI290,AN290,AS290,AX290,BC290,BH290,BM290)</f>
        <v>0</v>
      </c>
      <c r="BS290" s="35">
        <f t="shared" si="189"/>
        <v>0</v>
      </c>
    </row>
    <row r="291" spans="2:71" x14ac:dyDescent="0.3">
      <c r="B291" s="269"/>
      <c r="C291" s="215"/>
      <c r="D291" s="216"/>
      <c r="E291" s="220"/>
      <c r="F291" s="123" t="s">
        <v>146</v>
      </c>
      <c r="G291" s="34"/>
      <c r="H291" s="16"/>
      <c r="I291" s="16"/>
      <c r="J291" s="17"/>
      <c r="K291" s="18">
        <f t="shared" si="218"/>
        <v>0</v>
      </c>
      <c r="L291" s="34"/>
      <c r="M291" s="16"/>
      <c r="N291" s="16"/>
      <c r="O291" s="17"/>
      <c r="P291" s="18">
        <f t="shared" si="194"/>
        <v>0</v>
      </c>
      <c r="Q291" s="34">
        <v>1</v>
      </c>
      <c r="R291" s="16"/>
      <c r="S291" s="16"/>
      <c r="T291" s="17"/>
      <c r="U291" s="18">
        <f t="shared" si="195"/>
        <v>1</v>
      </c>
      <c r="V291" s="34"/>
      <c r="W291" s="16"/>
      <c r="X291" s="16"/>
      <c r="Y291" s="17"/>
      <c r="Z291" s="18">
        <f t="shared" si="196"/>
        <v>0</v>
      </c>
      <c r="AA291" s="34"/>
      <c r="AB291" s="16"/>
      <c r="AC291" s="16"/>
      <c r="AD291" s="17"/>
      <c r="AE291" s="18">
        <f t="shared" si="197"/>
        <v>0</v>
      </c>
      <c r="AF291" s="34"/>
      <c r="AG291" s="16"/>
      <c r="AH291" s="16"/>
      <c r="AI291" s="17"/>
      <c r="AJ291" s="18">
        <f t="shared" si="198"/>
        <v>0</v>
      </c>
      <c r="AK291" s="34"/>
      <c r="AL291" s="16"/>
      <c r="AM291" s="16"/>
      <c r="AN291" s="17"/>
      <c r="AO291" s="18">
        <f t="shared" si="199"/>
        <v>0</v>
      </c>
      <c r="AP291" s="34"/>
      <c r="AQ291" s="16"/>
      <c r="AR291" s="16"/>
      <c r="AS291" s="17"/>
      <c r="AT291" s="18">
        <f t="shared" si="200"/>
        <v>0</v>
      </c>
      <c r="AU291" s="34"/>
      <c r="AV291" s="16"/>
      <c r="AW291" s="16"/>
      <c r="AX291" s="17"/>
      <c r="AY291" s="18">
        <f t="shared" si="201"/>
        <v>0</v>
      </c>
      <c r="AZ291" s="34"/>
      <c r="BA291" s="16"/>
      <c r="BB291" s="16"/>
      <c r="BC291" s="17"/>
      <c r="BD291" s="18">
        <f t="shared" si="202"/>
        <v>0</v>
      </c>
      <c r="BE291" s="34"/>
      <c r="BF291" s="16"/>
      <c r="BG291" s="16"/>
      <c r="BH291" s="17"/>
      <c r="BI291" s="18">
        <f t="shared" si="203"/>
        <v>0</v>
      </c>
      <c r="BJ291" s="34"/>
      <c r="BK291" s="16"/>
      <c r="BL291" s="16"/>
      <c r="BM291" s="17"/>
      <c r="BN291" s="18">
        <f t="shared" si="204"/>
        <v>0</v>
      </c>
      <c r="BO291" s="70">
        <f>SUM(G291,L291,Q291,V291,AA291,AF291,AK291,AP291,AU291,AZ291,BE291,BJ291)</f>
        <v>1</v>
      </c>
      <c r="BP291" s="16">
        <f>SUM(H291,M291,R291,W291,AB291,AG291,AL291,AQ291,AV291,BA291,BF291,BK291)</f>
        <v>0</v>
      </c>
      <c r="BQ291" s="16">
        <f>SUM(I291,N291,S291,X291,AC291,AH291,AM291,AR291,AW291,BB291,BG291,BL291)</f>
        <v>0</v>
      </c>
      <c r="BR291" s="17">
        <f>SUM(J291,O291,T291,Y291,AD291,AI291,AN291,AS291,AX291,BC291,BH291,BM291)</f>
        <v>0</v>
      </c>
      <c r="BS291" s="35">
        <f t="shared" si="189"/>
        <v>1</v>
      </c>
    </row>
    <row r="292" spans="2:71" x14ac:dyDescent="0.3">
      <c r="B292" s="269"/>
      <c r="C292" s="215"/>
      <c r="D292" s="216"/>
      <c r="E292" s="220"/>
      <c r="F292" s="123" t="s">
        <v>147</v>
      </c>
      <c r="G292" s="34">
        <v>3</v>
      </c>
      <c r="H292" s="16"/>
      <c r="I292" s="16"/>
      <c r="J292" s="17"/>
      <c r="K292" s="18">
        <f t="shared" si="218"/>
        <v>3</v>
      </c>
      <c r="L292" s="34"/>
      <c r="M292" s="16"/>
      <c r="N292" s="16"/>
      <c r="O292" s="17"/>
      <c r="P292" s="18">
        <f t="shared" si="194"/>
        <v>0</v>
      </c>
      <c r="Q292" s="34"/>
      <c r="R292" s="16"/>
      <c r="S292" s="16"/>
      <c r="T292" s="17"/>
      <c r="U292" s="18">
        <f t="shared" si="195"/>
        <v>0</v>
      </c>
      <c r="V292" s="34"/>
      <c r="W292" s="16"/>
      <c r="X292" s="16"/>
      <c r="Y292" s="17"/>
      <c r="Z292" s="18">
        <f t="shared" si="196"/>
        <v>0</v>
      </c>
      <c r="AA292" s="34"/>
      <c r="AB292" s="16"/>
      <c r="AC292" s="16"/>
      <c r="AD292" s="17"/>
      <c r="AE292" s="18">
        <f t="shared" si="197"/>
        <v>0</v>
      </c>
      <c r="AF292" s="34"/>
      <c r="AG292" s="16"/>
      <c r="AH292" s="16"/>
      <c r="AI292" s="17"/>
      <c r="AJ292" s="18">
        <f t="shared" si="198"/>
        <v>0</v>
      </c>
      <c r="AK292" s="34"/>
      <c r="AL292" s="16"/>
      <c r="AM292" s="16"/>
      <c r="AN292" s="17"/>
      <c r="AO292" s="18">
        <f t="shared" si="199"/>
        <v>0</v>
      </c>
      <c r="AP292" s="34"/>
      <c r="AQ292" s="16"/>
      <c r="AR292" s="16"/>
      <c r="AS292" s="17"/>
      <c r="AT292" s="18">
        <f t="shared" si="200"/>
        <v>0</v>
      </c>
      <c r="AU292" s="34"/>
      <c r="AV292" s="16"/>
      <c r="AW292" s="16"/>
      <c r="AX292" s="17"/>
      <c r="AY292" s="18">
        <f t="shared" si="201"/>
        <v>0</v>
      </c>
      <c r="AZ292" s="34"/>
      <c r="BA292" s="16"/>
      <c r="BB292" s="16"/>
      <c r="BC292" s="17"/>
      <c r="BD292" s="18">
        <f t="shared" si="202"/>
        <v>0</v>
      </c>
      <c r="BE292" s="34"/>
      <c r="BF292" s="16"/>
      <c r="BG292" s="16"/>
      <c r="BH292" s="17"/>
      <c r="BI292" s="18">
        <f t="shared" si="203"/>
        <v>0</v>
      </c>
      <c r="BJ292" s="34"/>
      <c r="BK292" s="16"/>
      <c r="BL292" s="16"/>
      <c r="BM292" s="17"/>
      <c r="BN292" s="18">
        <f t="shared" si="204"/>
        <v>0</v>
      </c>
      <c r="BO292" s="70">
        <f>SUM(G292,L292,Q292,V292,AA292,AF292,AK292,AP292,AU292,AZ292,BE292,BJ292)</f>
        <v>3</v>
      </c>
      <c r="BP292" s="16">
        <f>SUM(H292,M292,R292,W292,AB292,AG292,AL292,AQ292,AV292,BA292,BF292,BK292)</f>
        <v>0</v>
      </c>
      <c r="BQ292" s="16">
        <f>SUM(I292,N292,S292,X292,AC292,AH292,AM292,AR292,AW292,BB292,BG292,BL292)</f>
        <v>0</v>
      </c>
      <c r="BR292" s="17">
        <f>SUM(J292,O292,T292,Y292,AD292,AI292,AN292,AS292,AX292,BC292,BH292,BM292)</f>
        <v>0</v>
      </c>
      <c r="BS292" s="35">
        <f t="shared" si="189"/>
        <v>3</v>
      </c>
    </row>
    <row r="293" spans="2:71" x14ac:dyDescent="0.3">
      <c r="B293" s="269"/>
      <c r="C293" s="215"/>
      <c r="D293" s="216"/>
      <c r="E293" s="220"/>
      <c r="F293" s="123" t="s">
        <v>509</v>
      </c>
      <c r="G293" s="34"/>
      <c r="H293" s="16"/>
      <c r="I293" s="16"/>
      <c r="J293" s="287"/>
      <c r="K293" s="18">
        <f t="shared" si="218"/>
        <v>0</v>
      </c>
      <c r="L293" s="34"/>
      <c r="M293" s="16"/>
      <c r="N293" s="16"/>
      <c r="O293" s="287"/>
      <c r="P293" s="18">
        <f t="shared" ref="P293:P300" si="219">SUM(L293:O293)</f>
        <v>0</v>
      </c>
      <c r="Q293" s="34">
        <v>43</v>
      </c>
      <c r="R293" s="16"/>
      <c r="S293" s="16">
        <v>6</v>
      </c>
      <c r="T293" s="151">
        <v>20</v>
      </c>
      <c r="U293" s="18">
        <f t="shared" ref="U293:U300" si="220">SUM(Q293:T293)</f>
        <v>69</v>
      </c>
      <c r="V293" s="34">
        <v>47</v>
      </c>
      <c r="W293" s="16"/>
      <c r="X293" s="16">
        <v>20</v>
      </c>
      <c r="Y293" s="151">
        <v>21</v>
      </c>
      <c r="Z293" s="18">
        <f t="shared" ref="Z293:Z300" si="221">SUM(V293:Y293)</f>
        <v>88</v>
      </c>
      <c r="AA293" s="34">
        <v>73</v>
      </c>
      <c r="AB293" s="16"/>
      <c r="AC293" s="16">
        <v>32</v>
      </c>
      <c r="AD293" s="151">
        <v>23</v>
      </c>
      <c r="AE293" s="18">
        <f t="shared" ref="AE293:AE300" si="222">SUM(AA293:AD293)</f>
        <v>128</v>
      </c>
      <c r="AF293" s="34">
        <v>46</v>
      </c>
      <c r="AG293" s="16"/>
      <c r="AH293" s="16">
        <v>23</v>
      </c>
      <c r="AI293" s="151">
        <v>18</v>
      </c>
      <c r="AJ293" s="18">
        <f t="shared" ref="AJ293:AJ300" si="223">SUM(AF293:AI293)</f>
        <v>87</v>
      </c>
      <c r="AK293" s="34">
        <v>33</v>
      </c>
      <c r="AL293" s="16"/>
      <c r="AM293" s="16">
        <v>11</v>
      </c>
      <c r="AN293" s="151">
        <v>8</v>
      </c>
      <c r="AO293" s="18">
        <f t="shared" ref="AO293:AO300" si="224">SUM(AK293:AN293)</f>
        <v>52</v>
      </c>
      <c r="AP293" s="34">
        <v>17</v>
      </c>
      <c r="AQ293" s="16"/>
      <c r="AR293" s="16">
        <v>3</v>
      </c>
      <c r="AS293" s="151">
        <v>9</v>
      </c>
      <c r="AT293" s="18">
        <f t="shared" ref="AT293:AT300" si="225">SUM(AP293:AS293)</f>
        <v>29</v>
      </c>
      <c r="AU293" s="34">
        <v>41</v>
      </c>
      <c r="AV293" s="16"/>
      <c r="AW293" s="16">
        <v>13</v>
      </c>
      <c r="AX293" s="151">
        <v>35</v>
      </c>
      <c r="AY293" s="18">
        <f t="shared" ref="AY293:AY300" si="226">SUM(AU293:AX293)</f>
        <v>89</v>
      </c>
      <c r="AZ293" s="34">
        <v>69</v>
      </c>
      <c r="BA293" s="16"/>
      <c r="BB293" s="16">
        <v>29</v>
      </c>
      <c r="BC293" s="151">
        <v>30</v>
      </c>
      <c r="BD293" s="18">
        <f t="shared" ref="BD293:BD300" si="227">SUM(AZ293:BC293)</f>
        <v>128</v>
      </c>
      <c r="BE293" s="34">
        <v>17</v>
      </c>
      <c r="BF293" s="16"/>
      <c r="BG293" s="16">
        <v>9</v>
      </c>
      <c r="BH293" s="151">
        <v>10</v>
      </c>
      <c r="BI293" s="18">
        <f t="shared" ref="BI293:BI300" si="228">SUM(BE293:BH293)</f>
        <v>36</v>
      </c>
      <c r="BJ293" s="34">
        <v>24</v>
      </c>
      <c r="BK293" s="16"/>
      <c r="BL293" s="16">
        <v>8</v>
      </c>
      <c r="BM293" s="151">
        <v>12</v>
      </c>
      <c r="BN293" s="18">
        <f t="shared" ref="BN293:BN300" si="229">SUM(BJ293:BM293)</f>
        <v>44</v>
      </c>
      <c r="BO293" s="70">
        <f>SUM(G293,L293,Q293,V293,AA293,AF293,AK293,AP293,AU293,AZ293,BE293,BJ293)</f>
        <v>410</v>
      </c>
      <c r="BP293" s="16">
        <f>SUM(H293,M293,R293,W293,AB293,AG293,AL293,AQ293,AV293,BA293,BF293,BK293)</f>
        <v>0</v>
      </c>
      <c r="BQ293" s="16">
        <f>SUM(I293,N293,S293,X293,AC293,AH293,AM293,AR293,AW293,BB293,BG293,BL293)</f>
        <v>154</v>
      </c>
      <c r="BR293" s="17">
        <f>SUM(J293,O293,T293,Y293,AD293,AI293,AN293,AS293,AX293,BC293,BH293,BM293)</f>
        <v>186</v>
      </c>
      <c r="BS293" s="35">
        <f t="shared" si="189"/>
        <v>750</v>
      </c>
    </row>
    <row r="294" spans="2:71" x14ac:dyDescent="0.3">
      <c r="B294" s="269"/>
      <c r="C294" s="215"/>
      <c r="D294" s="216"/>
      <c r="E294" s="220"/>
      <c r="F294" s="123" t="s">
        <v>510</v>
      </c>
      <c r="G294" s="34"/>
      <c r="H294" s="16"/>
      <c r="I294" s="16"/>
      <c r="J294" s="17"/>
      <c r="K294" s="18">
        <f t="shared" si="218"/>
        <v>0</v>
      </c>
      <c r="L294" s="34"/>
      <c r="M294" s="16"/>
      <c r="N294" s="16"/>
      <c r="O294" s="287"/>
      <c r="P294" s="18">
        <f t="shared" si="219"/>
        <v>0</v>
      </c>
      <c r="Q294" s="34">
        <v>28</v>
      </c>
      <c r="R294" s="16"/>
      <c r="S294" s="16">
        <v>9</v>
      </c>
      <c r="T294" s="151">
        <v>7</v>
      </c>
      <c r="U294" s="18">
        <f t="shared" si="220"/>
        <v>44</v>
      </c>
      <c r="V294" s="34">
        <v>38</v>
      </c>
      <c r="W294" s="16"/>
      <c r="X294" s="16">
        <v>14</v>
      </c>
      <c r="Y294" s="151">
        <v>11</v>
      </c>
      <c r="Z294" s="18">
        <f t="shared" si="221"/>
        <v>63</v>
      </c>
      <c r="AA294" s="34">
        <v>39</v>
      </c>
      <c r="AB294" s="16"/>
      <c r="AC294" s="16">
        <v>29</v>
      </c>
      <c r="AD294" s="151">
        <v>13</v>
      </c>
      <c r="AE294" s="18">
        <f t="shared" si="222"/>
        <v>81</v>
      </c>
      <c r="AF294" s="34">
        <v>17</v>
      </c>
      <c r="AG294" s="16"/>
      <c r="AH294" s="16">
        <v>7</v>
      </c>
      <c r="AI294" s="151">
        <v>5</v>
      </c>
      <c r="AJ294" s="18">
        <f t="shared" si="223"/>
        <v>29</v>
      </c>
      <c r="AK294" s="34">
        <v>21</v>
      </c>
      <c r="AL294" s="16"/>
      <c r="AM294" s="16">
        <v>7</v>
      </c>
      <c r="AN294" s="151">
        <v>4</v>
      </c>
      <c r="AO294" s="18">
        <f t="shared" si="224"/>
        <v>32</v>
      </c>
      <c r="AP294" s="34">
        <v>25</v>
      </c>
      <c r="AQ294" s="16"/>
      <c r="AR294" s="16">
        <v>12</v>
      </c>
      <c r="AS294" s="151">
        <v>3</v>
      </c>
      <c r="AT294" s="18">
        <f t="shared" si="225"/>
        <v>40</v>
      </c>
      <c r="AU294" s="34">
        <v>41</v>
      </c>
      <c r="AV294" s="16"/>
      <c r="AW294" s="16">
        <v>10</v>
      </c>
      <c r="AX294" s="151">
        <v>14</v>
      </c>
      <c r="AY294" s="18">
        <f t="shared" si="226"/>
        <v>65</v>
      </c>
      <c r="AZ294" s="34">
        <v>43</v>
      </c>
      <c r="BA294" s="16"/>
      <c r="BB294" s="16">
        <v>23</v>
      </c>
      <c r="BC294" s="151">
        <v>15</v>
      </c>
      <c r="BD294" s="18">
        <f t="shared" si="227"/>
        <v>81</v>
      </c>
      <c r="BE294" s="34">
        <v>21</v>
      </c>
      <c r="BF294" s="16"/>
      <c r="BG294" s="16">
        <v>14</v>
      </c>
      <c r="BH294" s="151">
        <v>7</v>
      </c>
      <c r="BI294" s="18">
        <f t="shared" si="228"/>
        <v>42</v>
      </c>
      <c r="BJ294" s="34">
        <v>14</v>
      </c>
      <c r="BK294" s="16"/>
      <c r="BL294" s="16">
        <v>4</v>
      </c>
      <c r="BM294" s="151">
        <v>6</v>
      </c>
      <c r="BN294" s="18">
        <f t="shared" si="229"/>
        <v>24</v>
      </c>
      <c r="BO294" s="70">
        <f>SUM(G294,L294,Q294,V294,AA294,AF294,AK294,AP294,AU294,AZ294,BE294,BJ294)</f>
        <v>287</v>
      </c>
      <c r="BP294" s="16">
        <f>SUM(H294,M294,R294,W294,AB294,AG294,AL294,AQ294,AV294,BA294,BF294,BK294)</f>
        <v>0</v>
      </c>
      <c r="BQ294" s="16">
        <f>SUM(I294,N294,S294,X294,AC294,AH294,AM294,AR294,AW294,BB294,BG294,BL294)</f>
        <v>129</v>
      </c>
      <c r="BR294" s="17">
        <f>SUM(J294,O294,T294,Y294,AD294,AI294,AN294,AS294,AX294,BC294,BH294,BM294)</f>
        <v>85</v>
      </c>
      <c r="BS294" s="35">
        <f t="shared" si="189"/>
        <v>501</v>
      </c>
    </row>
    <row r="295" spans="2:71" x14ac:dyDescent="0.3">
      <c r="B295" s="269"/>
      <c r="C295" s="215"/>
      <c r="D295" s="216"/>
      <c r="E295" s="220"/>
      <c r="F295" s="123" t="s">
        <v>511</v>
      </c>
      <c r="G295" s="34"/>
      <c r="H295" s="16"/>
      <c r="I295" s="16"/>
      <c r="J295" s="17"/>
      <c r="K295" s="18">
        <f t="shared" si="218"/>
        <v>0</v>
      </c>
      <c r="L295" s="34"/>
      <c r="M295" s="16"/>
      <c r="N295" s="16"/>
      <c r="O295" s="17"/>
      <c r="P295" s="18">
        <f t="shared" si="219"/>
        <v>0</v>
      </c>
      <c r="Q295" s="34">
        <v>25</v>
      </c>
      <c r="R295" s="16"/>
      <c r="S295" s="16">
        <v>15</v>
      </c>
      <c r="T295" s="17"/>
      <c r="U295" s="18">
        <f t="shared" si="220"/>
        <v>40</v>
      </c>
      <c r="V295" s="34">
        <v>41</v>
      </c>
      <c r="W295" s="16"/>
      <c r="X295" s="16">
        <v>29</v>
      </c>
      <c r="Y295" s="151">
        <v>1</v>
      </c>
      <c r="Z295" s="18">
        <f t="shared" si="221"/>
        <v>71</v>
      </c>
      <c r="AA295" s="34">
        <v>40</v>
      </c>
      <c r="AB295" s="16"/>
      <c r="AC295" s="16">
        <v>23</v>
      </c>
      <c r="AD295" s="151">
        <v>3</v>
      </c>
      <c r="AE295" s="18">
        <f t="shared" si="222"/>
        <v>66</v>
      </c>
      <c r="AF295" s="34">
        <v>32</v>
      </c>
      <c r="AG295" s="16"/>
      <c r="AH295" s="16">
        <v>22</v>
      </c>
      <c r="AI295" s="17"/>
      <c r="AJ295" s="18">
        <f t="shared" si="223"/>
        <v>54</v>
      </c>
      <c r="AK295" s="34">
        <v>18</v>
      </c>
      <c r="AL295" s="16"/>
      <c r="AM295" s="16">
        <v>13</v>
      </c>
      <c r="AN295" s="151">
        <v>1</v>
      </c>
      <c r="AO295" s="18">
        <f t="shared" si="224"/>
        <v>32</v>
      </c>
      <c r="AP295" s="34">
        <v>9</v>
      </c>
      <c r="AQ295" s="16"/>
      <c r="AR295" s="16">
        <v>12</v>
      </c>
      <c r="AS295" s="17"/>
      <c r="AT295" s="18">
        <f t="shared" si="225"/>
        <v>21</v>
      </c>
      <c r="AU295" s="34">
        <v>29</v>
      </c>
      <c r="AV295" s="16"/>
      <c r="AW295" s="16">
        <v>28</v>
      </c>
      <c r="AX295" s="151">
        <v>1</v>
      </c>
      <c r="AY295" s="18">
        <f t="shared" si="226"/>
        <v>58</v>
      </c>
      <c r="AZ295" s="34">
        <v>36</v>
      </c>
      <c r="BA295" s="16"/>
      <c r="BB295" s="16">
        <v>24</v>
      </c>
      <c r="BC295" s="17"/>
      <c r="BD295" s="18">
        <f t="shared" si="227"/>
        <v>60</v>
      </c>
      <c r="BE295" s="34">
        <v>36</v>
      </c>
      <c r="BF295" s="16"/>
      <c r="BG295" s="16">
        <v>29</v>
      </c>
      <c r="BH295" s="151">
        <v>1</v>
      </c>
      <c r="BI295" s="18">
        <f t="shared" si="228"/>
        <v>66</v>
      </c>
      <c r="BJ295" s="34">
        <v>15</v>
      </c>
      <c r="BK295" s="16"/>
      <c r="BL295" s="16">
        <v>12</v>
      </c>
      <c r="BM295" s="17"/>
      <c r="BN295" s="18">
        <f t="shared" si="229"/>
        <v>27</v>
      </c>
      <c r="BO295" s="70">
        <f>SUM(G295,L295,Q295,V295,AA295,AF295,AK295,AP295,AU295,AZ295,BE295,BJ295)</f>
        <v>281</v>
      </c>
      <c r="BP295" s="16">
        <f>SUM(H295,M295,R295,W295,AB295,AG295,AL295,AQ295,AV295,BA295,BF295,BK295)</f>
        <v>0</v>
      </c>
      <c r="BQ295" s="16">
        <f>SUM(I295,N295,S295,X295,AC295,AH295,AM295,AR295,AW295,BB295,BG295,BL295)</f>
        <v>207</v>
      </c>
      <c r="BR295" s="17">
        <f>SUM(J295,O295,T295,Y295,AD295,AI295,AN295,AS295,AX295,BC295,BH295,BM295)</f>
        <v>7</v>
      </c>
      <c r="BS295" s="35">
        <f t="shared" si="189"/>
        <v>495</v>
      </c>
    </row>
    <row r="296" spans="2:71" x14ac:dyDescent="0.3">
      <c r="B296" s="269"/>
      <c r="C296" s="215"/>
      <c r="D296" s="216"/>
      <c r="E296" s="220"/>
      <c r="F296" s="123" t="s">
        <v>512</v>
      </c>
      <c r="G296" s="34"/>
      <c r="H296" s="16"/>
      <c r="I296" s="16"/>
      <c r="J296" s="17"/>
      <c r="K296" s="18">
        <f t="shared" si="218"/>
        <v>0</v>
      </c>
      <c r="L296" s="34"/>
      <c r="M296" s="16"/>
      <c r="N296" s="16"/>
      <c r="O296" s="17"/>
      <c r="P296" s="18">
        <f t="shared" si="219"/>
        <v>0</v>
      </c>
      <c r="Q296" s="34">
        <v>30</v>
      </c>
      <c r="R296" s="16"/>
      <c r="S296" s="16">
        <v>22</v>
      </c>
      <c r="T296" s="17"/>
      <c r="U296" s="18">
        <f t="shared" si="220"/>
        <v>52</v>
      </c>
      <c r="V296" s="34">
        <v>35</v>
      </c>
      <c r="W296" s="16"/>
      <c r="X296" s="16">
        <v>20</v>
      </c>
      <c r="Y296" s="17"/>
      <c r="Z296" s="18">
        <f t="shared" si="221"/>
        <v>55</v>
      </c>
      <c r="AA296" s="34">
        <v>25</v>
      </c>
      <c r="AB296" s="16"/>
      <c r="AC296" s="16">
        <v>19</v>
      </c>
      <c r="AD296" s="17"/>
      <c r="AE296" s="18">
        <f t="shared" si="222"/>
        <v>44</v>
      </c>
      <c r="AF296" s="34">
        <v>19</v>
      </c>
      <c r="AG296" s="16"/>
      <c r="AH296" s="16">
        <v>10</v>
      </c>
      <c r="AI296" s="17"/>
      <c r="AJ296" s="18">
        <f t="shared" si="223"/>
        <v>29</v>
      </c>
      <c r="AK296" s="34">
        <v>25</v>
      </c>
      <c r="AL296" s="16"/>
      <c r="AM296" s="16">
        <v>16</v>
      </c>
      <c r="AN296" s="17"/>
      <c r="AO296" s="18">
        <f t="shared" si="224"/>
        <v>41</v>
      </c>
      <c r="AP296" s="34">
        <v>17</v>
      </c>
      <c r="AQ296" s="16"/>
      <c r="AR296" s="16">
        <v>6</v>
      </c>
      <c r="AS296" s="17"/>
      <c r="AT296" s="18">
        <f t="shared" si="225"/>
        <v>23</v>
      </c>
      <c r="AU296" s="34">
        <v>42</v>
      </c>
      <c r="AV296" s="16"/>
      <c r="AW296" s="16">
        <v>20</v>
      </c>
      <c r="AX296" s="17"/>
      <c r="AY296" s="18">
        <f t="shared" si="226"/>
        <v>62</v>
      </c>
      <c r="AZ296" s="34">
        <v>33</v>
      </c>
      <c r="BA296" s="16"/>
      <c r="BB296" s="16">
        <v>23</v>
      </c>
      <c r="BC296" s="17"/>
      <c r="BD296" s="18">
        <f t="shared" si="227"/>
        <v>56</v>
      </c>
      <c r="BE296" s="34">
        <v>14</v>
      </c>
      <c r="BF296" s="16"/>
      <c r="BG296" s="16">
        <v>6</v>
      </c>
      <c r="BH296" s="17"/>
      <c r="BI296" s="18">
        <f t="shared" si="228"/>
        <v>20</v>
      </c>
      <c r="BJ296" s="34">
        <v>15</v>
      </c>
      <c r="BK296" s="16"/>
      <c r="BL296" s="16">
        <v>9</v>
      </c>
      <c r="BM296" s="17"/>
      <c r="BN296" s="18">
        <f t="shared" si="229"/>
        <v>24</v>
      </c>
      <c r="BO296" s="70">
        <f>SUM(G296,L296,Q296,V296,AA296,AF296,AK296,AP296,AU296,AZ296,BE296,BJ296)</f>
        <v>255</v>
      </c>
      <c r="BP296" s="16">
        <f>SUM(H296,M296,R296,W296,AB296,AG296,AL296,AQ296,AV296,BA296,BF296,BK296)</f>
        <v>0</v>
      </c>
      <c r="BQ296" s="16">
        <f>SUM(I296,N296,S296,X296,AC296,AH296,AM296,AR296,AW296,BB296,BG296,BL296)</f>
        <v>151</v>
      </c>
      <c r="BR296" s="17">
        <f>SUM(J296,O296,T296,Y296,AD296,AI296,AN296,AS296,AX296,BC296,BH296,BM296)</f>
        <v>0</v>
      </c>
      <c r="BS296" s="35">
        <f t="shared" si="189"/>
        <v>406</v>
      </c>
    </row>
    <row r="297" spans="2:71" x14ac:dyDescent="0.3">
      <c r="B297" s="269"/>
      <c r="C297" s="215"/>
      <c r="D297" s="216"/>
      <c r="E297" s="220"/>
      <c r="F297" s="123" t="s">
        <v>513</v>
      </c>
      <c r="G297" s="34"/>
      <c r="H297" s="16"/>
      <c r="I297" s="16"/>
      <c r="J297" s="17"/>
      <c r="K297" s="18">
        <f t="shared" si="218"/>
        <v>0</v>
      </c>
      <c r="L297" s="34"/>
      <c r="M297" s="16"/>
      <c r="N297" s="16"/>
      <c r="O297" s="17"/>
      <c r="P297" s="18">
        <f t="shared" si="219"/>
        <v>0</v>
      </c>
      <c r="Q297" s="34"/>
      <c r="R297" s="16"/>
      <c r="S297" s="16"/>
      <c r="T297" s="17"/>
      <c r="U297" s="18">
        <f t="shared" si="220"/>
        <v>0</v>
      </c>
      <c r="V297" s="34">
        <v>2</v>
      </c>
      <c r="W297" s="16"/>
      <c r="X297" s="16"/>
      <c r="Y297" s="17"/>
      <c r="Z297" s="18">
        <f t="shared" si="221"/>
        <v>2</v>
      </c>
      <c r="AA297" s="34">
        <v>2</v>
      </c>
      <c r="AB297" s="16"/>
      <c r="AC297" s="16"/>
      <c r="AD297" s="17"/>
      <c r="AE297" s="18">
        <f t="shared" si="222"/>
        <v>2</v>
      </c>
      <c r="AF297" s="34">
        <v>3</v>
      </c>
      <c r="AG297" s="16"/>
      <c r="AH297" s="16"/>
      <c r="AI297" s="17"/>
      <c r="AJ297" s="18">
        <f t="shared" si="223"/>
        <v>3</v>
      </c>
      <c r="AK297" s="34"/>
      <c r="AL297" s="16"/>
      <c r="AM297" s="16"/>
      <c r="AN297" s="17"/>
      <c r="AO297" s="18">
        <f t="shared" si="224"/>
        <v>0</v>
      </c>
      <c r="AP297" s="34">
        <v>1</v>
      </c>
      <c r="AQ297" s="16"/>
      <c r="AR297" s="16"/>
      <c r="AS297" s="17"/>
      <c r="AT297" s="18">
        <f t="shared" si="225"/>
        <v>1</v>
      </c>
      <c r="AU297" s="34">
        <v>3</v>
      </c>
      <c r="AV297" s="16"/>
      <c r="AW297" s="16"/>
      <c r="AX297" s="17"/>
      <c r="AY297" s="18">
        <f t="shared" si="226"/>
        <v>3</v>
      </c>
      <c r="AZ297" s="34">
        <v>1</v>
      </c>
      <c r="BA297" s="16"/>
      <c r="BB297" s="16"/>
      <c r="BC297" s="17"/>
      <c r="BD297" s="18">
        <f t="shared" si="227"/>
        <v>1</v>
      </c>
      <c r="BE297" s="34">
        <v>3</v>
      </c>
      <c r="BF297" s="16"/>
      <c r="BG297" s="16"/>
      <c r="BH297" s="17"/>
      <c r="BI297" s="18">
        <f t="shared" si="228"/>
        <v>3</v>
      </c>
      <c r="BJ297" s="34"/>
      <c r="BK297" s="16"/>
      <c r="BL297" s="16"/>
      <c r="BM297" s="17"/>
      <c r="BN297" s="18">
        <f t="shared" si="229"/>
        <v>0</v>
      </c>
      <c r="BO297" s="70">
        <f>SUM(G297,L297,Q297,V297,AA297,AF297,AK297,AP297,AU297,AZ297,BE297,BJ297)</f>
        <v>15</v>
      </c>
      <c r="BP297" s="16">
        <f>SUM(H297,M297,R297,W297,AB297,AG297,AL297,AQ297,AV297,BA297,BF297,BK297)</f>
        <v>0</v>
      </c>
      <c r="BQ297" s="16">
        <f>SUM(I297,N297,S297,X297,AC297,AH297,AM297,AR297,AW297,BB297,BG297,BL297)</f>
        <v>0</v>
      </c>
      <c r="BR297" s="17">
        <f>SUM(J297,O297,T297,Y297,AD297,AI297,AN297,AS297,AX297,BC297,BH297,BM297)</f>
        <v>0</v>
      </c>
      <c r="BS297" s="35">
        <f t="shared" si="189"/>
        <v>15</v>
      </c>
    </row>
    <row r="298" spans="2:71" x14ac:dyDescent="0.3">
      <c r="B298" s="269"/>
      <c r="C298" s="215"/>
      <c r="D298" s="216"/>
      <c r="E298" s="220"/>
      <c r="F298" s="123" t="s">
        <v>514</v>
      </c>
      <c r="G298" s="34"/>
      <c r="H298" s="16"/>
      <c r="I298" s="16"/>
      <c r="J298" s="17"/>
      <c r="K298" s="18">
        <f t="shared" si="218"/>
        <v>0</v>
      </c>
      <c r="L298" s="34"/>
      <c r="M298" s="16"/>
      <c r="N298" s="16"/>
      <c r="O298" s="17"/>
      <c r="P298" s="18">
        <f t="shared" si="219"/>
        <v>0</v>
      </c>
      <c r="Q298" s="34"/>
      <c r="R298" s="16"/>
      <c r="S298" s="16"/>
      <c r="T298" s="17"/>
      <c r="U298" s="18">
        <f t="shared" si="220"/>
        <v>0</v>
      </c>
      <c r="V298" s="34"/>
      <c r="W298" s="16"/>
      <c r="X298" s="16"/>
      <c r="Y298" s="17"/>
      <c r="Z298" s="18">
        <f t="shared" si="221"/>
        <v>0</v>
      </c>
      <c r="AA298" s="34">
        <v>1</v>
      </c>
      <c r="AB298" s="16"/>
      <c r="AC298" s="16"/>
      <c r="AD298" s="17"/>
      <c r="AE298" s="18">
        <f t="shared" si="222"/>
        <v>1</v>
      </c>
      <c r="AF298" s="34"/>
      <c r="AG298" s="16"/>
      <c r="AH298" s="16"/>
      <c r="AI298" s="17"/>
      <c r="AJ298" s="18">
        <f t="shared" si="223"/>
        <v>0</v>
      </c>
      <c r="AK298" s="34"/>
      <c r="AL298" s="16"/>
      <c r="AM298" s="16"/>
      <c r="AN298" s="17"/>
      <c r="AO298" s="18">
        <f t="shared" si="224"/>
        <v>0</v>
      </c>
      <c r="AP298" s="34">
        <v>1</v>
      </c>
      <c r="AQ298" s="16"/>
      <c r="AR298" s="16"/>
      <c r="AS298" s="17"/>
      <c r="AT298" s="18">
        <f t="shared" si="225"/>
        <v>1</v>
      </c>
      <c r="AU298" s="34"/>
      <c r="AV298" s="16"/>
      <c r="AW298" s="16"/>
      <c r="AX298" s="17"/>
      <c r="AY298" s="18">
        <f t="shared" si="226"/>
        <v>0</v>
      </c>
      <c r="AZ298" s="34"/>
      <c r="BA298" s="16"/>
      <c r="BB298" s="16"/>
      <c r="BC298" s="17"/>
      <c r="BD298" s="18">
        <f t="shared" si="227"/>
        <v>0</v>
      </c>
      <c r="BE298" s="34">
        <v>1</v>
      </c>
      <c r="BF298" s="16"/>
      <c r="BG298" s="16"/>
      <c r="BH298" s="17"/>
      <c r="BI298" s="18">
        <f t="shared" si="228"/>
        <v>1</v>
      </c>
      <c r="BJ298" s="34"/>
      <c r="BK298" s="16"/>
      <c r="BL298" s="16"/>
      <c r="BM298" s="17"/>
      <c r="BN298" s="18">
        <f t="shared" si="229"/>
        <v>0</v>
      </c>
      <c r="BO298" s="70">
        <f>SUM(G298,L298,Q298,V298,AA298,AF298,AK298,AP298,AU298,AZ298,BE298,BJ298)</f>
        <v>3</v>
      </c>
      <c r="BP298" s="16">
        <f>SUM(H298,M298,R298,W298,AB298,AG298,AL298,AQ298,AV298,BA298,BF298,BK298)</f>
        <v>0</v>
      </c>
      <c r="BQ298" s="16">
        <f>SUM(I298,N298,S298,X298,AC298,AH298,AM298,AR298,AW298,BB298,BG298,BL298)</f>
        <v>0</v>
      </c>
      <c r="BR298" s="17">
        <f>SUM(J298,O298,T298,Y298,AD298,AI298,AN298,AS298,AX298,BC298,BH298,BM298)</f>
        <v>0</v>
      </c>
      <c r="BS298" s="35">
        <f t="shared" si="189"/>
        <v>3</v>
      </c>
    </row>
    <row r="299" spans="2:71" x14ac:dyDescent="0.3">
      <c r="B299" s="269"/>
      <c r="C299" s="215"/>
      <c r="D299" s="216"/>
      <c r="E299" s="220"/>
      <c r="F299" s="123" t="s">
        <v>515</v>
      </c>
      <c r="G299" s="34"/>
      <c r="H299" s="16"/>
      <c r="I299" s="16"/>
      <c r="J299" s="17"/>
      <c r="K299" s="18">
        <f t="shared" si="218"/>
        <v>0</v>
      </c>
      <c r="L299" s="34"/>
      <c r="M299" s="16"/>
      <c r="N299" s="16"/>
      <c r="O299" s="17"/>
      <c r="P299" s="18">
        <f t="shared" si="219"/>
        <v>0</v>
      </c>
      <c r="Q299" s="34">
        <v>1</v>
      </c>
      <c r="R299" s="16"/>
      <c r="S299" s="16"/>
      <c r="T299" s="17"/>
      <c r="U299" s="18">
        <f t="shared" si="220"/>
        <v>1</v>
      </c>
      <c r="V299" s="34"/>
      <c r="W299" s="16"/>
      <c r="X299" s="16"/>
      <c r="Y299" s="17"/>
      <c r="Z299" s="18">
        <f t="shared" si="221"/>
        <v>0</v>
      </c>
      <c r="AA299" s="34"/>
      <c r="AB299" s="16"/>
      <c r="AC299" s="16"/>
      <c r="AD299" s="17"/>
      <c r="AE299" s="18">
        <f t="shared" si="222"/>
        <v>0</v>
      </c>
      <c r="AF299" s="34"/>
      <c r="AG299" s="16"/>
      <c r="AH299" s="16"/>
      <c r="AI299" s="17"/>
      <c r="AJ299" s="18">
        <f t="shared" si="223"/>
        <v>0</v>
      </c>
      <c r="AK299" s="34"/>
      <c r="AL299" s="16"/>
      <c r="AM299" s="16"/>
      <c r="AN299" s="17"/>
      <c r="AO299" s="18">
        <f t="shared" si="224"/>
        <v>0</v>
      </c>
      <c r="AP299" s="34"/>
      <c r="AQ299" s="16"/>
      <c r="AR299" s="16"/>
      <c r="AS299" s="17"/>
      <c r="AT299" s="18">
        <f t="shared" si="225"/>
        <v>0</v>
      </c>
      <c r="AU299" s="34"/>
      <c r="AV299" s="16"/>
      <c r="AW299" s="16"/>
      <c r="AX299" s="17"/>
      <c r="AY299" s="18">
        <f t="shared" si="226"/>
        <v>0</v>
      </c>
      <c r="AZ299" s="34"/>
      <c r="BA299" s="16"/>
      <c r="BB299" s="16"/>
      <c r="BC299" s="17"/>
      <c r="BD299" s="18">
        <f t="shared" si="227"/>
        <v>0</v>
      </c>
      <c r="BE299" s="34">
        <v>1</v>
      </c>
      <c r="BF299" s="16"/>
      <c r="BG299" s="16"/>
      <c r="BH299" s="17"/>
      <c r="BI299" s="18">
        <f t="shared" si="228"/>
        <v>1</v>
      </c>
      <c r="BJ299" s="34"/>
      <c r="BK299" s="16"/>
      <c r="BL299" s="16"/>
      <c r="BM299" s="17"/>
      <c r="BN299" s="18">
        <f t="shared" si="229"/>
        <v>0</v>
      </c>
      <c r="BO299" s="70">
        <f>SUM(G299,L299,Q299,V299,AA299,AF299,AK299,AP299,AU299,AZ299,BE299,BJ299)</f>
        <v>2</v>
      </c>
      <c r="BP299" s="16">
        <f>SUM(H299,M299,R299,W299,AB299,AG299,AL299,AQ299,AV299,BA299,BF299,BK299)</f>
        <v>0</v>
      </c>
      <c r="BQ299" s="16">
        <f>SUM(I299,N299,S299,X299,AC299,AH299,AM299,AR299,AW299,BB299,BG299,BL299)</f>
        <v>0</v>
      </c>
      <c r="BR299" s="17">
        <f>SUM(J299,O299,T299,Y299,AD299,AI299,AN299,AS299,AX299,BC299,BH299,BM299)</f>
        <v>0</v>
      </c>
      <c r="BS299" s="35">
        <f t="shared" si="189"/>
        <v>2</v>
      </c>
    </row>
    <row r="300" spans="2:71" x14ac:dyDescent="0.3">
      <c r="B300" s="269"/>
      <c r="C300" s="215"/>
      <c r="D300" s="216"/>
      <c r="E300" s="220"/>
      <c r="F300" s="123" t="s">
        <v>516</v>
      </c>
      <c r="G300" s="34"/>
      <c r="H300" s="16"/>
      <c r="I300" s="16"/>
      <c r="J300" s="17"/>
      <c r="K300" s="18">
        <f t="shared" si="218"/>
        <v>0</v>
      </c>
      <c r="L300" s="34"/>
      <c r="M300" s="16"/>
      <c r="N300" s="16"/>
      <c r="O300" s="17"/>
      <c r="P300" s="18">
        <f t="shared" si="219"/>
        <v>0</v>
      </c>
      <c r="Q300" s="34"/>
      <c r="R300" s="16"/>
      <c r="S300" s="16"/>
      <c r="T300" s="17"/>
      <c r="U300" s="18">
        <f t="shared" si="220"/>
        <v>0</v>
      </c>
      <c r="V300" s="34"/>
      <c r="W300" s="16"/>
      <c r="X300" s="16"/>
      <c r="Y300" s="17"/>
      <c r="Z300" s="18">
        <f t="shared" si="221"/>
        <v>0</v>
      </c>
      <c r="AA300" s="34"/>
      <c r="AB300" s="16"/>
      <c r="AC300" s="16"/>
      <c r="AD300" s="17"/>
      <c r="AE300" s="18">
        <f t="shared" si="222"/>
        <v>0</v>
      </c>
      <c r="AF300" s="34"/>
      <c r="AG300" s="16"/>
      <c r="AH300" s="16"/>
      <c r="AI300" s="17"/>
      <c r="AJ300" s="18">
        <f t="shared" si="223"/>
        <v>0</v>
      </c>
      <c r="AK300" s="34"/>
      <c r="AL300" s="16"/>
      <c r="AM300" s="16"/>
      <c r="AN300" s="17"/>
      <c r="AO300" s="18">
        <f t="shared" si="224"/>
        <v>0</v>
      </c>
      <c r="AP300" s="34">
        <v>1</v>
      </c>
      <c r="AQ300" s="16"/>
      <c r="AR300" s="16"/>
      <c r="AS300" s="17"/>
      <c r="AT300" s="18">
        <f t="shared" si="225"/>
        <v>1</v>
      </c>
      <c r="AU300" s="34">
        <v>1</v>
      </c>
      <c r="AV300" s="16"/>
      <c r="AW300" s="16"/>
      <c r="AX300" s="17"/>
      <c r="AY300" s="18">
        <f t="shared" si="226"/>
        <v>1</v>
      </c>
      <c r="AZ300" s="34">
        <v>4</v>
      </c>
      <c r="BA300" s="16"/>
      <c r="BB300" s="16"/>
      <c r="BC300" s="17"/>
      <c r="BD300" s="18">
        <f t="shared" si="227"/>
        <v>4</v>
      </c>
      <c r="BE300" s="34">
        <v>1</v>
      </c>
      <c r="BF300" s="16"/>
      <c r="BG300" s="16"/>
      <c r="BH300" s="17"/>
      <c r="BI300" s="18">
        <f t="shared" si="228"/>
        <v>1</v>
      </c>
      <c r="BJ300" s="34">
        <v>1</v>
      </c>
      <c r="BK300" s="16"/>
      <c r="BL300" s="16"/>
      <c r="BM300" s="17"/>
      <c r="BN300" s="18">
        <f t="shared" si="229"/>
        <v>1</v>
      </c>
      <c r="BO300" s="70">
        <f>SUM(G300,L300,Q300,V300,AA300,AF300,AK300,AP300,AU300,AZ300,BE300,BJ300)</f>
        <v>8</v>
      </c>
      <c r="BP300" s="16">
        <f>SUM(H300,M300,R300,W300,AB300,AG300,AL300,AQ300,AV300,BA300,BF300,BK300)</f>
        <v>0</v>
      </c>
      <c r="BQ300" s="16">
        <f>SUM(I300,N300,S300,X300,AC300,AH300,AM300,AR300,AW300,BB300,BG300,BL300)</f>
        <v>0</v>
      </c>
      <c r="BR300" s="17">
        <f>SUM(J300,O300,T300,Y300,AD300,AI300,AN300,AS300,AX300,BC300,BH300,BM300)</f>
        <v>0</v>
      </c>
      <c r="BS300" s="35">
        <f t="shared" si="189"/>
        <v>8</v>
      </c>
    </row>
    <row r="301" spans="2:71" x14ac:dyDescent="0.3">
      <c r="B301" s="269"/>
      <c r="C301" s="215"/>
      <c r="D301" s="216"/>
      <c r="E301" s="220"/>
      <c r="F301" s="123" t="s">
        <v>172</v>
      </c>
      <c r="G301" s="34">
        <v>72</v>
      </c>
      <c r="H301" s="16"/>
      <c r="I301" s="16">
        <v>48</v>
      </c>
      <c r="J301" s="151">
        <v>16</v>
      </c>
      <c r="K301" s="18">
        <f t="shared" si="218"/>
        <v>136</v>
      </c>
      <c r="L301" s="34">
        <v>163</v>
      </c>
      <c r="M301" s="16"/>
      <c r="N301" s="16">
        <v>87</v>
      </c>
      <c r="O301" s="151">
        <v>33</v>
      </c>
      <c r="P301" s="18">
        <f t="shared" si="194"/>
        <v>283</v>
      </c>
      <c r="Q301" s="34">
        <v>77</v>
      </c>
      <c r="R301" s="16"/>
      <c r="S301" s="16">
        <v>46</v>
      </c>
      <c r="T301" s="151">
        <v>13</v>
      </c>
      <c r="U301" s="18">
        <f t="shared" si="195"/>
        <v>136</v>
      </c>
      <c r="V301" s="34"/>
      <c r="W301" s="16"/>
      <c r="X301" s="16"/>
      <c r="Y301" s="17"/>
      <c r="Z301" s="18">
        <f t="shared" si="196"/>
        <v>0</v>
      </c>
      <c r="AA301" s="34"/>
      <c r="AB301" s="16"/>
      <c r="AC301" s="16"/>
      <c r="AD301" s="17"/>
      <c r="AE301" s="18">
        <f t="shared" si="197"/>
        <v>0</v>
      </c>
      <c r="AF301" s="34"/>
      <c r="AG301" s="16"/>
      <c r="AH301" s="16"/>
      <c r="AI301" s="17"/>
      <c r="AJ301" s="18">
        <f t="shared" si="198"/>
        <v>0</v>
      </c>
      <c r="AK301" s="34"/>
      <c r="AL301" s="16"/>
      <c r="AM301" s="16"/>
      <c r="AN301" s="17"/>
      <c r="AO301" s="18">
        <f t="shared" si="199"/>
        <v>0</v>
      </c>
      <c r="AP301" s="34"/>
      <c r="AQ301" s="16"/>
      <c r="AR301" s="16"/>
      <c r="AS301" s="17"/>
      <c r="AT301" s="18">
        <f t="shared" si="200"/>
        <v>0</v>
      </c>
      <c r="AU301" s="34"/>
      <c r="AV301" s="16"/>
      <c r="AW301" s="16"/>
      <c r="AX301" s="17"/>
      <c r="AY301" s="18">
        <f t="shared" si="201"/>
        <v>0</v>
      </c>
      <c r="AZ301" s="34"/>
      <c r="BA301" s="16"/>
      <c r="BB301" s="16"/>
      <c r="BC301" s="17"/>
      <c r="BD301" s="18">
        <f t="shared" si="202"/>
        <v>0</v>
      </c>
      <c r="BE301" s="34"/>
      <c r="BF301" s="16"/>
      <c r="BG301" s="16"/>
      <c r="BH301" s="17"/>
      <c r="BI301" s="18">
        <f t="shared" si="203"/>
        <v>0</v>
      </c>
      <c r="BJ301" s="34"/>
      <c r="BK301" s="16"/>
      <c r="BL301" s="16"/>
      <c r="BM301" s="17"/>
      <c r="BN301" s="18">
        <f t="shared" si="204"/>
        <v>0</v>
      </c>
      <c r="BO301" s="70">
        <f>SUM(G301,L301,Q301,V301,AA301,AF301,AK301,AP301,AU301,AZ301,BE301,BJ301)</f>
        <v>312</v>
      </c>
      <c r="BP301" s="16">
        <f>SUM(H301,M301,R301,W301,AB301,AG301,AL301,AQ301,AV301,BA301,BF301,BK301)</f>
        <v>0</v>
      </c>
      <c r="BQ301" s="16">
        <f>SUM(I301,N301,S301,X301,AC301,AH301,AM301,AR301,AW301,BB301,BG301,BL301)</f>
        <v>181</v>
      </c>
      <c r="BR301" s="17">
        <f>SUM(J301,O301,T301,Y301,AD301,AI301,AN301,AS301,AX301,BC301,BH301,BM301)</f>
        <v>62</v>
      </c>
      <c r="BS301" s="35">
        <f t="shared" si="189"/>
        <v>555</v>
      </c>
    </row>
    <row r="302" spans="2:71" x14ac:dyDescent="0.3">
      <c r="B302" s="269"/>
      <c r="C302" s="215"/>
      <c r="D302" s="216"/>
      <c r="E302" s="220"/>
      <c r="F302" s="123" t="s">
        <v>246</v>
      </c>
      <c r="G302" s="34">
        <v>136</v>
      </c>
      <c r="H302" s="16"/>
      <c r="I302" s="16">
        <v>95</v>
      </c>
      <c r="J302" s="17"/>
      <c r="K302" s="18">
        <f t="shared" si="218"/>
        <v>231</v>
      </c>
      <c r="L302" s="34">
        <v>482</v>
      </c>
      <c r="M302" s="16"/>
      <c r="N302" s="16">
        <v>357</v>
      </c>
      <c r="O302" s="17"/>
      <c r="P302" s="18">
        <f t="shared" si="194"/>
        <v>839</v>
      </c>
      <c r="Q302" s="34">
        <v>1049</v>
      </c>
      <c r="R302" s="16"/>
      <c r="S302" s="16">
        <v>774</v>
      </c>
      <c r="T302" s="17"/>
      <c r="U302" s="18">
        <f t="shared" si="195"/>
        <v>1823</v>
      </c>
      <c r="V302" s="34">
        <v>1500</v>
      </c>
      <c r="W302" s="16"/>
      <c r="X302" s="16">
        <v>1185</v>
      </c>
      <c r="Y302" s="17"/>
      <c r="Z302" s="18">
        <f t="shared" si="196"/>
        <v>2685</v>
      </c>
      <c r="AA302" s="34">
        <v>749</v>
      </c>
      <c r="AB302" s="16"/>
      <c r="AC302" s="16">
        <v>595</v>
      </c>
      <c r="AD302" s="17"/>
      <c r="AE302" s="18">
        <f t="shared" si="197"/>
        <v>1344</v>
      </c>
      <c r="AF302" s="34">
        <v>1043</v>
      </c>
      <c r="AG302" s="16"/>
      <c r="AH302" s="16">
        <v>713</v>
      </c>
      <c r="AI302" s="17"/>
      <c r="AJ302" s="18">
        <f t="shared" si="198"/>
        <v>1756</v>
      </c>
      <c r="AK302" s="34">
        <v>1039</v>
      </c>
      <c r="AL302" s="16"/>
      <c r="AM302" s="16">
        <v>717</v>
      </c>
      <c r="AN302" s="17"/>
      <c r="AO302" s="18">
        <f t="shared" si="199"/>
        <v>1756</v>
      </c>
      <c r="AP302" s="34">
        <v>21</v>
      </c>
      <c r="AQ302" s="16"/>
      <c r="AR302" s="16">
        <v>13</v>
      </c>
      <c r="AS302" s="17"/>
      <c r="AT302" s="18">
        <f t="shared" si="200"/>
        <v>34</v>
      </c>
      <c r="AU302" s="34">
        <v>1</v>
      </c>
      <c r="AV302" s="16"/>
      <c r="AW302" s="16">
        <v>1</v>
      </c>
      <c r="AX302" s="17"/>
      <c r="AY302" s="18">
        <f t="shared" si="201"/>
        <v>2</v>
      </c>
      <c r="AZ302" s="34"/>
      <c r="BA302" s="16"/>
      <c r="BB302" s="16"/>
      <c r="BC302" s="17"/>
      <c r="BD302" s="18">
        <f t="shared" si="202"/>
        <v>0</v>
      </c>
      <c r="BE302" s="34"/>
      <c r="BF302" s="16"/>
      <c r="BG302" s="16"/>
      <c r="BH302" s="17"/>
      <c r="BI302" s="18">
        <f t="shared" si="203"/>
        <v>0</v>
      </c>
      <c r="BJ302" s="34"/>
      <c r="BK302" s="16"/>
      <c r="BL302" s="16"/>
      <c r="BM302" s="17"/>
      <c r="BN302" s="18">
        <f t="shared" si="204"/>
        <v>0</v>
      </c>
      <c r="BO302" s="70">
        <f>SUM(G302,L302,Q302,V302,AA302,AF302,AK302,AP302,AU302,AZ302,BE302,BJ302)</f>
        <v>6020</v>
      </c>
      <c r="BP302" s="16">
        <f>SUM(H302,M302,R302,W302,AB302,AG302,AL302,AQ302,AV302,BA302,BF302,BK302)</f>
        <v>0</v>
      </c>
      <c r="BQ302" s="16">
        <f>SUM(I302,N302,S302,X302,AC302,AH302,AM302,AR302,AW302,BB302,BG302,BL302)</f>
        <v>4450</v>
      </c>
      <c r="BR302" s="17">
        <f>SUM(J302,O302,T302,Y302,AD302,AI302,AN302,AS302,AX302,BC302,BH302,BM302)</f>
        <v>0</v>
      </c>
      <c r="BS302" s="35">
        <f t="shared" si="189"/>
        <v>10470</v>
      </c>
    </row>
    <row r="303" spans="2:71" x14ac:dyDescent="0.3">
      <c r="B303" s="269"/>
      <c r="C303" s="215"/>
      <c r="D303" s="216"/>
      <c r="E303" s="220"/>
      <c r="F303" s="123" t="s">
        <v>517</v>
      </c>
      <c r="G303" s="34"/>
      <c r="H303" s="16"/>
      <c r="I303" s="16"/>
      <c r="J303" s="17"/>
      <c r="K303" s="18">
        <f t="shared" si="218"/>
        <v>0</v>
      </c>
      <c r="L303" s="34"/>
      <c r="M303" s="16"/>
      <c r="N303" s="16"/>
      <c r="O303" s="17"/>
      <c r="P303" s="18">
        <f t="shared" ref="P303" si="230">SUM(L303:O303)</f>
        <v>0</v>
      </c>
      <c r="Q303" s="34"/>
      <c r="R303" s="16"/>
      <c r="S303" s="16"/>
      <c r="T303" s="17"/>
      <c r="U303" s="18">
        <f t="shared" ref="U303" si="231">SUM(Q303:T303)</f>
        <v>0</v>
      </c>
      <c r="V303" s="34"/>
      <c r="W303" s="16"/>
      <c r="X303" s="16"/>
      <c r="Y303" s="17"/>
      <c r="Z303" s="18">
        <f t="shared" ref="Z303" si="232">SUM(V303:Y303)</f>
        <v>0</v>
      </c>
      <c r="AA303" s="34"/>
      <c r="AB303" s="16"/>
      <c r="AC303" s="16"/>
      <c r="AD303" s="17"/>
      <c r="AE303" s="18">
        <f t="shared" ref="AE303" si="233">SUM(AA303:AD303)</f>
        <v>0</v>
      </c>
      <c r="AF303" s="34"/>
      <c r="AG303" s="16"/>
      <c r="AH303" s="16"/>
      <c r="AI303" s="17"/>
      <c r="AJ303" s="18">
        <f t="shared" ref="AJ303" si="234">SUM(AF303:AI303)</f>
        <v>0</v>
      </c>
      <c r="AK303" s="34"/>
      <c r="AL303" s="16"/>
      <c r="AM303" s="16"/>
      <c r="AN303" s="17"/>
      <c r="AO303" s="18">
        <f t="shared" ref="AO303" si="235">SUM(AK303:AN303)</f>
        <v>0</v>
      </c>
      <c r="AP303" s="34">
        <v>45</v>
      </c>
      <c r="AQ303" s="16"/>
      <c r="AR303" s="16">
        <v>32</v>
      </c>
      <c r="AS303" s="17"/>
      <c r="AT303" s="18">
        <f t="shared" ref="AT303" si="236">SUM(AP303:AS303)</f>
        <v>77</v>
      </c>
      <c r="AU303" s="34">
        <v>477</v>
      </c>
      <c r="AV303" s="16"/>
      <c r="AW303" s="16">
        <v>322</v>
      </c>
      <c r="AX303" s="17"/>
      <c r="AY303" s="18">
        <f t="shared" ref="AY303" si="237">SUM(AU303:AX303)</f>
        <v>799</v>
      </c>
      <c r="AZ303" s="34">
        <v>522</v>
      </c>
      <c r="BA303" s="16"/>
      <c r="BB303" s="16">
        <v>342</v>
      </c>
      <c r="BC303" s="17"/>
      <c r="BD303" s="18">
        <f t="shared" ref="BD303" si="238">SUM(AZ303:BC303)</f>
        <v>864</v>
      </c>
      <c r="BE303" s="34">
        <v>580</v>
      </c>
      <c r="BF303" s="16"/>
      <c r="BG303" s="16">
        <v>394</v>
      </c>
      <c r="BH303" s="17"/>
      <c r="BI303" s="18">
        <f t="shared" ref="BI303" si="239">SUM(BE303:BH303)</f>
        <v>974</v>
      </c>
      <c r="BJ303" s="34">
        <v>227</v>
      </c>
      <c r="BK303" s="16"/>
      <c r="BL303" s="16">
        <v>153</v>
      </c>
      <c r="BM303" s="17"/>
      <c r="BN303" s="18">
        <f t="shared" ref="BN303" si="240">SUM(BJ303:BM303)</f>
        <v>380</v>
      </c>
      <c r="BO303" s="70">
        <f>SUM(G303,L303,Q303,V303,AA303,AF303,AK303,AP303,AU303,AZ303,BE303,BJ303)</f>
        <v>1851</v>
      </c>
      <c r="BP303" s="16">
        <f>SUM(H303,M303,R303,W303,AB303,AG303,AL303,AQ303,AV303,BA303,BF303,BK303)</f>
        <v>0</v>
      </c>
      <c r="BQ303" s="16">
        <f>SUM(I303,N303,S303,X303,AC303,AH303,AM303,AR303,AW303,BB303,BG303,BL303)</f>
        <v>1243</v>
      </c>
      <c r="BR303" s="17">
        <f>SUM(J303,O303,T303,Y303,AD303,AI303,AN303,AS303,AX303,BC303,BH303,BM303)</f>
        <v>0</v>
      </c>
      <c r="BS303" s="35">
        <f t="shared" si="189"/>
        <v>3094</v>
      </c>
    </row>
    <row r="304" spans="2:71" x14ac:dyDescent="0.3">
      <c r="B304" s="269"/>
      <c r="C304" s="215"/>
      <c r="D304" s="216"/>
      <c r="E304" s="220"/>
      <c r="F304" s="123" t="s">
        <v>247</v>
      </c>
      <c r="G304" s="34"/>
      <c r="H304" s="16"/>
      <c r="I304" s="16"/>
      <c r="J304" s="17"/>
      <c r="K304" s="18">
        <f t="shared" si="218"/>
        <v>0</v>
      </c>
      <c r="L304" s="34">
        <v>72</v>
      </c>
      <c r="M304" s="16"/>
      <c r="N304" s="16">
        <v>56</v>
      </c>
      <c r="O304" s="17"/>
      <c r="P304" s="18">
        <f t="shared" si="194"/>
        <v>128</v>
      </c>
      <c r="Q304" s="34">
        <v>147</v>
      </c>
      <c r="R304" s="16"/>
      <c r="S304" s="16">
        <v>116</v>
      </c>
      <c r="T304" s="17"/>
      <c r="U304" s="18">
        <f t="shared" si="195"/>
        <v>263</v>
      </c>
      <c r="V304" s="34"/>
      <c r="W304" s="16"/>
      <c r="X304" s="16"/>
      <c r="Y304" s="17"/>
      <c r="Z304" s="18">
        <f t="shared" si="196"/>
        <v>0</v>
      </c>
      <c r="AA304" s="34"/>
      <c r="AB304" s="16"/>
      <c r="AC304" s="16"/>
      <c r="AD304" s="17"/>
      <c r="AE304" s="18">
        <f t="shared" si="197"/>
        <v>0</v>
      </c>
      <c r="AF304" s="34"/>
      <c r="AG304" s="16"/>
      <c r="AH304" s="16"/>
      <c r="AI304" s="17"/>
      <c r="AJ304" s="18">
        <f t="shared" si="198"/>
        <v>0</v>
      </c>
      <c r="AK304" s="34"/>
      <c r="AL304" s="16"/>
      <c r="AM304" s="16"/>
      <c r="AN304" s="17"/>
      <c r="AO304" s="18">
        <f t="shared" si="199"/>
        <v>0</v>
      </c>
      <c r="AP304" s="34"/>
      <c r="AQ304" s="16"/>
      <c r="AR304" s="16"/>
      <c r="AS304" s="17"/>
      <c r="AT304" s="18">
        <f t="shared" si="200"/>
        <v>0</v>
      </c>
      <c r="AU304" s="34"/>
      <c r="AV304" s="16"/>
      <c r="AW304" s="16"/>
      <c r="AX304" s="17"/>
      <c r="AY304" s="18">
        <f t="shared" si="201"/>
        <v>0</v>
      </c>
      <c r="AZ304" s="34"/>
      <c r="BA304" s="16"/>
      <c r="BB304" s="16"/>
      <c r="BC304" s="17"/>
      <c r="BD304" s="18">
        <f t="shared" si="202"/>
        <v>0</v>
      </c>
      <c r="BE304" s="34"/>
      <c r="BF304" s="16"/>
      <c r="BG304" s="16"/>
      <c r="BH304" s="17"/>
      <c r="BI304" s="18">
        <f t="shared" si="203"/>
        <v>0</v>
      </c>
      <c r="BJ304" s="34"/>
      <c r="BK304" s="16"/>
      <c r="BL304" s="16"/>
      <c r="BM304" s="17"/>
      <c r="BN304" s="18">
        <f t="shared" si="204"/>
        <v>0</v>
      </c>
      <c r="BO304" s="70">
        <f>SUM(G304,L304,Q304,V304,AA304,AF304,AK304,AP304,AU304,AZ304,BE304,BJ304)</f>
        <v>219</v>
      </c>
      <c r="BP304" s="16">
        <f>SUM(H304,M304,R304,W304,AB304,AG304,AL304,AQ304,AV304,BA304,BF304,BK304)</f>
        <v>0</v>
      </c>
      <c r="BQ304" s="16">
        <f>SUM(I304,N304,S304,X304,AC304,AH304,AM304,AR304,AW304,BB304,BG304,BL304)</f>
        <v>172</v>
      </c>
      <c r="BR304" s="17">
        <f>SUM(J304,O304,T304,Y304,AD304,AI304,AN304,AS304,AX304,BC304,BH304,BM304)</f>
        <v>0</v>
      </c>
      <c r="BS304" s="35">
        <f t="shared" si="189"/>
        <v>391</v>
      </c>
    </row>
    <row r="305" spans="2:71" x14ac:dyDescent="0.3">
      <c r="B305" s="269"/>
      <c r="C305" s="215"/>
      <c r="D305" s="216"/>
      <c r="E305" s="220"/>
      <c r="F305" s="123" t="s">
        <v>518</v>
      </c>
      <c r="G305" s="34"/>
      <c r="H305" s="16"/>
      <c r="I305" s="16"/>
      <c r="J305" s="17"/>
      <c r="K305" s="18">
        <f t="shared" si="218"/>
        <v>0</v>
      </c>
      <c r="L305" s="34"/>
      <c r="M305" s="16"/>
      <c r="N305" s="16"/>
      <c r="O305" s="17"/>
      <c r="P305" s="18">
        <f t="shared" ref="P305" si="241">SUM(L305:O305)</f>
        <v>0</v>
      </c>
      <c r="Q305" s="34">
        <v>31</v>
      </c>
      <c r="R305" s="16"/>
      <c r="S305" s="16">
        <v>24</v>
      </c>
      <c r="T305" s="17"/>
      <c r="U305" s="18">
        <f t="shared" ref="U305" si="242">SUM(Q305:T305)</f>
        <v>55</v>
      </c>
      <c r="V305" s="34">
        <v>68</v>
      </c>
      <c r="W305" s="16"/>
      <c r="X305" s="16">
        <v>56</v>
      </c>
      <c r="Y305" s="17"/>
      <c r="Z305" s="18">
        <f t="shared" ref="Z305" si="243">SUM(V305:Y305)</f>
        <v>124</v>
      </c>
      <c r="AA305" s="34">
        <v>98</v>
      </c>
      <c r="AB305" s="16"/>
      <c r="AC305" s="16">
        <v>61</v>
      </c>
      <c r="AD305" s="17"/>
      <c r="AE305" s="18">
        <f t="shared" ref="AE305" si="244">SUM(AA305:AD305)</f>
        <v>159</v>
      </c>
      <c r="AF305" s="34">
        <v>8</v>
      </c>
      <c r="AG305" s="16"/>
      <c r="AH305" s="16">
        <v>6</v>
      </c>
      <c r="AI305" s="17"/>
      <c r="AJ305" s="18">
        <f t="shared" ref="AJ305" si="245">SUM(AF305:AI305)</f>
        <v>14</v>
      </c>
      <c r="AK305" s="34">
        <v>69</v>
      </c>
      <c r="AL305" s="16"/>
      <c r="AM305" s="16">
        <v>53</v>
      </c>
      <c r="AN305" s="17"/>
      <c r="AO305" s="18">
        <f t="shared" ref="AO305" si="246">SUM(AK305:AN305)</f>
        <v>122</v>
      </c>
      <c r="AP305" s="34">
        <v>18</v>
      </c>
      <c r="AQ305" s="16"/>
      <c r="AR305" s="16">
        <v>18</v>
      </c>
      <c r="AS305" s="17"/>
      <c r="AT305" s="18">
        <f t="shared" ref="AT305" si="247">SUM(AP305:AS305)</f>
        <v>36</v>
      </c>
      <c r="AU305" s="34">
        <v>84</v>
      </c>
      <c r="AV305" s="16"/>
      <c r="AW305" s="16">
        <v>63</v>
      </c>
      <c r="AX305" s="17"/>
      <c r="AY305" s="18">
        <f t="shared" ref="AY305" si="248">SUM(AU305:AX305)</f>
        <v>147</v>
      </c>
      <c r="AZ305" s="34">
        <v>17</v>
      </c>
      <c r="BA305" s="16"/>
      <c r="BB305" s="16">
        <v>16</v>
      </c>
      <c r="BC305" s="17"/>
      <c r="BD305" s="18">
        <f t="shared" ref="BD305" si="249">SUM(AZ305:BC305)</f>
        <v>33</v>
      </c>
      <c r="BE305" s="34">
        <v>11</v>
      </c>
      <c r="BF305" s="16"/>
      <c r="BG305" s="16">
        <v>5</v>
      </c>
      <c r="BH305" s="17"/>
      <c r="BI305" s="18">
        <f t="shared" ref="BI305" si="250">SUM(BE305:BH305)</f>
        <v>16</v>
      </c>
      <c r="BJ305" s="34">
        <v>20</v>
      </c>
      <c r="BK305" s="16"/>
      <c r="BL305" s="16">
        <v>12</v>
      </c>
      <c r="BM305" s="17"/>
      <c r="BN305" s="18">
        <f t="shared" ref="BN305" si="251">SUM(BJ305:BM305)</f>
        <v>32</v>
      </c>
      <c r="BO305" s="70">
        <f>SUM(G305,L305,Q305,V305,AA305,AF305,AK305,AP305,AU305,AZ305,BE305,BJ305)</f>
        <v>424</v>
      </c>
      <c r="BP305" s="16">
        <f>SUM(H305,M305,R305,W305,AB305,AG305,AL305,AQ305,AV305,BA305,BF305,BK305)</f>
        <v>0</v>
      </c>
      <c r="BQ305" s="16">
        <f>SUM(I305,N305,S305,X305,AC305,AH305,AM305,AR305,AW305,BB305,BG305,BL305)</f>
        <v>314</v>
      </c>
      <c r="BR305" s="17">
        <f>SUM(J305,O305,T305,Y305,AD305,AI305,AN305,AS305,AX305,BC305,BH305,BM305)</f>
        <v>0</v>
      </c>
      <c r="BS305" s="35">
        <f t="shared" si="189"/>
        <v>738</v>
      </c>
    </row>
    <row r="306" spans="2:71" x14ac:dyDescent="0.3">
      <c r="B306" s="269"/>
      <c r="C306" s="215"/>
      <c r="D306" s="216"/>
      <c r="E306" s="220"/>
      <c r="F306" s="123" t="s">
        <v>300</v>
      </c>
      <c r="G306" s="34"/>
      <c r="H306" s="16"/>
      <c r="I306" s="16"/>
      <c r="J306" s="17"/>
      <c r="K306" s="18">
        <f t="shared" si="218"/>
        <v>0</v>
      </c>
      <c r="L306" s="34"/>
      <c r="M306" s="16"/>
      <c r="N306" s="16"/>
      <c r="O306" s="17"/>
      <c r="P306" s="18">
        <f t="shared" si="194"/>
        <v>0</v>
      </c>
      <c r="Q306" s="34"/>
      <c r="R306" s="16"/>
      <c r="S306" s="16"/>
      <c r="T306" s="17"/>
      <c r="U306" s="18">
        <f t="shared" si="195"/>
        <v>0</v>
      </c>
      <c r="V306" s="34">
        <v>1767</v>
      </c>
      <c r="W306" s="16"/>
      <c r="X306" s="16">
        <v>992</v>
      </c>
      <c r="Y306" s="151">
        <v>398</v>
      </c>
      <c r="Z306" s="18">
        <f t="shared" si="196"/>
        <v>3157</v>
      </c>
      <c r="AA306" s="34"/>
      <c r="AB306" s="16"/>
      <c r="AC306" s="16"/>
      <c r="AD306" s="17"/>
      <c r="AE306" s="18">
        <f t="shared" si="197"/>
        <v>0</v>
      </c>
      <c r="AF306" s="34"/>
      <c r="AG306" s="16"/>
      <c r="AH306" s="16"/>
      <c r="AI306" s="17"/>
      <c r="AJ306" s="18">
        <f t="shared" si="198"/>
        <v>0</v>
      </c>
      <c r="AK306" s="34"/>
      <c r="AL306" s="16"/>
      <c r="AM306" s="16"/>
      <c r="AN306" s="17"/>
      <c r="AO306" s="18">
        <f t="shared" si="199"/>
        <v>0</v>
      </c>
      <c r="AP306" s="34"/>
      <c r="AQ306" s="16"/>
      <c r="AR306" s="16"/>
      <c r="AS306" s="17"/>
      <c r="AT306" s="18">
        <f t="shared" si="200"/>
        <v>0</v>
      </c>
      <c r="AU306" s="34">
        <v>1210</v>
      </c>
      <c r="AV306" s="16"/>
      <c r="AW306" s="16">
        <v>574</v>
      </c>
      <c r="AX306" s="151">
        <v>311</v>
      </c>
      <c r="AY306" s="18">
        <f t="shared" si="201"/>
        <v>2095</v>
      </c>
      <c r="AZ306" s="34"/>
      <c r="BA306" s="16"/>
      <c r="BB306" s="16"/>
      <c r="BC306" s="17"/>
      <c r="BD306" s="18">
        <f t="shared" si="202"/>
        <v>0</v>
      </c>
      <c r="BE306" s="34"/>
      <c r="BF306" s="16"/>
      <c r="BG306" s="16"/>
      <c r="BH306" s="17"/>
      <c r="BI306" s="18">
        <f t="shared" si="203"/>
        <v>0</v>
      </c>
      <c r="BJ306" s="34"/>
      <c r="BK306" s="16"/>
      <c r="BL306" s="16"/>
      <c r="BM306" s="17"/>
      <c r="BN306" s="18">
        <f t="shared" si="204"/>
        <v>0</v>
      </c>
      <c r="BO306" s="70">
        <f>SUM(G306,L306,Q306,V306,AA306,AF306,AK306,AP306,AU306,AZ306,BE306,BJ306)</f>
        <v>2977</v>
      </c>
      <c r="BP306" s="16">
        <f>SUM(H306,M306,R306,W306,AB306,AG306,AL306,AQ306,AV306,BA306,BF306,BK306)</f>
        <v>0</v>
      </c>
      <c r="BQ306" s="16">
        <f>SUM(I306,N306,S306,X306,AC306,AH306,AM306,AR306,AW306,BB306,BG306,BL306)</f>
        <v>1566</v>
      </c>
      <c r="BR306" s="17">
        <f>SUM(J306,O306,T306,Y306,AD306,AI306,AN306,AS306,AX306,BC306,BH306,BM306)</f>
        <v>709</v>
      </c>
      <c r="BS306" s="35">
        <f t="shared" si="189"/>
        <v>5252</v>
      </c>
    </row>
    <row r="307" spans="2:71" x14ac:dyDescent="0.3">
      <c r="B307" s="269"/>
      <c r="C307" s="215"/>
      <c r="D307" s="216"/>
      <c r="E307" s="220"/>
      <c r="F307" s="123" t="s">
        <v>390</v>
      </c>
      <c r="G307" s="34"/>
      <c r="H307" s="16"/>
      <c r="I307" s="16"/>
      <c r="J307" s="17"/>
      <c r="K307" s="18">
        <f t="shared" si="218"/>
        <v>0</v>
      </c>
      <c r="L307" s="34"/>
      <c r="M307" s="16"/>
      <c r="N307" s="16"/>
      <c r="O307" s="17"/>
      <c r="P307" s="18">
        <f t="shared" si="194"/>
        <v>0</v>
      </c>
      <c r="Q307" s="34"/>
      <c r="R307" s="16"/>
      <c r="S307" s="16"/>
      <c r="T307" s="17"/>
      <c r="U307" s="18">
        <f t="shared" si="195"/>
        <v>0</v>
      </c>
      <c r="V307" s="34">
        <v>18</v>
      </c>
      <c r="W307" s="16"/>
      <c r="X307" s="16"/>
      <c r="Y307" s="17"/>
      <c r="Z307" s="18">
        <f t="shared" si="196"/>
        <v>18</v>
      </c>
      <c r="AA307" s="34"/>
      <c r="AB307" s="16"/>
      <c r="AC307" s="16"/>
      <c r="AD307" s="17"/>
      <c r="AE307" s="18">
        <f t="shared" si="197"/>
        <v>0</v>
      </c>
      <c r="AF307" s="34"/>
      <c r="AG307" s="16"/>
      <c r="AH307" s="16"/>
      <c r="AI307" s="17"/>
      <c r="AJ307" s="18">
        <f t="shared" si="198"/>
        <v>0</v>
      </c>
      <c r="AK307" s="34"/>
      <c r="AL307" s="16"/>
      <c r="AM307" s="16"/>
      <c r="AN307" s="17"/>
      <c r="AO307" s="18">
        <f t="shared" si="199"/>
        <v>0</v>
      </c>
      <c r="AP307" s="34"/>
      <c r="AQ307" s="16"/>
      <c r="AR307" s="16"/>
      <c r="AS307" s="17"/>
      <c r="AT307" s="18">
        <f t="shared" si="200"/>
        <v>0</v>
      </c>
      <c r="AU307" s="34">
        <v>10</v>
      </c>
      <c r="AV307" s="16"/>
      <c r="AW307" s="16"/>
      <c r="AX307" s="17"/>
      <c r="AY307" s="18">
        <f t="shared" si="201"/>
        <v>10</v>
      </c>
      <c r="AZ307" s="34"/>
      <c r="BA307" s="16"/>
      <c r="BB307" s="16"/>
      <c r="BC307" s="17"/>
      <c r="BD307" s="18">
        <f t="shared" si="202"/>
        <v>0</v>
      </c>
      <c r="BE307" s="34"/>
      <c r="BF307" s="16"/>
      <c r="BG307" s="16"/>
      <c r="BH307" s="17"/>
      <c r="BI307" s="18">
        <f t="shared" si="203"/>
        <v>0</v>
      </c>
      <c r="BJ307" s="34"/>
      <c r="BK307" s="16"/>
      <c r="BL307" s="16"/>
      <c r="BM307" s="17"/>
      <c r="BN307" s="18">
        <f t="shared" si="204"/>
        <v>0</v>
      </c>
      <c r="BO307" s="70">
        <f>SUM(G307,L307,Q307,V307,AA307,AF307,AK307,AP307,AU307,AZ307,BE307,BJ307)</f>
        <v>28</v>
      </c>
      <c r="BP307" s="16">
        <f>SUM(H307,M307,R307,W307,AB307,AG307,AL307,AQ307,AV307,BA307,BF307,BK307)</f>
        <v>0</v>
      </c>
      <c r="BQ307" s="16">
        <f>SUM(I307,N307,S307,X307,AC307,AH307,AM307,AR307,AW307,BB307,BG307,BL307)</f>
        <v>0</v>
      </c>
      <c r="BR307" s="17">
        <f>SUM(J307,O307,T307,Y307,AD307,AI307,AN307,AS307,AX307,BC307,BH307,BM307)</f>
        <v>0</v>
      </c>
      <c r="BS307" s="35">
        <f t="shared" si="189"/>
        <v>28</v>
      </c>
    </row>
    <row r="308" spans="2:71" x14ac:dyDescent="0.3">
      <c r="B308" s="269"/>
      <c r="C308" s="215"/>
      <c r="D308" s="216"/>
      <c r="E308" s="220"/>
      <c r="F308" s="123" t="s">
        <v>409</v>
      </c>
      <c r="G308" s="34">
        <v>5</v>
      </c>
      <c r="H308" s="16"/>
      <c r="I308" s="16">
        <v>2</v>
      </c>
      <c r="J308" s="151">
        <v>1</v>
      </c>
      <c r="K308" s="18">
        <f t="shared" si="218"/>
        <v>8</v>
      </c>
      <c r="L308" s="34">
        <v>2</v>
      </c>
      <c r="M308" s="16"/>
      <c r="N308" s="16"/>
      <c r="O308" s="151">
        <v>1</v>
      </c>
      <c r="P308" s="18">
        <f t="shared" si="194"/>
        <v>3</v>
      </c>
      <c r="Q308" s="34"/>
      <c r="R308" s="16"/>
      <c r="S308" s="16"/>
      <c r="T308" s="17"/>
      <c r="U308" s="18">
        <f t="shared" si="195"/>
        <v>0</v>
      </c>
      <c r="V308" s="34"/>
      <c r="W308" s="16"/>
      <c r="X308" s="16"/>
      <c r="Y308" s="17"/>
      <c r="Z308" s="18">
        <f t="shared" si="196"/>
        <v>0</v>
      </c>
      <c r="AA308" s="34"/>
      <c r="AB308" s="16"/>
      <c r="AC308" s="16"/>
      <c r="AD308" s="17"/>
      <c r="AE308" s="18">
        <f t="shared" si="197"/>
        <v>0</v>
      </c>
      <c r="AF308" s="34"/>
      <c r="AG308" s="16"/>
      <c r="AH308" s="16"/>
      <c r="AI308" s="17"/>
      <c r="AJ308" s="18">
        <f t="shared" si="198"/>
        <v>0</v>
      </c>
      <c r="AK308" s="34"/>
      <c r="AL308" s="16"/>
      <c r="AM308" s="16"/>
      <c r="AN308" s="17"/>
      <c r="AO308" s="18">
        <f t="shared" si="199"/>
        <v>0</v>
      </c>
      <c r="AP308" s="34"/>
      <c r="AQ308" s="16"/>
      <c r="AR308" s="16"/>
      <c r="AS308" s="17"/>
      <c r="AT308" s="18">
        <f t="shared" si="200"/>
        <v>0</v>
      </c>
      <c r="AU308" s="34"/>
      <c r="AV308" s="16"/>
      <c r="AW308" s="16"/>
      <c r="AX308" s="17"/>
      <c r="AY308" s="18">
        <f t="shared" si="201"/>
        <v>0</v>
      </c>
      <c r="AZ308" s="34"/>
      <c r="BA308" s="16"/>
      <c r="BB308" s="16"/>
      <c r="BC308" s="17"/>
      <c r="BD308" s="18">
        <f t="shared" si="202"/>
        <v>0</v>
      </c>
      <c r="BE308" s="34"/>
      <c r="BF308" s="16"/>
      <c r="BG308" s="16"/>
      <c r="BH308" s="17"/>
      <c r="BI308" s="18">
        <f t="shared" si="203"/>
        <v>0</v>
      </c>
      <c r="BJ308" s="34"/>
      <c r="BK308" s="16"/>
      <c r="BL308" s="16"/>
      <c r="BM308" s="17"/>
      <c r="BN308" s="18">
        <f t="shared" si="204"/>
        <v>0</v>
      </c>
      <c r="BO308" s="70">
        <f>SUM(G308,L308,Q308,V308,AA308,AF308,AK308,AP308,AU308,AZ308,BE308,BJ308)</f>
        <v>7</v>
      </c>
      <c r="BP308" s="16">
        <f>SUM(H308,M308,R308,W308,AB308,AG308,AL308,AQ308,AV308,BA308,BF308,BK308)</f>
        <v>0</v>
      </c>
      <c r="BQ308" s="16">
        <f>SUM(I308,N308,S308,X308,AC308,AH308,AM308,AR308,AW308,BB308,BG308,BL308)</f>
        <v>2</v>
      </c>
      <c r="BR308" s="17">
        <f>SUM(J308,O308,T308,Y308,AD308,AI308,AN308,AS308,AX308,BC308,BH308,BM308)</f>
        <v>2</v>
      </c>
      <c r="BS308" s="35">
        <f t="shared" si="189"/>
        <v>11</v>
      </c>
    </row>
    <row r="309" spans="2:71" x14ac:dyDescent="0.3">
      <c r="B309" s="269"/>
      <c r="C309" s="215"/>
      <c r="D309" s="216"/>
      <c r="E309" s="220"/>
      <c r="F309" s="123" t="s">
        <v>391</v>
      </c>
      <c r="G309" s="34">
        <v>6</v>
      </c>
      <c r="H309" s="16"/>
      <c r="I309" s="16">
        <v>3</v>
      </c>
      <c r="J309" s="151">
        <v>1</v>
      </c>
      <c r="K309" s="18">
        <f t="shared" si="218"/>
        <v>10</v>
      </c>
      <c r="L309" s="34">
        <v>7</v>
      </c>
      <c r="M309" s="16"/>
      <c r="N309" s="16">
        <v>10</v>
      </c>
      <c r="O309" s="151">
        <v>1</v>
      </c>
      <c r="P309" s="18">
        <f t="shared" si="194"/>
        <v>18</v>
      </c>
      <c r="Q309" s="34">
        <v>2</v>
      </c>
      <c r="R309" s="16"/>
      <c r="S309" s="16"/>
      <c r="T309" s="151">
        <v>2</v>
      </c>
      <c r="U309" s="18">
        <f t="shared" si="195"/>
        <v>4</v>
      </c>
      <c r="V309" s="34"/>
      <c r="W309" s="16"/>
      <c r="X309" s="16"/>
      <c r="Y309" s="17"/>
      <c r="Z309" s="18">
        <f t="shared" si="196"/>
        <v>0</v>
      </c>
      <c r="AA309" s="34"/>
      <c r="AB309" s="16"/>
      <c r="AC309" s="16"/>
      <c r="AD309" s="17"/>
      <c r="AE309" s="18">
        <f t="shared" si="197"/>
        <v>0</v>
      </c>
      <c r="AF309" s="34"/>
      <c r="AG309" s="16"/>
      <c r="AH309" s="16"/>
      <c r="AI309" s="17"/>
      <c r="AJ309" s="18">
        <f t="shared" si="198"/>
        <v>0</v>
      </c>
      <c r="AK309" s="34"/>
      <c r="AL309" s="16"/>
      <c r="AM309" s="16"/>
      <c r="AN309" s="17"/>
      <c r="AO309" s="18">
        <f t="shared" si="199"/>
        <v>0</v>
      </c>
      <c r="AP309" s="34"/>
      <c r="AQ309" s="16"/>
      <c r="AR309" s="16"/>
      <c r="AS309" s="17"/>
      <c r="AT309" s="18">
        <f t="shared" si="200"/>
        <v>0</v>
      </c>
      <c r="AU309" s="34"/>
      <c r="AV309" s="16"/>
      <c r="AW309" s="16"/>
      <c r="AX309" s="17"/>
      <c r="AY309" s="18">
        <f t="shared" si="201"/>
        <v>0</v>
      </c>
      <c r="AZ309" s="34"/>
      <c r="BA309" s="16"/>
      <c r="BB309" s="16"/>
      <c r="BC309" s="17"/>
      <c r="BD309" s="18">
        <f t="shared" si="202"/>
        <v>0</v>
      </c>
      <c r="BE309" s="34"/>
      <c r="BF309" s="16"/>
      <c r="BG309" s="16"/>
      <c r="BH309" s="17"/>
      <c r="BI309" s="18">
        <f t="shared" si="203"/>
        <v>0</v>
      </c>
      <c r="BJ309" s="34"/>
      <c r="BK309" s="16"/>
      <c r="BL309" s="16"/>
      <c r="BM309" s="17"/>
      <c r="BN309" s="18">
        <f t="shared" si="204"/>
        <v>0</v>
      </c>
      <c r="BO309" s="70">
        <f>SUM(G309,L309,Q309,V309,AA309,AF309,AK309,AP309,AU309,AZ309,BE309,BJ309)</f>
        <v>15</v>
      </c>
      <c r="BP309" s="16">
        <f>SUM(H309,M309,R309,W309,AB309,AG309,AL309,AQ309,AV309,BA309,BF309,BK309)</f>
        <v>0</v>
      </c>
      <c r="BQ309" s="16">
        <f>SUM(I309,N309,S309,X309,AC309,AH309,AM309,AR309,AW309,BB309,BG309,BL309)</f>
        <v>13</v>
      </c>
      <c r="BR309" s="17">
        <f>SUM(J309,O309,T309,Y309,AD309,AI309,AN309,AS309,AX309,BC309,BH309,BM309)</f>
        <v>4</v>
      </c>
      <c r="BS309" s="35">
        <f t="shared" si="189"/>
        <v>32</v>
      </c>
    </row>
    <row r="310" spans="2:71" x14ac:dyDescent="0.3">
      <c r="B310" s="269"/>
      <c r="C310" s="215"/>
      <c r="D310" s="216"/>
      <c r="E310" s="220"/>
      <c r="F310" s="123" t="s">
        <v>519</v>
      </c>
      <c r="G310" s="34"/>
      <c r="H310" s="16"/>
      <c r="I310" s="16"/>
      <c r="J310" s="287"/>
      <c r="K310" s="18">
        <f t="shared" si="218"/>
        <v>0</v>
      </c>
      <c r="L310" s="34"/>
      <c r="M310" s="16"/>
      <c r="N310" s="16"/>
      <c r="O310" s="287"/>
      <c r="P310" s="18">
        <f t="shared" si="194"/>
        <v>0</v>
      </c>
      <c r="Q310" s="34">
        <v>3</v>
      </c>
      <c r="R310" s="16"/>
      <c r="S310" s="16">
        <v>4</v>
      </c>
      <c r="T310" s="151">
        <v>1</v>
      </c>
      <c r="U310" s="18">
        <f t="shared" si="195"/>
        <v>8</v>
      </c>
      <c r="V310" s="34"/>
      <c r="W310" s="16"/>
      <c r="X310" s="16"/>
      <c r="Y310" s="17"/>
      <c r="Z310" s="18">
        <f t="shared" si="196"/>
        <v>0</v>
      </c>
      <c r="AA310" s="34">
        <v>4</v>
      </c>
      <c r="AB310" s="16"/>
      <c r="AC310" s="16">
        <v>5</v>
      </c>
      <c r="AD310" s="151">
        <v>2</v>
      </c>
      <c r="AE310" s="18">
        <f t="shared" si="197"/>
        <v>11</v>
      </c>
      <c r="AF310" s="34">
        <v>2</v>
      </c>
      <c r="AG310" s="16"/>
      <c r="AH310" s="16">
        <v>3</v>
      </c>
      <c r="AI310" s="151">
        <v>2</v>
      </c>
      <c r="AJ310" s="18">
        <f t="shared" si="198"/>
        <v>7</v>
      </c>
      <c r="AK310" s="34">
        <v>1</v>
      </c>
      <c r="AL310" s="16"/>
      <c r="AM310" s="16">
        <v>2</v>
      </c>
      <c r="AN310" s="151">
        <v>1</v>
      </c>
      <c r="AO310" s="18">
        <f t="shared" si="199"/>
        <v>4</v>
      </c>
      <c r="AP310" s="34"/>
      <c r="AQ310" s="16"/>
      <c r="AR310" s="16"/>
      <c r="AS310" s="17"/>
      <c r="AT310" s="18">
        <f t="shared" si="200"/>
        <v>0</v>
      </c>
      <c r="AU310" s="34"/>
      <c r="AV310" s="16"/>
      <c r="AW310" s="16"/>
      <c r="AX310" s="17"/>
      <c r="AY310" s="18">
        <f t="shared" si="201"/>
        <v>0</v>
      </c>
      <c r="AZ310" s="34">
        <v>3</v>
      </c>
      <c r="BA310" s="16"/>
      <c r="BB310" s="16"/>
      <c r="BC310" s="151">
        <v>1</v>
      </c>
      <c r="BD310" s="18">
        <f t="shared" si="202"/>
        <v>4</v>
      </c>
      <c r="BE310" s="34"/>
      <c r="BF310" s="16"/>
      <c r="BG310" s="16">
        <v>1</v>
      </c>
      <c r="BH310" s="17"/>
      <c r="BI310" s="18">
        <f t="shared" si="203"/>
        <v>1</v>
      </c>
      <c r="BJ310" s="34"/>
      <c r="BK310" s="16"/>
      <c r="BL310" s="16">
        <v>1</v>
      </c>
      <c r="BM310" s="17"/>
      <c r="BN310" s="18">
        <f t="shared" si="204"/>
        <v>1</v>
      </c>
      <c r="BO310" s="70">
        <f>SUM(G310,L310,Q310,V310,AA310,AF310,AK310,AP310,AU310,AZ310,BE310,BJ310)</f>
        <v>13</v>
      </c>
      <c r="BP310" s="16">
        <f>SUM(H310,M310,R310,W310,AB310,AG310,AL310,AQ310,AV310,BA310,BF310,BK310)</f>
        <v>0</v>
      </c>
      <c r="BQ310" s="16">
        <f>SUM(I310,N310,S310,X310,AC310,AH310,AM310,AR310,AW310,BB310,BG310,BL310)</f>
        <v>16</v>
      </c>
      <c r="BR310" s="17">
        <f>SUM(J310,O310,T310,Y310,AD310,AI310,AN310,AS310,AX310,BC310,BH310,BM310)</f>
        <v>7</v>
      </c>
      <c r="BS310" s="35">
        <f t="shared" si="189"/>
        <v>36</v>
      </c>
    </row>
    <row r="311" spans="2:71" x14ac:dyDescent="0.3">
      <c r="B311" s="269"/>
      <c r="C311" s="215"/>
      <c r="D311" s="216"/>
      <c r="E311" s="220"/>
      <c r="F311" s="123" t="s">
        <v>520</v>
      </c>
      <c r="G311" s="34"/>
      <c r="H311" s="16"/>
      <c r="I311" s="16"/>
      <c r="J311" s="287"/>
      <c r="K311" s="18">
        <f t="shared" si="218"/>
        <v>0</v>
      </c>
      <c r="L311" s="34"/>
      <c r="M311" s="16"/>
      <c r="N311" s="16"/>
      <c r="O311" s="287"/>
      <c r="P311" s="18">
        <f t="shared" ref="P311" si="252">SUM(L311:O311)</f>
        <v>0</v>
      </c>
      <c r="Q311" s="34">
        <v>11</v>
      </c>
      <c r="R311" s="16"/>
      <c r="S311" s="16">
        <v>11</v>
      </c>
      <c r="T311" s="151">
        <v>4</v>
      </c>
      <c r="U311" s="18">
        <f t="shared" ref="U311" si="253">SUM(Q311:T311)</f>
        <v>26</v>
      </c>
      <c r="V311" s="34"/>
      <c r="W311" s="16"/>
      <c r="X311" s="16"/>
      <c r="Y311" s="17"/>
      <c r="Z311" s="18">
        <f t="shared" ref="Z311" si="254">SUM(V311:Y311)</f>
        <v>0</v>
      </c>
      <c r="AA311" s="34">
        <v>26</v>
      </c>
      <c r="AB311" s="16"/>
      <c r="AC311" s="16">
        <v>28</v>
      </c>
      <c r="AD311" s="151">
        <v>5</v>
      </c>
      <c r="AE311" s="18">
        <f t="shared" ref="AE311" si="255">SUM(AA311:AD311)</f>
        <v>59</v>
      </c>
      <c r="AF311" s="34">
        <v>21</v>
      </c>
      <c r="AG311" s="16"/>
      <c r="AH311" s="16">
        <v>21</v>
      </c>
      <c r="AI311" s="151">
        <v>10</v>
      </c>
      <c r="AJ311" s="18">
        <f t="shared" ref="AJ311" si="256">SUM(AF311:AI311)</f>
        <v>52</v>
      </c>
      <c r="AK311" s="34">
        <v>14</v>
      </c>
      <c r="AL311" s="16"/>
      <c r="AM311" s="16">
        <v>10</v>
      </c>
      <c r="AN311" s="151">
        <v>8</v>
      </c>
      <c r="AO311" s="18">
        <f t="shared" ref="AO311" si="257">SUM(AK311:AN311)</f>
        <v>32</v>
      </c>
      <c r="AP311" s="34">
        <v>9</v>
      </c>
      <c r="AQ311" s="16"/>
      <c r="AR311" s="16">
        <v>13</v>
      </c>
      <c r="AS311" s="151">
        <v>2</v>
      </c>
      <c r="AT311" s="18">
        <f t="shared" ref="AT311" si="258">SUM(AP311:AS311)</f>
        <v>24</v>
      </c>
      <c r="AU311" s="34">
        <v>3</v>
      </c>
      <c r="AV311" s="16"/>
      <c r="AW311" s="16">
        <v>2</v>
      </c>
      <c r="AX311" s="17"/>
      <c r="AY311" s="18">
        <f t="shared" ref="AY311" si="259">SUM(AU311:AX311)</f>
        <v>5</v>
      </c>
      <c r="AZ311" s="34">
        <v>21</v>
      </c>
      <c r="BA311" s="16"/>
      <c r="BB311" s="16">
        <v>13</v>
      </c>
      <c r="BC311" s="151">
        <v>5</v>
      </c>
      <c r="BD311" s="18">
        <f t="shared" ref="BD311" si="260">SUM(AZ311:BC311)</f>
        <v>39</v>
      </c>
      <c r="BE311" s="34">
        <v>8</v>
      </c>
      <c r="BF311" s="16"/>
      <c r="BG311" s="16">
        <v>11</v>
      </c>
      <c r="BH311" s="151">
        <v>2</v>
      </c>
      <c r="BI311" s="18">
        <f t="shared" ref="BI311" si="261">SUM(BE311:BH311)</f>
        <v>21</v>
      </c>
      <c r="BJ311" s="34">
        <v>8</v>
      </c>
      <c r="BK311" s="16"/>
      <c r="BL311" s="16">
        <v>9</v>
      </c>
      <c r="BM311" s="151">
        <v>4</v>
      </c>
      <c r="BN311" s="18">
        <f t="shared" ref="BN311" si="262">SUM(BJ311:BM311)</f>
        <v>21</v>
      </c>
      <c r="BO311" s="70">
        <f>SUM(G311,L311,Q311,V311,AA311,AF311,AK311,AP311,AU311,AZ311,BE311,BJ311)</f>
        <v>121</v>
      </c>
      <c r="BP311" s="16">
        <f>SUM(H311,M311,R311,W311,AB311,AG311,AL311,AQ311,AV311,BA311,BF311,BK311)</f>
        <v>0</v>
      </c>
      <c r="BQ311" s="16">
        <f>SUM(I311,N311,S311,X311,AC311,AH311,AM311,AR311,AW311,BB311,BG311,BL311)</f>
        <v>118</v>
      </c>
      <c r="BR311" s="17">
        <f>SUM(J311,O311,T311,Y311,AD311,AI311,AN311,AS311,AX311,BC311,BH311,BM311)</f>
        <v>40</v>
      </c>
      <c r="BS311" s="35">
        <f t="shared" ref="BS311:BS374" si="263">SUM(BO311:BR311)</f>
        <v>279</v>
      </c>
    </row>
    <row r="312" spans="2:71" x14ac:dyDescent="0.3">
      <c r="B312" s="269"/>
      <c r="C312" s="215"/>
      <c r="D312" s="216"/>
      <c r="E312" s="220"/>
      <c r="F312" s="123" t="s">
        <v>521</v>
      </c>
      <c r="G312" s="34"/>
      <c r="H312" s="16"/>
      <c r="I312" s="16"/>
      <c r="J312" s="17"/>
      <c r="K312" s="18">
        <f t="shared" si="218"/>
        <v>0</v>
      </c>
      <c r="L312" s="34"/>
      <c r="M312" s="16"/>
      <c r="N312" s="16"/>
      <c r="O312" s="17"/>
      <c r="P312" s="18">
        <f t="shared" si="194"/>
        <v>0</v>
      </c>
      <c r="Q312" s="34"/>
      <c r="R312" s="16"/>
      <c r="S312" s="16"/>
      <c r="T312" s="17"/>
      <c r="U312" s="18">
        <f t="shared" si="195"/>
        <v>0</v>
      </c>
      <c r="V312" s="34"/>
      <c r="W312" s="16"/>
      <c r="X312" s="16"/>
      <c r="Y312" s="17"/>
      <c r="Z312" s="18">
        <f t="shared" si="196"/>
        <v>0</v>
      </c>
      <c r="AA312" s="34"/>
      <c r="AB312" s="16"/>
      <c r="AC312" s="16"/>
      <c r="AD312" s="17"/>
      <c r="AE312" s="18">
        <f t="shared" si="197"/>
        <v>0</v>
      </c>
      <c r="AF312" s="34"/>
      <c r="AG312" s="16"/>
      <c r="AH312" s="16"/>
      <c r="AI312" s="17"/>
      <c r="AJ312" s="18">
        <f t="shared" si="198"/>
        <v>0</v>
      </c>
      <c r="AK312" s="34"/>
      <c r="AL312" s="16"/>
      <c r="AM312" s="16"/>
      <c r="AN312" s="17"/>
      <c r="AO312" s="18">
        <f t="shared" si="199"/>
        <v>0</v>
      </c>
      <c r="AP312" s="34"/>
      <c r="AQ312" s="16"/>
      <c r="AR312" s="16"/>
      <c r="AS312" s="17"/>
      <c r="AT312" s="18">
        <f t="shared" si="200"/>
        <v>0</v>
      </c>
      <c r="AU312" s="34"/>
      <c r="AV312" s="16"/>
      <c r="AW312" s="16"/>
      <c r="AX312" s="17"/>
      <c r="AY312" s="18">
        <f t="shared" si="201"/>
        <v>0</v>
      </c>
      <c r="AZ312" s="34">
        <v>7</v>
      </c>
      <c r="BA312" s="16"/>
      <c r="BB312" s="16">
        <v>4</v>
      </c>
      <c r="BC312" s="17"/>
      <c r="BD312" s="18">
        <f t="shared" si="202"/>
        <v>11</v>
      </c>
      <c r="BE312" s="34">
        <v>159</v>
      </c>
      <c r="BF312" s="16"/>
      <c r="BG312" s="16">
        <v>131</v>
      </c>
      <c r="BH312" s="17"/>
      <c r="BI312" s="18">
        <f t="shared" si="203"/>
        <v>290</v>
      </c>
      <c r="BJ312" s="34">
        <v>76</v>
      </c>
      <c r="BK312" s="16"/>
      <c r="BL312" s="16">
        <v>60</v>
      </c>
      <c r="BM312" s="17"/>
      <c r="BN312" s="18">
        <f t="shared" si="204"/>
        <v>136</v>
      </c>
      <c r="BO312" s="70">
        <f>SUM(G312,L312,Q312,V312,AA312,AF312,AK312,AP312,AU312,AZ312,BE312,BJ312)</f>
        <v>242</v>
      </c>
      <c r="BP312" s="16">
        <f>SUM(H312,M312,R312,W312,AB312,AG312,AL312,AQ312,AV312,BA312,BF312,BK312)</f>
        <v>0</v>
      </c>
      <c r="BQ312" s="16">
        <f>SUM(I312,N312,S312,X312,AC312,AH312,AM312,AR312,AW312,BB312,BG312,BL312)</f>
        <v>195</v>
      </c>
      <c r="BR312" s="17">
        <f>SUM(J312,O312,T312,Y312,AD312,AI312,AN312,AS312,AX312,BC312,BH312,BM312)</f>
        <v>0</v>
      </c>
      <c r="BS312" s="35">
        <f t="shared" si="263"/>
        <v>437</v>
      </c>
    </row>
    <row r="313" spans="2:71" x14ac:dyDescent="0.3">
      <c r="B313" s="269"/>
      <c r="C313" s="215"/>
      <c r="D313" s="216"/>
      <c r="E313" s="220"/>
      <c r="F313" s="123" t="s">
        <v>522</v>
      </c>
      <c r="G313" s="34"/>
      <c r="H313" s="16"/>
      <c r="I313" s="16"/>
      <c r="J313" s="17"/>
      <c r="K313" s="18">
        <f t="shared" si="218"/>
        <v>0</v>
      </c>
      <c r="L313" s="34"/>
      <c r="M313" s="16"/>
      <c r="N313" s="16"/>
      <c r="O313" s="17"/>
      <c r="P313" s="18">
        <f t="shared" si="194"/>
        <v>0</v>
      </c>
      <c r="Q313" s="34"/>
      <c r="R313" s="16"/>
      <c r="S313" s="16"/>
      <c r="T313" s="17"/>
      <c r="U313" s="18">
        <f t="shared" si="195"/>
        <v>0</v>
      </c>
      <c r="V313" s="34"/>
      <c r="W313" s="16"/>
      <c r="X313" s="16"/>
      <c r="Y313" s="17"/>
      <c r="Z313" s="18">
        <f t="shared" si="196"/>
        <v>0</v>
      </c>
      <c r="AA313" s="34"/>
      <c r="AB313" s="16"/>
      <c r="AC313" s="16"/>
      <c r="AD313" s="17"/>
      <c r="AE313" s="18">
        <f t="shared" si="197"/>
        <v>0</v>
      </c>
      <c r="AF313" s="34"/>
      <c r="AG313" s="16"/>
      <c r="AH313" s="16"/>
      <c r="AI313" s="17"/>
      <c r="AJ313" s="18">
        <f t="shared" si="198"/>
        <v>0</v>
      </c>
      <c r="AK313" s="34"/>
      <c r="AL313" s="16"/>
      <c r="AM313" s="16"/>
      <c r="AN313" s="17"/>
      <c r="AO313" s="18">
        <f t="shared" si="199"/>
        <v>0</v>
      </c>
      <c r="AP313" s="34"/>
      <c r="AQ313" s="16"/>
      <c r="AR313" s="16"/>
      <c r="AS313" s="17"/>
      <c r="AT313" s="18">
        <f t="shared" si="200"/>
        <v>0</v>
      </c>
      <c r="AU313" s="34"/>
      <c r="AV313" s="16"/>
      <c r="AW313" s="16"/>
      <c r="AX313" s="17"/>
      <c r="AY313" s="18">
        <f t="shared" si="201"/>
        <v>0</v>
      </c>
      <c r="AZ313" s="34"/>
      <c r="BA313" s="16"/>
      <c r="BB313" s="16"/>
      <c r="BC313" s="17"/>
      <c r="BD313" s="18">
        <f t="shared" si="202"/>
        <v>0</v>
      </c>
      <c r="BE313" s="34">
        <v>10</v>
      </c>
      <c r="BF313" s="16"/>
      <c r="BG313" s="16">
        <v>7</v>
      </c>
      <c r="BH313" s="17"/>
      <c r="BI313" s="18">
        <f t="shared" si="203"/>
        <v>17</v>
      </c>
      <c r="BJ313" s="34">
        <v>3</v>
      </c>
      <c r="BK313" s="16"/>
      <c r="BL313" s="16">
        <v>2</v>
      </c>
      <c r="BM313" s="17"/>
      <c r="BN313" s="18">
        <f t="shared" si="204"/>
        <v>5</v>
      </c>
      <c r="BO313" s="70">
        <f>SUM(G313,L313,Q313,V313,AA313,AF313,AK313,AP313,AU313,AZ313,BE313,BJ313)</f>
        <v>13</v>
      </c>
      <c r="BP313" s="16">
        <f>SUM(H313,M313,R313,W313,AB313,AG313,AL313,AQ313,AV313,BA313,BF313,BK313)</f>
        <v>0</v>
      </c>
      <c r="BQ313" s="16">
        <f>SUM(I313,N313,S313,X313,AC313,AH313,AM313,AR313,AW313,BB313,BG313,BL313)</f>
        <v>9</v>
      </c>
      <c r="BR313" s="17">
        <f>SUM(J313,O313,T313,Y313,AD313,AI313,AN313,AS313,AX313,BC313,BH313,BM313)</f>
        <v>0</v>
      </c>
      <c r="BS313" s="35">
        <f t="shared" si="263"/>
        <v>22</v>
      </c>
    </row>
    <row r="314" spans="2:71" x14ac:dyDescent="0.3">
      <c r="B314" s="269"/>
      <c r="C314" s="215"/>
      <c r="D314" s="216"/>
      <c r="E314" s="220"/>
      <c r="F314" s="123" t="s">
        <v>523</v>
      </c>
      <c r="G314" s="34"/>
      <c r="H314" s="16"/>
      <c r="I314" s="16"/>
      <c r="J314" s="17"/>
      <c r="K314" s="18">
        <f t="shared" si="218"/>
        <v>0</v>
      </c>
      <c r="L314" s="34"/>
      <c r="M314" s="16"/>
      <c r="N314" s="16"/>
      <c r="O314" s="17"/>
      <c r="P314" s="18">
        <f t="shared" si="194"/>
        <v>0</v>
      </c>
      <c r="Q314" s="34"/>
      <c r="R314" s="16"/>
      <c r="S314" s="16"/>
      <c r="T314" s="17"/>
      <c r="U314" s="18">
        <f t="shared" si="195"/>
        <v>0</v>
      </c>
      <c r="V314" s="34"/>
      <c r="W314" s="16"/>
      <c r="X314" s="16"/>
      <c r="Y314" s="17"/>
      <c r="Z314" s="18">
        <f t="shared" si="196"/>
        <v>0</v>
      </c>
      <c r="AA314" s="34"/>
      <c r="AB314" s="16"/>
      <c r="AC314" s="16"/>
      <c r="AD314" s="17"/>
      <c r="AE314" s="18">
        <f t="shared" si="197"/>
        <v>0</v>
      </c>
      <c r="AF314" s="34"/>
      <c r="AG314" s="16"/>
      <c r="AH314" s="16"/>
      <c r="AI314" s="17"/>
      <c r="AJ314" s="18">
        <f t="shared" si="198"/>
        <v>0</v>
      </c>
      <c r="AK314" s="34"/>
      <c r="AL314" s="16"/>
      <c r="AM314" s="16"/>
      <c r="AN314" s="17"/>
      <c r="AO314" s="18">
        <f t="shared" si="199"/>
        <v>0</v>
      </c>
      <c r="AP314" s="34"/>
      <c r="AQ314" s="16"/>
      <c r="AR314" s="16"/>
      <c r="AS314" s="17"/>
      <c r="AT314" s="18">
        <f t="shared" si="200"/>
        <v>0</v>
      </c>
      <c r="AU314" s="34">
        <v>8</v>
      </c>
      <c r="AV314" s="16"/>
      <c r="AW314" s="16">
        <v>4</v>
      </c>
      <c r="AX314" s="17"/>
      <c r="AY314" s="18">
        <f t="shared" si="201"/>
        <v>12</v>
      </c>
      <c r="AZ314" s="34"/>
      <c r="BA314" s="16"/>
      <c r="BB314" s="16"/>
      <c r="BC314" s="17"/>
      <c r="BD314" s="18">
        <f t="shared" si="202"/>
        <v>0</v>
      </c>
      <c r="BE314" s="34">
        <v>1</v>
      </c>
      <c r="BF314" s="16"/>
      <c r="BG314" s="16"/>
      <c r="BH314" s="17"/>
      <c r="BI314" s="18">
        <f t="shared" si="203"/>
        <v>1</v>
      </c>
      <c r="BJ314" s="34"/>
      <c r="BK314" s="16"/>
      <c r="BL314" s="16"/>
      <c r="BM314" s="17"/>
      <c r="BN314" s="18">
        <f t="shared" si="204"/>
        <v>0</v>
      </c>
      <c r="BO314" s="70">
        <f>SUM(G314,L314,Q314,V314,AA314,AF314,AK314,AP314,AU314,AZ314,BE314,BJ314)</f>
        <v>9</v>
      </c>
      <c r="BP314" s="16">
        <f>SUM(H314,M314,R314,W314,AB314,AG314,AL314,AQ314,AV314,BA314,BF314,BK314)</f>
        <v>0</v>
      </c>
      <c r="BQ314" s="16">
        <f>SUM(I314,N314,S314,X314,AC314,AH314,AM314,AR314,AW314,BB314,BG314,BL314)</f>
        <v>4</v>
      </c>
      <c r="BR314" s="17">
        <f>SUM(J314,O314,T314,Y314,AD314,AI314,AN314,AS314,AX314,BC314,BH314,BM314)</f>
        <v>0</v>
      </c>
      <c r="BS314" s="35">
        <f t="shared" si="263"/>
        <v>13</v>
      </c>
    </row>
    <row r="315" spans="2:71" x14ac:dyDescent="0.3">
      <c r="B315" s="269"/>
      <c r="C315" s="215"/>
      <c r="D315" s="216"/>
      <c r="E315" s="220"/>
      <c r="F315" s="123" t="s">
        <v>395</v>
      </c>
      <c r="G315" s="34"/>
      <c r="H315" s="16"/>
      <c r="I315" s="16"/>
      <c r="J315" s="17"/>
      <c r="K315" s="18">
        <f t="shared" si="218"/>
        <v>0</v>
      </c>
      <c r="L315" s="34"/>
      <c r="M315" s="16"/>
      <c r="N315" s="16"/>
      <c r="O315" s="17"/>
      <c r="P315" s="18">
        <f t="shared" ref="P315" si="264">SUM(L315:O315)</f>
        <v>0</v>
      </c>
      <c r="Q315" s="34"/>
      <c r="R315" s="16"/>
      <c r="S315" s="16"/>
      <c r="T315" s="17"/>
      <c r="U315" s="18">
        <f t="shared" ref="U315" si="265">SUM(Q315:T315)</f>
        <v>0</v>
      </c>
      <c r="V315" s="34"/>
      <c r="W315" s="16"/>
      <c r="X315" s="16"/>
      <c r="Y315" s="17"/>
      <c r="Z315" s="18">
        <f t="shared" ref="Z315" si="266">SUM(V315:Y315)</f>
        <v>0</v>
      </c>
      <c r="AA315" s="34"/>
      <c r="AB315" s="16"/>
      <c r="AC315" s="16"/>
      <c r="AD315" s="17"/>
      <c r="AE315" s="18">
        <f t="shared" ref="AE315" si="267">SUM(AA315:AD315)</f>
        <v>0</v>
      </c>
      <c r="AF315" s="34">
        <v>2</v>
      </c>
      <c r="AG315" s="16"/>
      <c r="AH315" s="288">
        <v>2</v>
      </c>
      <c r="AI315" s="17"/>
      <c r="AJ315" s="18">
        <f t="shared" ref="AJ315" si="268">SUM(AF315:AI315)</f>
        <v>4</v>
      </c>
      <c r="AK315" s="34"/>
      <c r="AL315" s="16"/>
      <c r="AM315" s="16"/>
      <c r="AN315" s="17"/>
      <c r="AO315" s="18">
        <f t="shared" ref="AO315" si="269">SUM(AK315:AN315)</f>
        <v>0</v>
      </c>
      <c r="AP315" s="34"/>
      <c r="AQ315" s="16"/>
      <c r="AR315" s="16"/>
      <c r="AS315" s="17"/>
      <c r="AT315" s="18">
        <f t="shared" ref="AT315" si="270">SUM(AP315:AS315)</f>
        <v>0</v>
      </c>
      <c r="AU315" s="34"/>
      <c r="AV315" s="16"/>
      <c r="AW315" s="16"/>
      <c r="AX315" s="17"/>
      <c r="AY315" s="18">
        <f t="shared" ref="AY315" si="271">SUM(AU315:AX315)</f>
        <v>0</v>
      </c>
      <c r="AZ315" s="34">
        <v>2</v>
      </c>
      <c r="BA315" s="16"/>
      <c r="BB315" s="288">
        <v>2</v>
      </c>
      <c r="BC315" s="17"/>
      <c r="BD315" s="18">
        <f t="shared" ref="BD315" si="272">SUM(AZ315:BC315)</f>
        <v>4</v>
      </c>
      <c r="BE315" s="34"/>
      <c r="BF315" s="16"/>
      <c r="BG315" s="16"/>
      <c r="BH315" s="17"/>
      <c r="BI315" s="18">
        <f t="shared" ref="BI315" si="273">SUM(BE315:BH315)</f>
        <v>0</v>
      </c>
      <c r="BJ315" s="34"/>
      <c r="BK315" s="16"/>
      <c r="BL315" s="16"/>
      <c r="BM315" s="17"/>
      <c r="BN315" s="18">
        <f t="shared" ref="BN315" si="274">SUM(BJ315:BM315)</f>
        <v>0</v>
      </c>
      <c r="BO315" s="70">
        <f>SUM(G315,L315,Q315,V315,AA315,AF315,AK315,AP315,AU315,AZ315,BE315,BJ315)</f>
        <v>4</v>
      </c>
      <c r="BP315" s="16">
        <f>SUM(H315,M315,R315,W315,AB315,AG315,AL315,AQ315,AV315,BA315,BF315,BK315)</f>
        <v>0</v>
      </c>
      <c r="BQ315" s="16">
        <f>SUM(I315,N315,S315,X315,AC315,AH315,AM315,AR315,AW315,BB315,BG315,BL315)</f>
        <v>4</v>
      </c>
      <c r="BR315" s="17">
        <f>SUM(J315,O315,T315,Y315,AD315,AI315,AN315,AS315,AX315,BC315,BH315,BM315)</f>
        <v>0</v>
      </c>
      <c r="BS315" s="35">
        <f t="shared" si="263"/>
        <v>8</v>
      </c>
    </row>
    <row r="316" spans="2:71" x14ac:dyDescent="0.3">
      <c r="B316" s="269"/>
      <c r="C316" s="215"/>
      <c r="D316" s="216"/>
      <c r="E316" s="220"/>
      <c r="F316" s="123" t="s">
        <v>410</v>
      </c>
      <c r="G316" s="34">
        <v>111</v>
      </c>
      <c r="H316" s="16"/>
      <c r="I316" s="16">
        <v>57</v>
      </c>
      <c r="J316" s="151">
        <v>31</v>
      </c>
      <c r="K316" s="18">
        <f t="shared" si="218"/>
        <v>199</v>
      </c>
      <c r="L316" s="34"/>
      <c r="M316" s="16"/>
      <c r="N316" s="16"/>
      <c r="O316" s="17"/>
      <c r="P316" s="18">
        <f t="shared" si="194"/>
        <v>0</v>
      </c>
      <c r="Q316" s="34"/>
      <c r="R316" s="16"/>
      <c r="S316" s="16"/>
      <c r="T316" s="17"/>
      <c r="U316" s="18">
        <f t="shared" si="195"/>
        <v>0</v>
      </c>
      <c r="V316" s="34"/>
      <c r="W316" s="16"/>
      <c r="X316" s="16"/>
      <c r="Y316" s="17"/>
      <c r="Z316" s="18">
        <f t="shared" si="196"/>
        <v>0</v>
      </c>
      <c r="AA316" s="34"/>
      <c r="AB316" s="16"/>
      <c r="AC316" s="16"/>
      <c r="AD316" s="17"/>
      <c r="AE316" s="18">
        <f t="shared" si="197"/>
        <v>0</v>
      </c>
      <c r="AF316" s="34"/>
      <c r="AG316" s="16"/>
      <c r="AH316" s="16"/>
      <c r="AI316" s="17"/>
      <c r="AJ316" s="18">
        <f t="shared" si="198"/>
        <v>0</v>
      </c>
      <c r="AK316" s="34"/>
      <c r="AL316" s="16"/>
      <c r="AM316" s="16"/>
      <c r="AN316" s="17"/>
      <c r="AO316" s="18">
        <f t="shared" si="199"/>
        <v>0</v>
      </c>
      <c r="AP316" s="34"/>
      <c r="AQ316" s="16"/>
      <c r="AR316" s="16"/>
      <c r="AS316" s="17"/>
      <c r="AT316" s="18">
        <f t="shared" si="200"/>
        <v>0</v>
      </c>
      <c r="AU316" s="34"/>
      <c r="AV316" s="16"/>
      <c r="AW316" s="16"/>
      <c r="AX316" s="17"/>
      <c r="AY316" s="18">
        <f t="shared" si="201"/>
        <v>0</v>
      </c>
      <c r="AZ316" s="34"/>
      <c r="BA316" s="16"/>
      <c r="BB316" s="16"/>
      <c r="BC316" s="17"/>
      <c r="BD316" s="18">
        <f t="shared" si="202"/>
        <v>0</v>
      </c>
      <c r="BE316" s="34"/>
      <c r="BF316" s="16"/>
      <c r="BG316" s="16"/>
      <c r="BH316" s="17"/>
      <c r="BI316" s="18">
        <f t="shared" si="203"/>
        <v>0</v>
      </c>
      <c r="BJ316" s="34"/>
      <c r="BK316" s="16"/>
      <c r="BL316" s="16"/>
      <c r="BM316" s="17"/>
      <c r="BN316" s="18">
        <f t="shared" si="204"/>
        <v>0</v>
      </c>
      <c r="BO316" s="70">
        <f>SUM(G316,L316,Q316,V316,AA316,AF316,AK316,AP316,AU316,AZ316,BE316,BJ316)</f>
        <v>111</v>
      </c>
      <c r="BP316" s="16">
        <f>SUM(H316,M316,R316,W316,AB316,AG316,AL316,AQ316,AV316,BA316,BF316,BK316)</f>
        <v>0</v>
      </c>
      <c r="BQ316" s="16">
        <f>SUM(I316,N316,S316,X316,AC316,AH316,AM316,AR316,AW316,BB316,BG316,BL316)</f>
        <v>57</v>
      </c>
      <c r="BR316" s="17">
        <f>SUM(J316,O316,T316,Y316,AD316,AI316,AN316,AS316,AX316,BC316,BH316,BM316)</f>
        <v>31</v>
      </c>
      <c r="BS316" s="35">
        <f t="shared" si="263"/>
        <v>199</v>
      </c>
    </row>
    <row r="317" spans="2:71" x14ac:dyDescent="0.3">
      <c r="B317" s="269"/>
      <c r="C317" s="215"/>
      <c r="D317" s="216"/>
      <c r="E317" s="220"/>
      <c r="F317" s="123" t="s">
        <v>411</v>
      </c>
      <c r="G317" s="34">
        <v>64</v>
      </c>
      <c r="H317" s="16"/>
      <c r="I317" s="16">
        <v>32</v>
      </c>
      <c r="J317" s="151">
        <v>5</v>
      </c>
      <c r="K317" s="18">
        <f t="shared" si="218"/>
        <v>101</v>
      </c>
      <c r="L317" s="34"/>
      <c r="M317" s="16"/>
      <c r="N317" s="16"/>
      <c r="O317" s="17"/>
      <c r="P317" s="18">
        <f t="shared" si="194"/>
        <v>0</v>
      </c>
      <c r="Q317" s="34"/>
      <c r="R317" s="16"/>
      <c r="S317" s="16"/>
      <c r="T317" s="17"/>
      <c r="U317" s="18">
        <f t="shared" si="195"/>
        <v>0</v>
      </c>
      <c r="V317" s="34"/>
      <c r="W317" s="16"/>
      <c r="X317" s="16"/>
      <c r="Y317" s="17"/>
      <c r="Z317" s="18">
        <f t="shared" si="196"/>
        <v>0</v>
      </c>
      <c r="AA317" s="34"/>
      <c r="AB317" s="16"/>
      <c r="AC317" s="16"/>
      <c r="AD317" s="17"/>
      <c r="AE317" s="18">
        <f t="shared" si="197"/>
        <v>0</v>
      </c>
      <c r="AF317" s="34"/>
      <c r="AG317" s="16"/>
      <c r="AH317" s="16"/>
      <c r="AI317" s="17"/>
      <c r="AJ317" s="18">
        <f t="shared" si="198"/>
        <v>0</v>
      </c>
      <c r="AK317" s="34"/>
      <c r="AL317" s="16"/>
      <c r="AM317" s="16"/>
      <c r="AN317" s="17"/>
      <c r="AO317" s="18">
        <f t="shared" si="199"/>
        <v>0</v>
      </c>
      <c r="AP317" s="34"/>
      <c r="AQ317" s="16"/>
      <c r="AR317" s="16"/>
      <c r="AS317" s="17"/>
      <c r="AT317" s="18">
        <f t="shared" si="200"/>
        <v>0</v>
      </c>
      <c r="AU317" s="34"/>
      <c r="AV317" s="16"/>
      <c r="AW317" s="16"/>
      <c r="AX317" s="17"/>
      <c r="AY317" s="18">
        <f t="shared" si="201"/>
        <v>0</v>
      </c>
      <c r="AZ317" s="34"/>
      <c r="BA317" s="16"/>
      <c r="BB317" s="16"/>
      <c r="BC317" s="17"/>
      <c r="BD317" s="18">
        <f t="shared" si="202"/>
        <v>0</v>
      </c>
      <c r="BE317" s="34"/>
      <c r="BF317" s="16"/>
      <c r="BG317" s="16"/>
      <c r="BH317" s="17"/>
      <c r="BI317" s="18">
        <f t="shared" si="203"/>
        <v>0</v>
      </c>
      <c r="BJ317" s="34"/>
      <c r="BK317" s="16"/>
      <c r="BL317" s="16"/>
      <c r="BM317" s="17"/>
      <c r="BN317" s="18">
        <f t="shared" si="204"/>
        <v>0</v>
      </c>
      <c r="BO317" s="70">
        <f>SUM(G317,L317,Q317,V317,AA317,AF317,AK317,AP317,AU317,AZ317,BE317,BJ317)</f>
        <v>64</v>
      </c>
      <c r="BP317" s="16">
        <f>SUM(H317,M317,R317,W317,AB317,AG317,AL317,AQ317,AV317,BA317,BF317,BK317)</f>
        <v>0</v>
      </c>
      <c r="BQ317" s="16">
        <f>SUM(I317,N317,S317,X317,AC317,AH317,AM317,AR317,AW317,BB317,BG317,BL317)</f>
        <v>32</v>
      </c>
      <c r="BR317" s="17">
        <f>SUM(J317,O317,T317,Y317,AD317,AI317,AN317,AS317,AX317,BC317,BH317,BM317)</f>
        <v>5</v>
      </c>
      <c r="BS317" s="35">
        <f t="shared" si="263"/>
        <v>101</v>
      </c>
    </row>
    <row r="318" spans="2:71" x14ac:dyDescent="0.3">
      <c r="B318" s="269"/>
      <c r="C318" s="215"/>
      <c r="D318" s="216"/>
      <c r="E318" s="220"/>
      <c r="F318" s="123" t="s">
        <v>524</v>
      </c>
      <c r="G318" s="34">
        <v>4</v>
      </c>
      <c r="H318" s="16"/>
      <c r="I318" s="16"/>
      <c r="J318" s="17"/>
      <c r="K318" s="18">
        <f t="shared" si="218"/>
        <v>4</v>
      </c>
      <c r="L318" s="34"/>
      <c r="M318" s="16"/>
      <c r="N318" s="16"/>
      <c r="O318" s="17"/>
      <c r="P318" s="18">
        <f t="shared" ref="P318" si="275">SUM(L318:O318)</f>
        <v>0</v>
      </c>
      <c r="Q318" s="34"/>
      <c r="R318" s="16"/>
      <c r="S318" s="16"/>
      <c r="T318" s="17"/>
      <c r="U318" s="18">
        <f t="shared" ref="U318" si="276">SUM(Q318:T318)</f>
        <v>0</v>
      </c>
      <c r="V318" s="34"/>
      <c r="W318" s="16"/>
      <c r="X318" s="16"/>
      <c r="Y318" s="17"/>
      <c r="Z318" s="18">
        <f t="shared" ref="Z318" si="277">SUM(V318:Y318)</f>
        <v>0</v>
      </c>
      <c r="AA318" s="34"/>
      <c r="AB318" s="16"/>
      <c r="AC318" s="16"/>
      <c r="AD318" s="17"/>
      <c r="AE318" s="18">
        <f t="shared" ref="AE318" si="278">SUM(AA318:AD318)</f>
        <v>0</v>
      </c>
      <c r="AF318" s="34"/>
      <c r="AG318" s="16"/>
      <c r="AH318" s="16"/>
      <c r="AI318" s="17"/>
      <c r="AJ318" s="18">
        <f t="shared" ref="AJ318" si="279">SUM(AF318:AI318)</f>
        <v>0</v>
      </c>
      <c r="AK318" s="34"/>
      <c r="AL318" s="16"/>
      <c r="AM318" s="16"/>
      <c r="AN318" s="17"/>
      <c r="AO318" s="18">
        <f t="shared" ref="AO318" si="280">SUM(AK318:AN318)</f>
        <v>0</v>
      </c>
      <c r="AP318" s="34"/>
      <c r="AQ318" s="16"/>
      <c r="AR318" s="16"/>
      <c r="AS318" s="17"/>
      <c r="AT318" s="18">
        <f t="shared" ref="AT318" si="281">SUM(AP318:AS318)</f>
        <v>0</v>
      </c>
      <c r="AU318" s="34"/>
      <c r="AV318" s="16"/>
      <c r="AW318" s="16"/>
      <c r="AX318" s="17"/>
      <c r="AY318" s="18">
        <f t="shared" ref="AY318" si="282">SUM(AU318:AX318)</f>
        <v>0</v>
      </c>
      <c r="AZ318" s="34"/>
      <c r="BA318" s="16"/>
      <c r="BB318" s="16"/>
      <c r="BC318" s="17"/>
      <c r="BD318" s="18">
        <f t="shared" ref="BD318" si="283">SUM(AZ318:BC318)</f>
        <v>0</v>
      </c>
      <c r="BE318" s="34"/>
      <c r="BF318" s="16"/>
      <c r="BG318" s="16"/>
      <c r="BH318" s="17"/>
      <c r="BI318" s="18">
        <f t="shared" ref="BI318" si="284">SUM(BE318:BH318)</f>
        <v>0</v>
      </c>
      <c r="BJ318" s="34"/>
      <c r="BK318" s="16"/>
      <c r="BL318" s="16"/>
      <c r="BM318" s="17"/>
      <c r="BN318" s="18">
        <f t="shared" ref="BN318" si="285">SUM(BJ318:BM318)</f>
        <v>0</v>
      </c>
      <c r="BO318" s="70">
        <f>SUM(G318,L318,Q318,V318,AA318,AF318,AK318,AP318,AU318,AZ318,BE318,BJ318)</f>
        <v>4</v>
      </c>
      <c r="BP318" s="16">
        <f>SUM(H318,M318,R318,W318,AB318,AG318,AL318,AQ318,AV318,BA318,BF318,BK318)</f>
        <v>0</v>
      </c>
      <c r="BQ318" s="16">
        <f>SUM(I318,N318,S318,X318,AC318,AH318,AM318,AR318,AW318,BB318,BG318,BL318)</f>
        <v>0</v>
      </c>
      <c r="BR318" s="17">
        <f>SUM(J318,O318,T318,Y318,AD318,AI318,AN318,AS318,AX318,BC318,BH318,BM318)</f>
        <v>0</v>
      </c>
      <c r="BS318" s="35">
        <f t="shared" si="263"/>
        <v>4</v>
      </c>
    </row>
    <row r="319" spans="2:71" x14ac:dyDescent="0.3">
      <c r="B319" s="269"/>
      <c r="C319" s="215"/>
      <c r="D319" s="216"/>
      <c r="E319" s="219" t="s">
        <v>81</v>
      </c>
      <c r="F319" s="120" t="s">
        <v>77</v>
      </c>
      <c r="G319" s="30">
        <v>18</v>
      </c>
      <c r="H319" s="7"/>
      <c r="I319" s="7">
        <v>2</v>
      </c>
      <c r="J319" s="150">
        <v>12</v>
      </c>
      <c r="K319" s="9">
        <f t="shared" si="218"/>
        <v>32</v>
      </c>
      <c r="L319" s="30">
        <v>27</v>
      </c>
      <c r="M319" s="7"/>
      <c r="N319" s="7">
        <v>7</v>
      </c>
      <c r="O319" s="150">
        <v>15</v>
      </c>
      <c r="P319" s="9">
        <f t="shared" si="194"/>
        <v>49</v>
      </c>
      <c r="Q319" s="30">
        <v>71</v>
      </c>
      <c r="R319" s="7"/>
      <c r="S319" s="7">
        <v>23</v>
      </c>
      <c r="T319" s="150">
        <v>37</v>
      </c>
      <c r="U319" s="9">
        <f t="shared" si="195"/>
        <v>131</v>
      </c>
      <c r="V319" s="30">
        <v>19</v>
      </c>
      <c r="W319" s="7"/>
      <c r="X319" s="7">
        <v>9</v>
      </c>
      <c r="Y319" s="150">
        <v>11</v>
      </c>
      <c r="Z319" s="9">
        <f t="shared" si="196"/>
        <v>39</v>
      </c>
      <c r="AA319" s="30">
        <v>15</v>
      </c>
      <c r="AB319" s="7"/>
      <c r="AC319" s="7">
        <v>8</v>
      </c>
      <c r="AD319" s="150">
        <v>12</v>
      </c>
      <c r="AE319" s="9">
        <f t="shared" si="197"/>
        <v>35</v>
      </c>
      <c r="AF319" s="30">
        <v>12</v>
      </c>
      <c r="AG319" s="7"/>
      <c r="AH319" s="7">
        <v>4</v>
      </c>
      <c r="AI319" s="150">
        <v>7</v>
      </c>
      <c r="AJ319" s="9">
        <f t="shared" si="198"/>
        <v>23</v>
      </c>
      <c r="AK319" s="30">
        <v>6</v>
      </c>
      <c r="AL319" s="7"/>
      <c r="AM319" s="7">
        <v>3</v>
      </c>
      <c r="AN319" s="150">
        <v>1</v>
      </c>
      <c r="AO319" s="9">
        <f t="shared" si="199"/>
        <v>10</v>
      </c>
      <c r="AP319" s="30">
        <v>4</v>
      </c>
      <c r="AQ319" s="7"/>
      <c r="AR319" s="7">
        <v>2</v>
      </c>
      <c r="AS319" s="150"/>
      <c r="AT319" s="9">
        <f t="shared" si="200"/>
        <v>6</v>
      </c>
      <c r="AU319" s="30">
        <v>15</v>
      </c>
      <c r="AV319" s="7"/>
      <c r="AW319" s="7">
        <v>10</v>
      </c>
      <c r="AX319" s="150">
        <v>12</v>
      </c>
      <c r="AY319" s="9">
        <f t="shared" si="201"/>
        <v>37</v>
      </c>
      <c r="AZ319" s="30">
        <v>14</v>
      </c>
      <c r="BA319" s="7"/>
      <c r="BB319" s="7">
        <v>8</v>
      </c>
      <c r="BC319" s="150">
        <v>6</v>
      </c>
      <c r="BD319" s="9">
        <f t="shared" si="202"/>
        <v>28</v>
      </c>
      <c r="BE319" s="30">
        <v>12</v>
      </c>
      <c r="BF319" s="7"/>
      <c r="BG319" s="7">
        <v>5</v>
      </c>
      <c r="BH319" s="150">
        <v>7</v>
      </c>
      <c r="BI319" s="9">
        <f t="shared" si="203"/>
        <v>24</v>
      </c>
      <c r="BJ319" s="30">
        <v>1</v>
      </c>
      <c r="BK319" s="7"/>
      <c r="BL319" s="7"/>
      <c r="BM319" s="150">
        <v>1</v>
      </c>
      <c r="BN319" s="9">
        <f t="shared" si="204"/>
        <v>2</v>
      </c>
      <c r="BO319" s="65">
        <f>SUM(G319,L319,Q319,V319,AA319,AF319,AK319,AP319,AU319,AZ319,BE319,BJ319)</f>
        <v>214</v>
      </c>
      <c r="BP319" s="7">
        <f>SUM(H319,M319,R319,W319,AB319,AG319,AL319,AQ319,AV319,BA319,BF319,BK319)</f>
        <v>0</v>
      </c>
      <c r="BQ319" s="7">
        <f>SUM(I319,N319,S319,X319,AC319,AH319,AM319,AR319,AW319,BB319,BG319,BL319)</f>
        <v>81</v>
      </c>
      <c r="BR319" s="8">
        <f>SUM(J319,O319,T319,Y319,AD319,AI319,AN319,AS319,AX319,BC319,BH319,BM319)</f>
        <v>121</v>
      </c>
      <c r="BS319" s="31">
        <f t="shared" si="263"/>
        <v>416</v>
      </c>
    </row>
    <row r="320" spans="2:71" x14ac:dyDescent="0.3">
      <c r="B320" s="269"/>
      <c r="C320" s="215"/>
      <c r="D320" s="216"/>
      <c r="E320" s="220"/>
      <c r="F320" s="123" t="s">
        <v>83</v>
      </c>
      <c r="G320" s="34">
        <v>29</v>
      </c>
      <c r="H320" s="16"/>
      <c r="I320" s="16">
        <v>17</v>
      </c>
      <c r="J320" s="151">
        <v>4</v>
      </c>
      <c r="K320" s="18">
        <f t="shared" si="218"/>
        <v>50</v>
      </c>
      <c r="L320" s="34">
        <v>17</v>
      </c>
      <c r="M320" s="16"/>
      <c r="N320" s="16">
        <v>9</v>
      </c>
      <c r="O320" s="151">
        <v>3</v>
      </c>
      <c r="P320" s="18">
        <f t="shared" si="194"/>
        <v>29</v>
      </c>
      <c r="Q320" s="34">
        <v>44</v>
      </c>
      <c r="R320" s="16"/>
      <c r="S320" s="16">
        <v>45</v>
      </c>
      <c r="T320" s="151">
        <v>6</v>
      </c>
      <c r="U320" s="18">
        <f t="shared" si="195"/>
        <v>95</v>
      </c>
      <c r="V320" s="34">
        <v>17</v>
      </c>
      <c r="W320" s="16"/>
      <c r="X320" s="16">
        <v>10</v>
      </c>
      <c r="Y320" s="151">
        <v>7</v>
      </c>
      <c r="Z320" s="18">
        <f t="shared" si="196"/>
        <v>34</v>
      </c>
      <c r="AA320" s="34">
        <v>22</v>
      </c>
      <c r="AB320" s="16"/>
      <c r="AC320" s="16">
        <v>13</v>
      </c>
      <c r="AD320" s="151">
        <v>11</v>
      </c>
      <c r="AE320" s="18">
        <f t="shared" si="197"/>
        <v>46</v>
      </c>
      <c r="AF320" s="34">
        <v>11</v>
      </c>
      <c r="AG320" s="16"/>
      <c r="AH320" s="16">
        <v>8</v>
      </c>
      <c r="AI320" s="151">
        <v>2</v>
      </c>
      <c r="AJ320" s="18">
        <f t="shared" si="198"/>
        <v>21</v>
      </c>
      <c r="AK320" s="34">
        <v>8</v>
      </c>
      <c r="AL320" s="16"/>
      <c r="AM320" s="16">
        <v>6</v>
      </c>
      <c r="AN320" s="151">
        <v>3</v>
      </c>
      <c r="AO320" s="18">
        <f t="shared" si="199"/>
        <v>17</v>
      </c>
      <c r="AP320" s="34">
        <v>6</v>
      </c>
      <c r="AQ320" s="16"/>
      <c r="AR320" s="16">
        <v>3</v>
      </c>
      <c r="AS320" s="151"/>
      <c r="AT320" s="18">
        <f t="shared" si="200"/>
        <v>9</v>
      </c>
      <c r="AU320" s="34">
        <v>12</v>
      </c>
      <c r="AV320" s="16"/>
      <c r="AW320" s="16">
        <v>9</v>
      </c>
      <c r="AX320" s="151">
        <v>2</v>
      </c>
      <c r="AY320" s="18">
        <f t="shared" si="201"/>
        <v>23</v>
      </c>
      <c r="AZ320" s="34">
        <v>23</v>
      </c>
      <c r="BA320" s="16"/>
      <c r="BB320" s="16">
        <v>13</v>
      </c>
      <c r="BC320" s="151">
        <v>2</v>
      </c>
      <c r="BD320" s="18">
        <f t="shared" si="202"/>
        <v>38</v>
      </c>
      <c r="BE320" s="34">
        <v>10</v>
      </c>
      <c r="BF320" s="16"/>
      <c r="BG320" s="16">
        <v>6</v>
      </c>
      <c r="BH320" s="151">
        <v>2</v>
      </c>
      <c r="BI320" s="18">
        <f t="shared" si="203"/>
        <v>18</v>
      </c>
      <c r="BJ320" s="34">
        <v>5</v>
      </c>
      <c r="BK320" s="16"/>
      <c r="BL320" s="16">
        <v>2</v>
      </c>
      <c r="BM320" s="151"/>
      <c r="BN320" s="18">
        <f t="shared" si="204"/>
        <v>7</v>
      </c>
      <c r="BO320" s="70">
        <f>SUM(G320,L320,Q320,V320,AA320,AF320,AK320,AP320,AU320,AZ320,BE320,BJ320)</f>
        <v>204</v>
      </c>
      <c r="BP320" s="16">
        <f>SUM(H320,M320,R320,W320,AB320,AG320,AL320,AQ320,AV320,BA320,BF320,BK320)</f>
        <v>0</v>
      </c>
      <c r="BQ320" s="16">
        <f>SUM(I320,N320,S320,X320,AC320,AH320,AM320,AR320,AW320,BB320,BG320,BL320)</f>
        <v>141</v>
      </c>
      <c r="BR320" s="17">
        <f>SUM(J320,O320,T320,Y320,AD320,AI320,AN320,AS320,AX320,BC320,BH320,BM320)</f>
        <v>42</v>
      </c>
      <c r="BS320" s="35">
        <f t="shared" si="263"/>
        <v>387</v>
      </c>
    </row>
    <row r="321" spans="2:71" x14ac:dyDescent="0.3">
      <c r="B321" s="269"/>
      <c r="C321" s="215"/>
      <c r="D321" s="216"/>
      <c r="E321" s="219" t="s">
        <v>82</v>
      </c>
      <c r="F321" s="120" t="s">
        <v>77</v>
      </c>
      <c r="G321" s="30">
        <v>7</v>
      </c>
      <c r="H321" s="7"/>
      <c r="I321" s="7">
        <v>2</v>
      </c>
      <c r="J321" s="8"/>
      <c r="K321" s="9">
        <f t="shared" si="218"/>
        <v>9</v>
      </c>
      <c r="L321" s="30">
        <v>12</v>
      </c>
      <c r="M321" s="7"/>
      <c r="N321" s="7">
        <v>2</v>
      </c>
      <c r="O321" s="8"/>
      <c r="P321" s="9">
        <f t="shared" si="194"/>
        <v>14</v>
      </c>
      <c r="Q321" s="30">
        <v>24</v>
      </c>
      <c r="R321" s="7"/>
      <c r="S321" s="7">
        <v>1</v>
      </c>
      <c r="T321" s="8"/>
      <c r="U321" s="9">
        <f t="shared" si="195"/>
        <v>25</v>
      </c>
      <c r="V321" s="30">
        <v>16</v>
      </c>
      <c r="W321" s="7"/>
      <c r="X321" s="7">
        <v>1</v>
      </c>
      <c r="Y321" s="8"/>
      <c r="Z321" s="9">
        <f t="shared" si="196"/>
        <v>17</v>
      </c>
      <c r="AA321" s="30">
        <v>18</v>
      </c>
      <c r="AB321" s="7"/>
      <c r="AC321" s="7">
        <v>2</v>
      </c>
      <c r="AD321" s="8"/>
      <c r="AE321" s="9">
        <f t="shared" si="197"/>
        <v>20</v>
      </c>
      <c r="AF321" s="30">
        <v>6</v>
      </c>
      <c r="AG321" s="7"/>
      <c r="AH321" s="7">
        <v>1</v>
      </c>
      <c r="AI321" s="8"/>
      <c r="AJ321" s="9">
        <f t="shared" si="198"/>
        <v>7</v>
      </c>
      <c r="AK321" s="30">
        <v>2</v>
      </c>
      <c r="AL321" s="7"/>
      <c r="AM321" s="7"/>
      <c r="AN321" s="8"/>
      <c r="AO321" s="9">
        <f t="shared" si="199"/>
        <v>2</v>
      </c>
      <c r="AP321" s="30">
        <v>3</v>
      </c>
      <c r="AQ321" s="7"/>
      <c r="AR321" s="7"/>
      <c r="AS321" s="8"/>
      <c r="AT321" s="9">
        <f t="shared" si="200"/>
        <v>3</v>
      </c>
      <c r="AU321" s="30">
        <v>10</v>
      </c>
      <c r="AV321" s="7"/>
      <c r="AW321" s="7"/>
      <c r="AX321" s="8"/>
      <c r="AY321" s="9">
        <f t="shared" si="201"/>
        <v>10</v>
      </c>
      <c r="AZ321" s="30">
        <v>16</v>
      </c>
      <c r="BA321" s="7"/>
      <c r="BB321" s="7">
        <v>1</v>
      </c>
      <c r="BC321" s="8"/>
      <c r="BD321" s="9">
        <f t="shared" si="202"/>
        <v>17</v>
      </c>
      <c r="BE321" s="30">
        <v>12</v>
      </c>
      <c r="BF321" s="7"/>
      <c r="BG321" s="7">
        <v>1</v>
      </c>
      <c r="BH321" s="8"/>
      <c r="BI321" s="9">
        <f t="shared" si="203"/>
        <v>13</v>
      </c>
      <c r="BJ321" s="30">
        <v>3</v>
      </c>
      <c r="BK321" s="7"/>
      <c r="BL321" s="7"/>
      <c r="BM321" s="8"/>
      <c r="BN321" s="9">
        <f t="shared" si="204"/>
        <v>3</v>
      </c>
      <c r="BO321" s="65">
        <f>SUM(G321,L321,Q321,V321,AA321,AF321,AK321,AP321,AU321,AZ321,BE321,BJ321)</f>
        <v>129</v>
      </c>
      <c r="BP321" s="7">
        <f>SUM(H321,M321,R321,W321,AB321,AG321,AL321,AQ321,AV321,BA321,BF321,BK321)</f>
        <v>0</v>
      </c>
      <c r="BQ321" s="7">
        <f>SUM(I321,N321,S321,X321,AC321,AH321,AM321,AR321,AW321,BB321,BG321,BL321)</f>
        <v>11</v>
      </c>
      <c r="BR321" s="8">
        <f>SUM(J321,O321,T321,Y321,AD321,AI321,AN321,AS321,AX321,BC321,BH321,BM321)</f>
        <v>0</v>
      </c>
      <c r="BS321" s="31">
        <f t="shared" si="263"/>
        <v>140</v>
      </c>
    </row>
    <row r="322" spans="2:71" x14ac:dyDescent="0.3">
      <c r="B322" s="269"/>
      <c r="C322" s="215"/>
      <c r="D322" s="216"/>
      <c r="E322" s="220"/>
      <c r="F322" s="123" t="s">
        <v>83</v>
      </c>
      <c r="G322" s="34">
        <v>15</v>
      </c>
      <c r="H322" s="16"/>
      <c r="I322" s="16">
        <v>2</v>
      </c>
      <c r="J322" s="17"/>
      <c r="K322" s="18">
        <f t="shared" si="218"/>
        <v>17</v>
      </c>
      <c r="L322" s="34">
        <v>13</v>
      </c>
      <c r="M322" s="16"/>
      <c r="N322" s="16">
        <v>1</v>
      </c>
      <c r="O322" s="17"/>
      <c r="P322" s="18">
        <f t="shared" si="194"/>
        <v>14</v>
      </c>
      <c r="Q322" s="34">
        <v>34</v>
      </c>
      <c r="R322" s="16"/>
      <c r="S322" s="16">
        <v>2</v>
      </c>
      <c r="T322" s="17"/>
      <c r="U322" s="18">
        <f t="shared" si="195"/>
        <v>36</v>
      </c>
      <c r="V322" s="34">
        <v>36</v>
      </c>
      <c r="W322" s="16"/>
      <c r="X322" s="16">
        <v>4</v>
      </c>
      <c r="Y322" s="17"/>
      <c r="Z322" s="18">
        <f t="shared" si="196"/>
        <v>40</v>
      </c>
      <c r="AA322" s="34">
        <v>19</v>
      </c>
      <c r="AB322" s="16"/>
      <c r="AC322" s="16">
        <v>3</v>
      </c>
      <c r="AD322" s="17"/>
      <c r="AE322" s="18">
        <f t="shared" si="197"/>
        <v>22</v>
      </c>
      <c r="AF322" s="34">
        <v>9</v>
      </c>
      <c r="AG322" s="16"/>
      <c r="AH322" s="16">
        <v>1</v>
      </c>
      <c r="AI322" s="17"/>
      <c r="AJ322" s="18">
        <f t="shared" si="198"/>
        <v>10</v>
      </c>
      <c r="AK322" s="34">
        <v>6</v>
      </c>
      <c r="AL322" s="16"/>
      <c r="AM322" s="16">
        <v>2</v>
      </c>
      <c r="AN322" s="17"/>
      <c r="AO322" s="18">
        <f t="shared" si="199"/>
        <v>8</v>
      </c>
      <c r="AP322" s="34">
        <v>1</v>
      </c>
      <c r="AQ322" s="16"/>
      <c r="AR322" s="16"/>
      <c r="AS322" s="17"/>
      <c r="AT322" s="18">
        <f t="shared" si="200"/>
        <v>1</v>
      </c>
      <c r="AU322" s="34">
        <v>18</v>
      </c>
      <c r="AV322" s="16"/>
      <c r="AW322" s="16">
        <v>1</v>
      </c>
      <c r="AX322" s="17"/>
      <c r="AY322" s="18">
        <f t="shared" si="201"/>
        <v>19</v>
      </c>
      <c r="AZ322" s="34">
        <v>15</v>
      </c>
      <c r="BA322" s="16"/>
      <c r="BB322" s="16"/>
      <c r="BC322" s="17"/>
      <c r="BD322" s="18">
        <f t="shared" si="202"/>
        <v>15</v>
      </c>
      <c r="BE322" s="34">
        <v>6</v>
      </c>
      <c r="BF322" s="16"/>
      <c r="BG322" s="16"/>
      <c r="BH322" s="17"/>
      <c r="BI322" s="18">
        <f t="shared" si="203"/>
        <v>6</v>
      </c>
      <c r="BJ322" s="34">
        <v>2</v>
      </c>
      <c r="BK322" s="16"/>
      <c r="BL322" s="16"/>
      <c r="BM322" s="17"/>
      <c r="BN322" s="18">
        <f t="shared" si="204"/>
        <v>2</v>
      </c>
      <c r="BO322" s="70">
        <f>SUM(G322,L322,Q322,V322,AA322,AF322,AK322,AP322,AU322,AZ322,BE322,BJ322)</f>
        <v>174</v>
      </c>
      <c r="BP322" s="16">
        <f>SUM(H322,M322,R322,W322,AB322,AG322,AL322,AQ322,AV322,BA322,BF322,BK322)</f>
        <v>0</v>
      </c>
      <c r="BQ322" s="16">
        <f>SUM(I322,N322,S322,X322,AC322,AH322,AM322,AR322,AW322,BB322,BG322,BL322)</f>
        <v>16</v>
      </c>
      <c r="BR322" s="17">
        <f>SUM(J322,O322,T322,Y322,AD322,AI322,AN322,AS322,AX322,BC322,BH322,BM322)</f>
        <v>0</v>
      </c>
      <c r="BS322" s="35">
        <f t="shared" si="263"/>
        <v>190</v>
      </c>
    </row>
    <row r="323" spans="2:71" x14ac:dyDescent="0.3">
      <c r="B323" s="269"/>
      <c r="C323" s="215"/>
      <c r="D323" s="216"/>
      <c r="E323" s="220"/>
      <c r="F323" s="123" t="s">
        <v>354</v>
      </c>
      <c r="G323" s="34"/>
      <c r="H323" s="16"/>
      <c r="I323" s="16"/>
      <c r="J323" s="17"/>
      <c r="K323" s="18">
        <f t="shared" si="218"/>
        <v>0</v>
      </c>
      <c r="L323" s="34"/>
      <c r="M323" s="16"/>
      <c r="N323" s="16"/>
      <c r="O323" s="17"/>
      <c r="P323" s="18">
        <f t="shared" si="194"/>
        <v>0</v>
      </c>
      <c r="Q323" s="34"/>
      <c r="R323" s="16"/>
      <c r="S323" s="16"/>
      <c r="T323" s="17"/>
      <c r="U323" s="18">
        <f t="shared" si="195"/>
        <v>0</v>
      </c>
      <c r="V323" s="34"/>
      <c r="W323" s="16"/>
      <c r="X323" s="16"/>
      <c r="Y323" s="17"/>
      <c r="Z323" s="18">
        <f t="shared" si="196"/>
        <v>0</v>
      </c>
      <c r="AA323" s="34"/>
      <c r="AB323" s="16"/>
      <c r="AC323" s="16"/>
      <c r="AD323" s="17"/>
      <c r="AE323" s="18">
        <f t="shared" si="197"/>
        <v>0</v>
      </c>
      <c r="AF323" s="34"/>
      <c r="AG323" s="16"/>
      <c r="AH323" s="16"/>
      <c r="AI323" s="17"/>
      <c r="AJ323" s="18">
        <f t="shared" si="198"/>
        <v>0</v>
      </c>
      <c r="AK323" s="34">
        <v>36</v>
      </c>
      <c r="AL323" s="16"/>
      <c r="AM323" s="16"/>
      <c r="AN323" s="17"/>
      <c r="AO323" s="18">
        <f t="shared" si="199"/>
        <v>36</v>
      </c>
      <c r="AP323" s="34"/>
      <c r="AQ323" s="16"/>
      <c r="AR323" s="16"/>
      <c r="AS323" s="17"/>
      <c r="AT323" s="18">
        <f t="shared" si="200"/>
        <v>0</v>
      </c>
      <c r="AU323" s="34"/>
      <c r="AV323" s="16"/>
      <c r="AW323" s="16"/>
      <c r="AX323" s="17"/>
      <c r="AY323" s="18">
        <f t="shared" si="201"/>
        <v>0</v>
      </c>
      <c r="AZ323" s="34"/>
      <c r="BA323" s="16"/>
      <c r="BB323" s="16"/>
      <c r="BC323" s="17"/>
      <c r="BD323" s="18">
        <f t="shared" si="202"/>
        <v>0</v>
      </c>
      <c r="BE323" s="34"/>
      <c r="BF323" s="16"/>
      <c r="BG323" s="16"/>
      <c r="BH323" s="17"/>
      <c r="BI323" s="18">
        <f t="shared" si="203"/>
        <v>0</v>
      </c>
      <c r="BJ323" s="34"/>
      <c r="BK323" s="16"/>
      <c r="BL323" s="16"/>
      <c r="BM323" s="17"/>
      <c r="BN323" s="18">
        <f t="shared" si="204"/>
        <v>0</v>
      </c>
      <c r="BO323" s="70">
        <f>SUM(G323,L323,Q323,V323,AA323,AF323,AK323,AP323,AU323,AZ323,BE323,BJ323)</f>
        <v>36</v>
      </c>
      <c r="BP323" s="16">
        <f>SUM(H323,M323,R323,W323,AB323,AG323,AL323,AQ323,AV323,BA323,BF323,BK323)</f>
        <v>0</v>
      </c>
      <c r="BQ323" s="16">
        <f>SUM(I323,N323,S323,X323,AC323,AH323,AM323,AR323,AW323,BB323,BG323,BL323)</f>
        <v>0</v>
      </c>
      <c r="BR323" s="17">
        <f>SUM(J323,O323,T323,Y323,AD323,AI323,AN323,AS323,AX323,BC323,BH323,BM323)</f>
        <v>0</v>
      </c>
      <c r="BS323" s="35">
        <f t="shared" si="263"/>
        <v>36</v>
      </c>
    </row>
    <row r="324" spans="2:71" x14ac:dyDescent="0.3">
      <c r="B324" s="269"/>
      <c r="C324" s="215"/>
      <c r="D324" s="216"/>
      <c r="E324" s="219" t="s">
        <v>86</v>
      </c>
      <c r="F324" s="120" t="s">
        <v>212</v>
      </c>
      <c r="G324" s="30">
        <v>55</v>
      </c>
      <c r="H324" s="7"/>
      <c r="I324" s="7">
        <v>48</v>
      </c>
      <c r="J324" s="8"/>
      <c r="K324" s="9">
        <f t="shared" si="218"/>
        <v>103</v>
      </c>
      <c r="L324" s="30">
        <f>57</f>
        <v>57</v>
      </c>
      <c r="M324" s="7"/>
      <c r="N324" s="7">
        <v>50</v>
      </c>
      <c r="O324" s="8"/>
      <c r="P324" s="9">
        <f t="shared" si="194"/>
        <v>107</v>
      </c>
      <c r="Q324" s="30">
        <v>77</v>
      </c>
      <c r="R324" s="7"/>
      <c r="S324" s="7">
        <v>66</v>
      </c>
      <c r="T324" s="8"/>
      <c r="U324" s="9">
        <f t="shared" si="195"/>
        <v>143</v>
      </c>
      <c r="V324" s="30"/>
      <c r="W324" s="7"/>
      <c r="X324" s="7"/>
      <c r="Y324" s="8"/>
      <c r="Z324" s="9">
        <f t="shared" si="196"/>
        <v>0</v>
      </c>
      <c r="AA324" s="30"/>
      <c r="AB324" s="7"/>
      <c r="AC324" s="7"/>
      <c r="AD324" s="8"/>
      <c r="AE324" s="9">
        <f t="shared" si="197"/>
        <v>0</v>
      </c>
      <c r="AF324" s="30"/>
      <c r="AG324" s="7"/>
      <c r="AH324" s="7"/>
      <c r="AI324" s="8"/>
      <c r="AJ324" s="9">
        <f t="shared" si="198"/>
        <v>0</v>
      </c>
      <c r="AK324" s="30"/>
      <c r="AL324" s="7"/>
      <c r="AM324" s="7"/>
      <c r="AN324" s="8"/>
      <c r="AO324" s="9">
        <f t="shared" si="199"/>
        <v>0</v>
      </c>
      <c r="AP324" s="30"/>
      <c r="AQ324" s="7"/>
      <c r="AR324" s="7"/>
      <c r="AS324" s="8"/>
      <c r="AT324" s="9">
        <f t="shared" si="200"/>
        <v>0</v>
      </c>
      <c r="AU324" s="30"/>
      <c r="AV324" s="7"/>
      <c r="AW324" s="7"/>
      <c r="AX324" s="8"/>
      <c r="AY324" s="9">
        <f t="shared" si="201"/>
        <v>0</v>
      </c>
      <c r="AZ324" s="30"/>
      <c r="BA324" s="7"/>
      <c r="BB324" s="7"/>
      <c r="BC324" s="8"/>
      <c r="BD324" s="9">
        <f t="shared" si="202"/>
        <v>0</v>
      </c>
      <c r="BE324" s="30"/>
      <c r="BF324" s="7"/>
      <c r="BG324" s="7"/>
      <c r="BH324" s="8"/>
      <c r="BI324" s="9">
        <f t="shared" si="203"/>
        <v>0</v>
      </c>
      <c r="BJ324" s="30"/>
      <c r="BK324" s="7"/>
      <c r="BL324" s="7"/>
      <c r="BM324" s="8"/>
      <c r="BN324" s="9">
        <f t="shared" si="204"/>
        <v>0</v>
      </c>
      <c r="BO324" s="65">
        <f>SUM(G324,L324,Q324,V324,AA324,AF324,AK324,AP324,AU324,AZ324,BE324,BJ324)</f>
        <v>189</v>
      </c>
      <c r="BP324" s="7">
        <f>SUM(H324,M324,R324,W324,AB324,AG324,AL324,AQ324,AV324,BA324,BF324,BK324)</f>
        <v>0</v>
      </c>
      <c r="BQ324" s="7">
        <f>SUM(I324,N324,S324,X324,AC324,AH324,AM324,AR324,AW324,BB324,BG324,BL324)</f>
        <v>164</v>
      </c>
      <c r="BR324" s="8">
        <f>SUM(J324,O324,T324,Y324,AD324,AI324,AN324,AS324,AX324,BC324,BH324,BM324)</f>
        <v>0</v>
      </c>
      <c r="BS324" s="31">
        <f t="shared" si="263"/>
        <v>353</v>
      </c>
    </row>
    <row r="325" spans="2:71" x14ac:dyDescent="0.3">
      <c r="B325" s="269"/>
      <c r="C325" s="215"/>
      <c r="D325" s="216"/>
      <c r="E325" s="235"/>
      <c r="F325" s="121" t="s">
        <v>213</v>
      </c>
      <c r="G325" s="32">
        <f>703+6</f>
        <v>709</v>
      </c>
      <c r="H325" s="13"/>
      <c r="I325" s="13">
        <f>3+576</f>
        <v>579</v>
      </c>
      <c r="J325" s="14"/>
      <c r="K325" s="15">
        <f t="shared" si="218"/>
        <v>1288</v>
      </c>
      <c r="L325" s="32">
        <f>21+1863</f>
        <v>1884</v>
      </c>
      <c r="M325" s="13"/>
      <c r="N325" s="13">
        <f>14+1482</f>
        <v>1496</v>
      </c>
      <c r="O325" s="14"/>
      <c r="P325" s="15">
        <f t="shared" si="194"/>
        <v>3380</v>
      </c>
      <c r="Q325" s="32">
        <v>1723</v>
      </c>
      <c r="R325" s="13"/>
      <c r="S325" s="192">
        <v>1390</v>
      </c>
      <c r="T325" s="14"/>
      <c r="U325" s="15">
        <f t="shared" si="195"/>
        <v>3113</v>
      </c>
      <c r="V325" s="32">
        <v>1618</v>
      </c>
      <c r="W325" s="13"/>
      <c r="X325" s="13">
        <v>1316</v>
      </c>
      <c r="Y325" s="14"/>
      <c r="Z325" s="15">
        <f t="shared" si="196"/>
        <v>2934</v>
      </c>
      <c r="AA325" s="32"/>
      <c r="AB325" s="13"/>
      <c r="AC325" s="13"/>
      <c r="AD325" s="14"/>
      <c r="AE325" s="15">
        <f t="shared" si="197"/>
        <v>0</v>
      </c>
      <c r="AF325" s="32"/>
      <c r="AG325" s="13"/>
      <c r="AH325" s="13"/>
      <c r="AI325" s="14"/>
      <c r="AJ325" s="15">
        <f t="shared" si="198"/>
        <v>0</v>
      </c>
      <c r="AK325" s="32"/>
      <c r="AL325" s="13"/>
      <c r="AM325" s="13"/>
      <c r="AN325" s="14"/>
      <c r="AO325" s="15">
        <f t="shared" si="199"/>
        <v>0</v>
      </c>
      <c r="AP325" s="32"/>
      <c r="AQ325" s="13"/>
      <c r="AR325" s="13"/>
      <c r="AS325" s="14"/>
      <c r="AT325" s="15">
        <f t="shared" si="200"/>
        <v>0</v>
      </c>
      <c r="AU325" s="32"/>
      <c r="AV325" s="13"/>
      <c r="AW325" s="13"/>
      <c r="AX325" s="14"/>
      <c r="AY325" s="15">
        <f t="shared" si="201"/>
        <v>0</v>
      </c>
      <c r="AZ325" s="32"/>
      <c r="BA325" s="13"/>
      <c r="BB325" s="13"/>
      <c r="BC325" s="14"/>
      <c r="BD325" s="15">
        <f t="shared" si="202"/>
        <v>0</v>
      </c>
      <c r="BE325" s="32"/>
      <c r="BF325" s="13"/>
      <c r="BG325" s="13"/>
      <c r="BH325" s="14"/>
      <c r="BI325" s="15">
        <f t="shared" si="203"/>
        <v>0</v>
      </c>
      <c r="BJ325" s="32"/>
      <c r="BK325" s="13"/>
      <c r="BL325" s="13"/>
      <c r="BM325" s="14"/>
      <c r="BN325" s="15">
        <f t="shared" si="204"/>
        <v>0</v>
      </c>
      <c r="BO325" s="66">
        <f>SUM(G325,L325,Q325,V325,AA325,AF325,AK325,AP325,AU325,AZ325,BE325,BJ325)</f>
        <v>5934</v>
      </c>
      <c r="BP325" s="13">
        <f>SUM(H325,M325,R325,W325,AB325,AG325,AL325,AQ325,AV325,BA325,BF325,BK325)</f>
        <v>0</v>
      </c>
      <c r="BQ325" s="13">
        <f>SUM(I325,N325,S325,X325,AC325,AH325,AM325,AR325,AW325,BB325,BG325,BL325)</f>
        <v>4781</v>
      </c>
      <c r="BR325" s="14">
        <f>SUM(J325,O325,T325,Y325,AD325,AI325,AN325,AS325,AX325,BC325,BH325,BM325)</f>
        <v>0</v>
      </c>
      <c r="BS325" s="33">
        <f t="shared" si="263"/>
        <v>10715</v>
      </c>
    </row>
    <row r="326" spans="2:71" x14ac:dyDescent="0.3">
      <c r="B326" s="269"/>
      <c r="C326" s="215"/>
      <c r="D326" s="216"/>
      <c r="E326" s="235"/>
      <c r="F326" s="121" t="s">
        <v>525</v>
      </c>
      <c r="G326" s="32">
        <v>16</v>
      </c>
      <c r="H326" s="13"/>
      <c r="I326" s="13">
        <v>11</v>
      </c>
      <c r="J326" s="14"/>
      <c r="K326" s="15">
        <f t="shared" si="218"/>
        <v>27</v>
      </c>
      <c r="L326" s="32">
        <v>54</v>
      </c>
      <c r="M326" s="13"/>
      <c r="N326" s="13">
        <v>46</v>
      </c>
      <c r="O326" s="14"/>
      <c r="P326" s="15">
        <f t="shared" si="194"/>
        <v>100</v>
      </c>
      <c r="Q326" s="32"/>
      <c r="R326" s="13"/>
      <c r="S326" s="13"/>
      <c r="T326" s="14"/>
      <c r="U326" s="15">
        <f t="shared" si="195"/>
        <v>0</v>
      </c>
      <c r="V326" s="32"/>
      <c r="W326" s="13"/>
      <c r="X326" s="13"/>
      <c r="Y326" s="14"/>
      <c r="Z326" s="15">
        <f t="shared" si="196"/>
        <v>0</v>
      </c>
      <c r="AA326" s="32"/>
      <c r="AB326" s="13"/>
      <c r="AC326" s="13"/>
      <c r="AD326" s="14"/>
      <c r="AE326" s="15">
        <f t="shared" si="197"/>
        <v>0</v>
      </c>
      <c r="AF326" s="32"/>
      <c r="AG326" s="13"/>
      <c r="AH326" s="13"/>
      <c r="AI326" s="14"/>
      <c r="AJ326" s="15">
        <f t="shared" si="198"/>
        <v>0</v>
      </c>
      <c r="AK326" s="32"/>
      <c r="AL326" s="13"/>
      <c r="AM326" s="13"/>
      <c r="AN326" s="14"/>
      <c r="AO326" s="15">
        <f t="shared" si="199"/>
        <v>0</v>
      </c>
      <c r="AP326" s="32"/>
      <c r="AQ326" s="13"/>
      <c r="AR326" s="13"/>
      <c r="AS326" s="14"/>
      <c r="AT326" s="15">
        <f t="shared" si="200"/>
        <v>0</v>
      </c>
      <c r="AU326" s="32"/>
      <c r="AV326" s="13"/>
      <c r="AW326" s="13"/>
      <c r="AX326" s="14"/>
      <c r="AY326" s="15">
        <f t="shared" si="201"/>
        <v>0</v>
      </c>
      <c r="AZ326" s="32"/>
      <c r="BA326" s="13"/>
      <c r="BB326" s="13"/>
      <c r="BC326" s="14"/>
      <c r="BD326" s="15">
        <f t="shared" si="202"/>
        <v>0</v>
      </c>
      <c r="BE326" s="32"/>
      <c r="BF326" s="13"/>
      <c r="BG326" s="13"/>
      <c r="BH326" s="14"/>
      <c r="BI326" s="15">
        <f t="shared" si="203"/>
        <v>0</v>
      </c>
      <c r="BJ326" s="32"/>
      <c r="BK326" s="13"/>
      <c r="BL326" s="13"/>
      <c r="BM326" s="14"/>
      <c r="BN326" s="15">
        <f t="shared" si="204"/>
        <v>0</v>
      </c>
      <c r="BO326" s="66">
        <f>SUM(G326,L326,Q326,V326,AA326,AF326,AK326,AP326,AU326,AZ326,BE326,BJ326)</f>
        <v>70</v>
      </c>
      <c r="BP326" s="13">
        <f>SUM(H326,M326,R326,W326,AB326,AG326,AL326,AQ326,AV326,BA326,BF326,BK326)</f>
        <v>0</v>
      </c>
      <c r="BQ326" s="13">
        <f>SUM(I326,N326,S326,X326,AC326,AH326,AM326,AR326,AW326,BB326,BG326,BL326)</f>
        <v>57</v>
      </c>
      <c r="BR326" s="14">
        <f>SUM(J326,O326,T326,Y326,AD326,AI326,AN326,AS326,AX326,BC326,BH326,BM326)</f>
        <v>0</v>
      </c>
      <c r="BS326" s="33">
        <f t="shared" si="263"/>
        <v>127</v>
      </c>
    </row>
    <row r="327" spans="2:71" x14ac:dyDescent="0.3">
      <c r="B327" s="269"/>
      <c r="C327" s="215"/>
      <c r="D327" s="216"/>
      <c r="E327" s="235"/>
      <c r="F327" s="121" t="s">
        <v>526</v>
      </c>
      <c r="G327" s="32"/>
      <c r="H327" s="13"/>
      <c r="I327" s="13"/>
      <c r="J327" s="14"/>
      <c r="K327" s="15">
        <f t="shared" ref="K327" si="286">SUM(G327:J327)</f>
        <v>0</v>
      </c>
      <c r="L327" s="32"/>
      <c r="M327" s="13"/>
      <c r="N327" s="13"/>
      <c r="O327" s="14"/>
      <c r="P327" s="15">
        <f t="shared" si="194"/>
        <v>0</v>
      </c>
      <c r="Q327" s="32"/>
      <c r="R327" s="13"/>
      <c r="S327" s="13"/>
      <c r="T327" s="14"/>
      <c r="U327" s="15">
        <f t="shared" si="195"/>
        <v>0</v>
      </c>
      <c r="V327" s="32"/>
      <c r="W327" s="13"/>
      <c r="X327" s="13"/>
      <c r="Y327" s="14"/>
      <c r="Z327" s="15">
        <f t="shared" si="196"/>
        <v>0</v>
      </c>
      <c r="AA327" s="32"/>
      <c r="AB327" s="13"/>
      <c r="AC327" s="13"/>
      <c r="AD327" s="14"/>
      <c r="AE327" s="15">
        <f t="shared" si="197"/>
        <v>0</v>
      </c>
      <c r="AF327" s="32"/>
      <c r="AG327" s="13"/>
      <c r="AH327" s="13"/>
      <c r="AI327" s="14"/>
      <c r="AJ327" s="15">
        <f t="shared" si="198"/>
        <v>0</v>
      </c>
      <c r="AK327" s="32"/>
      <c r="AL327" s="13"/>
      <c r="AM327" s="13"/>
      <c r="AN327" s="14"/>
      <c r="AO327" s="15">
        <f t="shared" si="199"/>
        <v>0</v>
      </c>
      <c r="AP327" s="32"/>
      <c r="AQ327" s="13"/>
      <c r="AR327" s="13"/>
      <c r="AS327" s="14"/>
      <c r="AT327" s="15">
        <f t="shared" si="200"/>
        <v>0</v>
      </c>
      <c r="AU327" s="32"/>
      <c r="AV327" s="13"/>
      <c r="AW327" s="13"/>
      <c r="AX327" s="14"/>
      <c r="AY327" s="15">
        <f t="shared" si="201"/>
        <v>0</v>
      </c>
      <c r="AZ327" s="32"/>
      <c r="BA327" s="13"/>
      <c r="BB327" s="13"/>
      <c r="BC327" s="14"/>
      <c r="BD327" s="15">
        <f t="shared" si="202"/>
        <v>0</v>
      </c>
      <c r="BE327" s="32">
        <v>6</v>
      </c>
      <c r="BF327" s="13"/>
      <c r="BG327" s="13"/>
      <c r="BH327" s="14"/>
      <c r="BI327" s="15">
        <f t="shared" si="203"/>
        <v>6</v>
      </c>
      <c r="BJ327" s="32">
        <v>14</v>
      </c>
      <c r="BK327" s="13"/>
      <c r="BL327" s="13"/>
      <c r="BM327" s="14"/>
      <c r="BN327" s="15">
        <f t="shared" si="204"/>
        <v>14</v>
      </c>
      <c r="BO327" s="66">
        <f>SUM(G327,L327,Q327,V327,AA327,AF327,AK327,AP327,AU327,AZ327,BE327,BJ327)</f>
        <v>20</v>
      </c>
      <c r="BP327" s="13">
        <f>SUM(H327,M327,R327,W327,AB327,AG327,AL327,AQ327,AV327,BA327,BF327,BK327)</f>
        <v>0</v>
      </c>
      <c r="BQ327" s="13">
        <f>SUM(I327,N327,S327,X327,AC327,AH327,AM327,AR327,AW327,BB327,BG327,BL327)</f>
        <v>0</v>
      </c>
      <c r="BR327" s="14">
        <f>SUM(J327,O327,T327,Y327,AD327,AI327,AN327,AS327,AX327,BC327,BH327,BM327)</f>
        <v>0</v>
      </c>
      <c r="BS327" s="33">
        <f t="shared" si="263"/>
        <v>20</v>
      </c>
    </row>
    <row r="328" spans="2:71" x14ac:dyDescent="0.3">
      <c r="B328" s="269"/>
      <c r="C328" s="215"/>
      <c r="D328" s="216"/>
      <c r="E328" s="235"/>
      <c r="F328" s="121" t="s">
        <v>527</v>
      </c>
      <c r="G328" s="32"/>
      <c r="H328" s="13"/>
      <c r="I328" s="13"/>
      <c r="J328" s="14"/>
      <c r="K328" s="15">
        <f t="shared" ref="K328" si="287">SUM(G328:J328)</f>
        <v>0</v>
      </c>
      <c r="L328" s="32"/>
      <c r="M328" s="13"/>
      <c r="N328" s="13"/>
      <c r="O328" s="14"/>
      <c r="P328" s="15">
        <f t="shared" si="194"/>
        <v>0</v>
      </c>
      <c r="Q328" s="32"/>
      <c r="R328" s="13"/>
      <c r="S328" s="13"/>
      <c r="T328" s="14"/>
      <c r="U328" s="15">
        <f t="shared" si="195"/>
        <v>0</v>
      </c>
      <c r="V328" s="32"/>
      <c r="W328" s="13"/>
      <c r="X328" s="13"/>
      <c r="Y328" s="14"/>
      <c r="Z328" s="15">
        <f t="shared" si="196"/>
        <v>0</v>
      </c>
      <c r="AA328" s="32"/>
      <c r="AB328" s="13"/>
      <c r="AC328" s="13"/>
      <c r="AD328" s="14"/>
      <c r="AE328" s="15">
        <f t="shared" si="197"/>
        <v>0</v>
      </c>
      <c r="AF328" s="32"/>
      <c r="AG328" s="13"/>
      <c r="AH328" s="13"/>
      <c r="AI328" s="14"/>
      <c r="AJ328" s="15">
        <f t="shared" si="198"/>
        <v>0</v>
      </c>
      <c r="AK328" s="32"/>
      <c r="AL328" s="13"/>
      <c r="AM328" s="13"/>
      <c r="AN328" s="14"/>
      <c r="AO328" s="15">
        <f t="shared" si="199"/>
        <v>0</v>
      </c>
      <c r="AP328" s="32"/>
      <c r="AQ328" s="13"/>
      <c r="AR328" s="13"/>
      <c r="AS328" s="14"/>
      <c r="AT328" s="15">
        <f t="shared" si="200"/>
        <v>0</v>
      </c>
      <c r="AU328" s="32"/>
      <c r="AV328" s="13"/>
      <c r="AW328" s="13"/>
      <c r="AX328" s="14"/>
      <c r="AY328" s="15">
        <f t="shared" si="201"/>
        <v>0</v>
      </c>
      <c r="AZ328" s="32"/>
      <c r="BA328" s="13"/>
      <c r="BB328" s="13"/>
      <c r="BC328" s="14"/>
      <c r="BD328" s="15">
        <f t="shared" si="202"/>
        <v>0</v>
      </c>
      <c r="BE328" s="32">
        <v>104</v>
      </c>
      <c r="BF328" s="13"/>
      <c r="BG328" s="13"/>
      <c r="BH328" s="14"/>
      <c r="BI328" s="15">
        <f t="shared" si="203"/>
        <v>104</v>
      </c>
      <c r="BJ328" s="32">
        <v>272</v>
      </c>
      <c r="BK328" s="13"/>
      <c r="BL328" s="13"/>
      <c r="BM328" s="14"/>
      <c r="BN328" s="15">
        <f t="shared" si="204"/>
        <v>272</v>
      </c>
      <c r="BO328" s="66">
        <f>SUM(G328,L328,Q328,V328,AA328,AF328,AK328,AP328,AU328,AZ328,BE328,BJ328)</f>
        <v>376</v>
      </c>
      <c r="BP328" s="13">
        <f>SUM(H328,M328,R328,W328,AB328,AG328,AL328,AQ328,AV328,BA328,BF328,BK328)</f>
        <v>0</v>
      </c>
      <c r="BQ328" s="13">
        <f>SUM(I328,N328,S328,X328,AC328,AH328,AM328,AR328,AW328,BB328,BG328,BL328)</f>
        <v>0</v>
      </c>
      <c r="BR328" s="14">
        <f>SUM(J328,O328,T328,Y328,AD328,AI328,AN328,AS328,AX328,BC328,BH328,BM328)</f>
        <v>0</v>
      </c>
      <c r="BS328" s="33">
        <f t="shared" si="263"/>
        <v>376</v>
      </c>
    </row>
    <row r="329" spans="2:71" x14ac:dyDescent="0.3">
      <c r="B329" s="269"/>
      <c r="C329" s="217"/>
      <c r="D329" s="218"/>
      <c r="E329" s="238" t="s">
        <v>4</v>
      </c>
      <c r="F329" s="252"/>
      <c r="G329" s="40">
        <f>SUM(G284:G328)</f>
        <v>1330</v>
      </c>
      <c r="H329" s="22">
        <f>SUM(H284:H328)</f>
        <v>0</v>
      </c>
      <c r="I329" s="22">
        <f>SUM(I284:I328)</f>
        <v>934</v>
      </c>
      <c r="J329" s="23">
        <f>SUM(J284:J328)</f>
        <v>93</v>
      </c>
      <c r="K329" s="24">
        <f t="shared" si="218"/>
        <v>2357</v>
      </c>
      <c r="L329" s="40">
        <f>SUM(L284:L328)</f>
        <v>2893</v>
      </c>
      <c r="M329" s="22">
        <f>SUM(M284:M328)</f>
        <v>0</v>
      </c>
      <c r="N329" s="22">
        <f>SUM(N284:N328)</f>
        <v>2180</v>
      </c>
      <c r="O329" s="23">
        <f>SUM(O284:O328)</f>
        <v>82</v>
      </c>
      <c r="P329" s="24">
        <f t="shared" si="194"/>
        <v>5155</v>
      </c>
      <c r="Q329" s="40">
        <f>SUM(Q284:Q328)</f>
        <v>3443</v>
      </c>
      <c r="R329" s="22">
        <f>SUM(R284:R328)</f>
        <v>0</v>
      </c>
      <c r="S329" s="22">
        <f>SUM(S284:S328)</f>
        <v>2568</v>
      </c>
      <c r="T329" s="23">
        <f>SUM(T284:T328)</f>
        <v>98</v>
      </c>
      <c r="U329" s="24">
        <f t="shared" si="195"/>
        <v>6109</v>
      </c>
      <c r="V329" s="40">
        <f>SUM(V284:V328)</f>
        <v>5229</v>
      </c>
      <c r="W329" s="22">
        <f>SUM(W284:W328)</f>
        <v>0</v>
      </c>
      <c r="X329" s="22">
        <f>SUM(X284:X328)</f>
        <v>3662</v>
      </c>
      <c r="Y329" s="23">
        <f>SUM(Y284:Y328)</f>
        <v>449</v>
      </c>
      <c r="Z329" s="24">
        <f t="shared" si="196"/>
        <v>9340</v>
      </c>
      <c r="AA329" s="40">
        <f>SUM(AA284:AA328)</f>
        <v>1138</v>
      </c>
      <c r="AB329" s="22">
        <f>SUM(AB284:AB328)</f>
        <v>0</v>
      </c>
      <c r="AC329" s="22">
        <f>SUM(AC284:AC328)</f>
        <v>821</v>
      </c>
      <c r="AD329" s="23">
        <f>SUM(AD284:AD328)</f>
        <v>69</v>
      </c>
      <c r="AE329" s="24">
        <f t="shared" si="197"/>
        <v>2028</v>
      </c>
      <c r="AF329" s="40">
        <f>SUM(AF284:AF328)</f>
        <v>1240</v>
      </c>
      <c r="AG329" s="22">
        <f>SUM(AG284:AG328)</f>
        <v>0</v>
      </c>
      <c r="AH329" s="22">
        <f>SUM(AH284:AH328)</f>
        <v>831</v>
      </c>
      <c r="AI329" s="23">
        <f>SUM(AI284:AI328)</f>
        <v>44</v>
      </c>
      <c r="AJ329" s="24">
        <f t="shared" si="198"/>
        <v>2115</v>
      </c>
      <c r="AK329" s="40">
        <f>SUM(AK284:AK328)</f>
        <v>1278</v>
      </c>
      <c r="AL329" s="22">
        <f>SUM(AL284:AL328)</f>
        <v>0</v>
      </c>
      <c r="AM329" s="22">
        <f>SUM(AM284:AM328)</f>
        <v>840</v>
      </c>
      <c r="AN329" s="23">
        <f>SUM(AN284:AN328)</f>
        <v>26</v>
      </c>
      <c r="AO329" s="24">
        <f t="shared" si="199"/>
        <v>2144</v>
      </c>
      <c r="AP329" s="40">
        <f>SUM(AP284:AP328)</f>
        <v>178</v>
      </c>
      <c r="AQ329" s="22">
        <f>SUM(AQ284:AQ328)</f>
        <v>0</v>
      </c>
      <c r="AR329" s="22">
        <f>SUM(AR284:AR328)</f>
        <v>115</v>
      </c>
      <c r="AS329" s="23">
        <f>SUM(AS284:AS328)</f>
        <v>14</v>
      </c>
      <c r="AT329" s="24">
        <f t="shared" si="200"/>
        <v>307</v>
      </c>
      <c r="AU329" s="40">
        <f>SUM(AU284:AU328)</f>
        <v>2011</v>
      </c>
      <c r="AV329" s="22">
        <f>SUM(AV284:AV328)</f>
        <v>0</v>
      </c>
      <c r="AW329" s="22">
        <f>SUM(AW284:AW328)</f>
        <v>1062</v>
      </c>
      <c r="AX329" s="23">
        <f>SUM(AX284:AX328)</f>
        <v>375</v>
      </c>
      <c r="AY329" s="24">
        <f t="shared" si="201"/>
        <v>3448</v>
      </c>
      <c r="AZ329" s="40">
        <f>SUM(AZ284:AZ328)</f>
        <v>829</v>
      </c>
      <c r="BA329" s="22">
        <f>SUM(BA284:BA328)</f>
        <v>0</v>
      </c>
      <c r="BB329" s="22">
        <f>SUM(BB284:BB328)</f>
        <v>502</v>
      </c>
      <c r="BC329" s="23">
        <f>SUM(BC284:BC328)</f>
        <v>59</v>
      </c>
      <c r="BD329" s="24">
        <f t="shared" si="202"/>
        <v>1390</v>
      </c>
      <c r="BE329" s="40">
        <f>SUM(BE284:BE328)</f>
        <v>1018</v>
      </c>
      <c r="BF329" s="22">
        <f>SUM(BF284:BF328)</f>
        <v>0</v>
      </c>
      <c r="BG329" s="22">
        <f>SUM(BG284:BG328)</f>
        <v>627</v>
      </c>
      <c r="BH329" s="23">
        <f>SUM(BH284:BH328)</f>
        <v>29</v>
      </c>
      <c r="BI329" s="24">
        <f t="shared" si="203"/>
        <v>1674</v>
      </c>
      <c r="BJ329" s="40">
        <f>SUM(BJ284:BJ328)</f>
        <v>709</v>
      </c>
      <c r="BK329" s="22">
        <f>SUM(BK284:BK328)</f>
        <v>0</v>
      </c>
      <c r="BL329" s="22">
        <f>SUM(BL284:BL328)</f>
        <v>278</v>
      </c>
      <c r="BM329" s="23">
        <f>SUM(BM284:BM328)</f>
        <v>23</v>
      </c>
      <c r="BN329" s="24">
        <f t="shared" si="204"/>
        <v>1010</v>
      </c>
      <c r="BO329" s="68">
        <f>SUM(BO284:BO328)</f>
        <v>21296</v>
      </c>
      <c r="BP329" s="22">
        <f>SUM(BP284:BP328)</f>
        <v>0</v>
      </c>
      <c r="BQ329" s="22">
        <f>SUM(BQ284:BQ328)</f>
        <v>14420</v>
      </c>
      <c r="BR329" s="23">
        <f>SUM(BR284:BR328)</f>
        <v>1361</v>
      </c>
      <c r="BS329" s="41">
        <f t="shared" si="263"/>
        <v>37077</v>
      </c>
    </row>
    <row r="330" spans="2:71" s="75" customFormat="1" ht="22.5" customHeight="1" thickBot="1" x14ac:dyDescent="0.35">
      <c r="B330" s="270"/>
      <c r="C330" s="259" t="s">
        <v>22</v>
      </c>
      <c r="D330" s="259"/>
      <c r="E330" s="259"/>
      <c r="F330" s="260"/>
      <c r="G330" s="76">
        <f>SUM(G10,G126,G167,G255,G283,G329)</f>
        <v>25318</v>
      </c>
      <c r="H330" s="77">
        <f>SUM(H10,H126,H167,H255,H283,H329)</f>
        <v>1083</v>
      </c>
      <c r="I330" s="77">
        <f>SUM(I10,I126,I167,I255,I283,I329)</f>
        <v>7055</v>
      </c>
      <c r="J330" s="78">
        <f>SUM(J10,J126,J167,J255,J283,J329)</f>
        <v>93</v>
      </c>
      <c r="K330" s="79">
        <f t="shared" si="218"/>
        <v>33549</v>
      </c>
      <c r="L330" s="76">
        <f>SUM(L10,L126,L167,L255,L283,L329)</f>
        <v>36553</v>
      </c>
      <c r="M330" s="77">
        <f>SUM(M10,M126,M167,M255,M283,M329)</f>
        <v>2174</v>
      </c>
      <c r="N330" s="77">
        <f>SUM(N10,N126,N167,N255,N283,N329)</f>
        <v>11052</v>
      </c>
      <c r="O330" s="78">
        <f>SUM(O10,O126,O167,O255,O283,O329)</f>
        <v>82</v>
      </c>
      <c r="P330" s="79">
        <f t="shared" si="194"/>
        <v>49861</v>
      </c>
      <c r="Q330" s="76">
        <f>SUM(Q10,Q126,Q167,Q255,Q283,Q329)</f>
        <v>33877</v>
      </c>
      <c r="R330" s="77">
        <f>SUM(R10,R126,R167,R255,R283,R329)</f>
        <v>808</v>
      </c>
      <c r="S330" s="77">
        <f>SUM(S10,S126,S167,S255,S283,S329)</f>
        <v>10196</v>
      </c>
      <c r="T330" s="78">
        <f>SUM(T10,T126,T167,T255,T283,T329)</f>
        <v>98</v>
      </c>
      <c r="U330" s="79">
        <f t="shared" si="195"/>
        <v>44979</v>
      </c>
      <c r="V330" s="76">
        <f>SUM(V10,V126,V167,V255,V283,V329)</f>
        <v>70876</v>
      </c>
      <c r="W330" s="77">
        <f>SUM(W10,W126,W167,W255,W283,W329)</f>
        <v>611</v>
      </c>
      <c r="X330" s="77">
        <f>SUM(X10,X126,X167,X255,X283,X329)</f>
        <v>13000</v>
      </c>
      <c r="Y330" s="78">
        <f>SUM(Y10,Y126,Y167,Y255,Y283,Y329)</f>
        <v>449</v>
      </c>
      <c r="Z330" s="79">
        <f t="shared" si="196"/>
        <v>84936</v>
      </c>
      <c r="AA330" s="76">
        <f>SUM(AA10,AA126,AA167,AA255,AA283,AA329)</f>
        <v>61170</v>
      </c>
      <c r="AB330" s="77">
        <f>SUM(AB10,AB126,AB167,AB255,AB283,AB329)</f>
        <v>1527</v>
      </c>
      <c r="AC330" s="77">
        <f>SUM(AC10,AC126,AC167,AC255,AC283,AC329)</f>
        <v>10633</v>
      </c>
      <c r="AD330" s="78">
        <f>SUM(AD10,AD126,AD167,AD255,AD283,AD329)</f>
        <v>69</v>
      </c>
      <c r="AE330" s="79">
        <f t="shared" si="197"/>
        <v>73399</v>
      </c>
      <c r="AF330" s="76">
        <f>SUM(AF10,AF126,AF167,AF255,AF283,AF329)</f>
        <v>48667</v>
      </c>
      <c r="AG330" s="77">
        <f>SUM(AG10,AG126,AG167,AG255,AG283,AG329)</f>
        <v>778</v>
      </c>
      <c r="AH330" s="77">
        <f>SUM(AH10,AH126,AH167,AH255,AH283,AH329)</f>
        <v>9998</v>
      </c>
      <c r="AI330" s="78">
        <f>SUM(AI10,AI126,AI167,AI255,AI283,AI329)</f>
        <v>44</v>
      </c>
      <c r="AJ330" s="79">
        <f t="shared" si="198"/>
        <v>59487</v>
      </c>
      <c r="AK330" s="76">
        <f>SUM(AK10,AK126,AK167,AK255,AK283,AK329)</f>
        <v>38962</v>
      </c>
      <c r="AL330" s="77">
        <f>SUM(AL10,AL126,AL167,AL255,AL283,AL329)</f>
        <v>677</v>
      </c>
      <c r="AM330" s="77">
        <f>SUM(AM10,AM126,AM167,AM255,AM283,AM329)</f>
        <v>5469</v>
      </c>
      <c r="AN330" s="78">
        <f>SUM(AN10,AN126,AN167,AN255,AN283,AN329)</f>
        <v>26</v>
      </c>
      <c r="AO330" s="79">
        <f t="shared" si="199"/>
        <v>45134</v>
      </c>
      <c r="AP330" s="76">
        <f>SUM(AP10,AP126,AP167,AP255,AP283,AP329)</f>
        <v>33745</v>
      </c>
      <c r="AQ330" s="77">
        <f>SUM(AQ10,AQ126,AQ167,AQ255,AQ283,AQ329)</f>
        <v>818</v>
      </c>
      <c r="AR330" s="77">
        <f>SUM(AR10,AR126,AR167,AR255,AR283,AR329)</f>
        <v>4950</v>
      </c>
      <c r="AS330" s="78">
        <f>SUM(AS10,AS126,AS167,AS255,AS283,AS329)</f>
        <v>14</v>
      </c>
      <c r="AT330" s="79">
        <f t="shared" si="200"/>
        <v>39527</v>
      </c>
      <c r="AU330" s="76">
        <f>SUM(AU10,AU126,AU167,AU255,AU283,AU329)</f>
        <v>54849</v>
      </c>
      <c r="AV330" s="77">
        <f>SUM(AV10,AV126,AV167,AV255,AV283,AV329)</f>
        <v>570</v>
      </c>
      <c r="AW330" s="77">
        <f>SUM(AW10,AW126,AW167,AW255,AW283,AW329)</f>
        <v>9169</v>
      </c>
      <c r="AX330" s="78">
        <f>SUM(AX10,AX126,AX167,AX255,AX283,AX329)</f>
        <v>375</v>
      </c>
      <c r="AY330" s="79">
        <f t="shared" si="201"/>
        <v>64963</v>
      </c>
      <c r="AZ330" s="76">
        <f>SUM(AZ10,AZ126,AZ167,AZ255,AZ283,AZ329)</f>
        <v>93153</v>
      </c>
      <c r="BA330" s="77">
        <f>SUM(BA10,BA126,BA167,BA255,BA283,BA329)</f>
        <v>1037</v>
      </c>
      <c r="BB330" s="77">
        <f>SUM(BB10,BB126,BB167,BB255,BB283,BB329)</f>
        <v>14590</v>
      </c>
      <c r="BC330" s="78">
        <f>SUM(BC10,BC126,BC167,BC255,BC283,BC329)</f>
        <v>59</v>
      </c>
      <c r="BD330" s="79">
        <f t="shared" si="202"/>
        <v>108839</v>
      </c>
      <c r="BE330" s="76">
        <f>SUM(BE10,BE126,BE167,BE255,BE283,BE329)</f>
        <v>64240</v>
      </c>
      <c r="BF330" s="77">
        <f>SUM(BF10,BF126,BF167,BF255,BF283,BF329)</f>
        <v>971</v>
      </c>
      <c r="BG330" s="77">
        <f>SUM(BG10,BG126,BG167,BG255,BG283,BG329)</f>
        <v>9624</v>
      </c>
      <c r="BH330" s="78">
        <f>SUM(BH10,BH126,BH167,BH255,BH283,BH329)</f>
        <v>29</v>
      </c>
      <c r="BI330" s="79">
        <f t="shared" si="203"/>
        <v>74864</v>
      </c>
      <c r="BJ330" s="76">
        <f>SUM(BJ10,BJ126,BJ167,BJ255,BJ283,BJ329)</f>
        <v>27528</v>
      </c>
      <c r="BK330" s="77">
        <f>SUM(BK10,BK126,BK167,BK255,BK283,BK329)</f>
        <v>916</v>
      </c>
      <c r="BL330" s="77">
        <f>SUM(BL10,BL126,BL167,BL255,BL283,BL329)</f>
        <v>3501</v>
      </c>
      <c r="BM330" s="78">
        <f>SUM(BM10,BM126,BM167,BM255,BM283,BM329)</f>
        <v>23</v>
      </c>
      <c r="BN330" s="79">
        <f t="shared" si="204"/>
        <v>31968</v>
      </c>
      <c r="BO330" s="168">
        <f>SUM(BO10,BO126,BO167,BO255,BO283,BO329)</f>
        <v>588938</v>
      </c>
      <c r="BP330" s="77">
        <f>SUM(BP10,BP126,BP167,BP255,BP283,BP329)</f>
        <v>11970</v>
      </c>
      <c r="BQ330" s="77">
        <f>SUM(BQ10,BQ126,BQ167,BQ255,BQ283,BQ329)</f>
        <v>109237</v>
      </c>
      <c r="BR330" s="78">
        <f>SUM(BR10,BR126,BR167,BR255,BR283,BR329)</f>
        <v>1361</v>
      </c>
      <c r="BS330" s="80">
        <f t="shared" si="263"/>
        <v>711506</v>
      </c>
    </row>
    <row r="331" spans="2:71" x14ac:dyDescent="0.3">
      <c r="B331" s="263" t="s">
        <v>23</v>
      </c>
      <c r="C331" s="221" t="s">
        <v>15</v>
      </c>
      <c r="D331" s="222"/>
      <c r="E331" s="222"/>
      <c r="F331" s="134" t="s">
        <v>528</v>
      </c>
      <c r="G331" s="30">
        <v>294</v>
      </c>
      <c r="H331" s="7"/>
      <c r="I331" s="7"/>
      <c r="J331" s="8"/>
      <c r="K331" s="9">
        <f t="shared" si="218"/>
        <v>294</v>
      </c>
      <c r="L331" s="30">
        <v>1059</v>
      </c>
      <c r="M331" s="7"/>
      <c r="N331" s="7"/>
      <c r="O331" s="8"/>
      <c r="P331" s="9">
        <f t="shared" si="194"/>
        <v>1059</v>
      </c>
      <c r="Q331" s="30"/>
      <c r="R331" s="7"/>
      <c r="S331" s="7"/>
      <c r="T331" s="8"/>
      <c r="U331" s="9">
        <f t="shared" si="195"/>
        <v>0</v>
      </c>
      <c r="V331" s="30"/>
      <c r="W331" s="7"/>
      <c r="X331" s="7"/>
      <c r="Y331" s="8"/>
      <c r="Z331" s="9">
        <f t="shared" si="196"/>
        <v>0</v>
      </c>
      <c r="AA331" s="30"/>
      <c r="AB331" s="7"/>
      <c r="AC331" s="7"/>
      <c r="AD331" s="8"/>
      <c r="AE331" s="9">
        <f t="shared" si="197"/>
        <v>0</v>
      </c>
      <c r="AF331" s="30"/>
      <c r="AG331" s="7"/>
      <c r="AH331" s="7"/>
      <c r="AI331" s="8"/>
      <c r="AJ331" s="9">
        <f t="shared" si="198"/>
        <v>0</v>
      </c>
      <c r="AK331" s="30"/>
      <c r="AL331" s="7"/>
      <c r="AM331" s="7"/>
      <c r="AN331" s="8"/>
      <c r="AO331" s="9">
        <f t="shared" si="199"/>
        <v>0</v>
      </c>
      <c r="AP331" s="30"/>
      <c r="AQ331" s="7"/>
      <c r="AR331" s="7"/>
      <c r="AS331" s="8"/>
      <c r="AT331" s="9">
        <f t="shared" si="200"/>
        <v>0</v>
      </c>
      <c r="AU331" s="30"/>
      <c r="AV331" s="7"/>
      <c r="AW331" s="7"/>
      <c r="AX331" s="8"/>
      <c r="AY331" s="9">
        <f t="shared" si="201"/>
        <v>0</v>
      </c>
      <c r="AZ331" s="30"/>
      <c r="BA331" s="7"/>
      <c r="BB331" s="7"/>
      <c r="BC331" s="8"/>
      <c r="BD331" s="9">
        <f t="shared" si="202"/>
        <v>0</v>
      </c>
      <c r="BE331" s="30"/>
      <c r="BF331" s="7"/>
      <c r="BG331" s="7"/>
      <c r="BH331" s="8"/>
      <c r="BI331" s="9">
        <f t="shared" si="203"/>
        <v>0</v>
      </c>
      <c r="BJ331" s="30"/>
      <c r="BK331" s="7"/>
      <c r="BL331" s="7"/>
      <c r="BM331" s="8"/>
      <c r="BN331" s="9">
        <f t="shared" si="204"/>
        <v>0</v>
      </c>
      <c r="BO331" s="65">
        <f>SUM(G331,L331,Q331,V331,AA331,AF331,AK331,AP331,AU331,AZ331,BE331,BJ331)</f>
        <v>1353</v>
      </c>
      <c r="BP331" s="7">
        <f>SUM(H331,M331,R331,W331,AB331,AG331,AL331,AQ331,AV331,BA331,BF331,BK331)</f>
        <v>0</v>
      </c>
      <c r="BQ331" s="7">
        <f>SUM(I331,N331,S331,X331,AC331,AH331,AM331,AR331,AW331,BB331,BG331,BL331)</f>
        <v>0</v>
      </c>
      <c r="BR331" s="8">
        <f>SUM(J331,O331,T331,Y331,AD331,AI331,AN331,AS331,AX331,BC331,BH331,BM331)</f>
        <v>0</v>
      </c>
      <c r="BS331" s="31">
        <f t="shared" si="263"/>
        <v>1353</v>
      </c>
    </row>
    <row r="332" spans="2:71" x14ac:dyDescent="0.3">
      <c r="B332" s="264"/>
      <c r="C332" s="223"/>
      <c r="D332" s="224"/>
      <c r="E332" s="224"/>
      <c r="F332" s="121" t="s">
        <v>126</v>
      </c>
      <c r="G332" s="34">
        <v>89</v>
      </c>
      <c r="H332" s="16"/>
      <c r="I332" s="16"/>
      <c r="J332" s="17"/>
      <c r="K332" s="18">
        <f t="shared" si="218"/>
        <v>89</v>
      </c>
      <c r="L332" s="34">
        <v>401</v>
      </c>
      <c r="M332" s="16"/>
      <c r="N332" s="16"/>
      <c r="O332" s="17"/>
      <c r="P332" s="18">
        <f t="shared" si="194"/>
        <v>401</v>
      </c>
      <c r="Q332" s="34"/>
      <c r="R332" s="16"/>
      <c r="S332" s="16"/>
      <c r="T332" s="17"/>
      <c r="U332" s="18">
        <f t="shared" si="195"/>
        <v>0</v>
      </c>
      <c r="V332" s="34"/>
      <c r="W332" s="16"/>
      <c r="X332" s="16"/>
      <c r="Y332" s="17"/>
      <c r="Z332" s="18">
        <f t="shared" si="196"/>
        <v>0</v>
      </c>
      <c r="AA332" s="34"/>
      <c r="AB332" s="16"/>
      <c r="AC332" s="16"/>
      <c r="AD332" s="17"/>
      <c r="AE332" s="18">
        <f t="shared" si="197"/>
        <v>0</v>
      </c>
      <c r="AF332" s="34"/>
      <c r="AG332" s="16"/>
      <c r="AH332" s="16"/>
      <c r="AI332" s="17"/>
      <c r="AJ332" s="18">
        <f t="shared" si="198"/>
        <v>0</v>
      </c>
      <c r="AK332" s="34"/>
      <c r="AL332" s="16"/>
      <c r="AM332" s="16"/>
      <c r="AN332" s="17"/>
      <c r="AO332" s="18">
        <f t="shared" si="199"/>
        <v>0</v>
      </c>
      <c r="AP332" s="34"/>
      <c r="AQ332" s="16"/>
      <c r="AR332" s="16"/>
      <c r="AS332" s="17"/>
      <c r="AT332" s="18">
        <f t="shared" si="200"/>
        <v>0</v>
      </c>
      <c r="AU332" s="34">
        <v>1047</v>
      </c>
      <c r="AV332" s="16"/>
      <c r="AW332" s="16"/>
      <c r="AX332" s="17"/>
      <c r="AY332" s="18">
        <f t="shared" si="201"/>
        <v>1047</v>
      </c>
      <c r="AZ332" s="34"/>
      <c r="BA332" s="16"/>
      <c r="BB332" s="16"/>
      <c r="BC332" s="17"/>
      <c r="BD332" s="18">
        <f t="shared" si="202"/>
        <v>0</v>
      </c>
      <c r="BE332" s="34"/>
      <c r="BF332" s="16"/>
      <c r="BG332" s="16"/>
      <c r="BH332" s="17"/>
      <c r="BI332" s="18">
        <f t="shared" si="203"/>
        <v>0</v>
      </c>
      <c r="BJ332" s="34">
        <v>30</v>
      </c>
      <c r="BK332" s="16"/>
      <c r="BL332" s="16"/>
      <c r="BM332" s="17"/>
      <c r="BN332" s="18">
        <f t="shared" si="204"/>
        <v>30</v>
      </c>
      <c r="BO332" s="66">
        <f>SUM(G332,L332,Q332,V332,AA332,AF332,AK332,AP332,AU332,AZ332,BE332,BJ332)</f>
        <v>1567</v>
      </c>
      <c r="BP332" s="13">
        <f>SUM(H332,M332,R332,W332,AB332,AG332,AL332,AQ332,AV332,BA332,BF332,BK332)</f>
        <v>0</v>
      </c>
      <c r="BQ332" s="13">
        <f>SUM(I332,N332,S332,X332,AC332,AH332,AM332,AR332,AW332,BB332,BG332,BL332)</f>
        <v>0</v>
      </c>
      <c r="BR332" s="14">
        <f>SUM(J332,O332,T332,Y332,AD332,AI332,AN332,AS332,AX332,BC332,BH332,BM332)</f>
        <v>0</v>
      </c>
      <c r="BS332" s="35">
        <f t="shared" si="263"/>
        <v>1567</v>
      </c>
    </row>
    <row r="333" spans="2:71" x14ac:dyDescent="0.3">
      <c r="B333" s="264"/>
      <c r="C333" s="223"/>
      <c r="D333" s="224"/>
      <c r="E333" s="224"/>
      <c r="F333" s="121" t="s">
        <v>529</v>
      </c>
      <c r="G333" s="34"/>
      <c r="H333" s="16"/>
      <c r="I333" s="16"/>
      <c r="J333" s="17"/>
      <c r="K333" s="18">
        <f t="shared" si="218"/>
        <v>0</v>
      </c>
      <c r="L333" s="34"/>
      <c r="M333" s="16"/>
      <c r="N333" s="16"/>
      <c r="O333" s="17"/>
      <c r="P333" s="18">
        <f t="shared" ref="P333:P334" si="288">SUM(L333:O333)</f>
        <v>0</v>
      </c>
      <c r="Q333" s="34">
        <v>136</v>
      </c>
      <c r="R333" s="16"/>
      <c r="S333" s="16"/>
      <c r="T333" s="17"/>
      <c r="U333" s="18">
        <f t="shared" ref="U333:U334" si="289">SUM(Q333:T333)</f>
        <v>136</v>
      </c>
      <c r="V333" s="34"/>
      <c r="W333" s="16"/>
      <c r="X333" s="16"/>
      <c r="Y333" s="17"/>
      <c r="Z333" s="18">
        <f t="shared" ref="Z333:Z334" si="290">SUM(V333:Y333)</f>
        <v>0</v>
      </c>
      <c r="AA333" s="34"/>
      <c r="AB333" s="16"/>
      <c r="AC333" s="16"/>
      <c r="AD333" s="17"/>
      <c r="AE333" s="18">
        <f t="shared" ref="AE333:AE334" si="291">SUM(AA333:AD333)</f>
        <v>0</v>
      </c>
      <c r="AF333" s="34"/>
      <c r="AG333" s="16"/>
      <c r="AH333" s="16"/>
      <c r="AI333" s="17"/>
      <c r="AJ333" s="18">
        <f t="shared" ref="AJ333:AJ334" si="292">SUM(AF333:AI333)</f>
        <v>0</v>
      </c>
      <c r="AK333" s="34"/>
      <c r="AL333" s="16"/>
      <c r="AM333" s="16"/>
      <c r="AN333" s="17"/>
      <c r="AO333" s="18">
        <f t="shared" ref="AO333:AO334" si="293">SUM(AK333:AN333)</f>
        <v>0</v>
      </c>
      <c r="AP333" s="34"/>
      <c r="AQ333" s="16"/>
      <c r="AR333" s="16"/>
      <c r="AS333" s="17"/>
      <c r="AT333" s="18">
        <f t="shared" ref="AT333:AT334" si="294">SUM(AP333:AS333)</f>
        <v>0</v>
      </c>
      <c r="AU333" s="34"/>
      <c r="AV333" s="16"/>
      <c r="AW333" s="16"/>
      <c r="AX333" s="17"/>
      <c r="AY333" s="18">
        <f t="shared" ref="AY333:AY334" si="295">SUM(AU333:AX333)</f>
        <v>0</v>
      </c>
      <c r="AZ333" s="34"/>
      <c r="BA333" s="16"/>
      <c r="BB333" s="16"/>
      <c r="BC333" s="17"/>
      <c r="BD333" s="18">
        <f t="shared" ref="BD333:BD334" si="296">SUM(AZ333:BC333)</f>
        <v>0</v>
      </c>
      <c r="BE333" s="34">
        <v>1302</v>
      </c>
      <c r="BF333" s="16"/>
      <c r="BG333" s="16"/>
      <c r="BH333" s="17"/>
      <c r="BI333" s="18">
        <f t="shared" ref="BI333:BI334" si="297">SUM(BE333:BH333)</f>
        <v>1302</v>
      </c>
      <c r="BJ333" s="34">
        <v>432</v>
      </c>
      <c r="BK333" s="16"/>
      <c r="BL333" s="16"/>
      <c r="BM333" s="17"/>
      <c r="BN333" s="18">
        <f t="shared" ref="BN333:BN334" si="298">SUM(BJ333:BM333)</f>
        <v>432</v>
      </c>
      <c r="BO333" s="66">
        <f>SUM(G333,L333,Q333,V333,AA333,AF333,AK333,AP333,AU333,AZ333,BE333,BJ333)</f>
        <v>1870</v>
      </c>
      <c r="BP333" s="13">
        <f>SUM(H333,M333,R333,W333,AB333,AG333,AL333,AQ333,AV333,BA333,BF333,BK333)</f>
        <v>0</v>
      </c>
      <c r="BQ333" s="13">
        <f>SUM(I333,N333,S333,X333,AC333,AH333,AM333,AR333,AW333,BB333,BG333,BL333)</f>
        <v>0</v>
      </c>
      <c r="BR333" s="14">
        <f>SUM(J333,O333,T333,Y333,AD333,AI333,AN333,AS333,AX333,BC333,BH333,BM333)</f>
        <v>0</v>
      </c>
      <c r="BS333" s="35">
        <f t="shared" si="263"/>
        <v>1870</v>
      </c>
    </row>
    <row r="334" spans="2:71" x14ac:dyDescent="0.3">
      <c r="B334" s="264"/>
      <c r="C334" s="223"/>
      <c r="D334" s="224"/>
      <c r="E334" s="224"/>
      <c r="F334" s="121" t="s">
        <v>530</v>
      </c>
      <c r="G334" s="34"/>
      <c r="H334" s="16"/>
      <c r="I334" s="16"/>
      <c r="J334" s="17"/>
      <c r="K334" s="18">
        <f t="shared" si="218"/>
        <v>0</v>
      </c>
      <c r="L334" s="34"/>
      <c r="M334" s="16"/>
      <c r="N334" s="16"/>
      <c r="O334" s="17"/>
      <c r="P334" s="18">
        <f t="shared" si="288"/>
        <v>0</v>
      </c>
      <c r="Q334" s="34"/>
      <c r="R334" s="16"/>
      <c r="S334" s="16"/>
      <c r="T334" s="17"/>
      <c r="U334" s="18">
        <f t="shared" si="289"/>
        <v>0</v>
      </c>
      <c r="V334" s="34">
        <v>751</v>
      </c>
      <c r="W334" s="16"/>
      <c r="X334" s="16"/>
      <c r="Y334" s="17"/>
      <c r="Z334" s="18">
        <f t="shared" si="290"/>
        <v>751</v>
      </c>
      <c r="AA334" s="34">
        <v>848</v>
      </c>
      <c r="AB334" s="16"/>
      <c r="AC334" s="16"/>
      <c r="AD334" s="17"/>
      <c r="AE334" s="18">
        <f t="shared" si="291"/>
        <v>848</v>
      </c>
      <c r="AF334" s="34">
        <v>515</v>
      </c>
      <c r="AG334" s="16"/>
      <c r="AH334" s="16"/>
      <c r="AI334" s="17"/>
      <c r="AJ334" s="18">
        <f t="shared" si="292"/>
        <v>515</v>
      </c>
      <c r="AK334" s="34">
        <v>56</v>
      </c>
      <c r="AL334" s="16"/>
      <c r="AM334" s="16"/>
      <c r="AN334" s="17"/>
      <c r="AO334" s="18">
        <f t="shared" si="293"/>
        <v>56</v>
      </c>
      <c r="AP334" s="34">
        <v>371</v>
      </c>
      <c r="AQ334" s="16"/>
      <c r="AR334" s="16"/>
      <c r="AS334" s="17"/>
      <c r="AT334" s="18">
        <f t="shared" si="294"/>
        <v>371</v>
      </c>
      <c r="AU334" s="34">
        <v>1275</v>
      </c>
      <c r="AV334" s="16"/>
      <c r="AW334" s="16"/>
      <c r="AX334" s="17"/>
      <c r="AY334" s="18">
        <f t="shared" si="295"/>
        <v>1275</v>
      </c>
      <c r="AZ334" s="34">
        <v>1531</v>
      </c>
      <c r="BA334" s="16"/>
      <c r="BB334" s="16"/>
      <c r="BC334" s="17"/>
      <c r="BD334" s="18">
        <f t="shared" si="296"/>
        <v>1531</v>
      </c>
      <c r="BE334" s="34"/>
      <c r="BF334" s="16"/>
      <c r="BG334" s="16"/>
      <c r="BH334" s="17"/>
      <c r="BI334" s="18">
        <f t="shared" si="297"/>
        <v>0</v>
      </c>
      <c r="BJ334" s="34"/>
      <c r="BK334" s="16"/>
      <c r="BL334" s="16"/>
      <c r="BM334" s="17"/>
      <c r="BN334" s="18">
        <f t="shared" si="298"/>
        <v>0</v>
      </c>
      <c r="BO334" s="66">
        <f>SUM(G334,L334,Q334,V334,AA334,AF334,AK334,AP334,AU334,AZ334,BE334,BJ334)</f>
        <v>5347</v>
      </c>
      <c r="BP334" s="13">
        <f>SUM(H334,M334,R334,W334,AB334,AG334,AL334,AQ334,AV334,BA334,BF334,BK334)</f>
        <v>0</v>
      </c>
      <c r="BQ334" s="13">
        <f>SUM(I334,N334,S334,X334,AC334,AH334,AM334,AR334,AW334,BB334,BG334,BL334)</f>
        <v>0</v>
      </c>
      <c r="BR334" s="14">
        <f>SUM(J334,O334,T334,Y334,AD334,AI334,AN334,AS334,AX334,BC334,BH334,BM334)</f>
        <v>0</v>
      </c>
      <c r="BS334" s="35">
        <f t="shared" si="263"/>
        <v>5347</v>
      </c>
    </row>
    <row r="335" spans="2:71" x14ac:dyDescent="0.3">
      <c r="B335" s="264"/>
      <c r="C335" s="223"/>
      <c r="D335" s="224"/>
      <c r="E335" s="224"/>
      <c r="F335" s="121" t="s">
        <v>531</v>
      </c>
      <c r="G335" s="34"/>
      <c r="H335" s="16"/>
      <c r="I335" s="16"/>
      <c r="J335" s="17"/>
      <c r="K335" s="18">
        <f t="shared" si="218"/>
        <v>0</v>
      </c>
      <c r="L335" s="34">
        <v>19</v>
      </c>
      <c r="M335" s="16"/>
      <c r="N335" s="16"/>
      <c r="O335" s="17"/>
      <c r="P335" s="18">
        <f t="shared" si="194"/>
        <v>19</v>
      </c>
      <c r="Q335" s="34"/>
      <c r="R335" s="16"/>
      <c r="S335" s="16"/>
      <c r="T335" s="17"/>
      <c r="U335" s="18">
        <f t="shared" si="195"/>
        <v>0</v>
      </c>
      <c r="V335" s="34">
        <v>58</v>
      </c>
      <c r="W335" s="16"/>
      <c r="X335" s="16"/>
      <c r="Y335" s="17"/>
      <c r="Z335" s="18">
        <f t="shared" si="196"/>
        <v>58</v>
      </c>
      <c r="AA335" s="34">
        <v>8</v>
      </c>
      <c r="AB335" s="16"/>
      <c r="AC335" s="16"/>
      <c r="AD335" s="17"/>
      <c r="AE335" s="18">
        <f t="shared" si="197"/>
        <v>8</v>
      </c>
      <c r="AF335" s="34"/>
      <c r="AG335" s="16"/>
      <c r="AH335" s="16"/>
      <c r="AI335" s="17"/>
      <c r="AJ335" s="18">
        <f t="shared" si="198"/>
        <v>0</v>
      </c>
      <c r="AK335" s="34"/>
      <c r="AL335" s="16"/>
      <c r="AM335" s="16"/>
      <c r="AN335" s="17"/>
      <c r="AO335" s="18">
        <f t="shared" si="199"/>
        <v>0</v>
      </c>
      <c r="AP335" s="34"/>
      <c r="AQ335" s="16"/>
      <c r="AR335" s="16"/>
      <c r="AS335" s="17"/>
      <c r="AT335" s="18">
        <f t="shared" si="200"/>
        <v>0</v>
      </c>
      <c r="AU335" s="34"/>
      <c r="AV335" s="16"/>
      <c r="AW335" s="16"/>
      <c r="AX335" s="17"/>
      <c r="AY335" s="18">
        <f t="shared" si="201"/>
        <v>0</v>
      </c>
      <c r="AZ335" s="34">
        <v>69</v>
      </c>
      <c r="BA335" s="16"/>
      <c r="BB335" s="16"/>
      <c r="BC335" s="17"/>
      <c r="BD335" s="18">
        <f t="shared" si="202"/>
        <v>69</v>
      </c>
      <c r="BE335" s="34">
        <v>19</v>
      </c>
      <c r="BF335" s="16"/>
      <c r="BG335" s="16"/>
      <c r="BH335" s="17"/>
      <c r="BI335" s="18">
        <f t="shared" si="203"/>
        <v>19</v>
      </c>
      <c r="BJ335" s="34"/>
      <c r="BK335" s="16"/>
      <c r="BL335" s="16"/>
      <c r="BM335" s="17"/>
      <c r="BN335" s="18">
        <f t="shared" si="204"/>
        <v>0</v>
      </c>
      <c r="BO335" s="66">
        <f>SUM(G335,L335,Q335,V335,AA335,AF335,AK335,AP335,AU335,AZ335,BE335,BJ335)</f>
        <v>173</v>
      </c>
      <c r="BP335" s="13">
        <f>SUM(H335,M335,R335,W335,AB335,AG335,AL335,AQ335,AV335,BA335,BF335,BK335)</f>
        <v>0</v>
      </c>
      <c r="BQ335" s="13">
        <f>SUM(I335,N335,S335,X335,AC335,AH335,AM335,AR335,AW335,BB335,BG335,BL335)</f>
        <v>0</v>
      </c>
      <c r="BR335" s="14">
        <f>SUM(J335,O335,T335,Y335,AD335,AI335,AN335,AS335,AX335,BC335,BH335,BM335)</f>
        <v>0</v>
      </c>
      <c r="BS335" s="35">
        <f t="shared" si="263"/>
        <v>173</v>
      </c>
    </row>
    <row r="336" spans="2:71" x14ac:dyDescent="0.3">
      <c r="B336" s="264"/>
      <c r="C336" s="223"/>
      <c r="D336" s="224"/>
      <c r="E336" s="224"/>
      <c r="F336" s="123" t="s">
        <v>532</v>
      </c>
      <c r="G336" s="34">
        <v>14</v>
      </c>
      <c r="H336" s="16"/>
      <c r="I336" s="16"/>
      <c r="J336" s="17"/>
      <c r="K336" s="18">
        <f t="shared" si="218"/>
        <v>14</v>
      </c>
      <c r="L336" s="34"/>
      <c r="M336" s="16"/>
      <c r="N336" s="16"/>
      <c r="O336" s="17"/>
      <c r="P336" s="18">
        <f t="shared" si="194"/>
        <v>0</v>
      </c>
      <c r="Q336" s="34"/>
      <c r="R336" s="16"/>
      <c r="S336" s="16"/>
      <c r="T336" s="17"/>
      <c r="U336" s="18">
        <f t="shared" si="195"/>
        <v>0</v>
      </c>
      <c r="V336" s="34">
        <v>98</v>
      </c>
      <c r="W336" s="16"/>
      <c r="X336" s="16"/>
      <c r="Y336" s="17"/>
      <c r="Z336" s="18">
        <f t="shared" si="196"/>
        <v>98</v>
      </c>
      <c r="AA336" s="34"/>
      <c r="AB336" s="16"/>
      <c r="AC336" s="16"/>
      <c r="AD336" s="17"/>
      <c r="AE336" s="18">
        <f t="shared" si="197"/>
        <v>0</v>
      </c>
      <c r="AF336" s="34"/>
      <c r="AG336" s="16"/>
      <c r="AH336" s="16"/>
      <c r="AI336" s="17"/>
      <c r="AJ336" s="18">
        <f t="shared" si="198"/>
        <v>0</v>
      </c>
      <c r="AK336" s="34"/>
      <c r="AL336" s="16"/>
      <c r="AM336" s="16"/>
      <c r="AN336" s="17"/>
      <c r="AO336" s="18">
        <f t="shared" si="199"/>
        <v>0</v>
      </c>
      <c r="AP336" s="34"/>
      <c r="AQ336" s="16"/>
      <c r="AR336" s="16"/>
      <c r="AS336" s="17"/>
      <c r="AT336" s="18">
        <f t="shared" si="200"/>
        <v>0</v>
      </c>
      <c r="AU336" s="34"/>
      <c r="AV336" s="16"/>
      <c r="AW336" s="16"/>
      <c r="AX336" s="17"/>
      <c r="AY336" s="18">
        <f t="shared" si="201"/>
        <v>0</v>
      </c>
      <c r="AZ336" s="34"/>
      <c r="BA336" s="16"/>
      <c r="BB336" s="16"/>
      <c r="BC336" s="17"/>
      <c r="BD336" s="18">
        <f t="shared" si="202"/>
        <v>0</v>
      </c>
      <c r="BE336" s="34">
        <v>130</v>
      </c>
      <c r="BF336" s="16"/>
      <c r="BG336" s="16"/>
      <c r="BH336" s="17"/>
      <c r="BI336" s="18">
        <f t="shared" si="203"/>
        <v>130</v>
      </c>
      <c r="BJ336" s="34"/>
      <c r="BK336" s="16"/>
      <c r="BL336" s="16"/>
      <c r="BM336" s="17"/>
      <c r="BN336" s="18">
        <f t="shared" si="204"/>
        <v>0</v>
      </c>
      <c r="BO336" s="70">
        <f>SUM(G336,L336,Q336,V336,AA336,AF336,AK336,AP336,AU336,AZ336,BE336,BJ336)</f>
        <v>242</v>
      </c>
      <c r="BP336" s="16">
        <f>SUM(H336,M336,R336,W336,AB336,AG336,AL336,AQ336,AV336,BA336,BF336,BK336)</f>
        <v>0</v>
      </c>
      <c r="BQ336" s="16">
        <f>SUM(I336,N336,S336,X336,AC336,AH336,AM336,AR336,AW336,BB336,BG336,BL336)</f>
        <v>0</v>
      </c>
      <c r="BR336" s="17">
        <f>SUM(J336,O336,T336,Y336,AD336,AI336,AN336,AS336,AX336,BC336,BH336,BM336)</f>
        <v>0</v>
      </c>
      <c r="BS336" s="35">
        <f t="shared" si="263"/>
        <v>242</v>
      </c>
    </row>
    <row r="337" spans="2:71" x14ac:dyDescent="0.3">
      <c r="B337" s="264"/>
      <c r="C337" s="223"/>
      <c r="D337" s="224"/>
      <c r="E337" s="224"/>
      <c r="F337" s="123" t="s">
        <v>533</v>
      </c>
      <c r="G337" s="34"/>
      <c r="H337" s="16"/>
      <c r="I337" s="16"/>
      <c r="J337" s="17"/>
      <c r="K337" s="18">
        <f t="shared" si="218"/>
        <v>0</v>
      </c>
      <c r="L337" s="34"/>
      <c r="M337" s="16"/>
      <c r="N337" s="16"/>
      <c r="O337" s="17"/>
      <c r="P337" s="18">
        <f t="shared" si="194"/>
        <v>0</v>
      </c>
      <c r="Q337" s="34"/>
      <c r="R337" s="16"/>
      <c r="S337" s="16"/>
      <c r="T337" s="17"/>
      <c r="U337" s="18">
        <f t="shared" si="195"/>
        <v>0</v>
      </c>
      <c r="V337" s="34"/>
      <c r="W337" s="16"/>
      <c r="X337" s="16"/>
      <c r="Y337" s="17"/>
      <c r="Z337" s="18">
        <f t="shared" si="196"/>
        <v>0</v>
      </c>
      <c r="AA337" s="34">
        <v>28</v>
      </c>
      <c r="AB337" s="16"/>
      <c r="AC337" s="16"/>
      <c r="AD337" s="17"/>
      <c r="AE337" s="18">
        <f t="shared" si="197"/>
        <v>28</v>
      </c>
      <c r="AF337" s="34"/>
      <c r="AG337" s="16"/>
      <c r="AH337" s="16"/>
      <c r="AI337" s="17"/>
      <c r="AJ337" s="18">
        <f t="shared" si="198"/>
        <v>0</v>
      </c>
      <c r="AK337" s="34"/>
      <c r="AL337" s="16"/>
      <c r="AM337" s="16"/>
      <c r="AN337" s="17"/>
      <c r="AO337" s="18">
        <f t="shared" si="199"/>
        <v>0</v>
      </c>
      <c r="AP337" s="34"/>
      <c r="AQ337" s="16"/>
      <c r="AR337" s="16"/>
      <c r="AS337" s="17"/>
      <c r="AT337" s="18">
        <f t="shared" si="200"/>
        <v>0</v>
      </c>
      <c r="AU337" s="34"/>
      <c r="AV337" s="16"/>
      <c r="AW337" s="16"/>
      <c r="AX337" s="17"/>
      <c r="AY337" s="18">
        <f t="shared" si="201"/>
        <v>0</v>
      </c>
      <c r="AZ337" s="34"/>
      <c r="BA337" s="16"/>
      <c r="BB337" s="16"/>
      <c r="BC337" s="17"/>
      <c r="BD337" s="18">
        <f t="shared" si="202"/>
        <v>0</v>
      </c>
      <c r="BE337" s="34"/>
      <c r="BF337" s="16"/>
      <c r="BG337" s="16"/>
      <c r="BH337" s="17"/>
      <c r="BI337" s="18">
        <f t="shared" si="203"/>
        <v>0</v>
      </c>
      <c r="BJ337" s="34"/>
      <c r="BK337" s="16"/>
      <c r="BL337" s="16"/>
      <c r="BM337" s="17"/>
      <c r="BN337" s="18">
        <f t="shared" si="204"/>
        <v>0</v>
      </c>
      <c r="BO337" s="70">
        <f>SUM(G337,L337,Q337,V337,AA337,AF337,AK337,AP337,AU337,AZ337,BE337,BJ337)</f>
        <v>28</v>
      </c>
      <c r="BP337" s="16">
        <f>SUM(H337,M337,R337,W337,AB337,AG337,AL337,AQ337,AV337,BA337,BF337,BK337)</f>
        <v>0</v>
      </c>
      <c r="BQ337" s="16">
        <f>SUM(I337,N337,S337,X337,AC337,AH337,AM337,AR337,AW337,BB337,BG337,BL337)</f>
        <v>0</v>
      </c>
      <c r="BR337" s="17">
        <f>SUM(J337,O337,T337,Y337,AD337,AI337,AN337,AS337,AX337,BC337,BH337,BM337)</f>
        <v>0</v>
      </c>
      <c r="BS337" s="35">
        <f t="shared" si="263"/>
        <v>28</v>
      </c>
    </row>
    <row r="338" spans="2:71" x14ac:dyDescent="0.3">
      <c r="B338" s="264"/>
      <c r="C338" s="225"/>
      <c r="D338" s="226"/>
      <c r="E338" s="226"/>
      <c r="F338" s="116" t="s">
        <v>4</v>
      </c>
      <c r="G338" s="54">
        <f>SUM(G331:G337)</f>
        <v>397</v>
      </c>
      <c r="H338" s="55">
        <f>SUM(H331:H337)</f>
        <v>0</v>
      </c>
      <c r="I338" s="55">
        <f>SUM(I331:I337)</f>
        <v>0</v>
      </c>
      <c r="J338" s="56">
        <f>SUM(J331:J337)</f>
        <v>0</v>
      </c>
      <c r="K338" s="57">
        <f t="shared" si="218"/>
        <v>397</v>
      </c>
      <c r="L338" s="54">
        <f>SUM(L331:L337)</f>
        <v>1479</v>
      </c>
      <c r="M338" s="55">
        <f>SUM(M331:M337)</f>
        <v>0</v>
      </c>
      <c r="N338" s="55">
        <f>SUM(N331:N337)</f>
        <v>0</v>
      </c>
      <c r="O338" s="56">
        <f>SUM(O331:O337)</f>
        <v>0</v>
      </c>
      <c r="P338" s="57">
        <f t="shared" si="194"/>
        <v>1479</v>
      </c>
      <c r="Q338" s="54">
        <f>SUM(Q331:Q337)</f>
        <v>136</v>
      </c>
      <c r="R338" s="55">
        <f>SUM(R331:R337)</f>
        <v>0</v>
      </c>
      <c r="S338" s="55">
        <f>SUM(S331:S337)</f>
        <v>0</v>
      </c>
      <c r="T338" s="56">
        <f>SUM(T331:T337)</f>
        <v>0</v>
      </c>
      <c r="U338" s="57">
        <f t="shared" si="195"/>
        <v>136</v>
      </c>
      <c r="V338" s="54">
        <f>SUM(V331:V337)</f>
        <v>907</v>
      </c>
      <c r="W338" s="55">
        <f>SUM(W331:W337)</f>
        <v>0</v>
      </c>
      <c r="X338" s="55">
        <f>SUM(X331:X337)</f>
        <v>0</v>
      </c>
      <c r="Y338" s="56">
        <f>SUM(Y331:Y337)</f>
        <v>0</v>
      </c>
      <c r="Z338" s="57">
        <f t="shared" si="196"/>
        <v>907</v>
      </c>
      <c r="AA338" s="54">
        <f>SUM(AA331:AA337)</f>
        <v>884</v>
      </c>
      <c r="AB338" s="55">
        <f>SUM(AB331:AB337)</f>
        <v>0</v>
      </c>
      <c r="AC338" s="55">
        <f>SUM(AC331:AC337)</f>
        <v>0</v>
      </c>
      <c r="AD338" s="56">
        <f>SUM(AD331:AD337)</f>
        <v>0</v>
      </c>
      <c r="AE338" s="57">
        <f t="shared" si="197"/>
        <v>884</v>
      </c>
      <c r="AF338" s="54">
        <f>SUM(AF331:AF337)</f>
        <v>515</v>
      </c>
      <c r="AG338" s="55">
        <f>SUM(AG331:AG337)</f>
        <v>0</v>
      </c>
      <c r="AH338" s="55">
        <f>SUM(AH331:AH337)</f>
        <v>0</v>
      </c>
      <c r="AI338" s="56">
        <f>SUM(AI331:AI337)</f>
        <v>0</v>
      </c>
      <c r="AJ338" s="57">
        <f t="shared" si="198"/>
        <v>515</v>
      </c>
      <c r="AK338" s="54">
        <f>SUM(AK331:AK337)</f>
        <v>56</v>
      </c>
      <c r="AL338" s="55">
        <f>SUM(AL331:AL337)</f>
        <v>0</v>
      </c>
      <c r="AM338" s="55">
        <f>SUM(AM331:AM337)</f>
        <v>0</v>
      </c>
      <c r="AN338" s="56">
        <f>SUM(AN331:AN337)</f>
        <v>0</v>
      </c>
      <c r="AO338" s="57">
        <f t="shared" si="199"/>
        <v>56</v>
      </c>
      <c r="AP338" s="54">
        <f>SUM(AP331:AP337)</f>
        <v>371</v>
      </c>
      <c r="AQ338" s="55">
        <f>SUM(AQ331:AQ337)</f>
        <v>0</v>
      </c>
      <c r="AR338" s="55">
        <f>SUM(AR331:AR337)</f>
        <v>0</v>
      </c>
      <c r="AS338" s="56">
        <f>SUM(AS331:AS337)</f>
        <v>0</v>
      </c>
      <c r="AT338" s="57">
        <f t="shared" si="200"/>
        <v>371</v>
      </c>
      <c r="AU338" s="54">
        <f>SUM(AU331:AU337)</f>
        <v>2322</v>
      </c>
      <c r="AV338" s="55">
        <f>SUM(AV331:AV337)</f>
        <v>0</v>
      </c>
      <c r="AW338" s="55">
        <f>SUM(AW331:AW337)</f>
        <v>0</v>
      </c>
      <c r="AX338" s="56">
        <f>SUM(AX331:AX337)</f>
        <v>0</v>
      </c>
      <c r="AY338" s="57">
        <f t="shared" si="201"/>
        <v>2322</v>
      </c>
      <c r="AZ338" s="54">
        <f>SUM(AZ331:AZ337)</f>
        <v>1600</v>
      </c>
      <c r="BA338" s="55">
        <f>SUM(BA331:BA337)</f>
        <v>0</v>
      </c>
      <c r="BB338" s="55">
        <f>SUM(BB331:BB337)</f>
        <v>0</v>
      </c>
      <c r="BC338" s="56">
        <f>SUM(BC331:BC337)</f>
        <v>0</v>
      </c>
      <c r="BD338" s="57">
        <f t="shared" si="202"/>
        <v>1600</v>
      </c>
      <c r="BE338" s="54">
        <f>SUM(BE331:BE337)</f>
        <v>1451</v>
      </c>
      <c r="BF338" s="55">
        <f>SUM(BF331:BF337)</f>
        <v>0</v>
      </c>
      <c r="BG338" s="55">
        <f>SUM(BG331:BG337)</f>
        <v>0</v>
      </c>
      <c r="BH338" s="56">
        <f>SUM(BH331:BH337)</f>
        <v>0</v>
      </c>
      <c r="BI338" s="57">
        <f t="shared" si="203"/>
        <v>1451</v>
      </c>
      <c r="BJ338" s="54">
        <f>SUM(BJ331:BJ337)</f>
        <v>462</v>
      </c>
      <c r="BK338" s="55">
        <f>SUM(BK331:BK337)</f>
        <v>0</v>
      </c>
      <c r="BL338" s="55">
        <f>SUM(BL331:BL337)</f>
        <v>0</v>
      </c>
      <c r="BM338" s="56">
        <f>SUM(BM331:BM337)</f>
        <v>0</v>
      </c>
      <c r="BN338" s="57">
        <f t="shared" si="204"/>
        <v>462</v>
      </c>
      <c r="BO338" s="72">
        <f>SUM(BO331:BO337)</f>
        <v>10580</v>
      </c>
      <c r="BP338" s="55">
        <f>SUM(BP331:BP337)</f>
        <v>0</v>
      </c>
      <c r="BQ338" s="55">
        <f>SUM(BQ331:BQ337)</f>
        <v>0</v>
      </c>
      <c r="BR338" s="56">
        <f>SUM(BR331:BR337)</f>
        <v>0</v>
      </c>
      <c r="BS338" s="58">
        <f t="shared" si="263"/>
        <v>10580</v>
      </c>
    </row>
    <row r="339" spans="2:71" x14ac:dyDescent="0.3">
      <c r="B339" s="264"/>
      <c r="C339" s="227" t="s">
        <v>16</v>
      </c>
      <c r="D339" s="228"/>
      <c r="E339" s="210" t="s">
        <v>87</v>
      </c>
      <c r="F339" s="120" t="s">
        <v>534</v>
      </c>
      <c r="G339" s="30"/>
      <c r="H339" s="7"/>
      <c r="I339" s="7"/>
      <c r="J339" s="8"/>
      <c r="K339" s="9">
        <f t="shared" si="218"/>
        <v>0</v>
      </c>
      <c r="L339" s="30"/>
      <c r="M339" s="7"/>
      <c r="N339" s="7"/>
      <c r="O339" s="8"/>
      <c r="P339" s="9">
        <f t="shared" si="194"/>
        <v>0</v>
      </c>
      <c r="Q339" s="30"/>
      <c r="R339" s="7"/>
      <c r="S339" s="7"/>
      <c r="T339" s="8"/>
      <c r="U339" s="9">
        <f t="shared" si="195"/>
        <v>0</v>
      </c>
      <c r="V339" s="30"/>
      <c r="W339" s="7"/>
      <c r="X339" s="7">
        <v>5853</v>
      </c>
      <c r="Y339" s="8"/>
      <c r="Z339" s="9">
        <f t="shared" si="196"/>
        <v>5853</v>
      </c>
      <c r="AA339" s="30"/>
      <c r="AB339" s="7"/>
      <c r="AC339" s="7">
        <v>8199</v>
      </c>
      <c r="AD339" s="8"/>
      <c r="AE339" s="9">
        <f t="shared" si="197"/>
        <v>8199</v>
      </c>
      <c r="AF339" s="30"/>
      <c r="AG339" s="7"/>
      <c r="AH339" s="7">
        <v>1406</v>
      </c>
      <c r="AI339" s="8"/>
      <c r="AJ339" s="9">
        <f t="shared" si="198"/>
        <v>1406</v>
      </c>
      <c r="AK339" s="30"/>
      <c r="AL339" s="7"/>
      <c r="AM339" s="7"/>
      <c r="AN339" s="8"/>
      <c r="AO339" s="9">
        <f t="shared" si="199"/>
        <v>0</v>
      </c>
      <c r="AP339" s="30"/>
      <c r="AQ339" s="7"/>
      <c r="AR339" s="7">
        <v>94</v>
      </c>
      <c r="AS339" s="8"/>
      <c r="AT339" s="9">
        <f t="shared" si="200"/>
        <v>94</v>
      </c>
      <c r="AU339" s="30"/>
      <c r="AV339" s="7"/>
      <c r="AW339" s="7">
        <v>6749</v>
      </c>
      <c r="AX339" s="8"/>
      <c r="AY339" s="9">
        <f t="shared" si="201"/>
        <v>6749</v>
      </c>
      <c r="AZ339" s="30"/>
      <c r="BA339" s="7"/>
      <c r="BB339" s="7">
        <v>10606</v>
      </c>
      <c r="BC339" s="8"/>
      <c r="BD339" s="9">
        <f t="shared" si="202"/>
        <v>10606</v>
      </c>
      <c r="BE339" s="30"/>
      <c r="BF339" s="7"/>
      <c r="BG339" s="7"/>
      <c r="BH339" s="8"/>
      <c r="BI339" s="9">
        <f t="shared" si="203"/>
        <v>0</v>
      </c>
      <c r="BJ339" s="30"/>
      <c r="BK339" s="7"/>
      <c r="BL339" s="7"/>
      <c r="BM339" s="8"/>
      <c r="BN339" s="9">
        <f t="shared" si="204"/>
        <v>0</v>
      </c>
      <c r="BO339" s="65">
        <f>SUM(G339,L339,Q339,V339,AA339,AF339,AK339,AP339,AU339,AZ339,BE339,BJ339)</f>
        <v>0</v>
      </c>
      <c r="BP339" s="7">
        <f>SUM(H339,M339,R339,W339,AB339,AG339,AL339,AQ339,AV339,BA339,BF339,BK339)</f>
        <v>0</v>
      </c>
      <c r="BQ339" s="7">
        <f>SUM(I339,N339,S339,X339,AC339,AH339,AM339,AR339,AW339,BB339,BG339,BL339)</f>
        <v>32907</v>
      </c>
      <c r="BR339" s="8">
        <f>SUM(J339,O339,T339,Y339,AD339,AI339,AN339,AS339,AX339,BC339,BH339,BM339)</f>
        <v>0</v>
      </c>
      <c r="BS339" s="31">
        <f t="shared" si="263"/>
        <v>32907</v>
      </c>
    </row>
    <row r="340" spans="2:71" x14ac:dyDescent="0.3">
      <c r="B340" s="264"/>
      <c r="C340" s="223"/>
      <c r="D340" s="224"/>
      <c r="E340" s="211"/>
      <c r="F340" s="121" t="s">
        <v>535</v>
      </c>
      <c r="G340" s="32"/>
      <c r="H340" s="13"/>
      <c r="I340" s="13"/>
      <c r="J340" s="14"/>
      <c r="K340" s="15">
        <f t="shared" si="218"/>
        <v>0</v>
      </c>
      <c r="L340" s="32"/>
      <c r="M340" s="13"/>
      <c r="N340" s="13"/>
      <c r="O340" s="14"/>
      <c r="P340" s="15">
        <f t="shared" si="194"/>
        <v>0</v>
      </c>
      <c r="Q340" s="32"/>
      <c r="R340" s="13"/>
      <c r="S340" s="13"/>
      <c r="T340" s="14"/>
      <c r="U340" s="15">
        <f t="shared" si="195"/>
        <v>0</v>
      </c>
      <c r="V340" s="32"/>
      <c r="W340" s="13"/>
      <c r="X340" s="13">
        <v>32</v>
      </c>
      <c r="Y340" s="14"/>
      <c r="Z340" s="15">
        <f t="shared" si="196"/>
        <v>32</v>
      </c>
      <c r="AA340" s="32"/>
      <c r="AB340" s="13"/>
      <c r="AC340" s="13">
        <v>20</v>
      </c>
      <c r="AD340" s="14"/>
      <c r="AE340" s="15">
        <f t="shared" si="197"/>
        <v>20</v>
      </c>
      <c r="AF340" s="32"/>
      <c r="AG340" s="13"/>
      <c r="AH340" s="13">
        <v>216</v>
      </c>
      <c r="AI340" s="14"/>
      <c r="AJ340" s="15">
        <f t="shared" si="198"/>
        <v>216</v>
      </c>
      <c r="AK340" s="32"/>
      <c r="AL340" s="13"/>
      <c r="AM340" s="13"/>
      <c r="AN340" s="14"/>
      <c r="AO340" s="15">
        <f t="shared" si="199"/>
        <v>0</v>
      </c>
      <c r="AP340" s="32"/>
      <c r="AQ340" s="13"/>
      <c r="AR340" s="13"/>
      <c r="AS340" s="14"/>
      <c r="AT340" s="15">
        <f t="shared" si="200"/>
        <v>0</v>
      </c>
      <c r="AU340" s="32"/>
      <c r="AV340" s="13"/>
      <c r="AW340" s="13"/>
      <c r="AX340" s="14"/>
      <c r="AY340" s="15">
        <f t="shared" si="201"/>
        <v>0</v>
      </c>
      <c r="AZ340" s="32"/>
      <c r="BA340" s="13"/>
      <c r="BB340" s="13">
        <v>41</v>
      </c>
      <c r="BC340" s="14"/>
      <c r="BD340" s="15">
        <f t="shared" si="202"/>
        <v>41</v>
      </c>
      <c r="BE340" s="32"/>
      <c r="BF340" s="13"/>
      <c r="BG340" s="13"/>
      <c r="BH340" s="14"/>
      <c r="BI340" s="15">
        <f t="shared" si="203"/>
        <v>0</v>
      </c>
      <c r="BJ340" s="32"/>
      <c r="BK340" s="13"/>
      <c r="BL340" s="13"/>
      <c r="BM340" s="14"/>
      <c r="BN340" s="15">
        <f t="shared" si="204"/>
        <v>0</v>
      </c>
      <c r="BO340" s="66">
        <f>SUM(G340,L340,Q340,V340,AA340,AF340,AK340,AP340,AU340,AZ340,BE340,BJ340)</f>
        <v>0</v>
      </c>
      <c r="BP340" s="13">
        <f>SUM(H340,M340,R340,W340,AB340,AG340,AL340,AQ340,AV340,BA340,BF340,BK340)</f>
        <v>0</v>
      </c>
      <c r="BQ340" s="13">
        <f>SUM(I340,N340,S340,X340,AC340,AH340,AM340,AR340,AW340,BB340,BG340,BL340)</f>
        <v>309</v>
      </c>
      <c r="BR340" s="14">
        <f>SUM(J340,O340,T340,Y340,AD340,AI340,AN340,AS340,AX340,BC340,BH340,BM340)</f>
        <v>0</v>
      </c>
      <c r="BS340" s="33">
        <f t="shared" si="263"/>
        <v>309</v>
      </c>
    </row>
    <row r="341" spans="2:71" x14ac:dyDescent="0.3">
      <c r="B341" s="264"/>
      <c r="C341" s="223"/>
      <c r="D341" s="224"/>
      <c r="E341" s="211"/>
      <c r="F341" s="121" t="s">
        <v>177</v>
      </c>
      <c r="G341" s="32"/>
      <c r="H341" s="13"/>
      <c r="I341" s="13"/>
      <c r="J341" s="14"/>
      <c r="K341" s="15">
        <f t="shared" si="218"/>
        <v>0</v>
      </c>
      <c r="L341" s="32"/>
      <c r="M341" s="13"/>
      <c r="N341" s="13"/>
      <c r="O341" s="14"/>
      <c r="P341" s="15">
        <f t="shared" ref="P341" si="299">SUM(L341:O341)</f>
        <v>0</v>
      </c>
      <c r="Q341" s="32"/>
      <c r="R341" s="13"/>
      <c r="S341" s="13"/>
      <c r="T341" s="14"/>
      <c r="U341" s="15">
        <f t="shared" ref="U341" si="300">SUM(Q341:T341)</f>
        <v>0</v>
      </c>
      <c r="V341" s="32"/>
      <c r="W341" s="13"/>
      <c r="X341" s="13"/>
      <c r="Y341" s="14"/>
      <c r="Z341" s="15">
        <f t="shared" ref="Z341" si="301">SUM(V341:Y341)</f>
        <v>0</v>
      </c>
      <c r="AA341" s="32"/>
      <c r="AB341" s="13"/>
      <c r="AC341" s="13">
        <v>337</v>
      </c>
      <c r="AD341" s="14"/>
      <c r="AE341" s="15">
        <f t="shared" ref="AE341" si="302">SUM(AA341:AD341)</f>
        <v>337</v>
      </c>
      <c r="AF341" s="32"/>
      <c r="AG341" s="13"/>
      <c r="AH341" s="13"/>
      <c r="AI341" s="14"/>
      <c r="AJ341" s="15">
        <f t="shared" ref="AJ341" si="303">SUM(AF341:AI341)</f>
        <v>0</v>
      </c>
      <c r="AK341" s="32"/>
      <c r="AL341" s="13"/>
      <c r="AM341" s="13"/>
      <c r="AN341" s="14"/>
      <c r="AO341" s="15">
        <f t="shared" ref="AO341" si="304">SUM(AK341:AN341)</f>
        <v>0</v>
      </c>
      <c r="AP341" s="32"/>
      <c r="AQ341" s="13"/>
      <c r="AR341" s="13"/>
      <c r="AS341" s="14"/>
      <c r="AT341" s="15">
        <f t="shared" ref="AT341" si="305">SUM(AP341:AS341)</f>
        <v>0</v>
      </c>
      <c r="AU341" s="32"/>
      <c r="AV341" s="13"/>
      <c r="AW341" s="13"/>
      <c r="AX341" s="14"/>
      <c r="AY341" s="15">
        <f t="shared" ref="AY341" si="306">SUM(AU341:AX341)</f>
        <v>0</v>
      </c>
      <c r="AZ341" s="32"/>
      <c r="BA341" s="13"/>
      <c r="BB341" s="13"/>
      <c r="BC341" s="14"/>
      <c r="BD341" s="15">
        <f t="shared" ref="BD341" si="307">SUM(AZ341:BC341)</f>
        <v>0</v>
      </c>
      <c r="BE341" s="32"/>
      <c r="BF341" s="13"/>
      <c r="BG341" s="13"/>
      <c r="BH341" s="14"/>
      <c r="BI341" s="15">
        <f t="shared" ref="BI341" si="308">SUM(BE341:BH341)</f>
        <v>0</v>
      </c>
      <c r="BJ341" s="32"/>
      <c r="BK341" s="13"/>
      <c r="BL341" s="13"/>
      <c r="BM341" s="14"/>
      <c r="BN341" s="15">
        <f t="shared" ref="BN341" si="309">SUM(BJ341:BM341)</f>
        <v>0</v>
      </c>
      <c r="BO341" s="66">
        <f>SUM(G341,L341,Q341,V341,AA341,AF341,AK341,AP341,AU341,AZ341,BE341,BJ341)</f>
        <v>0</v>
      </c>
      <c r="BP341" s="13">
        <f>SUM(H341,M341,R341,W341,AB341,AG341,AL341,AQ341,AV341,BA341,BF341,BK341)</f>
        <v>0</v>
      </c>
      <c r="BQ341" s="13">
        <f>SUM(I341,N341,S341,X341,AC341,AH341,AM341,AR341,AW341,BB341,BG341,BL341)</f>
        <v>337</v>
      </c>
      <c r="BR341" s="14">
        <f>SUM(J341,O341,T341,Y341,AD341,AI341,AN341,AS341,AX341,BC341,BH341,BM341)</f>
        <v>0</v>
      </c>
      <c r="BS341" s="33">
        <f t="shared" si="263"/>
        <v>337</v>
      </c>
    </row>
    <row r="342" spans="2:71" x14ac:dyDescent="0.3">
      <c r="B342" s="264"/>
      <c r="C342" s="223"/>
      <c r="D342" s="224"/>
      <c r="E342" s="211"/>
      <c r="F342" s="121" t="s">
        <v>536</v>
      </c>
      <c r="G342" s="32"/>
      <c r="H342" s="13"/>
      <c r="I342" s="13">
        <v>185</v>
      </c>
      <c r="J342" s="14"/>
      <c r="K342" s="15">
        <f t="shared" si="218"/>
        <v>185</v>
      </c>
      <c r="L342" s="32"/>
      <c r="M342" s="13"/>
      <c r="N342" s="13">
        <v>8</v>
      </c>
      <c r="O342" s="14"/>
      <c r="P342" s="15">
        <f t="shared" si="194"/>
        <v>8</v>
      </c>
      <c r="Q342" s="32"/>
      <c r="R342" s="13"/>
      <c r="S342" s="13"/>
      <c r="T342" s="14"/>
      <c r="U342" s="15">
        <f t="shared" si="195"/>
        <v>0</v>
      </c>
      <c r="V342" s="32"/>
      <c r="W342" s="13"/>
      <c r="X342" s="13"/>
      <c r="Y342" s="14"/>
      <c r="Z342" s="15">
        <f t="shared" si="196"/>
        <v>0</v>
      </c>
      <c r="AA342" s="32"/>
      <c r="AB342" s="13"/>
      <c r="AC342" s="13"/>
      <c r="AD342" s="14"/>
      <c r="AE342" s="15">
        <f t="shared" si="197"/>
        <v>0</v>
      </c>
      <c r="AF342" s="32"/>
      <c r="AG342" s="13"/>
      <c r="AH342" s="13"/>
      <c r="AI342" s="14"/>
      <c r="AJ342" s="15">
        <f t="shared" si="198"/>
        <v>0</v>
      </c>
      <c r="AK342" s="32"/>
      <c r="AL342" s="13"/>
      <c r="AM342" s="13"/>
      <c r="AN342" s="14"/>
      <c r="AO342" s="15">
        <f t="shared" si="199"/>
        <v>0</v>
      </c>
      <c r="AP342" s="32"/>
      <c r="AQ342" s="13"/>
      <c r="AR342" s="13"/>
      <c r="AS342" s="14"/>
      <c r="AT342" s="15">
        <f t="shared" si="200"/>
        <v>0</v>
      </c>
      <c r="AU342" s="32"/>
      <c r="AV342" s="13"/>
      <c r="AW342" s="13"/>
      <c r="AX342" s="14"/>
      <c r="AY342" s="15">
        <f t="shared" si="201"/>
        <v>0</v>
      </c>
      <c r="AZ342" s="32"/>
      <c r="BA342" s="13"/>
      <c r="BB342" s="13"/>
      <c r="BC342" s="14"/>
      <c r="BD342" s="15">
        <f t="shared" si="202"/>
        <v>0</v>
      </c>
      <c r="BE342" s="32"/>
      <c r="BF342" s="13"/>
      <c r="BG342" s="13">
        <v>1802</v>
      </c>
      <c r="BH342" s="14"/>
      <c r="BI342" s="15">
        <f t="shared" si="203"/>
        <v>1802</v>
      </c>
      <c r="BJ342" s="32"/>
      <c r="BK342" s="13"/>
      <c r="BL342" s="13">
        <v>540</v>
      </c>
      <c r="BM342" s="14"/>
      <c r="BN342" s="15">
        <f t="shared" si="204"/>
        <v>540</v>
      </c>
      <c r="BO342" s="66">
        <f>SUM(G342,L342,Q342,V342,AA342,AF342,AK342,AP342,AU342,AZ342,BE342,BJ342)</f>
        <v>0</v>
      </c>
      <c r="BP342" s="13">
        <f>SUM(H342,M342,R342,W342,AB342,AG342,AL342,AQ342,AV342,BA342,BF342,BK342)</f>
        <v>0</v>
      </c>
      <c r="BQ342" s="13">
        <f>SUM(I342,N342,S342,X342,AC342,AH342,AM342,AR342,AW342,BB342,BG342,BL342)</f>
        <v>2535</v>
      </c>
      <c r="BR342" s="14">
        <f>SUM(J342,O342,T342,Y342,AD342,AI342,AN342,AS342,AX342,BC342,BH342,BM342)</f>
        <v>0</v>
      </c>
      <c r="BS342" s="33">
        <f t="shared" si="263"/>
        <v>2535</v>
      </c>
    </row>
    <row r="343" spans="2:71" x14ac:dyDescent="0.3">
      <c r="B343" s="264"/>
      <c r="C343" s="223"/>
      <c r="D343" s="224"/>
      <c r="E343" s="211"/>
      <c r="F343" s="123" t="s">
        <v>537</v>
      </c>
      <c r="G343" s="34"/>
      <c r="H343" s="16"/>
      <c r="I343" s="16"/>
      <c r="J343" s="17"/>
      <c r="K343" s="18">
        <f t="shared" si="218"/>
        <v>0</v>
      </c>
      <c r="L343" s="34"/>
      <c r="M343" s="16"/>
      <c r="N343" s="16"/>
      <c r="O343" s="17"/>
      <c r="P343" s="18">
        <f t="shared" si="194"/>
        <v>0</v>
      </c>
      <c r="Q343" s="34"/>
      <c r="R343" s="16"/>
      <c r="S343" s="16"/>
      <c r="T343" s="17"/>
      <c r="U343" s="18">
        <f t="shared" si="195"/>
        <v>0</v>
      </c>
      <c r="V343" s="34"/>
      <c r="W343" s="16"/>
      <c r="X343" s="16">
        <v>1435</v>
      </c>
      <c r="Y343" s="17"/>
      <c r="Z343" s="18">
        <f t="shared" si="196"/>
        <v>1435</v>
      </c>
      <c r="AA343" s="34"/>
      <c r="AB343" s="16"/>
      <c r="AC343" s="16">
        <v>871</v>
      </c>
      <c r="AD343" s="17"/>
      <c r="AE343" s="18">
        <f t="shared" si="197"/>
        <v>871</v>
      </c>
      <c r="AF343" s="34"/>
      <c r="AG343" s="16"/>
      <c r="AH343" s="16">
        <v>69</v>
      </c>
      <c r="AI343" s="17"/>
      <c r="AJ343" s="18">
        <f t="shared" si="198"/>
        <v>69</v>
      </c>
      <c r="AK343" s="34"/>
      <c r="AL343" s="16"/>
      <c r="AM343" s="16"/>
      <c r="AN343" s="17"/>
      <c r="AO343" s="18">
        <f t="shared" si="199"/>
        <v>0</v>
      </c>
      <c r="AP343" s="34"/>
      <c r="AQ343" s="16"/>
      <c r="AR343" s="16"/>
      <c r="AS343" s="17"/>
      <c r="AT343" s="18">
        <f t="shared" si="200"/>
        <v>0</v>
      </c>
      <c r="AU343" s="34"/>
      <c r="AV343" s="16"/>
      <c r="AW343" s="16">
        <v>603</v>
      </c>
      <c r="AX343" s="17"/>
      <c r="AY343" s="18">
        <f t="shared" si="201"/>
        <v>603</v>
      </c>
      <c r="AZ343" s="34"/>
      <c r="BA343" s="16"/>
      <c r="BB343" s="16">
        <v>1946</v>
      </c>
      <c r="BC343" s="17"/>
      <c r="BD343" s="18">
        <f t="shared" si="202"/>
        <v>1946</v>
      </c>
      <c r="BE343" s="34"/>
      <c r="BF343" s="16"/>
      <c r="BG343" s="16"/>
      <c r="BH343" s="17"/>
      <c r="BI343" s="18">
        <f t="shared" si="203"/>
        <v>0</v>
      </c>
      <c r="BJ343" s="34"/>
      <c r="BK343" s="16"/>
      <c r="BL343" s="16"/>
      <c r="BM343" s="17"/>
      <c r="BN343" s="18">
        <f t="shared" si="204"/>
        <v>0</v>
      </c>
      <c r="BO343" s="70">
        <f>SUM(G343,L343,Q343,V343,AA343,AF343,AK343,AP343,AU343,AZ343,BE343,BJ343)</f>
        <v>0</v>
      </c>
      <c r="BP343" s="16">
        <f>SUM(H343,M343,R343,W343,AB343,AG343,AL343,AQ343,AV343,BA343,BF343,BK343)</f>
        <v>0</v>
      </c>
      <c r="BQ343" s="16">
        <f>SUM(I343,N343,S343,X343,AC343,AH343,AM343,AR343,AW343,BB343,BG343,BL343)</f>
        <v>4924</v>
      </c>
      <c r="BR343" s="17">
        <f>SUM(J343,O343,T343,Y343,AD343,AI343,AN343,AS343,AX343,BC343,BH343,BM343)</f>
        <v>0</v>
      </c>
      <c r="BS343" s="35">
        <f t="shared" si="263"/>
        <v>4924</v>
      </c>
    </row>
    <row r="344" spans="2:71" x14ac:dyDescent="0.3">
      <c r="B344" s="264"/>
      <c r="C344" s="223"/>
      <c r="D344" s="224"/>
      <c r="E344" s="211"/>
      <c r="F344" s="123" t="s">
        <v>538</v>
      </c>
      <c r="G344" s="34"/>
      <c r="H344" s="16"/>
      <c r="I344" s="16"/>
      <c r="J344" s="17"/>
      <c r="K344" s="18">
        <f t="shared" si="218"/>
        <v>0</v>
      </c>
      <c r="L344" s="34"/>
      <c r="M344" s="16"/>
      <c r="N344" s="16"/>
      <c r="O344" s="17"/>
      <c r="P344" s="18">
        <f t="shared" ref="P344" si="310">SUM(L344:O344)</f>
        <v>0</v>
      </c>
      <c r="Q344" s="34"/>
      <c r="R344" s="16"/>
      <c r="S344" s="16"/>
      <c r="T344" s="17"/>
      <c r="U344" s="18">
        <f t="shared" ref="U344" si="311">SUM(Q344:T344)</f>
        <v>0</v>
      </c>
      <c r="V344" s="34"/>
      <c r="W344" s="16"/>
      <c r="X344" s="16"/>
      <c r="Y344" s="17"/>
      <c r="Z344" s="18">
        <f t="shared" ref="Z344" si="312">SUM(V344:Y344)</f>
        <v>0</v>
      </c>
      <c r="AA344" s="34"/>
      <c r="AB344" s="16"/>
      <c r="AC344" s="16"/>
      <c r="AD344" s="17"/>
      <c r="AE344" s="18">
        <f t="shared" ref="AE344" si="313">SUM(AA344:AD344)</f>
        <v>0</v>
      </c>
      <c r="AF344" s="34"/>
      <c r="AG344" s="16"/>
      <c r="AH344" s="16"/>
      <c r="AI344" s="17"/>
      <c r="AJ344" s="18">
        <f t="shared" ref="AJ344" si="314">SUM(AF344:AI344)</f>
        <v>0</v>
      </c>
      <c r="AK344" s="34"/>
      <c r="AL344" s="16"/>
      <c r="AM344" s="16"/>
      <c r="AN344" s="17"/>
      <c r="AO344" s="18">
        <f t="shared" ref="AO344" si="315">SUM(AK344:AN344)</f>
        <v>0</v>
      </c>
      <c r="AP344" s="34"/>
      <c r="AQ344" s="16"/>
      <c r="AR344" s="16"/>
      <c r="AS344" s="17"/>
      <c r="AT344" s="18">
        <f t="shared" ref="AT344" si="316">SUM(AP344:AS344)</f>
        <v>0</v>
      </c>
      <c r="AU344" s="34"/>
      <c r="AV344" s="16"/>
      <c r="AW344" s="16"/>
      <c r="AX344" s="17"/>
      <c r="AY344" s="18">
        <f t="shared" ref="AY344" si="317">SUM(AU344:AX344)</f>
        <v>0</v>
      </c>
      <c r="AZ344" s="34"/>
      <c r="BA344" s="16"/>
      <c r="BB344" s="16"/>
      <c r="BC344" s="17"/>
      <c r="BD344" s="18">
        <f t="shared" ref="BD344" si="318">SUM(AZ344:BC344)</f>
        <v>0</v>
      </c>
      <c r="BE344" s="34"/>
      <c r="BF344" s="16"/>
      <c r="BG344" s="16"/>
      <c r="BH344" s="17"/>
      <c r="BI344" s="18">
        <f t="shared" ref="BI344" si="319">SUM(BE344:BH344)</f>
        <v>0</v>
      </c>
      <c r="BJ344" s="34"/>
      <c r="BK344" s="16"/>
      <c r="BL344" s="16">
        <v>60</v>
      </c>
      <c r="BM344" s="17"/>
      <c r="BN344" s="18">
        <f t="shared" ref="BN344" si="320">SUM(BJ344:BM344)</f>
        <v>60</v>
      </c>
      <c r="BO344" s="70">
        <f>SUM(G344,L344,Q344,V344,AA344,AF344,AK344,AP344,AU344,AZ344,BE344,BJ344)</f>
        <v>0</v>
      </c>
      <c r="BP344" s="16">
        <f>SUM(H344,M344,R344,W344,AB344,AG344,AL344,AQ344,AV344,BA344,BF344,BK344)</f>
        <v>0</v>
      </c>
      <c r="BQ344" s="16">
        <f>SUM(I344,N344,S344,X344,AC344,AH344,AM344,AR344,AW344,BB344,BG344,BL344)</f>
        <v>60</v>
      </c>
      <c r="BR344" s="17">
        <f>SUM(J344,O344,T344,Y344,AD344,AI344,AN344,AS344,AX344,BC344,BH344,BM344)</f>
        <v>0</v>
      </c>
      <c r="BS344" s="35">
        <f t="shared" si="263"/>
        <v>60</v>
      </c>
    </row>
    <row r="345" spans="2:71" x14ac:dyDescent="0.3">
      <c r="B345" s="264"/>
      <c r="C345" s="223"/>
      <c r="D345" s="224"/>
      <c r="E345" s="212"/>
      <c r="F345" s="124" t="s">
        <v>392</v>
      </c>
      <c r="G345" s="36"/>
      <c r="H345" s="10"/>
      <c r="I345" s="10"/>
      <c r="J345" s="11"/>
      <c r="K345" s="12">
        <f t="shared" si="218"/>
        <v>0</v>
      </c>
      <c r="L345" s="36"/>
      <c r="M345" s="10"/>
      <c r="N345" s="10"/>
      <c r="O345" s="11"/>
      <c r="P345" s="12">
        <f t="shared" si="194"/>
        <v>0</v>
      </c>
      <c r="Q345" s="36"/>
      <c r="R345" s="10"/>
      <c r="S345" s="10"/>
      <c r="T345" s="11"/>
      <c r="U345" s="12">
        <f t="shared" si="195"/>
        <v>0</v>
      </c>
      <c r="V345" s="36"/>
      <c r="W345" s="10"/>
      <c r="X345" s="10"/>
      <c r="Y345" s="11"/>
      <c r="Z345" s="12">
        <f t="shared" si="196"/>
        <v>0</v>
      </c>
      <c r="AA345" s="36"/>
      <c r="AB345" s="10"/>
      <c r="AC345" s="10">
        <v>42</v>
      </c>
      <c r="AD345" s="11"/>
      <c r="AE345" s="12">
        <f t="shared" si="197"/>
        <v>42</v>
      </c>
      <c r="AF345" s="36"/>
      <c r="AG345" s="10"/>
      <c r="AH345" s="10"/>
      <c r="AI345" s="11"/>
      <c r="AJ345" s="12">
        <f t="shared" si="198"/>
        <v>0</v>
      </c>
      <c r="AK345" s="36"/>
      <c r="AL345" s="10"/>
      <c r="AM345" s="10"/>
      <c r="AN345" s="11"/>
      <c r="AO345" s="12">
        <f t="shared" si="199"/>
        <v>0</v>
      </c>
      <c r="AP345" s="36"/>
      <c r="AQ345" s="10"/>
      <c r="AR345" s="10"/>
      <c r="AS345" s="11"/>
      <c r="AT345" s="12">
        <f t="shared" si="200"/>
        <v>0</v>
      </c>
      <c r="AU345" s="36"/>
      <c r="AV345" s="10"/>
      <c r="AW345" s="10"/>
      <c r="AX345" s="11"/>
      <c r="AY345" s="12">
        <f t="shared" si="201"/>
        <v>0</v>
      </c>
      <c r="AZ345" s="36"/>
      <c r="BA345" s="10"/>
      <c r="BB345" s="10"/>
      <c r="BC345" s="11"/>
      <c r="BD345" s="12">
        <f t="shared" si="202"/>
        <v>0</v>
      </c>
      <c r="BE345" s="36"/>
      <c r="BF345" s="10"/>
      <c r="BG345" s="10"/>
      <c r="BH345" s="11"/>
      <c r="BI345" s="12">
        <f t="shared" si="203"/>
        <v>0</v>
      </c>
      <c r="BJ345" s="36"/>
      <c r="BK345" s="10"/>
      <c r="BL345" s="10"/>
      <c r="BM345" s="11"/>
      <c r="BN345" s="12">
        <f t="shared" si="204"/>
        <v>0</v>
      </c>
      <c r="BO345" s="71">
        <f>SUM(G345,L345,Q345,V345,AA345,AF345,AK345,AP345,AU345,AZ345,BE345,BJ345)</f>
        <v>0</v>
      </c>
      <c r="BP345" s="10">
        <f>SUM(H345,M345,R345,W345,AB345,AG345,AL345,AQ345,AV345,BA345,BF345,BK345)</f>
        <v>0</v>
      </c>
      <c r="BQ345" s="10">
        <f>SUM(I345,N345,S345,X345,AC345,AH345,AM345,AR345,AW345,BB345,BG345,BL345)</f>
        <v>42</v>
      </c>
      <c r="BR345" s="11">
        <f>SUM(J345,O345,T345,Y345,AD345,AI345,AN345,AS345,AX345,BC345,BH345,BM345)</f>
        <v>0</v>
      </c>
      <c r="BS345" s="37">
        <f t="shared" si="263"/>
        <v>42</v>
      </c>
    </row>
    <row r="346" spans="2:71" x14ac:dyDescent="0.3">
      <c r="B346" s="264"/>
      <c r="C346" s="223"/>
      <c r="D346" s="224"/>
      <c r="E346" s="210" t="s">
        <v>88</v>
      </c>
      <c r="F346" s="121" t="s">
        <v>539</v>
      </c>
      <c r="G346" s="32"/>
      <c r="H346" s="13"/>
      <c r="I346" s="13"/>
      <c r="J346" s="14"/>
      <c r="K346" s="15">
        <f t="shared" si="218"/>
        <v>0</v>
      </c>
      <c r="L346" s="32"/>
      <c r="M346" s="13"/>
      <c r="N346" s="13"/>
      <c r="O346" s="14"/>
      <c r="P346" s="15">
        <f t="shared" si="194"/>
        <v>0</v>
      </c>
      <c r="Q346" s="32"/>
      <c r="R346" s="13"/>
      <c r="S346" s="13"/>
      <c r="T346" s="14"/>
      <c r="U346" s="15">
        <f t="shared" si="195"/>
        <v>0</v>
      </c>
      <c r="V346" s="32"/>
      <c r="W346" s="13">
        <v>11066</v>
      </c>
      <c r="X346" s="13"/>
      <c r="Y346" s="14"/>
      <c r="Z346" s="15">
        <f t="shared" si="196"/>
        <v>11066</v>
      </c>
      <c r="AA346" s="32"/>
      <c r="AB346" s="13">
        <v>28693</v>
      </c>
      <c r="AC346" s="13"/>
      <c r="AD346" s="14"/>
      <c r="AE346" s="15">
        <f t="shared" si="197"/>
        <v>28693</v>
      </c>
      <c r="AF346" s="32"/>
      <c r="AG346" s="13">
        <v>2343</v>
      </c>
      <c r="AH346" s="13"/>
      <c r="AI346" s="14"/>
      <c r="AJ346" s="15">
        <f t="shared" si="198"/>
        <v>2343</v>
      </c>
      <c r="AK346" s="32"/>
      <c r="AL346" s="13">
        <v>261</v>
      </c>
      <c r="AM346" s="13"/>
      <c r="AN346" s="14"/>
      <c r="AO346" s="15">
        <f t="shared" si="199"/>
        <v>261</v>
      </c>
      <c r="AP346" s="32"/>
      <c r="AQ346" s="13">
        <v>59</v>
      </c>
      <c r="AR346" s="13"/>
      <c r="AS346" s="14"/>
      <c r="AT346" s="15">
        <f t="shared" si="200"/>
        <v>59</v>
      </c>
      <c r="AU346" s="32"/>
      <c r="AV346" s="13">
        <v>7231</v>
      </c>
      <c r="AW346" s="13"/>
      <c r="AX346" s="14"/>
      <c r="AY346" s="15">
        <f t="shared" si="201"/>
        <v>7231</v>
      </c>
      <c r="AZ346" s="32"/>
      <c r="BA346" s="13">
        <v>15976</v>
      </c>
      <c r="BB346" s="13"/>
      <c r="BC346" s="14"/>
      <c r="BD346" s="15">
        <f t="shared" si="202"/>
        <v>15976</v>
      </c>
      <c r="BE346" s="32"/>
      <c r="BF346" s="13"/>
      <c r="BG346" s="13"/>
      <c r="BH346" s="14"/>
      <c r="BI346" s="15">
        <f t="shared" si="203"/>
        <v>0</v>
      </c>
      <c r="BJ346" s="32"/>
      <c r="BK346" s="13"/>
      <c r="BL346" s="13"/>
      <c r="BM346" s="14"/>
      <c r="BN346" s="15">
        <f t="shared" si="204"/>
        <v>0</v>
      </c>
      <c r="BO346" s="66">
        <f>SUM(G346,L346,Q346,V346,AA346,AF346,AK346,AP346,AU346,AZ346,BE346,BJ346)</f>
        <v>0</v>
      </c>
      <c r="BP346" s="13">
        <f>SUM(H346,M346,R346,W346,AB346,AG346,AL346,AQ346,AV346,BA346,BF346,BK346)</f>
        <v>65629</v>
      </c>
      <c r="BQ346" s="13">
        <f>SUM(I346,N346,S346,X346,AC346,AH346,AM346,AR346,AW346,BB346,BG346,BL346)</f>
        <v>0</v>
      </c>
      <c r="BR346" s="14">
        <f>SUM(J346,O346,T346,Y346,AD346,AI346,AN346,AS346,AX346,BC346,BH346,BM346)</f>
        <v>0</v>
      </c>
      <c r="BS346" s="33">
        <f t="shared" si="263"/>
        <v>65629</v>
      </c>
    </row>
    <row r="347" spans="2:71" x14ac:dyDescent="0.3">
      <c r="B347" s="264"/>
      <c r="C347" s="223"/>
      <c r="D347" s="224"/>
      <c r="E347" s="211"/>
      <c r="F347" s="121" t="s">
        <v>306</v>
      </c>
      <c r="G347" s="32"/>
      <c r="H347" s="13"/>
      <c r="I347" s="13"/>
      <c r="J347" s="14"/>
      <c r="K347" s="15">
        <f t="shared" si="218"/>
        <v>0</v>
      </c>
      <c r="L347" s="32"/>
      <c r="M347" s="13"/>
      <c r="N347" s="13"/>
      <c r="O347" s="14"/>
      <c r="P347" s="15">
        <f t="shared" si="194"/>
        <v>0</v>
      </c>
      <c r="Q347" s="32"/>
      <c r="R347" s="13"/>
      <c r="S347" s="13"/>
      <c r="T347" s="14"/>
      <c r="U347" s="15">
        <f t="shared" si="195"/>
        <v>0</v>
      </c>
      <c r="V347" s="32"/>
      <c r="W347" s="13"/>
      <c r="X347" s="13"/>
      <c r="Y347" s="14"/>
      <c r="Z347" s="15">
        <f t="shared" si="196"/>
        <v>0</v>
      </c>
      <c r="AA347" s="32"/>
      <c r="AB347" s="13"/>
      <c r="AC347" s="13"/>
      <c r="AD347" s="14"/>
      <c r="AE347" s="15">
        <f t="shared" si="197"/>
        <v>0</v>
      </c>
      <c r="AF347" s="32"/>
      <c r="AG347" s="13"/>
      <c r="AH347" s="13"/>
      <c r="AI347" s="14"/>
      <c r="AJ347" s="15">
        <f t="shared" si="198"/>
        <v>0</v>
      </c>
      <c r="AK347" s="32"/>
      <c r="AL347" s="13"/>
      <c r="AM347" s="13"/>
      <c r="AN347" s="14"/>
      <c r="AO347" s="15">
        <f t="shared" si="199"/>
        <v>0</v>
      </c>
      <c r="AP347" s="32"/>
      <c r="AQ347" s="13"/>
      <c r="AR347" s="13"/>
      <c r="AS347" s="14"/>
      <c r="AT347" s="15">
        <f t="shared" si="200"/>
        <v>0</v>
      </c>
      <c r="AU347" s="32"/>
      <c r="AV347" s="13"/>
      <c r="AW347" s="13"/>
      <c r="AX347" s="14"/>
      <c r="AY347" s="15">
        <f t="shared" si="201"/>
        <v>0</v>
      </c>
      <c r="AZ347" s="32"/>
      <c r="BA347" s="13">
        <v>11</v>
      </c>
      <c r="BB347" s="13"/>
      <c r="BC347" s="14"/>
      <c r="BD347" s="15">
        <f t="shared" si="202"/>
        <v>11</v>
      </c>
      <c r="BE347" s="32"/>
      <c r="BF347" s="13"/>
      <c r="BG347" s="13"/>
      <c r="BH347" s="14"/>
      <c r="BI347" s="15">
        <f t="shared" si="203"/>
        <v>0</v>
      </c>
      <c r="BJ347" s="32"/>
      <c r="BK347" s="13"/>
      <c r="BL347" s="13"/>
      <c r="BM347" s="14"/>
      <c r="BN347" s="15">
        <f t="shared" si="204"/>
        <v>0</v>
      </c>
      <c r="BO347" s="66">
        <f>SUM(G347,L347,Q347,V347,AA347,AF347,AK347,AP347,AU347,AZ347,BE347,BJ347)</f>
        <v>0</v>
      </c>
      <c r="BP347" s="13">
        <f>SUM(H347,M347,R347,W347,AB347,AG347,AL347,AQ347,AV347,BA347,BF347,BK347)</f>
        <v>11</v>
      </c>
      <c r="BQ347" s="13">
        <f>SUM(I347,N347,S347,X347,AC347,AH347,AM347,AR347,AW347,BB347,BG347,BL347)</f>
        <v>0</v>
      </c>
      <c r="BR347" s="14">
        <f>SUM(J347,O347,T347,Y347,AD347,AI347,AN347,AS347,AX347,BC347,BH347,BM347)</f>
        <v>0</v>
      </c>
      <c r="BS347" s="33">
        <f t="shared" si="263"/>
        <v>11</v>
      </c>
    </row>
    <row r="348" spans="2:71" x14ac:dyDescent="0.3">
      <c r="B348" s="264"/>
      <c r="C348" s="223"/>
      <c r="D348" s="224"/>
      <c r="E348" s="211"/>
      <c r="F348" s="121" t="s">
        <v>540</v>
      </c>
      <c r="G348" s="32"/>
      <c r="H348" s="13">
        <v>22</v>
      </c>
      <c r="I348" s="13"/>
      <c r="J348" s="14"/>
      <c r="K348" s="15">
        <f t="shared" si="218"/>
        <v>22</v>
      </c>
      <c r="L348" s="32"/>
      <c r="M348" s="13"/>
      <c r="N348" s="13"/>
      <c r="O348" s="14"/>
      <c r="P348" s="15">
        <f t="shared" ref="P348:P411" si="321">SUM(L348:O348)</f>
        <v>0</v>
      </c>
      <c r="Q348" s="32"/>
      <c r="R348" s="13">
        <v>790</v>
      </c>
      <c r="S348" s="13"/>
      <c r="T348" s="14"/>
      <c r="U348" s="15">
        <f t="shared" ref="U348:U411" si="322">SUM(Q348:T348)</f>
        <v>790</v>
      </c>
      <c r="V348" s="32"/>
      <c r="W348" s="13"/>
      <c r="X348" s="13"/>
      <c r="Y348" s="14"/>
      <c r="Z348" s="15">
        <f t="shared" ref="Z348:Z411" si="323">SUM(V348:Y348)</f>
        <v>0</v>
      </c>
      <c r="AA348" s="32"/>
      <c r="AB348" s="13"/>
      <c r="AC348" s="13"/>
      <c r="AD348" s="14"/>
      <c r="AE348" s="15">
        <f t="shared" ref="AE348:AE411" si="324">SUM(AA348:AD348)</f>
        <v>0</v>
      </c>
      <c r="AF348" s="32"/>
      <c r="AG348" s="13"/>
      <c r="AH348" s="13"/>
      <c r="AI348" s="14"/>
      <c r="AJ348" s="15">
        <f t="shared" ref="AJ348:AJ411" si="325">SUM(AF348:AI348)</f>
        <v>0</v>
      </c>
      <c r="AK348" s="32"/>
      <c r="AL348" s="13"/>
      <c r="AM348" s="13"/>
      <c r="AN348" s="14"/>
      <c r="AO348" s="15">
        <f t="shared" ref="AO348:AO411" si="326">SUM(AK348:AN348)</f>
        <v>0</v>
      </c>
      <c r="AP348" s="32"/>
      <c r="AQ348" s="13"/>
      <c r="AR348" s="13"/>
      <c r="AS348" s="14"/>
      <c r="AT348" s="15">
        <f t="shared" ref="AT348:AT411" si="327">SUM(AP348:AS348)</f>
        <v>0</v>
      </c>
      <c r="AU348" s="32"/>
      <c r="AV348" s="13"/>
      <c r="AW348" s="13"/>
      <c r="AX348" s="14"/>
      <c r="AY348" s="15">
        <f t="shared" ref="AY348:AY411" si="328">SUM(AU348:AX348)</f>
        <v>0</v>
      </c>
      <c r="AZ348" s="32"/>
      <c r="BA348" s="13"/>
      <c r="BB348" s="13"/>
      <c r="BC348" s="14"/>
      <c r="BD348" s="15">
        <f t="shared" ref="BD348:BD411" si="329">SUM(AZ348:BC348)</f>
        <v>0</v>
      </c>
      <c r="BE348" s="32"/>
      <c r="BF348" s="13">
        <f>3374+8</f>
        <v>3382</v>
      </c>
      <c r="BG348" s="13"/>
      <c r="BH348" s="14"/>
      <c r="BI348" s="15">
        <f t="shared" ref="BI348:BI411" si="330">SUM(BE348:BH348)</f>
        <v>3382</v>
      </c>
      <c r="BJ348" s="32"/>
      <c r="BK348" s="13">
        <v>732</v>
      </c>
      <c r="BL348" s="13"/>
      <c r="BM348" s="14"/>
      <c r="BN348" s="15">
        <f t="shared" ref="BN348:BN410" si="331">SUM(BJ348:BM348)</f>
        <v>732</v>
      </c>
      <c r="BO348" s="66">
        <f>SUM(G348,L348,Q348,V348,AA348,AF348,AK348,AP348,AU348,AZ348,BE348,BJ348)</f>
        <v>0</v>
      </c>
      <c r="BP348" s="13">
        <f>SUM(H348,M348,R348,W348,AB348,AG348,AL348,AQ348,AV348,BA348,BF348,BK348)</f>
        <v>4926</v>
      </c>
      <c r="BQ348" s="13">
        <f>SUM(I348,N348,S348,X348,AC348,AH348,AM348,AR348,AW348,BB348,BG348,BL348)</f>
        <v>0</v>
      </c>
      <c r="BR348" s="14">
        <f>SUM(J348,O348,T348,Y348,AD348,AI348,AN348,AS348,AX348,BC348,BH348,BM348)</f>
        <v>0</v>
      </c>
      <c r="BS348" s="33">
        <f t="shared" ref="BS348" si="332">SUM(BO348:BR348)</f>
        <v>4926</v>
      </c>
    </row>
    <row r="349" spans="2:71" x14ac:dyDescent="0.3">
      <c r="B349" s="264"/>
      <c r="C349" s="223"/>
      <c r="D349" s="224"/>
      <c r="E349" s="211"/>
      <c r="F349" s="121" t="s">
        <v>541</v>
      </c>
      <c r="G349" s="32"/>
      <c r="H349" s="13"/>
      <c r="I349" s="13"/>
      <c r="J349" s="14"/>
      <c r="K349" s="15">
        <f t="shared" si="218"/>
        <v>0</v>
      </c>
      <c r="L349" s="32"/>
      <c r="M349" s="13"/>
      <c r="N349" s="13"/>
      <c r="O349" s="14"/>
      <c r="P349" s="15">
        <f t="shared" si="321"/>
        <v>0</v>
      </c>
      <c r="Q349" s="32"/>
      <c r="R349" s="13"/>
      <c r="S349" s="13"/>
      <c r="T349" s="14"/>
      <c r="U349" s="15">
        <f t="shared" si="322"/>
        <v>0</v>
      </c>
      <c r="V349" s="32"/>
      <c r="W349" s="13"/>
      <c r="X349" s="13"/>
      <c r="Y349" s="14"/>
      <c r="Z349" s="15">
        <f t="shared" si="323"/>
        <v>0</v>
      </c>
      <c r="AA349" s="32"/>
      <c r="AB349" s="13">
        <v>1166</v>
      </c>
      <c r="AC349" s="13"/>
      <c r="AD349" s="14"/>
      <c r="AE349" s="15">
        <f t="shared" si="324"/>
        <v>1166</v>
      </c>
      <c r="AF349" s="32"/>
      <c r="AG349" s="13">
        <v>469</v>
      </c>
      <c r="AH349" s="13"/>
      <c r="AI349" s="14"/>
      <c r="AJ349" s="15">
        <f t="shared" si="325"/>
        <v>469</v>
      </c>
      <c r="AK349" s="32"/>
      <c r="AL349" s="13"/>
      <c r="AM349" s="13"/>
      <c r="AN349" s="14"/>
      <c r="AO349" s="15">
        <f t="shared" si="326"/>
        <v>0</v>
      </c>
      <c r="AP349" s="32"/>
      <c r="AQ349" s="13"/>
      <c r="AR349" s="13"/>
      <c r="AS349" s="14"/>
      <c r="AT349" s="15">
        <f t="shared" si="327"/>
        <v>0</v>
      </c>
      <c r="AU349" s="32"/>
      <c r="AV349" s="13">
        <v>456</v>
      </c>
      <c r="AW349" s="13"/>
      <c r="AX349" s="14"/>
      <c r="AY349" s="15">
        <f t="shared" si="328"/>
        <v>456</v>
      </c>
      <c r="AZ349" s="32"/>
      <c r="BA349" s="13">
        <v>1413</v>
      </c>
      <c r="BB349" s="13"/>
      <c r="BC349" s="14"/>
      <c r="BD349" s="15">
        <f t="shared" si="329"/>
        <v>1413</v>
      </c>
      <c r="BE349" s="32"/>
      <c r="BF349" s="13"/>
      <c r="BG349" s="13"/>
      <c r="BH349" s="14"/>
      <c r="BI349" s="15">
        <f t="shared" si="330"/>
        <v>0</v>
      </c>
      <c r="BJ349" s="32"/>
      <c r="BK349" s="13"/>
      <c r="BL349" s="13"/>
      <c r="BM349" s="14"/>
      <c r="BN349" s="15">
        <f t="shared" si="331"/>
        <v>0</v>
      </c>
      <c r="BO349" s="66">
        <f>SUM(G349,L349,Q349,V349,AA349,AF349,AK349,AP349,AU349,AZ349,BE349,BJ349)</f>
        <v>0</v>
      </c>
      <c r="BP349" s="13">
        <f>SUM(H349,M349,R349,W349,AB349,AG349,AL349,AQ349,AV349,BA349,BF349,BK349)</f>
        <v>3504</v>
      </c>
      <c r="BQ349" s="13">
        <f>SUM(I349,N349,S349,X349,AC349,AH349,AM349,AR349,AW349,BB349,BG349,BL349)</f>
        <v>0</v>
      </c>
      <c r="BR349" s="14">
        <f>SUM(J349,O349,T349,Y349,AD349,AI349,AN349,AS349,AX349,BC349,BH349,BM349)</f>
        <v>0</v>
      </c>
      <c r="BS349" s="33">
        <f t="shared" si="263"/>
        <v>3504</v>
      </c>
    </row>
    <row r="350" spans="2:71" x14ac:dyDescent="0.3">
      <c r="B350" s="264"/>
      <c r="C350" s="223"/>
      <c r="D350" s="224"/>
      <c r="E350" s="211"/>
      <c r="F350" s="121" t="s">
        <v>542</v>
      </c>
      <c r="G350" s="32"/>
      <c r="H350" s="13"/>
      <c r="I350" s="13"/>
      <c r="J350" s="14"/>
      <c r="K350" s="15">
        <f t="shared" ref="K350" si="333">SUM(G350:J350)</f>
        <v>0</v>
      </c>
      <c r="L350" s="32"/>
      <c r="M350" s="13"/>
      <c r="N350" s="13"/>
      <c r="O350" s="14"/>
      <c r="P350" s="15">
        <f t="shared" ref="P350" si="334">SUM(L350:O350)</f>
        <v>0</v>
      </c>
      <c r="Q350" s="32"/>
      <c r="R350" s="13"/>
      <c r="S350" s="13"/>
      <c r="T350" s="14"/>
      <c r="U350" s="15">
        <f t="shared" ref="U350" si="335">SUM(Q350:T350)</f>
        <v>0</v>
      </c>
      <c r="V350" s="32"/>
      <c r="W350" s="13"/>
      <c r="X350" s="13"/>
      <c r="Y350" s="14"/>
      <c r="Z350" s="15">
        <f t="shared" ref="Z350" si="336">SUM(V350:Y350)</f>
        <v>0</v>
      </c>
      <c r="AA350" s="32"/>
      <c r="AB350" s="13"/>
      <c r="AC350" s="13"/>
      <c r="AD350" s="14"/>
      <c r="AE350" s="15">
        <f t="shared" ref="AE350" si="337">SUM(AA350:AD350)</f>
        <v>0</v>
      </c>
      <c r="AF350" s="32"/>
      <c r="AG350" s="13"/>
      <c r="AH350" s="13"/>
      <c r="AI350" s="14"/>
      <c r="AJ350" s="15">
        <f t="shared" ref="AJ350" si="338">SUM(AF350:AI350)</f>
        <v>0</v>
      </c>
      <c r="AK350" s="32"/>
      <c r="AL350" s="13"/>
      <c r="AM350" s="13"/>
      <c r="AN350" s="14"/>
      <c r="AO350" s="15">
        <f t="shared" ref="AO350" si="339">SUM(AK350:AN350)</f>
        <v>0</v>
      </c>
      <c r="AP350" s="32"/>
      <c r="AQ350" s="13"/>
      <c r="AR350" s="13"/>
      <c r="AS350" s="14"/>
      <c r="AT350" s="15">
        <f t="shared" ref="AT350" si="340">SUM(AP350:AS350)</f>
        <v>0</v>
      </c>
      <c r="AU350" s="32"/>
      <c r="AV350" s="13"/>
      <c r="AW350" s="13"/>
      <c r="AX350" s="14"/>
      <c r="AY350" s="15">
        <f t="shared" ref="AY350" si="341">SUM(AU350:AX350)</f>
        <v>0</v>
      </c>
      <c r="AZ350" s="32"/>
      <c r="BA350" s="13"/>
      <c r="BB350" s="13"/>
      <c r="BC350" s="14"/>
      <c r="BD350" s="15">
        <f t="shared" ref="BD350" si="342">SUM(AZ350:BC350)</f>
        <v>0</v>
      </c>
      <c r="BE350" s="32"/>
      <c r="BF350" s="13">
        <v>280</v>
      </c>
      <c r="BG350" s="13"/>
      <c r="BH350" s="14"/>
      <c r="BI350" s="15">
        <f t="shared" ref="BI350" si="343">SUM(BE350:BH350)</f>
        <v>280</v>
      </c>
      <c r="BJ350" s="32"/>
      <c r="BK350" s="13">
        <v>56</v>
      </c>
      <c r="BL350" s="13"/>
      <c r="BM350" s="14"/>
      <c r="BN350" s="15">
        <f t="shared" si="331"/>
        <v>56</v>
      </c>
      <c r="BO350" s="66">
        <f>SUM(G350,L350,Q350,V350,AA350,AF350,AK350,AP350,AU350,AZ350,BE350,BJ350)</f>
        <v>0</v>
      </c>
      <c r="BP350" s="13">
        <f>SUM(H350,M350,R350,W350,AB350,AG350,AL350,AQ350,AV350,BA350,BF350,BK350)</f>
        <v>336</v>
      </c>
      <c r="BQ350" s="13">
        <f>SUM(I350,N350,S350,X350,AC350,AH350,AM350,AR350,AW350,BB350,BG350,BL350)</f>
        <v>0</v>
      </c>
      <c r="BR350" s="14">
        <f>SUM(J350,O350,T350,Y350,AD350,AI350,AN350,AS350,AX350,BC350,BH350,BM350)</f>
        <v>0</v>
      </c>
      <c r="BS350" s="33">
        <f t="shared" si="263"/>
        <v>336</v>
      </c>
    </row>
    <row r="351" spans="2:71" x14ac:dyDescent="0.3">
      <c r="B351" s="264"/>
      <c r="C351" s="223"/>
      <c r="D351" s="224"/>
      <c r="E351" s="211"/>
      <c r="F351" s="121" t="s">
        <v>190</v>
      </c>
      <c r="G351" s="32"/>
      <c r="H351" s="13"/>
      <c r="I351" s="13"/>
      <c r="J351" s="14"/>
      <c r="K351" s="15">
        <f t="shared" ref="K351:K353" si="344">SUM(G351:J351)</f>
        <v>0</v>
      </c>
      <c r="L351" s="32"/>
      <c r="M351" s="13"/>
      <c r="N351" s="13"/>
      <c r="O351" s="14"/>
      <c r="P351" s="15">
        <f t="shared" si="321"/>
        <v>0</v>
      </c>
      <c r="Q351" s="32"/>
      <c r="R351" s="13"/>
      <c r="S351" s="13"/>
      <c r="T351" s="14"/>
      <c r="U351" s="15">
        <f t="shared" si="322"/>
        <v>0</v>
      </c>
      <c r="V351" s="32"/>
      <c r="W351" s="13"/>
      <c r="X351" s="13"/>
      <c r="Y351" s="14"/>
      <c r="Z351" s="15">
        <f t="shared" si="323"/>
        <v>0</v>
      </c>
      <c r="AA351" s="32"/>
      <c r="AB351" s="13"/>
      <c r="AC351" s="13"/>
      <c r="AD351" s="14"/>
      <c r="AE351" s="15">
        <f t="shared" si="324"/>
        <v>0</v>
      </c>
      <c r="AF351" s="32"/>
      <c r="AG351" s="13"/>
      <c r="AH351" s="13"/>
      <c r="AI351" s="14"/>
      <c r="AJ351" s="15">
        <f t="shared" si="325"/>
        <v>0</v>
      </c>
      <c r="AK351" s="32"/>
      <c r="AL351" s="13"/>
      <c r="AM351" s="13"/>
      <c r="AN351" s="14"/>
      <c r="AO351" s="15">
        <f t="shared" si="326"/>
        <v>0</v>
      </c>
      <c r="AP351" s="32"/>
      <c r="AQ351" s="13"/>
      <c r="AR351" s="13"/>
      <c r="AS351" s="14"/>
      <c r="AT351" s="15">
        <f t="shared" si="327"/>
        <v>0</v>
      </c>
      <c r="AU351" s="32"/>
      <c r="AV351" s="13"/>
      <c r="AW351" s="13"/>
      <c r="AX351" s="14"/>
      <c r="AY351" s="15">
        <f t="shared" si="328"/>
        <v>0</v>
      </c>
      <c r="AZ351" s="32"/>
      <c r="BA351" s="13">
        <v>19</v>
      </c>
      <c r="BB351" s="13"/>
      <c r="BC351" s="14"/>
      <c r="BD351" s="15">
        <f t="shared" si="329"/>
        <v>19</v>
      </c>
      <c r="BE351" s="32"/>
      <c r="BF351" s="13"/>
      <c r="BG351" s="13"/>
      <c r="BH351" s="14"/>
      <c r="BI351" s="15">
        <f t="shared" si="330"/>
        <v>0</v>
      </c>
      <c r="BJ351" s="32"/>
      <c r="BK351" s="13"/>
      <c r="BL351" s="13"/>
      <c r="BM351" s="14"/>
      <c r="BN351" s="15">
        <f t="shared" si="331"/>
        <v>0</v>
      </c>
      <c r="BO351" s="66">
        <f>SUM(G351,L351,Q351,V351,AA351,AF351,AK351,AP351,AU351,AZ351,BE351,BJ351)</f>
        <v>0</v>
      </c>
      <c r="BP351" s="13">
        <f>SUM(H351,M351,R351,W351,AB351,AG351,AL351,AQ351,AV351,BA351,BF351,BK351)</f>
        <v>19</v>
      </c>
      <c r="BQ351" s="13">
        <f>SUM(I351,N351,S351,X351,AC351,AH351,AM351,AR351,AW351,BB351,BG351,BL351)</f>
        <v>0</v>
      </c>
      <c r="BR351" s="14">
        <f>SUM(J351,O351,T351,Y351,AD351,AI351,AN351,AS351,AX351,BC351,BH351,BM351)</f>
        <v>0</v>
      </c>
      <c r="BS351" s="33">
        <f t="shared" si="263"/>
        <v>19</v>
      </c>
    </row>
    <row r="352" spans="2:71" x14ac:dyDescent="0.3">
      <c r="B352" s="264"/>
      <c r="C352" s="223"/>
      <c r="D352" s="224"/>
      <c r="E352" s="211"/>
      <c r="F352" s="121" t="s">
        <v>191</v>
      </c>
      <c r="G352" s="32"/>
      <c r="H352" s="13">
        <v>16</v>
      </c>
      <c r="I352" s="13"/>
      <c r="J352" s="14"/>
      <c r="K352" s="15">
        <f t="shared" si="344"/>
        <v>16</v>
      </c>
      <c r="L352" s="32"/>
      <c r="M352" s="13"/>
      <c r="N352" s="13"/>
      <c r="O352" s="14"/>
      <c r="P352" s="15">
        <f t="shared" si="321"/>
        <v>0</v>
      </c>
      <c r="Q352" s="32"/>
      <c r="R352" s="13">
        <v>4</v>
      </c>
      <c r="S352" s="13"/>
      <c r="T352" s="14"/>
      <c r="U352" s="15">
        <f t="shared" si="322"/>
        <v>4</v>
      </c>
      <c r="V352" s="32"/>
      <c r="W352" s="13">
        <v>983</v>
      </c>
      <c r="X352" s="13"/>
      <c r="Y352" s="14"/>
      <c r="Z352" s="15">
        <f t="shared" si="323"/>
        <v>983</v>
      </c>
      <c r="AA352" s="32"/>
      <c r="AB352" s="13">
        <v>2625</v>
      </c>
      <c r="AC352" s="13"/>
      <c r="AD352" s="14"/>
      <c r="AE352" s="15">
        <f t="shared" si="324"/>
        <v>2625</v>
      </c>
      <c r="AF352" s="32"/>
      <c r="AG352" s="13">
        <v>260</v>
      </c>
      <c r="AH352" s="13"/>
      <c r="AI352" s="14"/>
      <c r="AJ352" s="15">
        <f t="shared" si="325"/>
        <v>260</v>
      </c>
      <c r="AK352" s="32"/>
      <c r="AL352" s="13">
        <v>40</v>
      </c>
      <c r="AM352" s="13"/>
      <c r="AN352" s="14"/>
      <c r="AO352" s="15">
        <f t="shared" si="326"/>
        <v>40</v>
      </c>
      <c r="AP352" s="32"/>
      <c r="AQ352" s="13"/>
      <c r="AR352" s="13"/>
      <c r="AS352" s="14"/>
      <c r="AT352" s="15">
        <f t="shared" si="327"/>
        <v>0</v>
      </c>
      <c r="AU352" s="32"/>
      <c r="AV352" s="13">
        <v>564</v>
      </c>
      <c r="AW352" s="13"/>
      <c r="AX352" s="14"/>
      <c r="AY352" s="15">
        <f t="shared" si="328"/>
        <v>564</v>
      </c>
      <c r="AZ352" s="32"/>
      <c r="BA352" s="13">
        <v>1945</v>
      </c>
      <c r="BB352" s="13"/>
      <c r="BC352" s="14"/>
      <c r="BD352" s="15">
        <f t="shared" si="329"/>
        <v>1945</v>
      </c>
      <c r="BE352" s="32"/>
      <c r="BF352" s="13">
        <v>392</v>
      </c>
      <c r="BG352" s="13"/>
      <c r="BH352" s="14"/>
      <c r="BI352" s="15">
        <f t="shared" si="330"/>
        <v>392</v>
      </c>
      <c r="BJ352" s="32"/>
      <c r="BK352" s="13">
        <v>18</v>
      </c>
      <c r="BL352" s="13"/>
      <c r="BM352" s="14"/>
      <c r="BN352" s="15">
        <f t="shared" si="331"/>
        <v>18</v>
      </c>
      <c r="BO352" s="66">
        <f>SUM(G352,L352,Q352,V352,AA352,AF352,AK352,AP352,AU352,AZ352,BE352,BJ352)</f>
        <v>0</v>
      </c>
      <c r="BP352" s="13">
        <f>SUM(H352,M352,R352,W352,AB352,AG352,AL352,AQ352,AV352,BA352,BF352,BK352)</f>
        <v>6847</v>
      </c>
      <c r="BQ352" s="13">
        <f>SUM(I352,N352,S352,X352,AC352,AH352,AM352,AR352,AW352,BB352,BG352,BL352)</f>
        <v>0</v>
      </c>
      <c r="BR352" s="14">
        <f>SUM(J352,O352,T352,Y352,AD352,AI352,AN352,AS352,AX352,BC352,BH352,BM352)</f>
        <v>0</v>
      </c>
      <c r="BS352" s="33">
        <f t="shared" si="263"/>
        <v>6847</v>
      </c>
    </row>
    <row r="353" spans="2:71" x14ac:dyDescent="0.3">
      <c r="B353" s="264"/>
      <c r="C353" s="223"/>
      <c r="D353" s="224"/>
      <c r="E353" s="211"/>
      <c r="F353" s="121" t="s">
        <v>192</v>
      </c>
      <c r="G353" s="32"/>
      <c r="H353" s="13">
        <v>891</v>
      </c>
      <c r="I353" s="13"/>
      <c r="J353" s="14"/>
      <c r="K353" s="15">
        <f t="shared" si="344"/>
        <v>891</v>
      </c>
      <c r="L353" s="32"/>
      <c r="M353" s="13"/>
      <c r="N353" s="13"/>
      <c r="O353" s="14"/>
      <c r="P353" s="15">
        <f t="shared" si="321"/>
        <v>0</v>
      </c>
      <c r="Q353" s="32"/>
      <c r="R353" s="13"/>
      <c r="S353" s="13"/>
      <c r="T353" s="14"/>
      <c r="U353" s="15">
        <f t="shared" si="322"/>
        <v>0</v>
      </c>
      <c r="V353" s="32"/>
      <c r="W353" s="13"/>
      <c r="X353" s="13"/>
      <c r="Y353" s="14"/>
      <c r="Z353" s="15">
        <f t="shared" si="323"/>
        <v>0</v>
      </c>
      <c r="AA353" s="32"/>
      <c r="AB353" s="13">
        <v>1267</v>
      </c>
      <c r="AC353" s="13"/>
      <c r="AD353" s="14"/>
      <c r="AE353" s="15">
        <f t="shared" si="324"/>
        <v>1267</v>
      </c>
      <c r="AF353" s="32"/>
      <c r="AG353" s="13"/>
      <c r="AH353" s="13"/>
      <c r="AI353" s="14"/>
      <c r="AJ353" s="15">
        <f t="shared" si="325"/>
        <v>0</v>
      </c>
      <c r="AK353" s="32"/>
      <c r="AL353" s="13"/>
      <c r="AM353" s="13"/>
      <c r="AN353" s="14"/>
      <c r="AO353" s="15">
        <f t="shared" si="326"/>
        <v>0</v>
      </c>
      <c r="AP353" s="32"/>
      <c r="AQ353" s="13"/>
      <c r="AR353" s="13"/>
      <c r="AS353" s="14"/>
      <c r="AT353" s="15">
        <f t="shared" si="327"/>
        <v>0</v>
      </c>
      <c r="AU353" s="32"/>
      <c r="AV353" s="13"/>
      <c r="AW353" s="13"/>
      <c r="AX353" s="14"/>
      <c r="AY353" s="15">
        <f t="shared" si="328"/>
        <v>0</v>
      </c>
      <c r="AZ353" s="32"/>
      <c r="BA353" s="13">
        <v>15359</v>
      </c>
      <c r="BB353" s="13"/>
      <c r="BC353" s="14"/>
      <c r="BD353" s="15">
        <f t="shared" si="329"/>
        <v>15359</v>
      </c>
      <c r="BE353" s="32"/>
      <c r="BF353" s="13">
        <v>531</v>
      </c>
      <c r="BG353" s="13"/>
      <c r="BH353" s="14"/>
      <c r="BI353" s="15">
        <f t="shared" si="330"/>
        <v>531</v>
      </c>
      <c r="BJ353" s="32"/>
      <c r="BK353" s="13"/>
      <c r="BL353" s="13"/>
      <c r="BM353" s="14"/>
      <c r="BN353" s="15">
        <f t="shared" si="331"/>
        <v>0</v>
      </c>
      <c r="BO353" s="66">
        <f>SUM(G353,L353,Q353,V353,AA353,AF353,AK353,AP353,AU353,AZ353,BE353,BJ353)</f>
        <v>0</v>
      </c>
      <c r="BP353" s="13">
        <f>SUM(H353,M353,R353,W353,AB353,AG353,AL353,AQ353,AV353,BA353,BF353,BK353)</f>
        <v>18048</v>
      </c>
      <c r="BQ353" s="13">
        <f>SUM(I353,N353,S353,X353,AC353,AH353,AM353,AR353,AW353,BB353,BG353,BL353)</f>
        <v>0</v>
      </c>
      <c r="BR353" s="14">
        <f>SUM(J353,O353,T353,Y353,AD353,AI353,AN353,AS353,AX353,BC353,BH353,BM353)</f>
        <v>0</v>
      </c>
      <c r="BS353" s="33">
        <f t="shared" si="263"/>
        <v>18048</v>
      </c>
    </row>
    <row r="354" spans="2:71" x14ac:dyDescent="0.3">
      <c r="B354" s="264"/>
      <c r="C354" s="223"/>
      <c r="D354" s="224"/>
      <c r="E354" s="211"/>
      <c r="F354" s="132" t="s">
        <v>186</v>
      </c>
      <c r="G354" s="44"/>
      <c r="H354" s="45"/>
      <c r="I354" s="45"/>
      <c r="J354" s="46"/>
      <c r="K354" s="47">
        <f t="shared" si="218"/>
        <v>0</v>
      </c>
      <c r="L354" s="44"/>
      <c r="M354" s="45"/>
      <c r="N354" s="45"/>
      <c r="O354" s="46"/>
      <c r="P354" s="47">
        <f t="shared" si="321"/>
        <v>0</v>
      </c>
      <c r="Q354" s="44"/>
      <c r="R354" s="45">
        <v>13</v>
      </c>
      <c r="S354" s="45"/>
      <c r="T354" s="46"/>
      <c r="U354" s="47">
        <f t="shared" si="322"/>
        <v>13</v>
      </c>
      <c r="V354" s="44"/>
      <c r="W354" s="45">
        <v>208</v>
      </c>
      <c r="X354" s="45"/>
      <c r="Y354" s="46"/>
      <c r="Z354" s="47">
        <f t="shared" si="323"/>
        <v>208</v>
      </c>
      <c r="AA354" s="44"/>
      <c r="AB354" s="45">
        <v>1685</v>
      </c>
      <c r="AC354" s="45"/>
      <c r="AD354" s="46"/>
      <c r="AE354" s="47">
        <f t="shared" si="324"/>
        <v>1685</v>
      </c>
      <c r="AF354" s="44"/>
      <c r="AG354" s="45">
        <v>457</v>
      </c>
      <c r="AH354" s="45"/>
      <c r="AI354" s="46"/>
      <c r="AJ354" s="47">
        <f t="shared" si="325"/>
        <v>457</v>
      </c>
      <c r="AK354" s="44"/>
      <c r="AL354" s="45"/>
      <c r="AM354" s="45"/>
      <c r="AN354" s="46"/>
      <c r="AO354" s="47">
        <f t="shared" si="326"/>
        <v>0</v>
      </c>
      <c r="AP354" s="44"/>
      <c r="AQ354" s="45">
        <v>10</v>
      </c>
      <c r="AR354" s="45"/>
      <c r="AS354" s="46"/>
      <c r="AT354" s="47">
        <f t="shared" si="327"/>
        <v>10</v>
      </c>
      <c r="AU354" s="44"/>
      <c r="AV354" s="45">
        <v>142</v>
      </c>
      <c r="AW354" s="45"/>
      <c r="AX354" s="46"/>
      <c r="AY354" s="47">
        <f t="shared" si="328"/>
        <v>142</v>
      </c>
      <c r="AZ354" s="44"/>
      <c r="BA354" s="45">
        <v>608</v>
      </c>
      <c r="BB354" s="45"/>
      <c r="BC354" s="46"/>
      <c r="BD354" s="47">
        <f t="shared" si="329"/>
        <v>608</v>
      </c>
      <c r="BE354" s="44"/>
      <c r="BF354" s="45">
        <v>230</v>
      </c>
      <c r="BG354" s="45"/>
      <c r="BH354" s="46"/>
      <c r="BI354" s="47">
        <f t="shared" si="330"/>
        <v>230</v>
      </c>
      <c r="BJ354" s="44"/>
      <c r="BK354" s="45">
        <v>292</v>
      </c>
      <c r="BL354" s="45"/>
      <c r="BM354" s="46"/>
      <c r="BN354" s="47">
        <f t="shared" si="331"/>
        <v>292</v>
      </c>
      <c r="BO354" s="67">
        <f>SUM(G354,L354,Q354,V354,AA354,AF354,AK354,AP354,AU354,AZ354,BE354,BJ354)</f>
        <v>0</v>
      </c>
      <c r="BP354" s="45">
        <f>SUM(H354,M354,R354,W354,AB354,AG354,AL354,AQ354,AV354,BA354,BF354,BK354)</f>
        <v>3645</v>
      </c>
      <c r="BQ354" s="45">
        <f>SUM(I354,N354,S354,X354,AC354,AH354,AM354,AR354,AW354,BB354,BG354,BL354)</f>
        <v>0</v>
      </c>
      <c r="BR354" s="46">
        <f>SUM(J354,O354,T354,Y354,AD354,AI354,AN354,AS354,AX354,BC354,BH354,BM354)</f>
        <v>0</v>
      </c>
      <c r="BS354" s="48">
        <f t="shared" si="263"/>
        <v>3645</v>
      </c>
    </row>
    <row r="355" spans="2:71" x14ac:dyDescent="0.3">
      <c r="B355" s="264"/>
      <c r="C355" s="223"/>
      <c r="D355" s="224"/>
      <c r="E355" s="165" t="s">
        <v>5</v>
      </c>
      <c r="F355" s="146" t="s">
        <v>135</v>
      </c>
      <c r="G355" s="153"/>
      <c r="H355" s="154"/>
      <c r="I355" s="154"/>
      <c r="J355" s="155"/>
      <c r="K355" s="156">
        <f t="shared" si="218"/>
        <v>0</v>
      </c>
      <c r="L355" s="153"/>
      <c r="M355" s="154"/>
      <c r="N355" s="154"/>
      <c r="O355" s="155"/>
      <c r="P355" s="156">
        <f t="shared" si="321"/>
        <v>0</v>
      </c>
      <c r="Q355" s="153"/>
      <c r="R355" s="154">
        <v>356</v>
      </c>
      <c r="S355" s="154"/>
      <c r="T355" s="155"/>
      <c r="U355" s="156">
        <f t="shared" si="322"/>
        <v>356</v>
      </c>
      <c r="V355" s="153"/>
      <c r="W355" s="154"/>
      <c r="X355" s="154"/>
      <c r="Y355" s="155"/>
      <c r="Z355" s="156">
        <f t="shared" si="323"/>
        <v>0</v>
      </c>
      <c r="AA355" s="153"/>
      <c r="AB355" s="154">
        <v>1260</v>
      </c>
      <c r="AC355" s="154"/>
      <c r="AD355" s="155"/>
      <c r="AE355" s="156">
        <f t="shared" si="324"/>
        <v>1260</v>
      </c>
      <c r="AF355" s="153"/>
      <c r="AG355" s="154"/>
      <c r="AH355" s="154"/>
      <c r="AI355" s="155"/>
      <c r="AJ355" s="156">
        <f t="shared" si="325"/>
        <v>0</v>
      </c>
      <c r="AK355" s="153"/>
      <c r="AL355" s="154"/>
      <c r="AM355" s="154"/>
      <c r="AN355" s="155"/>
      <c r="AO355" s="156">
        <f t="shared" si="326"/>
        <v>0</v>
      </c>
      <c r="AP355" s="153"/>
      <c r="AQ355" s="154"/>
      <c r="AR355" s="154"/>
      <c r="AS355" s="155"/>
      <c r="AT355" s="156">
        <f t="shared" si="327"/>
        <v>0</v>
      </c>
      <c r="AU355" s="153"/>
      <c r="AV355" s="154">
        <v>231</v>
      </c>
      <c r="AW355" s="154"/>
      <c r="AX355" s="155"/>
      <c r="AY355" s="156">
        <f t="shared" si="328"/>
        <v>231</v>
      </c>
      <c r="AZ355" s="153"/>
      <c r="BA355" s="154">
        <v>134</v>
      </c>
      <c r="BB355" s="154"/>
      <c r="BC355" s="155"/>
      <c r="BD355" s="156">
        <f t="shared" si="329"/>
        <v>134</v>
      </c>
      <c r="BE355" s="153"/>
      <c r="BF355" s="154"/>
      <c r="BG355" s="154"/>
      <c r="BH355" s="155"/>
      <c r="BI355" s="156">
        <f t="shared" si="330"/>
        <v>0</v>
      </c>
      <c r="BJ355" s="153"/>
      <c r="BK355" s="154"/>
      <c r="BL355" s="154"/>
      <c r="BM355" s="155"/>
      <c r="BN355" s="156">
        <f t="shared" si="331"/>
        <v>0</v>
      </c>
      <c r="BO355" s="158">
        <f>SUM(G355,L355,Q355,V355,AA355,AF355,AK355,AP355,AU355,AZ355,BE355,BJ355)</f>
        <v>0</v>
      </c>
      <c r="BP355" s="154">
        <f>SUM(H355,M355,R355,W355,AB355,AG355,AL355,AQ355,AV355,BA355,BF355,BK355)</f>
        <v>1981</v>
      </c>
      <c r="BQ355" s="154">
        <f>SUM(I355,N355,S355,X355,AC355,AH355,AM355,AR355,AW355,BB355,BG355,BL355)</f>
        <v>0</v>
      </c>
      <c r="BR355" s="155">
        <f>SUM(J355,O355,T355,Y355,AD355,AI355,AN355,AS355,AX355,BC355,BH355,BM355)</f>
        <v>0</v>
      </c>
      <c r="BS355" s="157">
        <f t="shared" si="263"/>
        <v>1981</v>
      </c>
    </row>
    <row r="356" spans="2:71" x14ac:dyDescent="0.3">
      <c r="B356" s="264"/>
      <c r="C356" s="225"/>
      <c r="D356" s="226"/>
      <c r="E356" s="115"/>
      <c r="F356" s="115" t="s">
        <v>4</v>
      </c>
      <c r="G356" s="159">
        <f>SUM(G339:G355)</f>
        <v>0</v>
      </c>
      <c r="H356" s="160">
        <f>SUM(H339:H355)</f>
        <v>929</v>
      </c>
      <c r="I356" s="160">
        <f>SUM(I339:I355)</f>
        <v>185</v>
      </c>
      <c r="J356" s="161">
        <f>SUM(J339:J355)</f>
        <v>0</v>
      </c>
      <c r="K356" s="162">
        <f t="shared" si="218"/>
        <v>1114</v>
      </c>
      <c r="L356" s="159">
        <f>SUM(L339:L355)</f>
        <v>0</v>
      </c>
      <c r="M356" s="160">
        <f>SUM(M339:M355)</f>
        <v>0</v>
      </c>
      <c r="N356" s="160">
        <f>SUM(N339:N355)</f>
        <v>8</v>
      </c>
      <c r="O356" s="161">
        <f>SUM(O339:O355)</f>
        <v>0</v>
      </c>
      <c r="P356" s="162">
        <f t="shared" si="321"/>
        <v>8</v>
      </c>
      <c r="Q356" s="159">
        <f>SUM(Q339:Q355)</f>
        <v>0</v>
      </c>
      <c r="R356" s="160">
        <f>SUM(R339:R355)</f>
        <v>1163</v>
      </c>
      <c r="S356" s="160">
        <f>SUM(S339:S355)</f>
        <v>0</v>
      </c>
      <c r="T356" s="161">
        <f>SUM(T339:T355)</f>
        <v>0</v>
      </c>
      <c r="U356" s="162">
        <f t="shared" si="322"/>
        <v>1163</v>
      </c>
      <c r="V356" s="159">
        <f>SUM(V339:V355)</f>
        <v>0</v>
      </c>
      <c r="W356" s="160">
        <f>SUM(W339:W355)</f>
        <v>12257</v>
      </c>
      <c r="X356" s="160">
        <f>SUM(X339:X355)</f>
        <v>7320</v>
      </c>
      <c r="Y356" s="161">
        <f>SUM(Y339:Y355)</f>
        <v>0</v>
      </c>
      <c r="Z356" s="162">
        <f t="shared" si="323"/>
        <v>19577</v>
      </c>
      <c r="AA356" s="159">
        <f>SUM(AA339:AA355)</f>
        <v>0</v>
      </c>
      <c r="AB356" s="160">
        <f>SUM(AB339:AB355)</f>
        <v>36696</v>
      </c>
      <c r="AC356" s="160">
        <f>SUM(AC339:AC355)</f>
        <v>9469</v>
      </c>
      <c r="AD356" s="161">
        <f>SUM(AD339:AD355)</f>
        <v>0</v>
      </c>
      <c r="AE356" s="162">
        <f t="shared" si="324"/>
        <v>46165</v>
      </c>
      <c r="AF356" s="159">
        <f>SUM(AF339:AF355)</f>
        <v>0</v>
      </c>
      <c r="AG356" s="160">
        <f>SUM(AG339:AG355)</f>
        <v>3529</v>
      </c>
      <c r="AH356" s="160">
        <f>SUM(AH339:AH355)</f>
        <v>1691</v>
      </c>
      <c r="AI356" s="161">
        <f>SUM(AI339:AI355)</f>
        <v>0</v>
      </c>
      <c r="AJ356" s="162">
        <f t="shared" si="325"/>
        <v>5220</v>
      </c>
      <c r="AK356" s="159">
        <f>SUM(AK339:AK355)</f>
        <v>0</v>
      </c>
      <c r="AL356" s="160">
        <f>SUM(AL339:AL355)</f>
        <v>301</v>
      </c>
      <c r="AM356" s="160">
        <f>SUM(AM339:AM355)</f>
        <v>0</v>
      </c>
      <c r="AN356" s="161">
        <f>SUM(AN339:AN355)</f>
        <v>0</v>
      </c>
      <c r="AO356" s="162">
        <f t="shared" si="326"/>
        <v>301</v>
      </c>
      <c r="AP356" s="159">
        <f>SUM(AP339:AP355)</f>
        <v>0</v>
      </c>
      <c r="AQ356" s="160">
        <f>SUM(AQ339:AQ355)</f>
        <v>69</v>
      </c>
      <c r="AR356" s="160">
        <f>SUM(AR339:AR355)</f>
        <v>94</v>
      </c>
      <c r="AS356" s="161">
        <f>SUM(AS339:AS355)</f>
        <v>0</v>
      </c>
      <c r="AT356" s="162">
        <f t="shared" si="327"/>
        <v>163</v>
      </c>
      <c r="AU356" s="159">
        <f>SUM(AU339:AU355)</f>
        <v>0</v>
      </c>
      <c r="AV356" s="160">
        <f>SUM(AV339:AV355)</f>
        <v>8624</v>
      </c>
      <c r="AW356" s="160">
        <f>SUM(AW339:AW355)</f>
        <v>7352</v>
      </c>
      <c r="AX356" s="161">
        <f>SUM(AX339:AX355)</f>
        <v>0</v>
      </c>
      <c r="AY356" s="162">
        <f t="shared" si="328"/>
        <v>15976</v>
      </c>
      <c r="AZ356" s="159">
        <f>SUM(AZ339:AZ355)</f>
        <v>0</v>
      </c>
      <c r="BA356" s="160">
        <f>SUM(BA339:BA355)</f>
        <v>35465</v>
      </c>
      <c r="BB356" s="160">
        <f>SUM(BB339:BB355)</f>
        <v>12593</v>
      </c>
      <c r="BC356" s="161">
        <f>SUM(BC339:BC355)</f>
        <v>0</v>
      </c>
      <c r="BD356" s="162">
        <f t="shared" si="329"/>
        <v>48058</v>
      </c>
      <c r="BE356" s="159">
        <f>SUM(BE339:BE355)</f>
        <v>0</v>
      </c>
      <c r="BF356" s="160">
        <f>SUM(BF339:BF355)</f>
        <v>4815</v>
      </c>
      <c r="BG356" s="160">
        <f>SUM(BG339:BG355)</f>
        <v>1802</v>
      </c>
      <c r="BH356" s="161">
        <f>SUM(BH339:BH355)</f>
        <v>0</v>
      </c>
      <c r="BI356" s="162">
        <f t="shared" si="330"/>
        <v>6617</v>
      </c>
      <c r="BJ356" s="159">
        <f>SUM(BJ339:BJ355)</f>
        <v>0</v>
      </c>
      <c r="BK356" s="160">
        <f>SUM(BK339:BK355)</f>
        <v>1098</v>
      </c>
      <c r="BL356" s="160">
        <f>SUM(BL339:BL355)</f>
        <v>600</v>
      </c>
      <c r="BM356" s="161">
        <f>SUM(BM339:BM355)</f>
        <v>0</v>
      </c>
      <c r="BN356" s="162">
        <f t="shared" si="331"/>
        <v>1698</v>
      </c>
      <c r="BO356" s="164">
        <f>SUM(BO339:BO355)</f>
        <v>0</v>
      </c>
      <c r="BP356" s="160">
        <f>SUM(BP339:BP355)</f>
        <v>104946</v>
      </c>
      <c r="BQ356" s="160">
        <f>SUM(BQ339:BQ355)</f>
        <v>41114</v>
      </c>
      <c r="BR356" s="161">
        <f>SUM(BR339:BR355)</f>
        <v>0</v>
      </c>
      <c r="BS356" s="163">
        <f t="shared" si="263"/>
        <v>146060</v>
      </c>
    </row>
    <row r="357" spans="2:71" x14ac:dyDescent="0.3">
      <c r="B357" s="264"/>
      <c r="C357" s="227" t="s">
        <v>10</v>
      </c>
      <c r="D357" s="228"/>
      <c r="E357" s="210" t="s">
        <v>10</v>
      </c>
      <c r="F357" s="141" t="s">
        <v>543</v>
      </c>
      <c r="G357" s="30"/>
      <c r="H357" s="7"/>
      <c r="I357" s="7"/>
      <c r="J357" s="8">
        <v>2212</v>
      </c>
      <c r="K357" s="9">
        <f t="shared" si="218"/>
        <v>2212</v>
      </c>
      <c r="L357" s="30"/>
      <c r="M357" s="7"/>
      <c r="N357" s="7"/>
      <c r="O357" s="8">
        <v>950</v>
      </c>
      <c r="P357" s="9">
        <f t="shared" si="321"/>
        <v>950</v>
      </c>
      <c r="Q357" s="30"/>
      <c r="R357" s="7"/>
      <c r="S357" s="7"/>
      <c r="T357" s="8"/>
      <c r="U357" s="9">
        <f t="shared" si="322"/>
        <v>0</v>
      </c>
      <c r="V357" s="30"/>
      <c r="W357" s="7"/>
      <c r="X357" s="7"/>
      <c r="Y357" s="8"/>
      <c r="Z357" s="9">
        <f t="shared" si="323"/>
        <v>0</v>
      </c>
      <c r="AA357" s="30"/>
      <c r="AB357" s="7"/>
      <c r="AC357" s="7"/>
      <c r="AD357" s="8"/>
      <c r="AE357" s="9">
        <f t="shared" si="324"/>
        <v>0</v>
      </c>
      <c r="AF357" s="30"/>
      <c r="AG357" s="7"/>
      <c r="AH357" s="7"/>
      <c r="AI357" s="8"/>
      <c r="AJ357" s="9">
        <f t="shared" si="325"/>
        <v>0</v>
      </c>
      <c r="AK357" s="30"/>
      <c r="AL357" s="7"/>
      <c r="AM357" s="7"/>
      <c r="AN357" s="8"/>
      <c r="AO357" s="9">
        <f t="shared" si="326"/>
        <v>0</v>
      </c>
      <c r="AP357" s="30"/>
      <c r="AQ357" s="7"/>
      <c r="AR357" s="7"/>
      <c r="AS357" s="8"/>
      <c r="AT357" s="9">
        <f t="shared" si="327"/>
        <v>0</v>
      </c>
      <c r="AU357" s="30"/>
      <c r="AV357" s="7"/>
      <c r="AW357" s="7"/>
      <c r="AX357" s="8"/>
      <c r="AY357" s="9">
        <f t="shared" si="328"/>
        <v>0</v>
      </c>
      <c r="AZ357" s="30"/>
      <c r="BA357" s="7"/>
      <c r="BB357" s="7"/>
      <c r="BC357" s="8"/>
      <c r="BD357" s="9">
        <f t="shared" si="329"/>
        <v>0</v>
      </c>
      <c r="BE357" s="30"/>
      <c r="BF357" s="7"/>
      <c r="BG357" s="7"/>
      <c r="BH357" s="8"/>
      <c r="BI357" s="9">
        <f t="shared" si="330"/>
        <v>0</v>
      </c>
      <c r="BJ357" s="30"/>
      <c r="BK357" s="7"/>
      <c r="BL357" s="7"/>
      <c r="BM357" s="8"/>
      <c r="BN357" s="9">
        <f t="shared" si="331"/>
        <v>0</v>
      </c>
      <c r="BO357" s="65">
        <f>SUM(G357,L357,Q357,V357,AA357,AF357,AK357,AP357,AU357,AZ357,BE357,BJ357)</f>
        <v>0</v>
      </c>
      <c r="BP357" s="7">
        <f>SUM(H357,M357,R357,W357,AB357,AG357,AL357,AQ357,AV357,BA357,BF357,BK357)</f>
        <v>0</v>
      </c>
      <c r="BQ357" s="7">
        <f>SUM(I357,N357,S357,X357,AC357,AH357,AM357,AR357,AW357,BB357,BG357,BL357)</f>
        <v>0</v>
      </c>
      <c r="BR357" s="8">
        <f>SUM(J357,O357,T357,Y357,AD357,AI357,AN357,AS357,AX357,BC357,BH357,BM357)</f>
        <v>3162</v>
      </c>
      <c r="BS357" s="31">
        <f t="shared" si="263"/>
        <v>3162</v>
      </c>
    </row>
    <row r="358" spans="2:71" x14ac:dyDescent="0.3">
      <c r="B358" s="264"/>
      <c r="C358" s="223"/>
      <c r="D358" s="224"/>
      <c r="E358" s="211"/>
      <c r="F358" s="104" t="s">
        <v>544</v>
      </c>
      <c r="G358" s="34"/>
      <c r="H358" s="16"/>
      <c r="I358" s="16"/>
      <c r="J358" s="17"/>
      <c r="K358" s="18">
        <f t="shared" si="218"/>
        <v>0</v>
      </c>
      <c r="L358" s="34"/>
      <c r="M358" s="16"/>
      <c r="N358" s="16"/>
      <c r="O358" s="17"/>
      <c r="P358" s="18">
        <f t="shared" si="321"/>
        <v>0</v>
      </c>
      <c r="Q358" s="34"/>
      <c r="R358" s="16"/>
      <c r="S358" s="16"/>
      <c r="T358" s="17">
        <v>61</v>
      </c>
      <c r="U358" s="18">
        <f t="shared" si="322"/>
        <v>61</v>
      </c>
      <c r="V358" s="34"/>
      <c r="W358" s="16"/>
      <c r="X358" s="16"/>
      <c r="Y358" s="17"/>
      <c r="Z358" s="18">
        <f t="shared" si="323"/>
        <v>0</v>
      </c>
      <c r="AA358" s="34"/>
      <c r="AB358" s="16"/>
      <c r="AC358" s="16"/>
      <c r="AD358" s="17"/>
      <c r="AE358" s="18">
        <f t="shared" si="324"/>
        <v>0</v>
      </c>
      <c r="AF358" s="34"/>
      <c r="AG358" s="16"/>
      <c r="AH358" s="16"/>
      <c r="AI358" s="17"/>
      <c r="AJ358" s="18">
        <f t="shared" si="325"/>
        <v>0</v>
      </c>
      <c r="AK358" s="34"/>
      <c r="AL358" s="16"/>
      <c r="AM358" s="16"/>
      <c r="AN358" s="17"/>
      <c r="AO358" s="18">
        <f t="shared" si="326"/>
        <v>0</v>
      </c>
      <c r="AP358" s="34"/>
      <c r="AQ358" s="16"/>
      <c r="AR358" s="16"/>
      <c r="AS358" s="17"/>
      <c r="AT358" s="18">
        <f t="shared" si="327"/>
        <v>0</v>
      </c>
      <c r="AU358" s="34"/>
      <c r="AV358" s="16"/>
      <c r="AW358" s="16"/>
      <c r="AX358" s="17"/>
      <c r="AY358" s="18">
        <f t="shared" si="328"/>
        <v>0</v>
      </c>
      <c r="AZ358" s="34"/>
      <c r="BA358" s="16"/>
      <c r="BB358" s="16"/>
      <c r="BC358" s="17"/>
      <c r="BD358" s="18">
        <f t="shared" si="329"/>
        <v>0</v>
      </c>
      <c r="BE358" s="34"/>
      <c r="BF358" s="16"/>
      <c r="BG358" s="16"/>
      <c r="BH358" s="17">
        <v>2794</v>
      </c>
      <c r="BI358" s="18">
        <f t="shared" si="330"/>
        <v>2794</v>
      </c>
      <c r="BJ358" s="34"/>
      <c r="BK358" s="16"/>
      <c r="BL358" s="16"/>
      <c r="BM358" s="17">
        <v>555</v>
      </c>
      <c r="BN358" s="18">
        <f t="shared" si="331"/>
        <v>555</v>
      </c>
      <c r="BO358" s="70">
        <f>SUM(G358,L358,Q358,V358,AA358,AF358,AK358,AP358,AU358,AZ358,BE358,BJ358)</f>
        <v>0</v>
      </c>
      <c r="BP358" s="16">
        <f>SUM(H358,M358,R358,W358,AB358,AG358,AL358,AQ358,AV358,BA358,BF358,BK358)</f>
        <v>0</v>
      </c>
      <c r="BQ358" s="16">
        <f>SUM(I358,N358,S358,X358,AC358,AH358,AM358,AR358,AW358,BB358,BG358,BL358)</f>
        <v>0</v>
      </c>
      <c r="BR358" s="17">
        <f>SUM(J358,O358,T358,Y358,AD358,AI358,AN358,AS358,AX358,BC358,BH358,BM358)</f>
        <v>3410</v>
      </c>
      <c r="BS358" s="35">
        <f t="shared" si="263"/>
        <v>3410</v>
      </c>
    </row>
    <row r="359" spans="2:71" x14ac:dyDescent="0.3">
      <c r="B359" s="264"/>
      <c r="C359" s="223"/>
      <c r="D359" s="224"/>
      <c r="E359" s="211"/>
      <c r="F359" s="104" t="s">
        <v>545</v>
      </c>
      <c r="G359" s="34"/>
      <c r="H359" s="16"/>
      <c r="I359" s="16"/>
      <c r="J359" s="17"/>
      <c r="K359" s="18">
        <f t="shared" si="218"/>
        <v>0</v>
      </c>
      <c r="L359" s="34"/>
      <c r="M359" s="16"/>
      <c r="N359" s="16"/>
      <c r="O359" s="17"/>
      <c r="P359" s="18">
        <f t="shared" si="321"/>
        <v>0</v>
      </c>
      <c r="Q359" s="34"/>
      <c r="R359" s="16"/>
      <c r="S359" s="16"/>
      <c r="T359" s="17"/>
      <c r="U359" s="18">
        <f t="shared" si="322"/>
        <v>0</v>
      </c>
      <c r="V359" s="34"/>
      <c r="W359" s="16"/>
      <c r="X359" s="16"/>
      <c r="Y359" s="17">
        <v>4097</v>
      </c>
      <c r="Z359" s="18">
        <f t="shared" si="323"/>
        <v>4097</v>
      </c>
      <c r="AA359" s="34"/>
      <c r="AB359" s="16"/>
      <c r="AC359" s="16"/>
      <c r="AD359" s="17">
        <v>5631</v>
      </c>
      <c r="AE359" s="18">
        <f t="shared" si="324"/>
        <v>5631</v>
      </c>
      <c r="AF359" s="34"/>
      <c r="AG359" s="16"/>
      <c r="AH359" s="16"/>
      <c r="AI359" s="17">
        <v>164</v>
      </c>
      <c r="AJ359" s="18">
        <f t="shared" si="325"/>
        <v>164</v>
      </c>
      <c r="AK359" s="34"/>
      <c r="AL359" s="16"/>
      <c r="AM359" s="16"/>
      <c r="AN359" s="17"/>
      <c r="AO359" s="18">
        <f t="shared" si="326"/>
        <v>0</v>
      </c>
      <c r="AP359" s="34"/>
      <c r="AQ359" s="16"/>
      <c r="AR359" s="16"/>
      <c r="AS359" s="17"/>
      <c r="AT359" s="18">
        <f t="shared" si="327"/>
        <v>0</v>
      </c>
      <c r="AU359" s="34"/>
      <c r="AV359" s="16"/>
      <c r="AW359" s="16"/>
      <c r="AX359" s="17">
        <v>3889</v>
      </c>
      <c r="AY359" s="18">
        <f t="shared" si="328"/>
        <v>3889</v>
      </c>
      <c r="AZ359" s="34"/>
      <c r="BA359" s="16"/>
      <c r="BB359" s="16"/>
      <c r="BC359" s="17">
        <v>10854</v>
      </c>
      <c r="BD359" s="18">
        <f t="shared" si="329"/>
        <v>10854</v>
      </c>
      <c r="BE359" s="34"/>
      <c r="BF359" s="16"/>
      <c r="BG359" s="16"/>
      <c r="BH359" s="17"/>
      <c r="BI359" s="18">
        <f t="shared" si="330"/>
        <v>0</v>
      </c>
      <c r="BJ359" s="34"/>
      <c r="BK359" s="16"/>
      <c r="BL359" s="16"/>
      <c r="BM359" s="17"/>
      <c r="BN359" s="18">
        <f t="shared" si="331"/>
        <v>0</v>
      </c>
      <c r="BO359" s="70">
        <f>SUM(G359,L359,Q359,V359,AA359,AF359,AK359,AP359,AU359,AZ359,BE359,BJ359)</f>
        <v>0</v>
      </c>
      <c r="BP359" s="16">
        <f>SUM(H359,M359,R359,W359,AB359,AG359,AL359,AQ359,AV359,BA359,BF359,BK359)</f>
        <v>0</v>
      </c>
      <c r="BQ359" s="16">
        <f>SUM(I359,N359,S359,X359,AC359,AH359,AM359,AR359,AW359,BB359,BG359,BL359)</f>
        <v>0</v>
      </c>
      <c r="BR359" s="17">
        <f>SUM(J359,O359,T359,Y359,AD359,AI359,AN359,AS359,AX359,BC359,BH359,BM359)</f>
        <v>24635</v>
      </c>
      <c r="BS359" s="35">
        <f t="shared" si="263"/>
        <v>24635</v>
      </c>
    </row>
    <row r="360" spans="2:71" x14ac:dyDescent="0.3">
      <c r="B360" s="264"/>
      <c r="C360" s="223"/>
      <c r="D360" s="224"/>
      <c r="E360" s="211"/>
      <c r="F360" s="149" t="s">
        <v>546</v>
      </c>
      <c r="G360" s="34"/>
      <c r="H360" s="16"/>
      <c r="I360" s="16"/>
      <c r="J360" s="17"/>
      <c r="K360" s="18">
        <f t="shared" si="218"/>
        <v>0</v>
      </c>
      <c r="L360" s="34"/>
      <c r="M360" s="16"/>
      <c r="N360" s="16"/>
      <c r="O360" s="17"/>
      <c r="P360" s="18">
        <f t="shared" si="321"/>
        <v>0</v>
      </c>
      <c r="Q360" s="34"/>
      <c r="R360" s="16"/>
      <c r="S360" s="16"/>
      <c r="T360" s="17"/>
      <c r="U360" s="18">
        <f t="shared" si="322"/>
        <v>0</v>
      </c>
      <c r="V360" s="34"/>
      <c r="W360" s="16"/>
      <c r="X360" s="16"/>
      <c r="Y360" s="17"/>
      <c r="Z360" s="18">
        <f t="shared" si="323"/>
        <v>0</v>
      </c>
      <c r="AA360" s="34"/>
      <c r="AB360" s="16"/>
      <c r="AC360" s="16"/>
      <c r="AD360" s="17"/>
      <c r="AE360" s="18">
        <f t="shared" si="324"/>
        <v>0</v>
      </c>
      <c r="AF360" s="34"/>
      <c r="AG360" s="16"/>
      <c r="AH360" s="16"/>
      <c r="AI360" s="17"/>
      <c r="AJ360" s="18">
        <f t="shared" si="325"/>
        <v>0</v>
      </c>
      <c r="AK360" s="34"/>
      <c r="AL360" s="16"/>
      <c r="AM360" s="16"/>
      <c r="AN360" s="17"/>
      <c r="AO360" s="18">
        <f t="shared" si="326"/>
        <v>0</v>
      </c>
      <c r="AP360" s="34"/>
      <c r="AQ360" s="16"/>
      <c r="AR360" s="16"/>
      <c r="AS360" s="17"/>
      <c r="AT360" s="18">
        <f t="shared" si="327"/>
        <v>0</v>
      </c>
      <c r="AU360" s="34"/>
      <c r="AV360" s="16"/>
      <c r="AW360" s="16"/>
      <c r="AX360" s="17">
        <v>16</v>
      </c>
      <c r="AY360" s="18">
        <f t="shared" si="328"/>
        <v>16</v>
      </c>
      <c r="AZ360" s="34"/>
      <c r="BA360" s="16"/>
      <c r="BB360" s="16"/>
      <c r="BC360" s="17"/>
      <c r="BD360" s="18">
        <f t="shared" si="329"/>
        <v>0</v>
      </c>
      <c r="BE360" s="34"/>
      <c r="BF360" s="16"/>
      <c r="BG360" s="16"/>
      <c r="BH360" s="17"/>
      <c r="BI360" s="18">
        <f t="shared" si="330"/>
        <v>0</v>
      </c>
      <c r="BJ360" s="34"/>
      <c r="BK360" s="16"/>
      <c r="BL360" s="16"/>
      <c r="BM360" s="17"/>
      <c r="BN360" s="18">
        <f t="shared" ref="BN360" si="345">SUM(BJ360:BM360)</f>
        <v>0</v>
      </c>
      <c r="BO360" s="70">
        <f>SUM(G360,L360,Q360,V360,AA360,AF360,AK360,AP360,AU360,AZ360,BE360,BJ360)</f>
        <v>0</v>
      </c>
      <c r="BP360" s="16">
        <f>SUM(H360,M360,R360,W360,AB360,AG360,AL360,AQ360,AV360,BA360,BF360,BK360)</f>
        <v>0</v>
      </c>
      <c r="BQ360" s="16">
        <f>SUM(I360,N360,S360,X360,AC360,AH360,AM360,AR360,AW360,BB360,BG360,BL360)</f>
        <v>0</v>
      </c>
      <c r="BR360" s="17">
        <f>SUM(J360,O360,T360,Y360,AD360,AI360,AN360,AS360,AX360,BC360,BH360,BM360)</f>
        <v>16</v>
      </c>
      <c r="BS360" s="35">
        <f t="shared" si="263"/>
        <v>16</v>
      </c>
    </row>
    <row r="361" spans="2:71" x14ac:dyDescent="0.3">
      <c r="B361" s="264"/>
      <c r="C361" s="223"/>
      <c r="D361" s="224"/>
      <c r="E361" s="212"/>
      <c r="F361" s="148" t="s">
        <v>547</v>
      </c>
      <c r="G361" s="36"/>
      <c r="H361" s="10"/>
      <c r="I361" s="10"/>
      <c r="J361" s="11"/>
      <c r="K361" s="12">
        <f t="shared" si="218"/>
        <v>0</v>
      </c>
      <c r="L361" s="36"/>
      <c r="M361" s="10"/>
      <c r="N361" s="10"/>
      <c r="O361" s="11"/>
      <c r="P361" s="12">
        <f t="shared" si="321"/>
        <v>0</v>
      </c>
      <c r="Q361" s="36"/>
      <c r="R361" s="10"/>
      <c r="S361" s="10"/>
      <c r="T361" s="11"/>
      <c r="U361" s="12">
        <f t="shared" si="322"/>
        <v>0</v>
      </c>
      <c r="V361" s="36"/>
      <c r="W361" s="10"/>
      <c r="X361" s="10"/>
      <c r="Y361" s="11"/>
      <c r="Z361" s="12">
        <f t="shared" si="323"/>
        <v>0</v>
      </c>
      <c r="AA361" s="36"/>
      <c r="AB361" s="10"/>
      <c r="AC361" s="10"/>
      <c r="AD361" s="11"/>
      <c r="AE361" s="12">
        <f t="shared" si="324"/>
        <v>0</v>
      </c>
      <c r="AF361" s="36"/>
      <c r="AG361" s="10"/>
      <c r="AH361" s="10"/>
      <c r="AI361" s="11">
        <v>561</v>
      </c>
      <c r="AJ361" s="12">
        <f t="shared" si="325"/>
        <v>561</v>
      </c>
      <c r="AK361" s="36"/>
      <c r="AL361" s="10"/>
      <c r="AM361" s="10"/>
      <c r="AN361" s="11">
        <v>409</v>
      </c>
      <c r="AO361" s="12">
        <f t="shared" si="326"/>
        <v>409</v>
      </c>
      <c r="AP361" s="36"/>
      <c r="AQ361" s="10"/>
      <c r="AR361" s="10"/>
      <c r="AS361" s="11">
        <v>474</v>
      </c>
      <c r="AT361" s="12">
        <f t="shared" si="327"/>
        <v>474</v>
      </c>
      <c r="AU361" s="36"/>
      <c r="AV361" s="10"/>
      <c r="AW361" s="10"/>
      <c r="AX361" s="11"/>
      <c r="AY361" s="12">
        <f t="shared" si="328"/>
        <v>0</v>
      </c>
      <c r="AZ361" s="36"/>
      <c r="BA361" s="10"/>
      <c r="BB361" s="10"/>
      <c r="BC361" s="11"/>
      <c r="BD361" s="12">
        <f t="shared" si="329"/>
        <v>0</v>
      </c>
      <c r="BE361" s="36"/>
      <c r="BF361" s="10"/>
      <c r="BG361" s="10"/>
      <c r="BH361" s="11"/>
      <c r="BI361" s="12">
        <f t="shared" si="330"/>
        <v>0</v>
      </c>
      <c r="BJ361" s="36"/>
      <c r="BK361" s="10"/>
      <c r="BL361" s="10"/>
      <c r="BM361" s="11"/>
      <c r="BN361" s="12">
        <f t="shared" si="331"/>
        <v>0</v>
      </c>
      <c r="BO361" s="71">
        <f>SUM(G361,L361,Q361,V361,AA361,AF361,AK361,AP361,AU361,AZ361,BE361,BJ361)</f>
        <v>0</v>
      </c>
      <c r="BP361" s="10">
        <f>SUM(H361,M361,R361,W361,AB361,AG361,AL361,AQ361,AV361,BA361,BF361,BK361)</f>
        <v>0</v>
      </c>
      <c r="BQ361" s="10">
        <f>SUM(I361,N361,S361,X361,AC361,AH361,AM361,AR361,AW361,BB361,BG361,BL361)</f>
        <v>0</v>
      </c>
      <c r="BR361" s="11">
        <f>SUM(J361,O361,T361,Y361,AD361,AI361,AN361,AS361,AX361,BC361,BH361,BM361)</f>
        <v>1444</v>
      </c>
      <c r="BS361" s="37">
        <f t="shared" si="263"/>
        <v>1444</v>
      </c>
    </row>
    <row r="362" spans="2:71" x14ac:dyDescent="0.3">
      <c r="B362" s="264"/>
      <c r="C362" s="223"/>
      <c r="D362" s="224"/>
      <c r="E362" s="210" t="s">
        <v>92</v>
      </c>
      <c r="F362" s="141" t="s">
        <v>548</v>
      </c>
      <c r="G362" s="30"/>
      <c r="H362" s="7"/>
      <c r="I362" s="7"/>
      <c r="J362" s="8">
        <v>20571</v>
      </c>
      <c r="K362" s="9">
        <f t="shared" si="218"/>
        <v>20571</v>
      </c>
      <c r="L362" s="30"/>
      <c r="M362" s="7"/>
      <c r="N362" s="7"/>
      <c r="O362" s="8">
        <v>12296</v>
      </c>
      <c r="P362" s="9">
        <f t="shared" si="321"/>
        <v>12296</v>
      </c>
      <c r="Q362" s="30"/>
      <c r="R362" s="7"/>
      <c r="S362" s="7"/>
      <c r="T362" s="8"/>
      <c r="U362" s="9">
        <f t="shared" si="322"/>
        <v>0</v>
      </c>
      <c r="V362" s="30"/>
      <c r="W362" s="7"/>
      <c r="X362" s="7"/>
      <c r="Y362" s="8"/>
      <c r="Z362" s="9">
        <f t="shared" si="323"/>
        <v>0</v>
      </c>
      <c r="AA362" s="30"/>
      <c r="AB362" s="7"/>
      <c r="AC362" s="7"/>
      <c r="AD362" s="8"/>
      <c r="AE362" s="9">
        <f t="shared" si="324"/>
        <v>0</v>
      </c>
      <c r="AF362" s="30"/>
      <c r="AG362" s="7"/>
      <c r="AH362" s="7"/>
      <c r="AI362" s="8"/>
      <c r="AJ362" s="9">
        <f t="shared" si="325"/>
        <v>0</v>
      </c>
      <c r="AK362" s="30"/>
      <c r="AL362" s="7"/>
      <c r="AM362" s="7"/>
      <c r="AN362" s="8"/>
      <c r="AO362" s="9">
        <f t="shared" si="326"/>
        <v>0</v>
      </c>
      <c r="AP362" s="30"/>
      <c r="AQ362" s="7"/>
      <c r="AR362" s="7"/>
      <c r="AS362" s="8"/>
      <c r="AT362" s="9">
        <f t="shared" si="327"/>
        <v>0</v>
      </c>
      <c r="AU362" s="30"/>
      <c r="AV362" s="7"/>
      <c r="AW362" s="7"/>
      <c r="AX362" s="8"/>
      <c r="AY362" s="9">
        <f t="shared" si="328"/>
        <v>0</v>
      </c>
      <c r="AZ362" s="30"/>
      <c r="BA362" s="7"/>
      <c r="BB362" s="7"/>
      <c r="BC362" s="8"/>
      <c r="BD362" s="9">
        <f t="shared" si="329"/>
        <v>0</v>
      </c>
      <c r="BE362" s="30"/>
      <c r="BF362" s="7"/>
      <c r="BG362" s="7"/>
      <c r="BH362" s="8"/>
      <c r="BI362" s="9">
        <f t="shared" si="330"/>
        <v>0</v>
      </c>
      <c r="BJ362" s="30"/>
      <c r="BK362" s="7"/>
      <c r="BL362" s="7"/>
      <c r="BM362" s="8"/>
      <c r="BN362" s="9">
        <f t="shared" si="331"/>
        <v>0</v>
      </c>
      <c r="BO362" s="65">
        <f>SUM(G362,L362,Q362,V362,AA362,AF362,AK362,AP362,AU362,AZ362,BE362,BJ362)</f>
        <v>0</v>
      </c>
      <c r="BP362" s="7">
        <f>SUM(H362,M362,R362,W362,AB362,AG362,AL362,AQ362,AV362,BA362,BF362,BK362)</f>
        <v>0</v>
      </c>
      <c r="BQ362" s="7">
        <f>SUM(I362,N362,S362,X362,AC362,AH362,AM362,AR362,AW362,BB362,BG362,BL362)</f>
        <v>0</v>
      </c>
      <c r="BR362" s="8">
        <f>SUM(J362,O362,T362,Y362,AD362,AI362,AN362,AS362,AX362,BC362,BH362,BM362)</f>
        <v>32867</v>
      </c>
      <c r="BS362" s="31">
        <f t="shared" si="263"/>
        <v>32867</v>
      </c>
    </row>
    <row r="363" spans="2:71" x14ac:dyDescent="0.3">
      <c r="B363" s="264"/>
      <c r="C363" s="223"/>
      <c r="D363" s="224"/>
      <c r="E363" s="211"/>
      <c r="F363" s="142" t="s">
        <v>549</v>
      </c>
      <c r="G363" s="32"/>
      <c r="H363" s="13"/>
      <c r="I363" s="13"/>
      <c r="J363" s="14"/>
      <c r="K363" s="18">
        <f t="shared" si="218"/>
        <v>0</v>
      </c>
      <c r="L363" s="32"/>
      <c r="M363" s="13"/>
      <c r="N363" s="13"/>
      <c r="O363" s="14"/>
      <c r="P363" s="18">
        <f t="shared" si="321"/>
        <v>0</v>
      </c>
      <c r="Q363" s="32"/>
      <c r="R363" s="13"/>
      <c r="S363" s="13"/>
      <c r="T363" s="14">
        <v>3912</v>
      </c>
      <c r="U363" s="18">
        <f t="shared" si="322"/>
        <v>3912</v>
      </c>
      <c r="V363" s="32"/>
      <c r="W363" s="13"/>
      <c r="X363" s="13"/>
      <c r="Y363" s="14"/>
      <c r="Z363" s="18">
        <f t="shared" si="323"/>
        <v>0</v>
      </c>
      <c r="AA363" s="32"/>
      <c r="AB363" s="13"/>
      <c r="AC363" s="13"/>
      <c r="AD363" s="14"/>
      <c r="AE363" s="18">
        <f t="shared" si="324"/>
        <v>0</v>
      </c>
      <c r="AF363" s="32"/>
      <c r="AG363" s="13"/>
      <c r="AH363" s="13"/>
      <c r="AI363" s="14"/>
      <c r="AJ363" s="18">
        <f t="shared" si="325"/>
        <v>0</v>
      </c>
      <c r="AK363" s="32"/>
      <c r="AL363" s="13"/>
      <c r="AM363" s="13"/>
      <c r="AN363" s="14"/>
      <c r="AO363" s="18">
        <f t="shared" si="326"/>
        <v>0</v>
      </c>
      <c r="AP363" s="32"/>
      <c r="AQ363" s="13"/>
      <c r="AR363" s="13"/>
      <c r="AS363" s="14"/>
      <c r="AT363" s="18">
        <f t="shared" si="327"/>
        <v>0</v>
      </c>
      <c r="AU363" s="32"/>
      <c r="AV363" s="13"/>
      <c r="AW363" s="13"/>
      <c r="AX363" s="14"/>
      <c r="AY363" s="18">
        <f t="shared" si="328"/>
        <v>0</v>
      </c>
      <c r="AZ363" s="32"/>
      <c r="BA363" s="13"/>
      <c r="BB363" s="13"/>
      <c r="BC363" s="14"/>
      <c r="BD363" s="18">
        <f t="shared" si="329"/>
        <v>0</v>
      </c>
      <c r="BE363" s="32"/>
      <c r="BF363" s="13"/>
      <c r="BG363" s="13"/>
      <c r="BH363" s="14">
        <v>8932</v>
      </c>
      <c r="BI363" s="18">
        <f t="shared" si="330"/>
        <v>8932</v>
      </c>
      <c r="BJ363" s="32"/>
      <c r="BK363" s="13"/>
      <c r="BL363" s="13"/>
      <c r="BM363" s="14">
        <v>3739</v>
      </c>
      <c r="BN363" s="18">
        <f t="shared" si="331"/>
        <v>3739</v>
      </c>
      <c r="BO363" s="66">
        <f>SUM(G363,L363,Q363,V363,AA363,AF363,AK363,AP363,AU363,AZ363,BE363,BJ363)</f>
        <v>0</v>
      </c>
      <c r="BP363" s="13">
        <f>SUM(H363,M363,R363,W363,AB363,AG363,AL363,AQ363,AV363,BA363,BF363,BK363)</f>
        <v>0</v>
      </c>
      <c r="BQ363" s="13">
        <f>SUM(I363,N363,S363,X363,AC363,AH363,AM363,AR363,AW363,BB363,BG363,BL363)</f>
        <v>0</v>
      </c>
      <c r="BR363" s="14">
        <f>SUM(J363,O363,T363,Y363,AD363,AI363,AN363,AS363,AX363,BC363,BH363,BM363)</f>
        <v>16583</v>
      </c>
      <c r="BS363" s="35">
        <f t="shared" si="263"/>
        <v>16583</v>
      </c>
    </row>
    <row r="364" spans="2:71" x14ac:dyDescent="0.3">
      <c r="B364" s="264"/>
      <c r="C364" s="223"/>
      <c r="D364" s="224"/>
      <c r="E364" s="211"/>
      <c r="F364" s="142" t="s">
        <v>550</v>
      </c>
      <c r="G364" s="32"/>
      <c r="H364" s="13"/>
      <c r="I364" s="13"/>
      <c r="J364" s="14"/>
      <c r="K364" s="18">
        <f t="shared" si="218"/>
        <v>0</v>
      </c>
      <c r="L364" s="32"/>
      <c r="M364" s="13"/>
      <c r="N364" s="13"/>
      <c r="O364" s="14"/>
      <c r="P364" s="18">
        <f t="shared" si="321"/>
        <v>0</v>
      </c>
      <c r="Q364" s="32"/>
      <c r="R364" s="13"/>
      <c r="S364" s="13"/>
      <c r="T364" s="14"/>
      <c r="U364" s="18">
        <f t="shared" si="322"/>
        <v>0</v>
      </c>
      <c r="V364" s="32"/>
      <c r="W364" s="13"/>
      <c r="X364" s="13"/>
      <c r="Y364" s="14">
        <v>477</v>
      </c>
      <c r="Z364" s="18">
        <f t="shared" si="323"/>
        <v>477</v>
      </c>
      <c r="AA364" s="32"/>
      <c r="AB364" s="13"/>
      <c r="AC364" s="13"/>
      <c r="AD364" s="14">
        <v>661</v>
      </c>
      <c r="AE364" s="18">
        <f t="shared" si="324"/>
        <v>661</v>
      </c>
      <c r="AF364" s="32"/>
      <c r="AG364" s="13"/>
      <c r="AH364" s="13"/>
      <c r="AI364" s="14">
        <v>425</v>
      </c>
      <c r="AJ364" s="18">
        <f t="shared" si="325"/>
        <v>425</v>
      </c>
      <c r="AK364" s="32"/>
      <c r="AL364" s="13"/>
      <c r="AM364" s="13"/>
      <c r="AN364" s="14">
        <v>316</v>
      </c>
      <c r="AO364" s="18">
        <f t="shared" si="326"/>
        <v>316</v>
      </c>
      <c r="AP364" s="32"/>
      <c r="AQ364" s="13"/>
      <c r="AR364" s="13"/>
      <c r="AS364" s="14">
        <v>354</v>
      </c>
      <c r="AT364" s="18">
        <f t="shared" si="327"/>
        <v>354</v>
      </c>
      <c r="AU364" s="32"/>
      <c r="AV364" s="13"/>
      <c r="AW364" s="13"/>
      <c r="AX364" s="14">
        <v>297</v>
      </c>
      <c r="AY364" s="18">
        <f t="shared" si="328"/>
        <v>297</v>
      </c>
      <c r="AZ364" s="32"/>
      <c r="BA364" s="13"/>
      <c r="BB364" s="13"/>
      <c r="BC364" s="14">
        <v>679</v>
      </c>
      <c r="BD364" s="18">
        <f t="shared" si="329"/>
        <v>679</v>
      </c>
      <c r="BE364" s="32"/>
      <c r="BF364" s="13"/>
      <c r="BG364" s="13"/>
      <c r="BH364" s="14"/>
      <c r="BI364" s="18">
        <f t="shared" si="330"/>
        <v>0</v>
      </c>
      <c r="BJ364" s="32"/>
      <c r="BK364" s="13"/>
      <c r="BL364" s="13"/>
      <c r="BM364" s="14"/>
      <c r="BN364" s="18">
        <f t="shared" si="331"/>
        <v>0</v>
      </c>
      <c r="BO364" s="66">
        <f>SUM(G364,L364,Q364,V364,AA364,AF364,AK364,AP364,AU364,AZ364,BE364,BJ364)</f>
        <v>0</v>
      </c>
      <c r="BP364" s="13">
        <f>SUM(H364,M364,R364,W364,AB364,AG364,AL364,AQ364,AV364,BA364,BF364,BK364)</f>
        <v>0</v>
      </c>
      <c r="BQ364" s="13">
        <f>SUM(I364,N364,S364,X364,AC364,AH364,AM364,AR364,AW364,BB364,BG364,BL364)</f>
        <v>0</v>
      </c>
      <c r="BR364" s="14">
        <f>SUM(J364,O364,T364,Y364,AD364,AI364,AN364,AS364,AX364,BC364,BH364,BM364)</f>
        <v>3209</v>
      </c>
      <c r="BS364" s="35">
        <f t="shared" si="263"/>
        <v>3209</v>
      </c>
    </row>
    <row r="365" spans="2:71" x14ac:dyDescent="0.3">
      <c r="B365" s="264"/>
      <c r="C365" s="223"/>
      <c r="D365" s="224"/>
      <c r="E365" s="212"/>
      <c r="F365" s="148" t="s">
        <v>551</v>
      </c>
      <c r="G365" s="36"/>
      <c r="H365" s="10"/>
      <c r="I365" s="10"/>
      <c r="J365" s="11"/>
      <c r="K365" s="12">
        <f t="shared" si="218"/>
        <v>0</v>
      </c>
      <c r="L365" s="36"/>
      <c r="M365" s="10"/>
      <c r="N365" s="10"/>
      <c r="O365" s="11"/>
      <c r="P365" s="12">
        <f t="shared" si="321"/>
        <v>0</v>
      </c>
      <c r="Q365" s="36"/>
      <c r="R365" s="10"/>
      <c r="S365" s="10"/>
      <c r="T365" s="11"/>
      <c r="U365" s="12">
        <f t="shared" si="322"/>
        <v>0</v>
      </c>
      <c r="V365" s="36"/>
      <c r="W365" s="10"/>
      <c r="X365" s="10"/>
      <c r="Y365" s="11">
        <v>8758</v>
      </c>
      <c r="Z365" s="12">
        <f t="shared" si="323"/>
        <v>8758</v>
      </c>
      <c r="AA365" s="36"/>
      <c r="AB365" s="10"/>
      <c r="AC365" s="10"/>
      <c r="AD365" s="11">
        <v>6333</v>
      </c>
      <c r="AE365" s="12">
        <f t="shared" si="324"/>
        <v>6333</v>
      </c>
      <c r="AF365" s="36"/>
      <c r="AG365" s="10"/>
      <c r="AH365" s="10"/>
      <c r="AI365" s="11">
        <v>2778</v>
      </c>
      <c r="AJ365" s="12">
        <f t="shared" si="325"/>
        <v>2778</v>
      </c>
      <c r="AK365" s="36"/>
      <c r="AL365" s="10"/>
      <c r="AM365" s="10"/>
      <c r="AN365" s="11">
        <v>540</v>
      </c>
      <c r="AO365" s="12">
        <f t="shared" si="326"/>
        <v>540</v>
      </c>
      <c r="AP365" s="36"/>
      <c r="AQ365" s="10"/>
      <c r="AR365" s="10"/>
      <c r="AS365" s="11">
        <v>853</v>
      </c>
      <c r="AT365" s="12">
        <f t="shared" si="327"/>
        <v>853</v>
      </c>
      <c r="AU365" s="36"/>
      <c r="AV365" s="10"/>
      <c r="AW365" s="10"/>
      <c r="AX365" s="11">
        <v>3544</v>
      </c>
      <c r="AY365" s="12">
        <f t="shared" si="328"/>
        <v>3544</v>
      </c>
      <c r="AZ365" s="36"/>
      <c r="BA365" s="10"/>
      <c r="BB365" s="10"/>
      <c r="BC365" s="11">
        <v>11612</v>
      </c>
      <c r="BD365" s="12">
        <f t="shared" si="329"/>
        <v>11612</v>
      </c>
      <c r="BE365" s="36"/>
      <c r="BF365" s="10"/>
      <c r="BG365" s="10"/>
      <c r="BH365" s="11"/>
      <c r="BI365" s="12">
        <f t="shared" si="330"/>
        <v>0</v>
      </c>
      <c r="BJ365" s="36"/>
      <c r="BK365" s="10"/>
      <c r="BL365" s="10"/>
      <c r="BM365" s="11"/>
      <c r="BN365" s="12">
        <f t="shared" si="331"/>
        <v>0</v>
      </c>
      <c r="BO365" s="71">
        <f>SUM(G365,L365,Q365,V365,AA365,AF365,AK365,AP365,AU365,AZ365,BE365,BJ365)</f>
        <v>0</v>
      </c>
      <c r="BP365" s="10">
        <f>SUM(H365,M365,R365,W365,AB365,AG365,AL365,AQ365,AV365,BA365,BF365,BK365)</f>
        <v>0</v>
      </c>
      <c r="BQ365" s="10">
        <f>SUM(I365,N365,S365,X365,AC365,AH365,AM365,AR365,AW365,BB365,BG365,BL365)</f>
        <v>0</v>
      </c>
      <c r="BR365" s="11">
        <f>SUM(J365,O365,T365,Y365,AD365,AI365,AN365,AS365,AX365,BC365,BH365,BM365)</f>
        <v>34418</v>
      </c>
      <c r="BS365" s="37">
        <f t="shared" si="263"/>
        <v>34418</v>
      </c>
    </row>
    <row r="366" spans="2:71" x14ac:dyDescent="0.3">
      <c r="B366" s="264"/>
      <c r="C366" s="225"/>
      <c r="D366" s="226"/>
      <c r="E366" s="115"/>
      <c r="F366" s="115" t="s">
        <v>4</v>
      </c>
      <c r="G366" s="159">
        <f>SUM(G357:G365)</f>
        <v>0</v>
      </c>
      <c r="H366" s="160">
        <f>SUM(H357:H365)</f>
        <v>0</v>
      </c>
      <c r="I366" s="160">
        <f>SUM(I357:I365)</f>
        <v>0</v>
      </c>
      <c r="J366" s="161">
        <f>SUM(J357:J365)</f>
        <v>22783</v>
      </c>
      <c r="K366" s="162">
        <f t="shared" si="218"/>
        <v>22783</v>
      </c>
      <c r="L366" s="159">
        <f>SUM(L357:L365)</f>
        <v>0</v>
      </c>
      <c r="M366" s="160">
        <f>SUM(M357:M365)</f>
        <v>0</v>
      </c>
      <c r="N366" s="160">
        <f>SUM(N357:N365)</f>
        <v>0</v>
      </c>
      <c r="O366" s="161">
        <f>SUM(O357:O365)</f>
        <v>13246</v>
      </c>
      <c r="P366" s="162">
        <f t="shared" si="321"/>
        <v>13246</v>
      </c>
      <c r="Q366" s="159">
        <f>SUM(Q357:Q365)</f>
        <v>0</v>
      </c>
      <c r="R366" s="160">
        <f>SUM(R357:R365)</f>
        <v>0</v>
      </c>
      <c r="S366" s="160">
        <f>SUM(S357:S365)</f>
        <v>0</v>
      </c>
      <c r="T366" s="161">
        <f>SUM(T357:T365)</f>
        <v>3973</v>
      </c>
      <c r="U366" s="162">
        <f t="shared" si="322"/>
        <v>3973</v>
      </c>
      <c r="V366" s="159">
        <f>SUM(V357:V365)</f>
        <v>0</v>
      </c>
      <c r="W366" s="160">
        <f>SUM(W357:W365)</f>
        <v>0</v>
      </c>
      <c r="X366" s="160">
        <f>SUM(X357:X365)</f>
        <v>0</v>
      </c>
      <c r="Y366" s="161">
        <f>SUM(Y357:Y365)</f>
        <v>13332</v>
      </c>
      <c r="Z366" s="162">
        <f t="shared" si="323"/>
        <v>13332</v>
      </c>
      <c r="AA366" s="159">
        <f>SUM(AA357:AA365)</f>
        <v>0</v>
      </c>
      <c r="AB366" s="160">
        <f>SUM(AB357:AB365)</f>
        <v>0</v>
      </c>
      <c r="AC366" s="160">
        <f>SUM(AC357:AC365)</f>
        <v>0</v>
      </c>
      <c r="AD366" s="161">
        <f>SUM(AD357:AD365)</f>
        <v>12625</v>
      </c>
      <c r="AE366" s="162">
        <f t="shared" si="324"/>
        <v>12625</v>
      </c>
      <c r="AF366" s="159">
        <f>SUM(AF357:AF365)</f>
        <v>0</v>
      </c>
      <c r="AG366" s="160">
        <f>SUM(AG357:AG365)</f>
        <v>0</v>
      </c>
      <c r="AH366" s="160">
        <f>SUM(AH357:AH365)</f>
        <v>0</v>
      </c>
      <c r="AI366" s="161">
        <f>SUM(AI357:AI365)</f>
        <v>3928</v>
      </c>
      <c r="AJ366" s="162">
        <f t="shared" si="325"/>
        <v>3928</v>
      </c>
      <c r="AK366" s="159">
        <f>SUM(AK357:AK365)</f>
        <v>0</v>
      </c>
      <c r="AL366" s="160">
        <f>SUM(AL357:AL365)</f>
        <v>0</v>
      </c>
      <c r="AM366" s="160">
        <f>SUM(AM357:AM365)</f>
        <v>0</v>
      </c>
      <c r="AN366" s="161">
        <f>SUM(AN357:AN365)</f>
        <v>1265</v>
      </c>
      <c r="AO366" s="162">
        <f t="shared" si="326"/>
        <v>1265</v>
      </c>
      <c r="AP366" s="159">
        <f>SUM(AP357:AP365)</f>
        <v>0</v>
      </c>
      <c r="AQ366" s="160">
        <f>SUM(AQ357:AQ365)</f>
        <v>0</v>
      </c>
      <c r="AR366" s="160">
        <f>SUM(AR357:AR365)</f>
        <v>0</v>
      </c>
      <c r="AS366" s="161">
        <f>SUM(AS357:AS365)</f>
        <v>1681</v>
      </c>
      <c r="AT366" s="162">
        <f t="shared" si="327"/>
        <v>1681</v>
      </c>
      <c r="AU366" s="159">
        <f>SUM(AU357:AU365)</f>
        <v>0</v>
      </c>
      <c r="AV366" s="160">
        <f>SUM(AV357:AV365)</f>
        <v>0</v>
      </c>
      <c r="AW366" s="160">
        <f>SUM(AW357:AW365)</f>
        <v>0</v>
      </c>
      <c r="AX366" s="161">
        <f>SUM(AX357:AX365)</f>
        <v>7746</v>
      </c>
      <c r="AY366" s="162">
        <f t="shared" si="328"/>
        <v>7746</v>
      </c>
      <c r="AZ366" s="159">
        <f>SUM(AZ357:AZ365)</f>
        <v>0</v>
      </c>
      <c r="BA366" s="160">
        <f>SUM(BA357:BA365)</f>
        <v>0</v>
      </c>
      <c r="BB366" s="160">
        <f>SUM(BB357:BB365)</f>
        <v>0</v>
      </c>
      <c r="BC366" s="161">
        <f>SUM(BC357:BC365)</f>
        <v>23145</v>
      </c>
      <c r="BD366" s="162">
        <f t="shared" si="329"/>
        <v>23145</v>
      </c>
      <c r="BE366" s="159">
        <f>SUM(BE357:BE365)</f>
        <v>0</v>
      </c>
      <c r="BF366" s="160">
        <f>SUM(BF357:BF365)</f>
        <v>0</v>
      </c>
      <c r="BG366" s="160">
        <f>SUM(BG357:BG365)</f>
        <v>0</v>
      </c>
      <c r="BH366" s="161">
        <f>SUM(BH357:BH365)</f>
        <v>11726</v>
      </c>
      <c r="BI366" s="162">
        <f t="shared" si="330"/>
        <v>11726</v>
      </c>
      <c r="BJ366" s="159">
        <f>SUM(BJ357:BJ365)</f>
        <v>0</v>
      </c>
      <c r="BK366" s="160">
        <f>SUM(BK357:BK365)</f>
        <v>0</v>
      </c>
      <c r="BL366" s="160">
        <f>SUM(BL357:BL365)</f>
        <v>0</v>
      </c>
      <c r="BM366" s="161">
        <f>SUM(BM357:BM365)</f>
        <v>4294</v>
      </c>
      <c r="BN366" s="162">
        <f t="shared" si="331"/>
        <v>4294</v>
      </c>
      <c r="BO366" s="164">
        <f>SUM(BO357:BO365)</f>
        <v>0</v>
      </c>
      <c r="BP366" s="160">
        <f>SUM(BP357:BP365)</f>
        <v>0</v>
      </c>
      <c r="BQ366" s="160">
        <f>SUM(BQ357:BQ365)</f>
        <v>0</v>
      </c>
      <c r="BR366" s="161">
        <f>SUM(BR357:BR365)</f>
        <v>119744</v>
      </c>
      <c r="BS366" s="163">
        <f t="shared" si="263"/>
        <v>119744</v>
      </c>
    </row>
    <row r="367" spans="2:71" x14ac:dyDescent="0.3">
      <c r="B367" s="264"/>
      <c r="C367" s="227" t="s">
        <v>17</v>
      </c>
      <c r="D367" s="228"/>
      <c r="E367" s="210" t="s">
        <v>95</v>
      </c>
      <c r="F367" s="289" t="s">
        <v>552</v>
      </c>
      <c r="G367" s="30">
        <v>551</v>
      </c>
      <c r="H367" s="7"/>
      <c r="I367" s="7"/>
      <c r="J367" s="8"/>
      <c r="K367" s="9">
        <f t="shared" si="218"/>
        <v>551</v>
      </c>
      <c r="L367" s="30">
        <v>850</v>
      </c>
      <c r="M367" s="7"/>
      <c r="N367" s="7"/>
      <c r="O367" s="8"/>
      <c r="P367" s="9">
        <f t="shared" si="321"/>
        <v>850</v>
      </c>
      <c r="Q367" s="30">
        <v>685</v>
      </c>
      <c r="R367" s="7"/>
      <c r="S367" s="7"/>
      <c r="T367" s="8"/>
      <c r="U367" s="9">
        <f t="shared" si="322"/>
        <v>685</v>
      </c>
      <c r="V367" s="30">
        <v>1074</v>
      </c>
      <c r="W367" s="7"/>
      <c r="X367" s="7"/>
      <c r="Y367" s="8"/>
      <c r="Z367" s="9">
        <f t="shared" si="323"/>
        <v>1074</v>
      </c>
      <c r="AA367" s="30">
        <v>768</v>
      </c>
      <c r="AB367" s="7"/>
      <c r="AC367" s="7"/>
      <c r="AD367" s="8"/>
      <c r="AE367" s="9">
        <f t="shared" si="324"/>
        <v>768</v>
      </c>
      <c r="AF367" s="30">
        <v>1143</v>
      </c>
      <c r="AG367" s="7"/>
      <c r="AH367" s="7"/>
      <c r="AI367" s="8"/>
      <c r="AJ367" s="9">
        <f t="shared" si="325"/>
        <v>1143</v>
      </c>
      <c r="AK367" s="30">
        <v>80</v>
      </c>
      <c r="AL367" s="7"/>
      <c r="AM367" s="7"/>
      <c r="AN367" s="8"/>
      <c r="AO367" s="9">
        <f t="shared" si="326"/>
        <v>80</v>
      </c>
      <c r="AP367" s="30">
        <v>10</v>
      </c>
      <c r="AQ367" s="7"/>
      <c r="AR367" s="7"/>
      <c r="AS367" s="8"/>
      <c r="AT367" s="9">
        <f t="shared" si="327"/>
        <v>10</v>
      </c>
      <c r="AU367" s="30">
        <v>2</v>
      </c>
      <c r="AV367" s="7"/>
      <c r="AW367" s="7"/>
      <c r="AX367" s="8"/>
      <c r="AY367" s="9">
        <f t="shared" si="328"/>
        <v>2</v>
      </c>
      <c r="AZ367" s="30"/>
      <c r="BA367" s="7"/>
      <c r="BB367" s="7"/>
      <c r="BC367" s="8"/>
      <c r="BD367" s="9">
        <f t="shared" si="329"/>
        <v>0</v>
      </c>
      <c r="BE367" s="30"/>
      <c r="BF367" s="7"/>
      <c r="BG367" s="7"/>
      <c r="BH367" s="8"/>
      <c r="BI367" s="9">
        <f t="shared" si="330"/>
        <v>0</v>
      </c>
      <c r="BJ367" s="30"/>
      <c r="BK367" s="7"/>
      <c r="BL367" s="7"/>
      <c r="BM367" s="8"/>
      <c r="BN367" s="9">
        <f t="shared" si="331"/>
        <v>0</v>
      </c>
      <c r="BO367" s="65">
        <f>SUM(G367,L367,Q367,V367,AA367,AF367,AK367,AP367,AU367,AZ367,BE367,BJ367)</f>
        <v>5163</v>
      </c>
      <c r="BP367" s="7">
        <f>SUM(H367,M367,R367,W367,AB367,AG367,AL367,AQ367,AV367,BA367,BF367,BK367)</f>
        <v>0</v>
      </c>
      <c r="BQ367" s="7">
        <f>SUM(I367,N367,S367,X367,AC367,AH367,AM367,AR367,AW367,BB367,BG367,BL367)</f>
        <v>0</v>
      </c>
      <c r="BR367" s="8">
        <f>SUM(J367,O367,T367,Y367,AD367,AI367,AN367,AS367,AX367,BC367,BH367,BM367)</f>
        <v>0</v>
      </c>
      <c r="BS367" s="31">
        <f t="shared" si="263"/>
        <v>5163</v>
      </c>
    </row>
    <row r="368" spans="2:71" x14ac:dyDescent="0.3">
      <c r="B368" s="264"/>
      <c r="C368" s="223"/>
      <c r="D368" s="224"/>
      <c r="E368" s="211"/>
      <c r="F368" s="149" t="s">
        <v>553</v>
      </c>
      <c r="G368" s="34"/>
      <c r="H368" s="16"/>
      <c r="I368" s="16"/>
      <c r="J368" s="17"/>
      <c r="K368" s="18">
        <f t="shared" si="218"/>
        <v>0</v>
      </c>
      <c r="L368" s="34"/>
      <c r="M368" s="16"/>
      <c r="N368" s="16"/>
      <c r="O368" s="17"/>
      <c r="P368" s="18">
        <f t="shared" si="321"/>
        <v>0</v>
      </c>
      <c r="Q368" s="34"/>
      <c r="R368" s="16"/>
      <c r="S368" s="16"/>
      <c r="T368" s="17"/>
      <c r="U368" s="18">
        <f t="shared" si="322"/>
        <v>0</v>
      </c>
      <c r="V368" s="34"/>
      <c r="W368" s="16"/>
      <c r="X368" s="16"/>
      <c r="Y368" s="17"/>
      <c r="Z368" s="18">
        <f t="shared" si="323"/>
        <v>0</v>
      </c>
      <c r="AA368" s="34"/>
      <c r="AB368" s="16"/>
      <c r="AC368" s="16"/>
      <c r="AD368" s="17"/>
      <c r="AE368" s="18">
        <f t="shared" si="324"/>
        <v>0</v>
      </c>
      <c r="AF368" s="34"/>
      <c r="AG368" s="16"/>
      <c r="AH368" s="16"/>
      <c r="AI368" s="17"/>
      <c r="AJ368" s="18">
        <f t="shared" si="325"/>
        <v>0</v>
      </c>
      <c r="AK368" s="34">
        <v>1036</v>
      </c>
      <c r="AL368" s="16"/>
      <c r="AM368" s="16"/>
      <c r="AN368" s="17"/>
      <c r="AO368" s="18">
        <f t="shared" si="326"/>
        <v>1036</v>
      </c>
      <c r="AP368" s="34">
        <v>1334</v>
      </c>
      <c r="AQ368" s="16"/>
      <c r="AR368" s="16"/>
      <c r="AS368" s="17"/>
      <c r="AT368" s="18">
        <f t="shared" si="327"/>
        <v>1334</v>
      </c>
      <c r="AU368" s="34">
        <v>736</v>
      </c>
      <c r="AV368" s="16"/>
      <c r="AW368" s="16"/>
      <c r="AX368" s="17"/>
      <c r="AY368" s="18">
        <f t="shared" si="328"/>
        <v>736</v>
      </c>
      <c r="AZ368" s="34">
        <v>1087</v>
      </c>
      <c r="BA368" s="16"/>
      <c r="BB368" s="16"/>
      <c r="BC368" s="17"/>
      <c r="BD368" s="18">
        <f t="shared" si="329"/>
        <v>1087</v>
      </c>
      <c r="BE368" s="34">
        <v>842</v>
      </c>
      <c r="BF368" s="16"/>
      <c r="BG368" s="16"/>
      <c r="BH368" s="17"/>
      <c r="BI368" s="18">
        <f t="shared" si="330"/>
        <v>842</v>
      </c>
      <c r="BJ368" s="34">
        <v>1414</v>
      </c>
      <c r="BK368" s="16"/>
      <c r="BL368" s="16"/>
      <c r="BM368" s="17"/>
      <c r="BN368" s="18">
        <f t="shared" ref="BN368" si="346">SUM(BJ368:BM368)</f>
        <v>1414</v>
      </c>
      <c r="BO368" s="70">
        <f>SUM(G368,L368,Q368,V368,AA368,AF368,AK368,AP368,AU368,AZ368,BE368,BJ368)</f>
        <v>6449</v>
      </c>
      <c r="BP368" s="16">
        <f>SUM(H368,M368,R368,W368,AB368,AG368,AL368,AQ368,AV368,BA368,BF368,BK368)</f>
        <v>0</v>
      </c>
      <c r="BQ368" s="16">
        <f>SUM(I368,N368,S368,X368,AC368,AH368,AM368,AR368,AW368,BB368,BG368,BL368)</f>
        <v>0</v>
      </c>
      <c r="BR368" s="17">
        <f>SUM(J368,O368,T368,Y368,AD368,AI368,AN368,AS368,AX368,BC368,BH368,BM368)</f>
        <v>0</v>
      </c>
      <c r="BS368" s="35">
        <f t="shared" si="263"/>
        <v>6449</v>
      </c>
    </row>
    <row r="369" spans="2:71" x14ac:dyDescent="0.3">
      <c r="B369" s="264"/>
      <c r="C369" s="223"/>
      <c r="D369" s="224"/>
      <c r="E369" s="211"/>
      <c r="F369" s="142" t="s">
        <v>554</v>
      </c>
      <c r="G369" s="32"/>
      <c r="H369" s="13"/>
      <c r="I369" s="13"/>
      <c r="J369" s="14"/>
      <c r="K369" s="15">
        <f t="shared" si="218"/>
        <v>0</v>
      </c>
      <c r="L369" s="32">
        <v>98</v>
      </c>
      <c r="M369" s="13"/>
      <c r="N369" s="13"/>
      <c r="O369" s="14"/>
      <c r="P369" s="15">
        <f t="shared" si="321"/>
        <v>98</v>
      </c>
      <c r="Q369" s="32">
        <v>115</v>
      </c>
      <c r="R369" s="13"/>
      <c r="S369" s="13"/>
      <c r="T369" s="14"/>
      <c r="U369" s="15">
        <f t="shared" si="322"/>
        <v>115</v>
      </c>
      <c r="V369" s="32">
        <v>127</v>
      </c>
      <c r="W369" s="13"/>
      <c r="X369" s="13"/>
      <c r="Y369" s="14"/>
      <c r="Z369" s="15">
        <f t="shared" si="323"/>
        <v>127</v>
      </c>
      <c r="AA369" s="32">
        <v>197</v>
      </c>
      <c r="AB369" s="13"/>
      <c r="AC369" s="13"/>
      <c r="AD369" s="14"/>
      <c r="AE369" s="15">
        <f t="shared" si="324"/>
        <v>197</v>
      </c>
      <c r="AF369" s="32">
        <v>165</v>
      </c>
      <c r="AG369" s="13"/>
      <c r="AH369" s="13"/>
      <c r="AI369" s="14"/>
      <c r="AJ369" s="15">
        <f t="shared" si="325"/>
        <v>165</v>
      </c>
      <c r="AK369" s="32"/>
      <c r="AL369" s="13"/>
      <c r="AM369" s="13"/>
      <c r="AN369" s="14"/>
      <c r="AO369" s="15">
        <f t="shared" si="326"/>
        <v>0</v>
      </c>
      <c r="AP369" s="32">
        <v>156</v>
      </c>
      <c r="AQ369" s="13"/>
      <c r="AR369" s="13"/>
      <c r="AS369" s="14"/>
      <c r="AT369" s="15">
        <f t="shared" si="327"/>
        <v>156</v>
      </c>
      <c r="AU369" s="32">
        <v>94</v>
      </c>
      <c r="AV369" s="13"/>
      <c r="AW369" s="13"/>
      <c r="AX369" s="14"/>
      <c r="AY369" s="15">
        <f t="shared" si="328"/>
        <v>94</v>
      </c>
      <c r="AZ369" s="32">
        <v>251</v>
      </c>
      <c r="BA369" s="13"/>
      <c r="BB369" s="13"/>
      <c r="BC369" s="14"/>
      <c r="BD369" s="15">
        <f t="shared" si="329"/>
        <v>251</v>
      </c>
      <c r="BE369" s="32">
        <v>71</v>
      </c>
      <c r="BF369" s="13"/>
      <c r="BG369" s="13"/>
      <c r="BH369" s="14"/>
      <c r="BI369" s="15">
        <f t="shared" si="330"/>
        <v>71</v>
      </c>
      <c r="BJ369" s="32">
        <v>9</v>
      </c>
      <c r="BK369" s="13"/>
      <c r="BL369" s="13"/>
      <c r="BM369" s="14"/>
      <c r="BN369" s="15">
        <f t="shared" si="331"/>
        <v>9</v>
      </c>
      <c r="BO369" s="66">
        <f>SUM(G369,L369,Q369,V369,AA369,AF369,AK369,AP369,AU369,AZ369,BE369,BJ369)</f>
        <v>1283</v>
      </c>
      <c r="BP369" s="13">
        <f>SUM(H369,M369,R369,W369,AB369,AG369,AL369,AQ369,AV369,BA369,BF369,BK369)</f>
        <v>0</v>
      </c>
      <c r="BQ369" s="13">
        <f>SUM(I369,N369,S369,X369,AC369,AH369,AM369,AR369,AW369,BB369,BG369,BL369)</f>
        <v>0</v>
      </c>
      <c r="BR369" s="14">
        <f>SUM(J369,O369,T369,Y369,AD369,AI369,AN369,AS369,AX369,BC369,BH369,BM369)</f>
        <v>0</v>
      </c>
      <c r="BS369" s="33">
        <f t="shared" si="263"/>
        <v>1283</v>
      </c>
    </row>
    <row r="370" spans="2:71" x14ac:dyDescent="0.3">
      <c r="B370" s="264"/>
      <c r="C370" s="223"/>
      <c r="D370" s="224"/>
      <c r="E370" s="211"/>
      <c r="F370" s="142" t="s">
        <v>555</v>
      </c>
      <c r="G370" s="32"/>
      <c r="H370" s="13"/>
      <c r="I370" s="13"/>
      <c r="J370" s="14"/>
      <c r="K370" s="15">
        <f t="shared" si="218"/>
        <v>0</v>
      </c>
      <c r="L370" s="32"/>
      <c r="M370" s="13"/>
      <c r="N370" s="13"/>
      <c r="O370" s="14"/>
      <c r="P370" s="15">
        <f t="shared" si="321"/>
        <v>0</v>
      </c>
      <c r="Q370" s="32"/>
      <c r="R370" s="13"/>
      <c r="S370" s="13"/>
      <c r="T370" s="14"/>
      <c r="U370" s="15">
        <f t="shared" si="322"/>
        <v>0</v>
      </c>
      <c r="V370" s="32"/>
      <c r="W370" s="13"/>
      <c r="X370" s="13"/>
      <c r="Y370" s="14"/>
      <c r="Z370" s="15">
        <f t="shared" si="323"/>
        <v>0</v>
      </c>
      <c r="AA370" s="32"/>
      <c r="AB370" s="13"/>
      <c r="AC370" s="13"/>
      <c r="AD370" s="14"/>
      <c r="AE370" s="15">
        <f t="shared" si="324"/>
        <v>0</v>
      </c>
      <c r="AF370" s="32"/>
      <c r="AG370" s="13"/>
      <c r="AH370" s="13"/>
      <c r="AI370" s="14"/>
      <c r="AJ370" s="15">
        <f t="shared" si="325"/>
        <v>0</v>
      </c>
      <c r="AK370" s="32">
        <v>294</v>
      </c>
      <c r="AL370" s="13"/>
      <c r="AM370" s="13"/>
      <c r="AN370" s="14"/>
      <c r="AO370" s="15">
        <f t="shared" si="326"/>
        <v>294</v>
      </c>
      <c r="AP370" s="32">
        <v>24</v>
      </c>
      <c r="AQ370" s="13"/>
      <c r="AR370" s="13"/>
      <c r="AS370" s="14"/>
      <c r="AT370" s="15">
        <f t="shared" si="327"/>
        <v>24</v>
      </c>
      <c r="AU370" s="32"/>
      <c r="AV370" s="13"/>
      <c r="AW370" s="13"/>
      <c r="AX370" s="14"/>
      <c r="AY370" s="15">
        <f t="shared" si="328"/>
        <v>0</v>
      </c>
      <c r="AZ370" s="32"/>
      <c r="BA370" s="13"/>
      <c r="BB370" s="13"/>
      <c r="BC370" s="14"/>
      <c r="BD370" s="15">
        <f t="shared" si="329"/>
        <v>0</v>
      </c>
      <c r="BE370" s="32">
        <v>4</v>
      </c>
      <c r="BF370" s="13"/>
      <c r="BG370" s="13"/>
      <c r="BH370" s="14"/>
      <c r="BI370" s="15">
        <f t="shared" si="330"/>
        <v>4</v>
      </c>
      <c r="BJ370" s="32"/>
      <c r="BK370" s="13"/>
      <c r="BL370" s="13"/>
      <c r="BM370" s="14"/>
      <c r="BN370" s="15">
        <f t="shared" ref="BN370" si="347">SUM(BJ370:BM370)</f>
        <v>0</v>
      </c>
      <c r="BO370" s="66">
        <f>SUM(G370,L370,Q370,V370,AA370,AF370,AK370,AP370,AU370,AZ370,BE370,BJ370)</f>
        <v>322</v>
      </c>
      <c r="BP370" s="13">
        <f>SUM(H370,M370,R370,W370,AB370,AG370,AL370,AQ370,AV370,BA370,BF370,BK370)</f>
        <v>0</v>
      </c>
      <c r="BQ370" s="13">
        <f>SUM(I370,N370,S370,X370,AC370,AH370,AM370,AR370,AW370,BB370,BG370,BL370)</f>
        <v>0</v>
      </c>
      <c r="BR370" s="14">
        <f>SUM(J370,O370,T370,Y370,AD370,AI370,AN370,AS370,AX370,BC370,BH370,BM370)</f>
        <v>0</v>
      </c>
      <c r="BS370" s="33">
        <f t="shared" si="263"/>
        <v>322</v>
      </c>
    </row>
    <row r="371" spans="2:71" x14ac:dyDescent="0.3">
      <c r="B371" s="264"/>
      <c r="C371" s="223"/>
      <c r="D371" s="224"/>
      <c r="E371" s="211"/>
      <c r="F371" s="142" t="s">
        <v>189</v>
      </c>
      <c r="G371" s="32">
        <v>4</v>
      </c>
      <c r="H371" s="13"/>
      <c r="I371" s="13"/>
      <c r="J371" s="14"/>
      <c r="K371" s="15">
        <f t="shared" si="218"/>
        <v>4</v>
      </c>
      <c r="L371" s="32"/>
      <c r="M371" s="13"/>
      <c r="N371" s="13"/>
      <c r="O371" s="14"/>
      <c r="P371" s="15">
        <f t="shared" si="321"/>
        <v>0</v>
      </c>
      <c r="Q371" s="32"/>
      <c r="R371" s="13"/>
      <c r="S371" s="13"/>
      <c r="T371" s="14"/>
      <c r="U371" s="15">
        <f t="shared" si="322"/>
        <v>0</v>
      </c>
      <c r="V371" s="32"/>
      <c r="W371" s="13"/>
      <c r="X371" s="13"/>
      <c r="Y371" s="14"/>
      <c r="Z371" s="15">
        <f t="shared" si="323"/>
        <v>0</v>
      </c>
      <c r="AA371" s="32"/>
      <c r="AB371" s="13"/>
      <c r="AC371" s="13"/>
      <c r="AD371" s="14"/>
      <c r="AE371" s="15">
        <f t="shared" si="324"/>
        <v>0</v>
      </c>
      <c r="AF371" s="32"/>
      <c r="AG371" s="13"/>
      <c r="AH371" s="13"/>
      <c r="AI371" s="14"/>
      <c r="AJ371" s="15">
        <f t="shared" si="325"/>
        <v>0</v>
      </c>
      <c r="AK371" s="32"/>
      <c r="AL371" s="13"/>
      <c r="AM371" s="13"/>
      <c r="AN371" s="14"/>
      <c r="AO371" s="15">
        <f t="shared" si="326"/>
        <v>0</v>
      </c>
      <c r="AP371" s="32"/>
      <c r="AQ371" s="13"/>
      <c r="AR371" s="13"/>
      <c r="AS371" s="14"/>
      <c r="AT371" s="15">
        <f t="shared" si="327"/>
        <v>0</v>
      </c>
      <c r="AU371" s="32">
        <v>13</v>
      </c>
      <c r="AV371" s="13"/>
      <c r="AW371" s="13"/>
      <c r="AX371" s="14"/>
      <c r="AY371" s="15">
        <f t="shared" si="328"/>
        <v>13</v>
      </c>
      <c r="AZ371" s="32">
        <v>90</v>
      </c>
      <c r="BA371" s="13"/>
      <c r="BB371" s="13"/>
      <c r="BC371" s="14"/>
      <c r="BD371" s="15">
        <f t="shared" si="329"/>
        <v>90</v>
      </c>
      <c r="BE371" s="32">
        <v>115</v>
      </c>
      <c r="BF371" s="13"/>
      <c r="BG371" s="13"/>
      <c r="BH371" s="14"/>
      <c r="BI371" s="15">
        <f t="shared" si="330"/>
        <v>115</v>
      </c>
      <c r="BJ371" s="32">
        <v>76</v>
      </c>
      <c r="BK371" s="13"/>
      <c r="BL371" s="13"/>
      <c r="BM371" s="14"/>
      <c r="BN371" s="15">
        <f t="shared" si="331"/>
        <v>76</v>
      </c>
      <c r="BO371" s="66">
        <f>SUM(G371,L371,Q371,V371,AA371,AF371,AK371,AP371,AU371,AZ371,BE371,BJ371)</f>
        <v>298</v>
      </c>
      <c r="BP371" s="13">
        <f>SUM(H371,M371,R371,W371,AB371,AG371,AL371,AQ371,AV371,BA371,BF371,BK371)</f>
        <v>0</v>
      </c>
      <c r="BQ371" s="13">
        <f>SUM(I371,N371,S371,X371,AC371,AH371,AM371,AR371,AW371,BB371,BG371,BL371)</f>
        <v>0</v>
      </c>
      <c r="BR371" s="14">
        <f>SUM(J371,O371,T371,Y371,AD371,AI371,AN371,AS371,AX371,BC371,BH371,BM371)</f>
        <v>0</v>
      </c>
      <c r="BS371" s="33">
        <f t="shared" si="263"/>
        <v>298</v>
      </c>
    </row>
    <row r="372" spans="2:71" x14ac:dyDescent="0.3">
      <c r="B372" s="264"/>
      <c r="C372" s="223"/>
      <c r="D372" s="224"/>
      <c r="E372" s="211"/>
      <c r="F372" s="142" t="s">
        <v>556</v>
      </c>
      <c r="G372" s="32"/>
      <c r="H372" s="13"/>
      <c r="I372" s="13"/>
      <c r="J372" s="14"/>
      <c r="K372" s="15">
        <f t="shared" si="218"/>
        <v>0</v>
      </c>
      <c r="L372" s="32"/>
      <c r="M372" s="13"/>
      <c r="N372" s="13"/>
      <c r="O372" s="14"/>
      <c r="P372" s="15">
        <f t="shared" si="321"/>
        <v>0</v>
      </c>
      <c r="Q372" s="32"/>
      <c r="R372" s="13"/>
      <c r="S372" s="13"/>
      <c r="T372" s="14"/>
      <c r="U372" s="15">
        <f t="shared" si="322"/>
        <v>0</v>
      </c>
      <c r="V372" s="32"/>
      <c r="W372" s="13"/>
      <c r="X372" s="13"/>
      <c r="Y372" s="14"/>
      <c r="Z372" s="15">
        <f t="shared" si="323"/>
        <v>0</v>
      </c>
      <c r="AA372" s="32"/>
      <c r="AB372" s="13"/>
      <c r="AC372" s="13"/>
      <c r="AD372" s="14"/>
      <c r="AE372" s="15">
        <f t="shared" si="324"/>
        <v>0</v>
      </c>
      <c r="AF372" s="32"/>
      <c r="AG372" s="13"/>
      <c r="AH372" s="13"/>
      <c r="AI372" s="14"/>
      <c r="AJ372" s="15">
        <f t="shared" si="325"/>
        <v>0</v>
      </c>
      <c r="AK372" s="32">
        <v>248</v>
      </c>
      <c r="AL372" s="13"/>
      <c r="AM372" s="13"/>
      <c r="AN372" s="14"/>
      <c r="AO372" s="15">
        <f t="shared" si="326"/>
        <v>248</v>
      </c>
      <c r="AP372" s="32">
        <v>293</v>
      </c>
      <c r="AQ372" s="13"/>
      <c r="AR372" s="13"/>
      <c r="AS372" s="14"/>
      <c r="AT372" s="15">
        <f t="shared" si="327"/>
        <v>293</v>
      </c>
      <c r="AU372" s="32">
        <v>198</v>
      </c>
      <c r="AV372" s="13"/>
      <c r="AW372" s="13"/>
      <c r="AX372" s="14"/>
      <c r="AY372" s="15">
        <f t="shared" si="328"/>
        <v>198</v>
      </c>
      <c r="AZ372" s="32">
        <v>209</v>
      </c>
      <c r="BA372" s="13"/>
      <c r="BB372" s="13"/>
      <c r="BC372" s="14"/>
      <c r="BD372" s="15">
        <f t="shared" si="329"/>
        <v>209</v>
      </c>
      <c r="BE372" s="32">
        <v>316</v>
      </c>
      <c r="BF372" s="13"/>
      <c r="BG372" s="13"/>
      <c r="BH372" s="14"/>
      <c r="BI372" s="15">
        <f t="shared" si="330"/>
        <v>316</v>
      </c>
      <c r="BJ372" s="32">
        <v>292</v>
      </c>
      <c r="BK372" s="13"/>
      <c r="BL372" s="13"/>
      <c r="BM372" s="14"/>
      <c r="BN372" s="15">
        <f t="shared" ref="BN372" si="348">SUM(BJ372:BM372)</f>
        <v>292</v>
      </c>
      <c r="BO372" s="66">
        <f>SUM(G372,L372,Q372,V372,AA372,AF372,AK372,AP372,AU372,AZ372,BE372,BJ372)</f>
        <v>1556</v>
      </c>
      <c r="BP372" s="13">
        <f>SUM(H372,M372,R372,W372,AB372,AG372,AL372,AQ372,AV372,BA372,BF372,BK372)</f>
        <v>0</v>
      </c>
      <c r="BQ372" s="13">
        <f>SUM(I372,N372,S372,X372,AC372,AH372,AM372,AR372,AW372,BB372,BG372,BL372)</f>
        <v>0</v>
      </c>
      <c r="BR372" s="14">
        <f>SUM(J372,O372,T372,Y372,AD372,AI372,AN372,AS372,AX372,BC372,BH372,BM372)</f>
        <v>0</v>
      </c>
      <c r="BS372" s="33">
        <f t="shared" si="263"/>
        <v>1556</v>
      </c>
    </row>
    <row r="373" spans="2:71" x14ac:dyDescent="0.3">
      <c r="B373" s="264"/>
      <c r="C373" s="223"/>
      <c r="D373" s="224"/>
      <c r="E373" s="210" t="s">
        <v>15</v>
      </c>
      <c r="F373" s="141" t="s">
        <v>39</v>
      </c>
      <c r="G373" s="30">
        <v>145</v>
      </c>
      <c r="H373" s="7">
        <v>9</v>
      </c>
      <c r="I373" s="7">
        <v>44</v>
      </c>
      <c r="J373" s="8"/>
      <c r="K373" s="9">
        <f t="shared" si="218"/>
        <v>198</v>
      </c>
      <c r="L373" s="30">
        <v>314</v>
      </c>
      <c r="M373" s="7">
        <v>27</v>
      </c>
      <c r="N373" s="7">
        <v>118</v>
      </c>
      <c r="O373" s="8"/>
      <c r="P373" s="9">
        <f t="shared" si="321"/>
        <v>459</v>
      </c>
      <c r="Q373" s="30">
        <v>216</v>
      </c>
      <c r="R373" s="7">
        <v>13</v>
      </c>
      <c r="S373" s="7">
        <v>89</v>
      </c>
      <c r="T373" s="8"/>
      <c r="U373" s="9">
        <f t="shared" si="322"/>
        <v>318</v>
      </c>
      <c r="V373" s="30">
        <v>441</v>
      </c>
      <c r="W373" s="7">
        <v>33</v>
      </c>
      <c r="X373" s="7">
        <v>183</v>
      </c>
      <c r="Y373" s="8"/>
      <c r="Z373" s="9">
        <f t="shared" si="323"/>
        <v>657</v>
      </c>
      <c r="AA373" s="30">
        <v>367</v>
      </c>
      <c r="AB373" s="7">
        <v>31</v>
      </c>
      <c r="AC373" s="7">
        <v>144</v>
      </c>
      <c r="AD373" s="8"/>
      <c r="AE373" s="9">
        <f t="shared" si="324"/>
        <v>542</v>
      </c>
      <c r="AF373" s="30">
        <v>433</v>
      </c>
      <c r="AG373" s="7">
        <v>43</v>
      </c>
      <c r="AH373" s="7">
        <v>189</v>
      </c>
      <c r="AI373" s="8"/>
      <c r="AJ373" s="9">
        <f t="shared" si="325"/>
        <v>665</v>
      </c>
      <c r="AK373" s="30"/>
      <c r="AL373" s="7"/>
      <c r="AM373" s="7"/>
      <c r="AN373" s="8"/>
      <c r="AO373" s="9">
        <f t="shared" si="326"/>
        <v>0</v>
      </c>
      <c r="AP373" s="30"/>
      <c r="AQ373" s="7"/>
      <c r="AR373" s="7"/>
      <c r="AS373" s="8"/>
      <c r="AT373" s="9">
        <f t="shared" si="327"/>
        <v>0</v>
      </c>
      <c r="AU373" s="30"/>
      <c r="AV373" s="7"/>
      <c r="AW373" s="7"/>
      <c r="AX373" s="8"/>
      <c r="AY373" s="9">
        <f t="shared" si="328"/>
        <v>0</v>
      </c>
      <c r="AZ373" s="30"/>
      <c r="BA373" s="7"/>
      <c r="BB373" s="7"/>
      <c r="BC373" s="8"/>
      <c r="BD373" s="9">
        <f t="shared" si="329"/>
        <v>0</v>
      </c>
      <c r="BE373" s="30"/>
      <c r="BF373" s="7"/>
      <c r="BG373" s="7"/>
      <c r="BH373" s="8"/>
      <c r="BI373" s="9">
        <f t="shared" si="330"/>
        <v>0</v>
      </c>
      <c r="BJ373" s="30"/>
      <c r="BK373" s="7"/>
      <c r="BL373" s="7"/>
      <c r="BM373" s="8"/>
      <c r="BN373" s="9">
        <f t="shared" si="331"/>
        <v>0</v>
      </c>
      <c r="BO373" s="65">
        <f>SUM(G373,L373,Q373,V373,AA373,AF373,AK373,AP373,AU373,AZ373,BE373,BJ373)</f>
        <v>1916</v>
      </c>
      <c r="BP373" s="7">
        <f>SUM(H373,M373,R373,W373,AB373,AG373,AL373,AQ373,AV373,BA373,BF373,BK373)</f>
        <v>156</v>
      </c>
      <c r="BQ373" s="7">
        <f>SUM(I373,N373,S373,X373,AC373,AH373,AM373,AR373,AW373,BB373,BG373,BL373)</f>
        <v>767</v>
      </c>
      <c r="BR373" s="8">
        <f>SUM(J373,O373,T373,Y373,AD373,AI373,AN373,AS373,AX373,BC373,BH373,BM373)</f>
        <v>0</v>
      </c>
      <c r="BS373" s="31">
        <f t="shared" si="263"/>
        <v>2839</v>
      </c>
    </row>
    <row r="374" spans="2:71" x14ac:dyDescent="0.3">
      <c r="B374" s="264"/>
      <c r="C374" s="223"/>
      <c r="D374" s="224"/>
      <c r="E374" s="211"/>
      <c r="F374" s="149" t="s">
        <v>40</v>
      </c>
      <c r="G374" s="34">
        <v>29</v>
      </c>
      <c r="H374" s="16">
        <v>3</v>
      </c>
      <c r="I374" s="16">
        <v>15</v>
      </c>
      <c r="J374" s="17"/>
      <c r="K374" s="18">
        <f t="shared" si="218"/>
        <v>47</v>
      </c>
      <c r="L374" s="34">
        <v>85</v>
      </c>
      <c r="M374" s="16">
        <v>3</v>
      </c>
      <c r="N374" s="16">
        <v>22</v>
      </c>
      <c r="O374" s="17"/>
      <c r="P374" s="18">
        <f t="shared" si="321"/>
        <v>110</v>
      </c>
      <c r="Q374" s="34">
        <v>73</v>
      </c>
      <c r="R374" s="16">
        <v>4</v>
      </c>
      <c r="S374" s="16">
        <v>21</v>
      </c>
      <c r="T374" s="17"/>
      <c r="U374" s="18">
        <f t="shared" si="322"/>
        <v>98</v>
      </c>
      <c r="V374" s="34">
        <v>229</v>
      </c>
      <c r="W374" s="16">
        <v>15</v>
      </c>
      <c r="X374" s="16">
        <v>63</v>
      </c>
      <c r="Y374" s="17"/>
      <c r="Z374" s="18">
        <f t="shared" si="323"/>
        <v>307</v>
      </c>
      <c r="AA374" s="34">
        <v>149</v>
      </c>
      <c r="AB374" s="16">
        <v>6</v>
      </c>
      <c r="AC374" s="16">
        <v>39</v>
      </c>
      <c r="AD374" s="17"/>
      <c r="AE374" s="18">
        <f t="shared" si="324"/>
        <v>194</v>
      </c>
      <c r="AF374" s="34">
        <v>146</v>
      </c>
      <c r="AG374" s="16">
        <v>10</v>
      </c>
      <c r="AH374" s="16">
        <v>56</v>
      </c>
      <c r="AI374" s="17"/>
      <c r="AJ374" s="18">
        <f t="shared" si="325"/>
        <v>212</v>
      </c>
      <c r="AK374" s="34"/>
      <c r="AL374" s="16"/>
      <c r="AM374" s="16"/>
      <c r="AN374" s="17"/>
      <c r="AO374" s="18">
        <f t="shared" si="326"/>
        <v>0</v>
      </c>
      <c r="AP374" s="34"/>
      <c r="AQ374" s="16"/>
      <c r="AR374" s="16"/>
      <c r="AS374" s="17"/>
      <c r="AT374" s="18">
        <f t="shared" si="327"/>
        <v>0</v>
      </c>
      <c r="AU374" s="34"/>
      <c r="AV374" s="16"/>
      <c r="AW374" s="16"/>
      <c r="AX374" s="17"/>
      <c r="AY374" s="18">
        <f t="shared" si="328"/>
        <v>0</v>
      </c>
      <c r="AZ374" s="34"/>
      <c r="BA374" s="16"/>
      <c r="BB374" s="16"/>
      <c r="BC374" s="17"/>
      <c r="BD374" s="18">
        <f t="shared" si="329"/>
        <v>0</v>
      </c>
      <c r="BE374" s="34"/>
      <c r="BF374" s="16"/>
      <c r="BG374" s="16"/>
      <c r="BH374" s="17"/>
      <c r="BI374" s="18">
        <f t="shared" si="330"/>
        <v>0</v>
      </c>
      <c r="BJ374" s="34"/>
      <c r="BK374" s="16"/>
      <c r="BL374" s="16"/>
      <c r="BM374" s="17"/>
      <c r="BN374" s="18">
        <f t="shared" si="331"/>
        <v>0</v>
      </c>
      <c r="BO374" s="70">
        <f>SUM(G374,L374,Q374,V374,AA374,AF374,AK374,AP374,AU374,AZ374,BE374,BJ374)</f>
        <v>711</v>
      </c>
      <c r="BP374" s="16">
        <f>SUM(H374,M374,R374,W374,AB374,AG374,AL374,AQ374,AV374,BA374,BF374,BK374)</f>
        <v>41</v>
      </c>
      <c r="BQ374" s="16">
        <f>SUM(I374,N374,S374,X374,AC374,AH374,AM374,AR374,AW374,BB374,BG374,BL374)</f>
        <v>216</v>
      </c>
      <c r="BR374" s="17">
        <f>SUM(J374,O374,T374,Y374,AD374,AI374,AN374,AS374,AX374,BC374,BH374,BM374)</f>
        <v>0</v>
      </c>
      <c r="BS374" s="35">
        <f t="shared" si="263"/>
        <v>968</v>
      </c>
    </row>
    <row r="375" spans="2:71" x14ac:dyDescent="0.3">
      <c r="B375" s="264"/>
      <c r="C375" s="223"/>
      <c r="D375" s="224"/>
      <c r="E375" s="211"/>
      <c r="F375" s="149" t="s">
        <v>423</v>
      </c>
      <c r="G375" s="34"/>
      <c r="H375" s="16"/>
      <c r="I375" s="16"/>
      <c r="J375" s="17"/>
      <c r="K375" s="18">
        <f t="shared" si="218"/>
        <v>0</v>
      </c>
      <c r="L375" s="34"/>
      <c r="M375" s="16"/>
      <c r="N375" s="16"/>
      <c r="O375" s="17"/>
      <c r="P375" s="18">
        <f t="shared" si="321"/>
        <v>0</v>
      </c>
      <c r="Q375" s="34"/>
      <c r="R375" s="16"/>
      <c r="S375" s="16"/>
      <c r="T375" s="17"/>
      <c r="U375" s="18">
        <f t="shared" si="322"/>
        <v>0</v>
      </c>
      <c r="V375" s="34"/>
      <c r="W375" s="16"/>
      <c r="X375" s="16"/>
      <c r="Y375" s="17"/>
      <c r="Z375" s="18">
        <f t="shared" si="323"/>
        <v>0</v>
      </c>
      <c r="AA375" s="34"/>
      <c r="AB375" s="16"/>
      <c r="AC375" s="16"/>
      <c r="AD375" s="17"/>
      <c r="AE375" s="18">
        <f t="shared" si="324"/>
        <v>0</v>
      </c>
      <c r="AF375" s="34"/>
      <c r="AG375" s="16"/>
      <c r="AH375" s="16"/>
      <c r="AI375" s="17"/>
      <c r="AJ375" s="18">
        <f t="shared" si="325"/>
        <v>0</v>
      </c>
      <c r="AK375" s="34">
        <v>145</v>
      </c>
      <c r="AL375" s="16">
        <v>22</v>
      </c>
      <c r="AM375" s="16">
        <v>86</v>
      </c>
      <c r="AN375" s="17"/>
      <c r="AO375" s="18">
        <f t="shared" si="326"/>
        <v>253</v>
      </c>
      <c r="AP375" s="34">
        <v>138</v>
      </c>
      <c r="AQ375" s="16">
        <v>7</v>
      </c>
      <c r="AR375" s="16">
        <v>64</v>
      </c>
      <c r="AS375" s="17"/>
      <c r="AT375" s="18">
        <f t="shared" si="327"/>
        <v>209</v>
      </c>
      <c r="AU375" s="34">
        <v>215</v>
      </c>
      <c r="AV375" s="16">
        <v>5</v>
      </c>
      <c r="AW375" s="16">
        <v>63</v>
      </c>
      <c r="AX375" s="17"/>
      <c r="AY375" s="18">
        <f t="shared" si="328"/>
        <v>283</v>
      </c>
      <c r="AZ375" s="34">
        <v>127</v>
      </c>
      <c r="BA375" s="16">
        <v>9</v>
      </c>
      <c r="BB375" s="16">
        <v>54</v>
      </c>
      <c r="BC375" s="17"/>
      <c r="BD375" s="18">
        <f t="shared" si="329"/>
        <v>190</v>
      </c>
      <c r="BE375" s="34">
        <v>64</v>
      </c>
      <c r="BF375" s="16">
        <v>4</v>
      </c>
      <c r="BG375" s="16">
        <v>24</v>
      </c>
      <c r="BH375" s="17"/>
      <c r="BI375" s="18">
        <f t="shared" si="330"/>
        <v>92</v>
      </c>
      <c r="BJ375" s="34">
        <v>90</v>
      </c>
      <c r="BK375" s="16">
        <v>3</v>
      </c>
      <c r="BL375" s="16">
        <v>58</v>
      </c>
      <c r="BM375" s="17"/>
      <c r="BN375" s="18">
        <f t="shared" ref="BN375:BN376" si="349">SUM(BJ375:BM375)</f>
        <v>151</v>
      </c>
      <c r="BO375" s="70">
        <f>SUM(G375,L375,Q375,V375,AA375,AF375,AK375,AP375,AU375,AZ375,BE375,BJ375)</f>
        <v>779</v>
      </c>
      <c r="BP375" s="16">
        <f>SUM(H375,M375,R375,W375,AB375,AG375,AL375,AQ375,AV375,BA375,BF375,BK375)</f>
        <v>50</v>
      </c>
      <c r="BQ375" s="16">
        <f>SUM(I375,N375,S375,X375,AC375,AH375,AM375,AR375,AW375,BB375,BG375,BL375)</f>
        <v>349</v>
      </c>
      <c r="BR375" s="17">
        <f>SUM(J375,O375,T375,Y375,AD375,AI375,AN375,AS375,AX375,BC375,BH375,BM375)</f>
        <v>0</v>
      </c>
      <c r="BS375" s="35">
        <f t="shared" ref="BS375:BS438" si="350">SUM(BO375:BR375)</f>
        <v>1178</v>
      </c>
    </row>
    <row r="376" spans="2:71" x14ac:dyDescent="0.3">
      <c r="B376" s="264"/>
      <c r="C376" s="223"/>
      <c r="D376" s="224"/>
      <c r="E376" s="212"/>
      <c r="F376" s="142" t="s">
        <v>424</v>
      </c>
      <c r="G376" s="32"/>
      <c r="H376" s="13"/>
      <c r="I376" s="13"/>
      <c r="J376" s="14"/>
      <c r="K376" s="15">
        <f t="shared" si="218"/>
        <v>0</v>
      </c>
      <c r="L376" s="32"/>
      <c r="M376" s="13"/>
      <c r="N376" s="13"/>
      <c r="O376" s="14"/>
      <c r="P376" s="15">
        <f t="shared" si="321"/>
        <v>0</v>
      </c>
      <c r="Q376" s="32"/>
      <c r="R376" s="13"/>
      <c r="S376" s="13"/>
      <c r="T376" s="14"/>
      <c r="U376" s="15">
        <f t="shared" si="322"/>
        <v>0</v>
      </c>
      <c r="V376" s="32"/>
      <c r="W376" s="13"/>
      <c r="X376" s="13"/>
      <c r="Y376" s="14"/>
      <c r="Z376" s="15">
        <f t="shared" si="323"/>
        <v>0</v>
      </c>
      <c r="AA376" s="32"/>
      <c r="AB376" s="13"/>
      <c r="AC376" s="13"/>
      <c r="AD376" s="14"/>
      <c r="AE376" s="15">
        <f t="shared" si="324"/>
        <v>0</v>
      </c>
      <c r="AF376" s="32"/>
      <c r="AG376" s="13"/>
      <c r="AH376" s="13"/>
      <c r="AI376" s="14"/>
      <c r="AJ376" s="15">
        <f t="shared" si="325"/>
        <v>0</v>
      </c>
      <c r="AK376" s="32">
        <v>67</v>
      </c>
      <c r="AL376" s="13">
        <v>12</v>
      </c>
      <c r="AM376" s="13">
        <v>38</v>
      </c>
      <c r="AN376" s="14"/>
      <c r="AO376" s="15">
        <f t="shared" si="326"/>
        <v>117</v>
      </c>
      <c r="AP376" s="32">
        <v>79</v>
      </c>
      <c r="AQ376" s="13">
        <v>13</v>
      </c>
      <c r="AR376" s="13">
        <v>21</v>
      </c>
      <c r="AS376" s="14"/>
      <c r="AT376" s="15">
        <f t="shared" si="327"/>
        <v>113</v>
      </c>
      <c r="AU376" s="32">
        <v>129</v>
      </c>
      <c r="AV376" s="13">
        <v>2</v>
      </c>
      <c r="AW376" s="13">
        <v>30</v>
      </c>
      <c r="AX376" s="14"/>
      <c r="AY376" s="15">
        <f t="shared" si="328"/>
        <v>161</v>
      </c>
      <c r="AZ376" s="32">
        <v>48</v>
      </c>
      <c r="BA376" s="13">
        <v>1</v>
      </c>
      <c r="BB376" s="13">
        <v>25</v>
      </c>
      <c r="BC376" s="14"/>
      <c r="BD376" s="15">
        <f t="shared" si="329"/>
        <v>74</v>
      </c>
      <c r="BE376" s="32">
        <v>42</v>
      </c>
      <c r="BF376" s="13"/>
      <c r="BG376" s="13">
        <v>9</v>
      </c>
      <c r="BH376" s="14"/>
      <c r="BI376" s="15">
        <f t="shared" si="330"/>
        <v>51</v>
      </c>
      <c r="BJ376" s="32">
        <v>9</v>
      </c>
      <c r="BK376" s="13"/>
      <c r="BL376" s="13">
        <v>1</v>
      </c>
      <c r="BM376" s="14"/>
      <c r="BN376" s="15">
        <f t="shared" si="349"/>
        <v>10</v>
      </c>
      <c r="BO376" s="66">
        <f>SUM(G376,L376,Q376,V376,AA376,AF376,AK376,AP376,AU376,AZ376,BE376,BJ376)</f>
        <v>374</v>
      </c>
      <c r="BP376" s="13">
        <f>SUM(H376,M376,R376,W376,AB376,AG376,AL376,AQ376,AV376,BA376,BF376,BK376)</f>
        <v>28</v>
      </c>
      <c r="BQ376" s="13">
        <f>SUM(I376,N376,S376,X376,AC376,AH376,AM376,AR376,AW376,BB376,BG376,BL376)</f>
        <v>124</v>
      </c>
      <c r="BR376" s="14">
        <f>SUM(J376,O376,T376,Y376,AD376,AI376,AN376,AS376,AX376,BC376,BH376,BM376)</f>
        <v>0</v>
      </c>
      <c r="BS376" s="33">
        <f t="shared" si="350"/>
        <v>526</v>
      </c>
    </row>
    <row r="377" spans="2:71" x14ac:dyDescent="0.3">
      <c r="B377" s="264"/>
      <c r="C377" s="223"/>
      <c r="D377" s="224"/>
      <c r="E377" s="210" t="s">
        <v>102</v>
      </c>
      <c r="F377" s="141" t="s">
        <v>100</v>
      </c>
      <c r="G377" s="30">
        <v>355</v>
      </c>
      <c r="H377" s="7"/>
      <c r="I377" s="7"/>
      <c r="J377" s="8"/>
      <c r="K377" s="9">
        <f t="shared" si="218"/>
        <v>355</v>
      </c>
      <c r="L377" s="30">
        <v>467</v>
      </c>
      <c r="M377" s="7"/>
      <c r="N377" s="7"/>
      <c r="O377" s="8"/>
      <c r="P377" s="9">
        <f t="shared" si="321"/>
        <v>467</v>
      </c>
      <c r="Q377" s="30">
        <v>246</v>
      </c>
      <c r="R377" s="7"/>
      <c r="S377" s="7"/>
      <c r="T377" s="8"/>
      <c r="U377" s="9">
        <f t="shared" si="322"/>
        <v>246</v>
      </c>
      <c r="V377" s="30">
        <v>672</v>
      </c>
      <c r="W377" s="7"/>
      <c r="X377" s="7"/>
      <c r="Y377" s="8"/>
      <c r="Z377" s="9">
        <f t="shared" si="323"/>
        <v>672</v>
      </c>
      <c r="AA377" s="30">
        <v>871</v>
      </c>
      <c r="AB377" s="7"/>
      <c r="AC377" s="7"/>
      <c r="AD377" s="8"/>
      <c r="AE377" s="9">
        <f t="shared" si="324"/>
        <v>871</v>
      </c>
      <c r="AF377" s="30">
        <v>914</v>
      </c>
      <c r="AG377" s="7"/>
      <c r="AH377" s="7"/>
      <c r="AI377" s="8"/>
      <c r="AJ377" s="9">
        <f t="shared" si="325"/>
        <v>914</v>
      </c>
      <c r="AK377" s="30">
        <v>414</v>
      </c>
      <c r="AL377" s="7"/>
      <c r="AM377" s="7"/>
      <c r="AN377" s="8"/>
      <c r="AO377" s="9">
        <f t="shared" si="326"/>
        <v>414</v>
      </c>
      <c r="AP377" s="30">
        <v>423</v>
      </c>
      <c r="AQ377" s="7"/>
      <c r="AR377" s="7"/>
      <c r="AS377" s="8"/>
      <c r="AT377" s="9">
        <f t="shared" si="327"/>
        <v>423</v>
      </c>
      <c r="AU377" s="30">
        <v>839</v>
      </c>
      <c r="AV377" s="7"/>
      <c r="AW377" s="7"/>
      <c r="AX377" s="8"/>
      <c r="AY377" s="9">
        <f t="shared" si="328"/>
        <v>839</v>
      </c>
      <c r="AZ377" s="30">
        <v>1005</v>
      </c>
      <c r="BA377" s="7"/>
      <c r="BB377" s="7"/>
      <c r="BC377" s="8"/>
      <c r="BD377" s="9">
        <f t="shared" si="329"/>
        <v>1005</v>
      </c>
      <c r="BE377" s="30">
        <v>857</v>
      </c>
      <c r="BF377" s="7"/>
      <c r="BG377" s="7"/>
      <c r="BH377" s="8"/>
      <c r="BI377" s="9">
        <f t="shared" si="330"/>
        <v>857</v>
      </c>
      <c r="BJ377" s="30">
        <v>549</v>
      </c>
      <c r="BK377" s="7"/>
      <c r="BL377" s="7"/>
      <c r="BM377" s="8"/>
      <c r="BN377" s="9">
        <f t="shared" si="331"/>
        <v>549</v>
      </c>
      <c r="BO377" s="65">
        <f>SUM(G377,L377,Q377,V377,AA377,AF377,AK377,AP377,AU377,AZ377,BE377,BJ377)</f>
        <v>7612</v>
      </c>
      <c r="BP377" s="7">
        <f>SUM(H377,M377,R377,W377,AB377,AG377,AL377,AQ377,AV377,BA377,BF377,BK377)</f>
        <v>0</v>
      </c>
      <c r="BQ377" s="7">
        <f>SUM(I377,N377,S377,X377,AC377,AH377,AM377,AR377,AW377,BB377,BG377,BL377)</f>
        <v>0</v>
      </c>
      <c r="BR377" s="8">
        <f>SUM(J377,O377,T377,Y377,AD377,AI377,AN377,AS377,AX377,BC377,BH377,BM377)</f>
        <v>0</v>
      </c>
      <c r="BS377" s="31">
        <f t="shared" si="350"/>
        <v>7612</v>
      </c>
    </row>
    <row r="378" spans="2:71" x14ac:dyDescent="0.3">
      <c r="B378" s="264"/>
      <c r="C378" s="223"/>
      <c r="D378" s="224"/>
      <c r="E378" s="211"/>
      <c r="F378" s="142" t="s">
        <v>101</v>
      </c>
      <c r="G378" s="32">
        <v>16</v>
      </c>
      <c r="H378" s="13"/>
      <c r="I378" s="13"/>
      <c r="J378" s="14"/>
      <c r="K378" s="15">
        <f t="shared" si="218"/>
        <v>16</v>
      </c>
      <c r="L378" s="32">
        <v>78</v>
      </c>
      <c r="M378" s="13"/>
      <c r="N378" s="13"/>
      <c r="O378" s="14"/>
      <c r="P378" s="15">
        <f t="shared" si="321"/>
        <v>78</v>
      </c>
      <c r="Q378" s="32">
        <v>64</v>
      </c>
      <c r="R378" s="13"/>
      <c r="S378" s="13"/>
      <c r="T378" s="14"/>
      <c r="U378" s="15">
        <f t="shared" si="322"/>
        <v>64</v>
      </c>
      <c r="V378" s="32">
        <v>159</v>
      </c>
      <c r="W378" s="13"/>
      <c r="X378" s="13"/>
      <c r="Y378" s="14"/>
      <c r="Z378" s="15">
        <f t="shared" si="323"/>
        <v>159</v>
      </c>
      <c r="AA378" s="32">
        <v>155</v>
      </c>
      <c r="AB378" s="13"/>
      <c r="AC378" s="13"/>
      <c r="AD378" s="14"/>
      <c r="AE378" s="15">
        <f t="shared" si="324"/>
        <v>155</v>
      </c>
      <c r="AF378" s="32">
        <v>188</v>
      </c>
      <c r="AG378" s="13"/>
      <c r="AH378" s="13"/>
      <c r="AI378" s="14"/>
      <c r="AJ378" s="15">
        <f t="shared" si="325"/>
        <v>188</v>
      </c>
      <c r="AK378" s="32">
        <v>159</v>
      </c>
      <c r="AL378" s="13"/>
      <c r="AM378" s="13"/>
      <c r="AN378" s="14"/>
      <c r="AO378" s="15">
        <f t="shared" si="326"/>
        <v>159</v>
      </c>
      <c r="AP378" s="32">
        <v>246</v>
      </c>
      <c r="AQ378" s="13"/>
      <c r="AR378" s="13"/>
      <c r="AS378" s="14"/>
      <c r="AT378" s="15">
        <f t="shared" si="327"/>
        <v>246</v>
      </c>
      <c r="AU378" s="32">
        <v>270</v>
      </c>
      <c r="AV378" s="13"/>
      <c r="AW378" s="13"/>
      <c r="AX378" s="14"/>
      <c r="AY378" s="15">
        <f t="shared" si="328"/>
        <v>270</v>
      </c>
      <c r="AZ378" s="32">
        <v>174</v>
      </c>
      <c r="BA378" s="13"/>
      <c r="BB378" s="13"/>
      <c r="BC378" s="14"/>
      <c r="BD378" s="15">
        <f t="shared" si="329"/>
        <v>174</v>
      </c>
      <c r="BE378" s="32">
        <v>255</v>
      </c>
      <c r="BF378" s="13"/>
      <c r="BG378" s="13"/>
      <c r="BH378" s="14"/>
      <c r="BI378" s="15">
        <f t="shared" si="330"/>
        <v>255</v>
      </c>
      <c r="BJ378" s="32">
        <v>161</v>
      </c>
      <c r="BK378" s="13"/>
      <c r="BL378" s="13"/>
      <c r="BM378" s="14"/>
      <c r="BN378" s="15">
        <f t="shared" si="331"/>
        <v>161</v>
      </c>
      <c r="BO378" s="66">
        <f>SUM(G378,L378,Q378,V378,AA378,AF378,AK378,AP378,AU378,AZ378,BE378,BJ378)</f>
        <v>1925</v>
      </c>
      <c r="BP378" s="13">
        <f>SUM(H378,M378,R378,W378,AB378,AG378,AL378,AQ378,AV378,BA378,BF378,BK378)</f>
        <v>0</v>
      </c>
      <c r="BQ378" s="13">
        <f>SUM(I378,N378,S378,X378,AC378,AH378,AM378,AR378,AW378,BB378,BG378,BL378)</f>
        <v>0</v>
      </c>
      <c r="BR378" s="14">
        <f>SUM(J378,O378,T378,Y378,AD378,AI378,AN378,AS378,AX378,BC378,BH378,BM378)</f>
        <v>0</v>
      </c>
      <c r="BS378" s="33">
        <f t="shared" si="350"/>
        <v>1925</v>
      </c>
    </row>
    <row r="379" spans="2:71" x14ac:dyDescent="0.3">
      <c r="B379" s="264"/>
      <c r="C379" s="223"/>
      <c r="D379" s="224"/>
      <c r="E379" s="211"/>
      <c r="F379" s="149" t="s">
        <v>119</v>
      </c>
      <c r="G379" s="34">
        <v>15</v>
      </c>
      <c r="H379" s="16"/>
      <c r="I379" s="16"/>
      <c r="J379" s="17"/>
      <c r="K379" s="18">
        <f t="shared" ref="K379:K442" si="351">SUM(G379:J379)</f>
        <v>15</v>
      </c>
      <c r="L379" s="34">
        <v>56</v>
      </c>
      <c r="M379" s="16"/>
      <c r="N379" s="16"/>
      <c r="O379" s="17"/>
      <c r="P379" s="18">
        <f t="shared" si="321"/>
        <v>56</v>
      </c>
      <c r="Q379" s="34">
        <v>7</v>
      </c>
      <c r="R379" s="16"/>
      <c r="S379" s="16"/>
      <c r="T379" s="17"/>
      <c r="U379" s="18">
        <f t="shared" si="322"/>
        <v>7</v>
      </c>
      <c r="V379" s="34">
        <v>12</v>
      </c>
      <c r="W379" s="16"/>
      <c r="X379" s="16"/>
      <c r="Y379" s="17"/>
      <c r="Z379" s="18">
        <f t="shared" si="323"/>
        <v>12</v>
      </c>
      <c r="AA379" s="34">
        <v>9</v>
      </c>
      <c r="AB379" s="16"/>
      <c r="AC379" s="16"/>
      <c r="AD379" s="17"/>
      <c r="AE379" s="18">
        <f t="shared" si="324"/>
        <v>9</v>
      </c>
      <c r="AF379" s="34">
        <v>12</v>
      </c>
      <c r="AG379" s="16"/>
      <c r="AH379" s="16"/>
      <c r="AI379" s="17"/>
      <c r="AJ379" s="18">
        <f t="shared" si="325"/>
        <v>12</v>
      </c>
      <c r="AK379" s="34"/>
      <c r="AL379" s="16"/>
      <c r="AM379" s="16"/>
      <c r="AN379" s="17"/>
      <c r="AO379" s="18">
        <f t="shared" si="326"/>
        <v>0</v>
      </c>
      <c r="AP379" s="34"/>
      <c r="AQ379" s="16"/>
      <c r="AR379" s="16"/>
      <c r="AS379" s="17"/>
      <c r="AT379" s="18">
        <f t="shared" si="327"/>
        <v>0</v>
      </c>
      <c r="AU379" s="34"/>
      <c r="AV379" s="16"/>
      <c r="AW379" s="16"/>
      <c r="AX379" s="17"/>
      <c r="AY379" s="18">
        <f t="shared" si="328"/>
        <v>0</v>
      </c>
      <c r="AZ379" s="34"/>
      <c r="BA379" s="16"/>
      <c r="BB379" s="16"/>
      <c r="BC379" s="17"/>
      <c r="BD379" s="18">
        <f t="shared" si="329"/>
        <v>0</v>
      </c>
      <c r="BE379" s="34"/>
      <c r="BF379" s="16"/>
      <c r="BG379" s="16"/>
      <c r="BH379" s="17"/>
      <c r="BI379" s="18">
        <f t="shared" si="330"/>
        <v>0</v>
      </c>
      <c r="BJ379" s="34"/>
      <c r="BK379" s="16"/>
      <c r="BL379" s="16"/>
      <c r="BM379" s="17"/>
      <c r="BN379" s="18">
        <f t="shared" si="331"/>
        <v>0</v>
      </c>
      <c r="BO379" s="70">
        <f>SUM(G379,L379,Q379,V379,AA379,AF379,AK379,AP379,AU379,AZ379,BE379,BJ379)</f>
        <v>111</v>
      </c>
      <c r="BP379" s="16">
        <f>SUM(H379,M379,R379,W379,AB379,AG379,AL379,AQ379,AV379,BA379,BF379,BK379)</f>
        <v>0</v>
      </c>
      <c r="BQ379" s="16">
        <f>SUM(I379,N379,S379,X379,AC379,AH379,AM379,AR379,AW379,BB379,BG379,BL379)</f>
        <v>0</v>
      </c>
      <c r="BR379" s="17">
        <f>SUM(J379,O379,T379,Y379,AD379,AI379,AN379,AS379,AX379,BC379,BH379,BM379)</f>
        <v>0</v>
      </c>
      <c r="BS379" s="35">
        <f t="shared" si="350"/>
        <v>111</v>
      </c>
    </row>
    <row r="380" spans="2:71" x14ac:dyDescent="0.3">
      <c r="B380" s="264"/>
      <c r="C380" s="223"/>
      <c r="D380" s="224"/>
      <c r="E380" s="212"/>
      <c r="F380" s="149" t="s">
        <v>557</v>
      </c>
      <c r="G380" s="34"/>
      <c r="H380" s="16"/>
      <c r="I380" s="16"/>
      <c r="J380" s="17"/>
      <c r="K380" s="18">
        <f t="shared" si="351"/>
        <v>0</v>
      </c>
      <c r="L380" s="34"/>
      <c r="M380" s="16"/>
      <c r="N380" s="16"/>
      <c r="O380" s="17"/>
      <c r="P380" s="18">
        <f t="shared" si="321"/>
        <v>0</v>
      </c>
      <c r="Q380" s="34"/>
      <c r="R380" s="16"/>
      <c r="S380" s="16"/>
      <c r="T380" s="17"/>
      <c r="U380" s="18">
        <f t="shared" si="322"/>
        <v>0</v>
      </c>
      <c r="V380" s="34"/>
      <c r="W380" s="16"/>
      <c r="X380" s="16"/>
      <c r="Y380" s="17"/>
      <c r="Z380" s="18">
        <f t="shared" si="323"/>
        <v>0</v>
      </c>
      <c r="AA380" s="34"/>
      <c r="AB380" s="16"/>
      <c r="AC380" s="16"/>
      <c r="AD380" s="17"/>
      <c r="AE380" s="18">
        <f t="shared" si="324"/>
        <v>0</v>
      </c>
      <c r="AF380" s="34"/>
      <c r="AG380" s="16"/>
      <c r="AH380" s="16"/>
      <c r="AI380" s="17"/>
      <c r="AJ380" s="18">
        <f t="shared" si="325"/>
        <v>0</v>
      </c>
      <c r="AK380" s="34">
        <v>299</v>
      </c>
      <c r="AL380" s="16"/>
      <c r="AM380" s="16"/>
      <c r="AN380" s="17"/>
      <c r="AO380" s="18">
        <f t="shared" si="326"/>
        <v>299</v>
      </c>
      <c r="AP380" s="34">
        <v>300</v>
      </c>
      <c r="AQ380" s="16"/>
      <c r="AR380" s="16"/>
      <c r="AS380" s="17"/>
      <c r="AT380" s="18">
        <f t="shared" si="327"/>
        <v>300</v>
      </c>
      <c r="AU380" s="34">
        <v>360</v>
      </c>
      <c r="AV380" s="16"/>
      <c r="AW380" s="16"/>
      <c r="AX380" s="17"/>
      <c r="AY380" s="18">
        <f t="shared" si="328"/>
        <v>360</v>
      </c>
      <c r="AZ380" s="34">
        <v>298</v>
      </c>
      <c r="BA380" s="16"/>
      <c r="BB380" s="16"/>
      <c r="BC380" s="17"/>
      <c r="BD380" s="18">
        <f t="shared" si="329"/>
        <v>298</v>
      </c>
      <c r="BE380" s="34">
        <v>198</v>
      </c>
      <c r="BF380" s="16"/>
      <c r="BG380" s="16"/>
      <c r="BH380" s="17"/>
      <c r="BI380" s="18">
        <f t="shared" si="330"/>
        <v>198</v>
      </c>
      <c r="BJ380" s="34">
        <v>332</v>
      </c>
      <c r="BK380" s="16"/>
      <c r="BL380" s="16"/>
      <c r="BM380" s="17"/>
      <c r="BN380" s="18">
        <f t="shared" ref="BN380" si="352">SUM(BJ380:BM380)</f>
        <v>332</v>
      </c>
      <c r="BO380" s="70">
        <f>SUM(G380,L380,Q380,V380,AA380,AF380,AK380,AP380,AU380,AZ380,BE380,BJ380)</f>
        <v>1787</v>
      </c>
      <c r="BP380" s="16">
        <f>SUM(H380,M380,R380,W380,AB380,AG380,AL380,AQ380,AV380,BA380,BF380,BK380)</f>
        <v>0</v>
      </c>
      <c r="BQ380" s="16">
        <f>SUM(I380,N380,S380,X380,AC380,AH380,AM380,AR380,AW380,BB380,BG380,BL380)</f>
        <v>0</v>
      </c>
      <c r="BR380" s="17">
        <f>SUM(J380,O380,T380,Y380,AD380,AI380,AN380,AS380,AX380,BC380,BH380,BM380)</f>
        <v>0</v>
      </c>
      <c r="BS380" s="35">
        <f t="shared" si="350"/>
        <v>1787</v>
      </c>
    </row>
    <row r="381" spans="2:71" x14ac:dyDescent="0.3">
      <c r="B381" s="264"/>
      <c r="C381" s="223"/>
      <c r="D381" s="224"/>
      <c r="E381" s="210" t="s">
        <v>5</v>
      </c>
      <c r="F381" s="141" t="s">
        <v>103</v>
      </c>
      <c r="G381" s="30">
        <v>972</v>
      </c>
      <c r="H381" s="7"/>
      <c r="I381" s="7"/>
      <c r="J381" s="8"/>
      <c r="K381" s="9">
        <f t="shared" si="351"/>
        <v>972</v>
      </c>
      <c r="L381" s="30">
        <v>308</v>
      </c>
      <c r="M381" s="7"/>
      <c r="N381" s="7"/>
      <c r="O381" s="8"/>
      <c r="P381" s="9">
        <f t="shared" si="321"/>
        <v>308</v>
      </c>
      <c r="Q381" s="30">
        <v>238</v>
      </c>
      <c r="R381" s="7"/>
      <c r="S381" s="7"/>
      <c r="T381" s="8"/>
      <c r="U381" s="9">
        <f t="shared" si="322"/>
        <v>238</v>
      </c>
      <c r="V381" s="30">
        <v>883</v>
      </c>
      <c r="W381" s="7"/>
      <c r="X381" s="7"/>
      <c r="Y381" s="8"/>
      <c r="Z381" s="9">
        <f t="shared" si="323"/>
        <v>883</v>
      </c>
      <c r="AA381" s="30">
        <v>913</v>
      </c>
      <c r="AB381" s="7"/>
      <c r="AC381" s="7"/>
      <c r="AD381" s="8"/>
      <c r="AE381" s="9">
        <f t="shared" si="324"/>
        <v>913</v>
      </c>
      <c r="AF381" s="30">
        <v>131</v>
      </c>
      <c r="AG381" s="7"/>
      <c r="AH381" s="7"/>
      <c r="AI381" s="8"/>
      <c r="AJ381" s="9">
        <f t="shared" si="325"/>
        <v>131</v>
      </c>
      <c r="AK381" s="30"/>
      <c r="AL381" s="7"/>
      <c r="AM381" s="7"/>
      <c r="AN381" s="8"/>
      <c r="AO381" s="9">
        <f t="shared" si="326"/>
        <v>0</v>
      </c>
      <c r="AP381" s="30">
        <v>11</v>
      </c>
      <c r="AQ381" s="7"/>
      <c r="AR381" s="7"/>
      <c r="AS381" s="8"/>
      <c r="AT381" s="9">
        <f t="shared" si="327"/>
        <v>11</v>
      </c>
      <c r="AU381" s="30">
        <v>284</v>
      </c>
      <c r="AV381" s="7"/>
      <c r="AW381" s="7"/>
      <c r="AX381" s="8"/>
      <c r="AY381" s="9">
        <f t="shared" si="328"/>
        <v>284</v>
      </c>
      <c r="AZ381" s="30">
        <v>1138</v>
      </c>
      <c r="BA381" s="7"/>
      <c r="BB381" s="7"/>
      <c r="BC381" s="8"/>
      <c r="BD381" s="9">
        <f t="shared" si="329"/>
        <v>1138</v>
      </c>
      <c r="BE381" s="30">
        <v>189</v>
      </c>
      <c r="BF381" s="7"/>
      <c r="BG381" s="7"/>
      <c r="BH381" s="8"/>
      <c r="BI381" s="9">
        <f t="shared" si="330"/>
        <v>189</v>
      </c>
      <c r="BJ381" s="30">
        <v>39</v>
      </c>
      <c r="BK381" s="7"/>
      <c r="BL381" s="7"/>
      <c r="BM381" s="8"/>
      <c r="BN381" s="9">
        <f t="shared" si="331"/>
        <v>39</v>
      </c>
      <c r="BO381" s="65">
        <f>SUM(G381,L381,Q381,V381,AA381,AF381,AK381,AP381,AU381,AZ381,BE381,BJ381)</f>
        <v>5106</v>
      </c>
      <c r="BP381" s="7">
        <f>SUM(H381,M381,R381,W381,AB381,AG381,AL381,AQ381,AV381,BA381,BF381,BK381)</f>
        <v>0</v>
      </c>
      <c r="BQ381" s="7">
        <f>SUM(I381,N381,S381,X381,AC381,AH381,AM381,AR381,AW381,BB381,BG381,BL381)</f>
        <v>0</v>
      </c>
      <c r="BR381" s="8">
        <f>SUM(J381,O381,T381,Y381,AD381,AI381,AN381,AS381,AX381,BC381,BH381,BM381)</f>
        <v>0</v>
      </c>
      <c r="BS381" s="31">
        <f t="shared" si="350"/>
        <v>5106</v>
      </c>
    </row>
    <row r="382" spans="2:71" x14ac:dyDescent="0.3">
      <c r="B382" s="264"/>
      <c r="C382" s="223"/>
      <c r="D382" s="224"/>
      <c r="E382" s="211"/>
      <c r="F382" s="142" t="s">
        <v>334</v>
      </c>
      <c r="G382" s="34"/>
      <c r="H382" s="16"/>
      <c r="I382" s="16"/>
      <c r="J382" s="17"/>
      <c r="K382" s="18">
        <f t="shared" si="351"/>
        <v>0</v>
      </c>
      <c r="L382" s="34"/>
      <c r="M382" s="16"/>
      <c r="N382" s="16"/>
      <c r="O382" s="17"/>
      <c r="P382" s="18">
        <f t="shared" si="321"/>
        <v>0</v>
      </c>
      <c r="Q382" s="34">
        <v>37</v>
      </c>
      <c r="R382" s="16"/>
      <c r="S382" s="16"/>
      <c r="T382" s="17"/>
      <c r="U382" s="18">
        <f t="shared" si="322"/>
        <v>37</v>
      </c>
      <c r="V382" s="34">
        <v>21</v>
      </c>
      <c r="W382" s="16"/>
      <c r="X382" s="16"/>
      <c r="Y382" s="17"/>
      <c r="Z382" s="18">
        <f t="shared" si="323"/>
        <v>21</v>
      </c>
      <c r="AA382" s="34"/>
      <c r="AB382" s="16"/>
      <c r="AC382" s="16"/>
      <c r="AD382" s="17"/>
      <c r="AE382" s="18">
        <f t="shared" si="324"/>
        <v>0</v>
      </c>
      <c r="AF382" s="34"/>
      <c r="AG382" s="16"/>
      <c r="AH382" s="16"/>
      <c r="AI382" s="17"/>
      <c r="AJ382" s="18">
        <f t="shared" si="325"/>
        <v>0</v>
      </c>
      <c r="AK382" s="34"/>
      <c r="AL382" s="16"/>
      <c r="AM382" s="16"/>
      <c r="AN382" s="17"/>
      <c r="AO382" s="18">
        <f t="shared" si="326"/>
        <v>0</v>
      </c>
      <c r="AP382" s="34"/>
      <c r="AQ382" s="16"/>
      <c r="AR382" s="16"/>
      <c r="AS382" s="17"/>
      <c r="AT382" s="18">
        <f t="shared" si="327"/>
        <v>0</v>
      </c>
      <c r="AU382" s="34">
        <v>10</v>
      </c>
      <c r="AV382" s="16"/>
      <c r="AW382" s="16"/>
      <c r="AX382" s="17"/>
      <c r="AY382" s="18">
        <f t="shared" si="328"/>
        <v>10</v>
      </c>
      <c r="AZ382" s="34"/>
      <c r="BA382" s="16"/>
      <c r="BB382" s="16"/>
      <c r="BC382" s="17"/>
      <c r="BD382" s="18">
        <f t="shared" si="329"/>
        <v>0</v>
      </c>
      <c r="BE382" s="34"/>
      <c r="BF382" s="16"/>
      <c r="BG382" s="16"/>
      <c r="BH382" s="17"/>
      <c r="BI382" s="18">
        <f t="shared" si="330"/>
        <v>0</v>
      </c>
      <c r="BJ382" s="34"/>
      <c r="BK382" s="16"/>
      <c r="BL382" s="16"/>
      <c r="BM382" s="17"/>
      <c r="BN382" s="18">
        <f t="shared" si="331"/>
        <v>0</v>
      </c>
      <c r="BO382" s="70">
        <f>SUM(G382,L382,Q382,V382,AA382,AF382,AK382,AP382,AU382,AZ382,BE382,BJ382)</f>
        <v>68</v>
      </c>
      <c r="BP382" s="16">
        <f>SUM(H382,M382,R382,W382,AB382,AG382,AL382,AQ382,AV382,BA382,BF382,BK382)</f>
        <v>0</v>
      </c>
      <c r="BQ382" s="16">
        <f>SUM(I382,N382,S382,X382,AC382,AH382,AM382,AR382,AW382,BB382,BG382,BL382)</f>
        <v>0</v>
      </c>
      <c r="BR382" s="17">
        <f>SUM(J382,O382,T382,Y382,AD382,AI382,AN382,AS382,AX382,BC382,BH382,BM382)</f>
        <v>0</v>
      </c>
      <c r="BS382" s="35">
        <f t="shared" si="350"/>
        <v>68</v>
      </c>
    </row>
    <row r="383" spans="2:71" x14ac:dyDescent="0.3">
      <c r="B383" s="264"/>
      <c r="C383" s="223"/>
      <c r="D383" s="224"/>
      <c r="E383" s="211"/>
      <c r="F383" s="142" t="s">
        <v>558</v>
      </c>
      <c r="G383" s="34"/>
      <c r="H383" s="16"/>
      <c r="I383" s="16"/>
      <c r="J383" s="17"/>
      <c r="K383" s="18">
        <f t="shared" si="351"/>
        <v>0</v>
      </c>
      <c r="L383" s="34"/>
      <c r="M383" s="16"/>
      <c r="N383" s="16"/>
      <c r="O383" s="17"/>
      <c r="P383" s="18">
        <f t="shared" si="321"/>
        <v>0</v>
      </c>
      <c r="Q383" s="34"/>
      <c r="R383" s="16"/>
      <c r="S383" s="16"/>
      <c r="T383" s="17"/>
      <c r="U383" s="18">
        <f t="shared" si="322"/>
        <v>0</v>
      </c>
      <c r="V383" s="34"/>
      <c r="W383" s="16"/>
      <c r="X383" s="16"/>
      <c r="Y383" s="17"/>
      <c r="Z383" s="18">
        <f t="shared" si="323"/>
        <v>0</v>
      </c>
      <c r="AA383" s="34"/>
      <c r="AB383" s="16"/>
      <c r="AC383" s="16"/>
      <c r="AD383" s="17"/>
      <c r="AE383" s="18">
        <f t="shared" si="324"/>
        <v>0</v>
      </c>
      <c r="AF383" s="34"/>
      <c r="AG383" s="16"/>
      <c r="AH383" s="16"/>
      <c r="AI383" s="17"/>
      <c r="AJ383" s="18">
        <f t="shared" si="325"/>
        <v>0</v>
      </c>
      <c r="AK383" s="34"/>
      <c r="AL383" s="16"/>
      <c r="AM383" s="16"/>
      <c r="AN383" s="17"/>
      <c r="AO383" s="18">
        <f t="shared" si="326"/>
        <v>0</v>
      </c>
      <c r="AP383" s="34"/>
      <c r="AQ383" s="16"/>
      <c r="AR383" s="16"/>
      <c r="AS383" s="17"/>
      <c r="AT383" s="18">
        <f t="shared" si="327"/>
        <v>0</v>
      </c>
      <c r="AU383" s="34">
        <v>631</v>
      </c>
      <c r="AV383" s="16"/>
      <c r="AW383" s="16"/>
      <c r="AX383" s="17"/>
      <c r="AY383" s="18">
        <f t="shared" si="328"/>
        <v>631</v>
      </c>
      <c r="AZ383" s="34"/>
      <c r="BA383" s="16"/>
      <c r="BB383" s="16"/>
      <c r="BC383" s="17"/>
      <c r="BD383" s="18">
        <f t="shared" si="329"/>
        <v>0</v>
      </c>
      <c r="BE383" s="34"/>
      <c r="BF383" s="16"/>
      <c r="BG383" s="16"/>
      <c r="BH383" s="17"/>
      <c r="BI383" s="18">
        <f t="shared" si="330"/>
        <v>0</v>
      </c>
      <c r="BJ383" s="34"/>
      <c r="BK383" s="16"/>
      <c r="BL383" s="16"/>
      <c r="BM383" s="17"/>
      <c r="BN383" s="18">
        <f t="shared" ref="BN383" si="353">SUM(BJ383:BM383)</f>
        <v>0</v>
      </c>
      <c r="BO383" s="70">
        <f>SUM(G383,L383,Q383,V383,AA383,AF383,AK383,AP383,AU383,AZ383,BE383,BJ383)</f>
        <v>631</v>
      </c>
      <c r="BP383" s="16">
        <f>SUM(H383,M383,R383,W383,AB383,AG383,AL383,AQ383,AV383,BA383,BF383,BK383)</f>
        <v>0</v>
      </c>
      <c r="BQ383" s="16">
        <f>SUM(I383,N383,S383,X383,AC383,AH383,AM383,AR383,AW383,BB383,BG383,BL383)</f>
        <v>0</v>
      </c>
      <c r="BR383" s="17">
        <f>SUM(J383,O383,T383,Y383,AD383,AI383,AN383,AS383,AX383,BC383,BH383,BM383)</f>
        <v>0</v>
      </c>
      <c r="BS383" s="35">
        <f t="shared" si="350"/>
        <v>631</v>
      </c>
    </row>
    <row r="384" spans="2:71" x14ac:dyDescent="0.3">
      <c r="B384" s="264"/>
      <c r="C384" s="223"/>
      <c r="D384" s="224"/>
      <c r="E384" s="212"/>
      <c r="F384" s="144" t="s">
        <v>559</v>
      </c>
      <c r="G384" s="36"/>
      <c r="H384" s="10"/>
      <c r="I384" s="10"/>
      <c r="J384" s="11"/>
      <c r="K384" s="12">
        <f t="shared" si="351"/>
        <v>0</v>
      </c>
      <c r="L384" s="36"/>
      <c r="M384" s="10"/>
      <c r="N384" s="10"/>
      <c r="O384" s="11"/>
      <c r="P384" s="12">
        <f t="shared" si="321"/>
        <v>0</v>
      </c>
      <c r="Q384" s="36"/>
      <c r="R384" s="10"/>
      <c r="S384" s="10"/>
      <c r="T384" s="11"/>
      <c r="U384" s="12">
        <f t="shared" si="322"/>
        <v>0</v>
      </c>
      <c r="V384" s="36"/>
      <c r="W384" s="10"/>
      <c r="X384" s="10"/>
      <c r="Y384" s="11"/>
      <c r="Z384" s="12">
        <f t="shared" si="323"/>
        <v>0</v>
      </c>
      <c r="AA384" s="36"/>
      <c r="AB384" s="10"/>
      <c r="AC384" s="10"/>
      <c r="AD384" s="11"/>
      <c r="AE384" s="12">
        <f t="shared" si="324"/>
        <v>0</v>
      </c>
      <c r="AF384" s="36"/>
      <c r="AG384" s="10"/>
      <c r="AH384" s="10"/>
      <c r="AI384" s="11"/>
      <c r="AJ384" s="12">
        <f t="shared" si="325"/>
        <v>0</v>
      </c>
      <c r="AK384" s="36"/>
      <c r="AL384" s="10"/>
      <c r="AM384" s="10"/>
      <c r="AN384" s="11"/>
      <c r="AO384" s="12">
        <f t="shared" si="326"/>
        <v>0</v>
      </c>
      <c r="AP384" s="36"/>
      <c r="AQ384" s="10"/>
      <c r="AR384" s="10"/>
      <c r="AS384" s="11"/>
      <c r="AT384" s="12">
        <f t="shared" si="327"/>
        <v>0</v>
      </c>
      <c r="AU384" s="36"/>
      <c r="AV384" s="10"/>
      <c r="AW384" s="10"/>
      <c r="AX384" s="11"/>
      <c r="AY384" s="12">
        <f t="shared" si="328"/>
        <v>0</v>
      </c>
      <c r="AZ384" s="36"/>
      <c r="BA384" s="10"/>
      <c r="BB384" s="10"/>
      <c r="BC384" s="11"/>
      <c r="BD384" s="12">
        <f t="shared" si="329"/>
        <v>0</v>
      </c>
      <c r="BE384" s="36">
        <v>2</v>
      </c>
      <c r="BF384" s="10"/>
      <c r="BG384" s="10"/>
      <c r="BH384" s="11"/>
      <c r="BI384" s="12">
        <f t="shared" si="330"/>
        <v>2</v>
      </c>
      <c r="BJ384" s="36"/>
      <c r="BK384" s="10"/>
      <c r="BL384" s="10"/>
      <c r="BM384" s="11"/>
      <c r="BN384" s="12">
        <f t="shared" si="331"/>
        <v>0</v>
      </c>
      <c r="BO384" s="71">
        <f>SUM(G384,L384,Q384,V384,AA384,AF384,AK384,AP384,AU384,AZ384,BE384,BJ384)</f>
        <v>2</v>
      </c>
      <c r="BP384" s="10">
        <f>SUM(H384,M384,R384,W384,AB384,AG384,AL384,AQ384,AV384,BA384,BF384,BK384)</f>
        <v>0</v>
      </c>
      <c r="BQ384" s="10">
        <f>SUM(I384,N384,S384,X384,AC384,AH384,AM384,AR384,AW384,BB384,BG384,BL384)</f>
        <v>0</v>
      </c>
      <c r="BR384" s="11">
        <f>SUM(J384,O384,T384,Y384,AD384,AI384,AN384,AS384,AX384,BC384,BH384,BM384)</f>
        <v>0</v>
      </c>
      <c r="BS384" s="37">
        <f t="shared" si="350"/>
        <v>2</v>
      </c>
    </row>
    <row r="385" spans="2:71" x14ac:dyDescent="0.3">
      <c r="B385" s="264"/>
      <c r="C385" s="225"/>
      <c r="D385" s="226"/>
      <c r="E385" s="115"/>
      <c r="F385" s="115" t="s">
        <v>4</v>
      </c>
      <c r="G385" s="159">
        <f>SUM(G367:G384)</f>
        <v>2087</v>
      </c>
      <c r="H385" s="160">
        <f>SUM(H367:H384)</f>
        <v>12</v>
      </c>
      <c r="I385" s="160">
        <f>SUM(I367:I384)</f>
        <v>59</v>
      </c>
      <c r="J385" s="161">
        <f>SUM(J367:J384)</f>
        <v>0</v>
      </c>
      <c r="K385" s="162">
        <f t="shared" si="351"/>
        <v>2158</v>
      </c>
      <c r="L385" s="159">
        <f>SUM(L367:L384)</f>
        <v>2256</v>
      </c>
      <c r="M385" s="160">
        <f>SUM(M367:M384)</f>
        <v>30</v>
      </c>
      <c r="N385" s="160">
        <f>SUM(N367:N384)</f>
        <v>140</v>
      </c>
      <c r="O385" s="161">
        <f>SUM(O367:O384)</f>
        <v>0</v>
      </c>
      <c r="P385" s="162">
        <f t="shared" si="321"/>
        <v>2426</v>
      </c>
      <c r="Q385" s="159">
        <f>SUM(Q367:Q384)</f>
        <v>1681</v>
      </c>
      <c r="R385" s="160">
        <f>SUM(R367:R384)</f>
        <v>17</v>
      </c>
      <c r="S385" s="160">
        <f>SUM(S367:S384)</f>
        <v>110</v>
      </c>
      <c r="T385" s="161">
        <f>SUM(T367:T384)</f>
        <v>0</v>
      </c>
      <c r="U385" s="162">
        <f t="shared" si="322"/>
        <v>1808</v>
      </c>
      <c r="V385" s="159">
        <f>SUM(V367:V384)</f>
        <v>3618</v>
      </c>
      <c r="W385" s="160">
        <f>SUM(W367:W384)</f>
        <v>48</v>
      </c>
      <c r="X385" s="160">
        <f>SUM(X367:X384)</f>
        <v>246</v>
      </c>
      <c r="Y385" s="161">
        <f>SUM(Y367:Y384)</f>
        <v>0</v>
      </c>
      <c r="Z385" s="162">
        <f t="shared" si="323"/>
        <v>3912</v>
      </c>
      <c r="AA385" s="159">
        <f>SUM(AA367:AA384)</f>
        <v>3429</v>
      </c>
      <c r="AB385" s="160">
        <f>SUM(AB367:AB384)</f>
        <v>37</v>
      </c>
      <c r="AC385" s="160">
        <f>SUM(AC367:AC384)</f>
        <v>183</v>
      </c>
      <c r="AD385" s="161">
        <f>SUM(AD367:AD384)</f>
        <v>0</v>
      </c>
      <c r="AE385" s="162">
        <f t="shared" si="324"/>
        <v>3649</v>
      </c>
      <c r="AF385" s="159">
        <f>SUM(AF367:AF384)</f>
        <v>3132</v>
      </c>
      <c r="AG385" s="160">
        <f>SUM(AG367:AG384)</f>
        <v>53</v>
      </c>
      <c r="AH385" s="160">
        <f>SUM(AH367:AH384)</f>
        <v>245</v>
      </c>
      <c r="AI385" s="161">
        <f>SUM(AI367:AI384)</f>
        <v>0</v>
      </c>
      <c r="AJ385" s="162">
        <f t="shared" si="325"/>
        <v>3430</v>
      </c>
      <c r="AK385" s="159">
        <f>SUM(AK367:AK384)</f>
        <v>2742</v>
      </c>
      <c r="AL385" s="160">
        <f>SUM(AL367:AL384)</f>
        <v>34</v>
      </c>
      <c r="AM385" s="160">
        <f>SUM(AM367:AM384)</f>
        <v>124</v>
      </c>
      <c r="AN385" s="161">
        <f>SUM(AN367:AN384)</f>
        <v>0</v>
      </c>
      <c r="AO385" s="162">
        <f t="shared" si="326"/>
        <v>2900</v>
      </c>
      <c r="AP385" s="159">
        <f>SUM(AP367:AP384)</f>
        <v>3014</v>
      </c>
      <c r="AQ385" s="160">
        <f>SUM(AQ367:AQ384)</f>
        <v>20</v>
      </c>
      <c r="AR385" s="160">
        <f>SUM(AR367:AR384)</f>
        <v>85</v>
      </c>
      <c r="AS385" s="161">
        <f>SUM(AS367:AS384)</f>
        <v>0</v>
      </c>
      <c r="AT385" s="162">
        <f t="shared" si="327"/>
        <v>3119</v>
      </c>
      <c r="AU385" s="159">
        <f>SUM(AU367:AU384)</f>
        <v>3781</v>
      </c>
      <c r="AV385" s="160">
        <f>SUM(AV367:AV384)</f>
        <v>7</v>
      </c>
      <c r="AW385" s="160">
        <f>SUM(AW367:AW384)</f>
        <v>93</v>
      </c>
      <c r="AX385" s="161">
        <f>SUM(AX367:AX384)</f>
        <v>0</v>
      </c>
      <c r="AY385" s="162">
        <f t="shared" si="328"/>
        <v>3881</v>
      </c>
      <c r="AZ385" s="159">
        <f>SUM(AZ367:AZ384)</f>
        <v>4427</v>
      </c>
      <c r="BA385" s="160">
        <f>SUM(BA367:BA384)</f>
        <v>10</v>
      </c>
      <c r="BB385" s="160">
        <f>SUM(BB367:BB384)</f>
        <v>79</v>
      </c>
      <c r="BC385" s="161">
        <f>SUM(BC367:BC384)</f>
        <v>0</v>
      </c>
      <c r="BD385" s="162">
        <f t="shared" si="329"/>
        <v>4516</v>
      </c>
      <c r="BE385" s="159">
        <f>SUM(BE367:BE384)</f>
        <v>2955</v>
      </c>
      <c r="BF385" s="160">
        <f>SUM(BF367:BF384)</f>
        <v>4</v>
      </c>
      <c r="BG385" s="160">
        <f>SUM(BG367:BG384)</f>
        <v>33</v>
      </c>
      <c r="BH385" s="161">
        <f>SUM(BH367:BH384)</f>
        <v>0</v>
      </c>
      <c r="BI385" s="162">
        <f t="shared" si="330"/>
        <v>2992</v>
      </c>
      <c r="BJ385" s="159">
        <f>SUM(BJ367:BJ384)</f>
        <v>2971</v>
      </c>
      <c r="BK385" s="160">
        <f>SUM(BK367:BK384)</f>
        <v>3</v>
      </c>
      <c r="BL385" s="160">
        <f>SUM(BL367:BL384)</f>
        <v>59</v>
      </c>
      <c r="BM385" s="161">
        <f>SUM(BM367:BM384)</f>
        <v>0</v>
      </c>
      <c r="BN385" s="162">
        <f t="shared" si="331"/>
        <v>3033</v>
      </c>
      <c r="BO385" s="164">
        <f>SUM(BO367:BO384)</f>
        <v>36093</v>
      </c>
      <c r="BP385" s="160">
        <f>SUM(BP367:BP384)</f>
        <v>275</v>
      </c>
      <c r="BQ385" s="160">
        <f>SUM(BQ367:BQ384)</f>
        <v>1456</v>
      </c>
      <c r="BR385" s="161">
        <f>SUM(BR367:BR384)</f>
        <v>0</v>
      </c>
      <c r="BS385" s="163">
        <f t="shared" si="350"/>
        <v>37824</v>
      </c>
    </row>
    <row r="386" spans="2:71" x14ac:dyDescent="0.3">
      <c r="B386" s="264"/>
      <c r="C386" s="227" t="s">
        <v>5</v>
      </c>
      <c r="D386" s="228"/>
      <c r="E386" s="228"/>
      <c r="F386" s="120" t="s">
        <v>104</v>
      </c>
      <c r="G386" s="147"/>
      <c r="H386" s="7"/>
      <c r="I386" s="7"/>
      <c r="J386" s="8">
        <v>1476</v>
      </c>
      <c r="K386" s="9">
        <f t="shared" si="351"/>
        <v>1476</v>
      </c>
      <c r="L386" s="147"/>
      <c r="M386" s="7"/>
      <c r="N386" s="7"/>
      <c r="O386" s="8">
        <v>2370</v>
      </c>
      <c r="P386" s="9">
        <f t="shared" si="321"/>
        <v>2370</v>
      </c>
      <c r="Q386" s="147"/>
      <c r="R386" s="7"/>
      <c r="S386" s="7"/>
      <c r="T386" s="8"/>
      <c r="U386" s="9">
        <f t="shared" si="322"/>
        <v>0</v>
      </c>
      <c r="V386" s="147"/>
      <c r="W386" s="7"/>
      <c r="X386" s="7"/>
      <c r="Y386" s="8"/>
      <c r="Z386" s="9">
        <f t="shared" si="323"/>
        <v>0</v>
      </c>
      <c r="AA386" s="147"/>
      <c r="AB386" s="7"/>
      <c r="AC386" s="7"/>
      <c r="AD386" s="8"/>
      <c r="AE386" s="9">
        <f t="shared" si="324"/>
        <v>0</v>
      </c>
      <c r="AF386" s="147"/>
      <c r="AG386" s="7"/>
      <c r="AH386" s="7"/>
      <c r="AI386" s="8"/>
      <c r="AJ386" s="9">
        <f t="shared" si="325"/>
        <v>0</v>
      </c>
      <c r="AK386" s="147"/>
      <c r="AL386" s="7"/>
      <c r="AM386" s="7"/>
      <c r="AN386" s="8"/>
      <c r="AO386" s="9">
        <f t="shared" si="326"/>
        <v>0</v>
      </c>
      <c r="AP386" s="147"/>
      <c r="AQ386" s="7"/>
      <c r="AR386" s="7"/>
      <c r="AS386" s="8"/>
      <c r="AT386" s="9">
        <f t="shared" si="327"/>
        <v>0</v>
      </c>
      <c r="AU386" s="147"/>
      <c r="AV386" s="7"/>
      <c r="AW386" s="7"/>
      <c r="AX386" s="8"/>
      <c r="AY386" s="9">
        <f t="shared" si="328"/>
        <v>0</v>
      </c>
      <c r="AZ386" s="147"/>
      <c r="BA386" s="7"/>
      <c r="BB386" s="7"/>
      <c r="BC386" s="8"/>
      <c r="BD386" s="9">
        <f t="shared" si="329"/>
        <v>0</v>
      </c>
      <c r="BE386" s="147"/>
      <c r="BF386" s="7"/>
      <c r="BG386" s="7"/>
      <c r="BH386" s="8"/>
      <c r="BI386" s="9">
        <f t="shared" si="330"/>
        <v>0</v>
      </c>
      <c r="BJ386" s="147"/>
      <c r="BK386" s="7"/>
      <c r="BL386" s="7"/>
      <c r="BM386" s="8"/>
      <c r="BN386" s="9">
        <f t="shared" si="331"/>
        <v>0</v>
      </c>
      <c r="BO386" s="65">
        <f>SUM(G386,L386,Q386,V386,AA386,AF386,AK386,AP386,AU386,AZ386,BE386,BJ386)</f>
        <v>0</v>
      </c>
      <c r="BP386" s="7">
        <f>SUM(H386,M386,R386,W386,AB386,AG386,AL386,AQ386,AV386,BA386,BF386,BK386)</f>
        <v>0</v>
      </c>
      <c r="BQ386" s="7">
        <f>SUM(I386,N386,S386,X386,AC386,AH386,AM386,AR386,AW386,BB386,BG386,BL386)</f>
        <v>0</v>
      </c>
      <c r="BR386" s="8">
        <f>SUM(J386,O386,T386,Y386,AD386,AI386,AN386,AS386,AX386,BC386,BH386,BM386)</f>
        <v>3846</v>
      </c>
      <c r="BS386" s="31">
        <f t="shared" si="350"/>
        <v>3846</v>
      </c>
    </row>
    <row r="387" spans="2:71" x14ac:dyDescent="0.3">
      <c r="B387" s="264"/>
      <c r="C387" s="223"/>
      <c r="D387" s="224"/>
      <c r="E387" s="224"/>
      <c r="F387" s="123" t="s">
        <v>105</v>
      </c>
      <c r="G387" s="34"/>
      <c r="H387" s="16"/>
      <c r="I387" s="16"/>
      <c r="J387" s="17">
        <v>73</v>
      </c>
      <c r="K387" s="18">
        <f t="shared" si="351"/>
        <v>73</v>
      </c>
      <c r="L387" s="34"/>
      <c r="M387" s="16"/>
      <c r="N387" s="16"/>
      <c r="O387" s="17">
        <v>122</v>
      </c>
      <c r="P387" s="18">
        <f t="shared" si="321"/>
        <v>122</v>
      </c>
      <c r="Q387" s="34"/>
      <c r="R387" s="16"/>
      <c r="S387" s="16"/>
      <c r="T387" s="17"/>
      <c r="U387" s="18">
        <f t="shared" si="322"/>
        <v>0</v>
      </c>
      <c r="V387" s="34"/>
      <c r="W387" s="16"/>
      <c r="X387" s="16"/>
      <c r="Y387" s="17"/>
      <c r="Z387" s="18">
        <f t="shared" si="323"/>
        <v>0</v>
      </c>
      <c r="AA387" s="34"/>
      <c r="AB387" s="16"/>
      <c r="AC387" s="16"/>
      <c r="AD387" s="17"/>
      <c r="AE387" s="18">
        <f t="shared" si="324"/>
        <v>0</v>
      </c>
      <c r="AF387" s="34"/>
      <c r="AG387" s="16"/>
      <c r="AH387" s="16"/>
      <c r="AI387" s="17"/>
      <c r="AJ387" s="18">
        <f t="shared" si="325"/>
        <v>0</v>
      </c>
      <c r="AK387" s="34"/>
      <c r="AL387" s="16"/>
      <c r="AM387" s="16"/>
      <c r="AN387" s="17"/>
      <c r="AO387" s="18">
        <f t="shared" si="326"/>
        <v>0</v>
      </c>
      <c r="AP387" s="34"/>
      <c r="AQ387" s="16"/>
      <c r="AR387" s="16"/>
      <c r="AS387" s="17"/>
      <c r="AT387" s="18">
        <f t="shared" si="327"/>
        <v>0</v>
      </c>
      <c r="AU387" s="34"/>
      <c r="AV387" s="16"/>
      <c r="AW387" s="16"/>
      <c r="AX387" s="17"/>
      <c r="AY387" s="18">
        <f t="shared" si="328"/>
        <v>0</v>
      </c>
      <c r="AZ387" s="34"/>
      <c r="BA387" s="16"/>
      <c r="BB387" s="16"/>
      <c r="BC387" s="17"/>
      <c r="BD387" s="18">
        <f t="shared" si="329"/>
        <v>0</v>
      </c>
      <c r="BE387" s="34"/>
      <c r="BF387" s="16"/>
      <c r="BG387" s="16"/>
      <c r="BH387" s="17"/>
      <c r="BI387" s="18">
        <f t="shared" si="330"/>
        <v>0</v>
      </c>
      <c r="BJ387" s="34"/>
      <c r="BK387" s="16"/>
      <c r="BL387" s="16"/>
      <c r="BM387" s="17"/>
      <c r="BN387" s="18">
        <f t="shared" si="331"/>
        <v>0</v>
      </c>
      <c r="BO387" s="70">
        <f>SUM(G387,L387,Q387,V387,AA387,AF387,AK387,AP387,AU387,AZ387,BE387,BJ387)</f>
        <v>0</v>
      </c>
      <c r="BP387" s="16">
        <f>SUM(H387,M387,R387,W387,AB387,AG387,AL387,AQ387,AV387,BA387,BF387,BK387)</f>
        <v>0</v>
      </c>
      <c r="BQ387" s="16">
        <f>SUM(I387,N387,S387,X387,AC387,AH387,AM387,AR387,AW387,BB387,BG387,BL387)</f>
        <v>0</v>
      </c>
      <c r="BR387" s="17">
        <f>SUM(J387,O387,T387,Y387,AD387,AI387,AN387,AS387,AX387,BC387,BH387,BM387)</f>
        <v>195</v>
      </c>
      <c r="BS387" s="35">
        <f t="shared" si="350"/>
        <v>195</v>
      </c>
    </row>
    <row r="388" spans="2:71" x14ac:dyDescent="0.3">
      <c r="B388" s="264"/>
      <c r="C388" s="223"/>
      <c r="D388" s="224"/>
      <c r="E388" s="224"/>
      <c r="F388" s="123" t="s">
        <v>269</v>
      </c>
      <c r="G388" s="170"/>
      <c r="H388" s="16"/>
      <c r="I388" s="16"/>
      <c r="J388" s="17"/>
      <c r="K388" s="18">
        <f t="shared" si="351"/>
        <v>0</v>
      </c>
      <c r="L388" s="170"/>
      <c r="M388" s="16"/>
      <c r="N388" s="16"/>
      <c r="O388" s="17"/>
      <c r="P388" s="18">
        <f t="shared" si="321"/>
        <v>0</v>
      </c>
      <c r="Q388" s="170"/>
      <c r="R388" s="16"/>
      <c r="S388" s="16"/>
      <c r="T388" s="17">
        <v>1951</v>
      </c>
      <c r="U388" s="18">
        <f t="shared" si="322"/>
        <v>1951</v>
      </c>
      <c r="V388" s="170"/>
      <c r="W388" s="16"/>
      <c r="X388" s="16"/>
      <c r="Y388" s="17">
        <v>3253</v>
      </c>
      <c r="Z388" s="18">
        <f t="shared" si="323"/>
        <v>3253</v>
      </c>
      <c r="AA388" s="170"/>
      <c r="AB388" s="16"/>
      <c r="AC388" s="16"/>
      <c r="AD388" s="17">
        <v>3079</v>
      </c>
      <c r="AE388" s="18">
        <f t="shared" si="324"/>
        <v>3079</v>
      </c>
      <c r="AF388" s="170"/>
      <c r="AG388" s="16"/>
      <c r="AH388" s="16"/>
      <c r="AI388" s="17">
        <v>2757</v>
      </c>
      <c r="AJ388" s="18">
        <f t="shared" si="325"/>
        <v>2757</v>
      </c>
      <c r="AK388" s="170"/>
      <c r="AL388" s="16"/>
      <c r="AM388" s="16"/>
      <c r="AN388" s="17">
        <v>1117</v>
      </c>
      <c r="AO388" s="18">
        <f t="shared" si="326"/>
        <v>1117</v>
      </c>
      <c r="AP388" s="170"/>
      <c r="AQ388" s="16"/>
      <c r="AR388" s="16"/>
      <c r="AS388" s="17">
        <v>1375</v>
      </c>
      <c r="AT388" s="18">
        <f t="shared" si="327"/>
        <v>1375</v>
      </c>
      <c r="AU388" s="170"/>
      <c r="AV388" s="16"/>
      <c r="AW388" s="16"/>
      <c r="AX388" s="17">
        <v>2621</v>
      </c>
      <c r="AY388" s="18">
        <f t="shared" si="328"/>
        <v>2621</v>
      </c>
      <c r="AZ388" s="170"/>
      <c r="BA388" s="16"/>
      <c r="BB388" s="16"/>
      <c r="BC388" s="17">
        <v>5789</v>
      </c>
      <c r="BD388" s="18">
        <f t="shared" si="329"/>
        <v>5789</v>
      </c>
      <c r="BE388" s="170"/>
      <c r="BF388" s="16"/>
      <c r="BG388" s="16"/>
      <c r="BH388" s="17">
        <v>2856</v>
      </c>
      <c r="BI388" s="18">
        <f t="shared" si="330"/>
        <v>2856</v>
      </c>
      <c r="BJ388" s="170"/>
      <c r="BK388" s="16"/>
      <c r="BL388" s="16"/>
      <c r="BM388" s="17">
        <v>710</v>
      </c>
      <c r="BN388" s="18">
        <f t="shared" si="331"/>
        <v>710</v>
      </c>
      <c r="BO388" s="70">
        <f>SUM(G388,L388,Q388,V388,AA388,AF388,AK388,AP388,AU388,AZ388,BE388,BJ388)</f>
        <v>0</v>
      </c>
      <c r="BP388" s="16">
        <f>SUM(H388,M388,R388,W388,AB388,AG388,AL388,AQ388,AV388,BA388,BF388,BK388)</f>
        <v>0</v>
      </c>
      <c r="BQ388" s="16">
        <f>SUM(I388,N388,S388,X388,AC388,AH388,AM388,AR388,AW388,BB388,BG388,BL388)</f>
        <v>0</v>
      </c>
      <c r="BR388" s="17">
        <f>SUM(J388,O388,T388,Y388,AD388,AI388,AN388,AS388,AX388,BC388,BH388,BM388)</f>
        <v>25508</v>
      </c>
      <c r="BS388" s="35">
        <f t="shared" si="350"/>
        <v>25508</v>
      </c>
    </row>
    <row r="389" spans="2:71" x14ac:dyDescent="0.3">
      <c r="B389" s="264"/>
      <c r="C389" s="223"/>
      <c r="D389" s="224"/>
      <c r="E389" s="224"/>
      <c r="F389" s="121" t="s">
        <v>270</v>
      </c>
      <c r="G389" s="32"/>
      <c r="H389" s="13"/>
      <c r="I389" s="13"/>
      <c r="J389" s="14"/>
      <c r="K389" s="15">
        <f t="shared" si="351"/>
        <v>0</v>
      </c>
      <c r="L389" s="32"/>
      <c r="M389" s="13"/>
      <c r="N389" s="13"/>
      <c r="O389" s="14"/>
      <c r="P389" s="15">
        <f t="shared" si="321"/>
        <v>0</v>
      </c>
      <c r="Q389" s="32"/>
      <c r="R389" s="13"/>
      <c r="S389" s="13"/>
      <c r="T389" s="14">
        <v>232</v>
      </c>
      <c r="U389" s="15">
        <f t="shared" si="322"/>
        <v>232</v>
      </c>
      <c r="V389" s="32"/>
      <c r="W389" s="13"/>
      <c r="X389" s="13"/>
      <c r="Y389" s="14">
        <v>580</v>
      </c>
      <c r="Z389" s="15">
        <f t="shared" si="323"/>
        <v>580</v>
      </c>
      <c r="AA389" s="32"/>
      <c r="AB389" s="13"/>
      <c r="AC389" s="13"/>
      <c r="AD389" s="14">
        <v>709</v>
      </c>
      <c r="AE389" s="15">
        <f t="shared" si="324"/>
        <v>709</v>
      </c>
      <c r="AF389" s="32"/>
      <c r="AG389" s="13"/>
      <c r="AH389" s="13"/>
      <c r="AI389" s="14">
        <v>666</v>
      </c>
      <c r="AJ389" s="15">
        <f t="shared" si="325"/>
        <v>666</v>
      </c>
      <c r="AK389" s="32"/>
      <c r="AL389" s="13"/>
      <c r="AM389" s="13"/>
      <c r="AN389" s="14">
        <v>321</v>
      </c>
      <c r="AO389" s="15">
        <f t="shared" si="326"/>
        <v>321</v>
      </c>
      <c r="AP389" s="32"/>
      <c r="AQ389" s="13"/>
      <c r="AR389" s="13"/>
      <c r="AS389" s="14">
        <v>635</v>
      </c>
      <c r="AT389" s="15">
        <f t="shared" si="327"/>
        <v>635</v>
      </c>
      <c r="AU389" s="32"/>
      <c r="AV389" s="13"/>
      <c r="AW389" s="13"/>
      <c r="AX389" s="14">
        <v>909</v>
      </c>
      <c r="AY389" s="15">
        <f t="shared" si="328"/>
        <v>909</v>
      </c>
      <c r="AZ389" s="32"/>
      <c r="BA389" s="13"/>
      <c r="BB389" s="13"/>
      <c r="BC389" s="14">
        <v>1114</v>
      </c>
      <c r="BD389" s="15">
        <f t="shared" si="329"/>
        <v>1114</v>
      </c>
      <c r="BE389" s="32"/>
      <c r="BF389" s="13"/>
      <c r="BG389" s="13"/>
      <c r="BH389" s="14">
        <v>644</v>
      </c>
      <c r="BI389" s="15">
        <f t="shared" si="330"/>
        <v>644</v>
      </c>
      <c r="BJ389" s="32"/>
      <c r="BK389" s="13"/>
      <c r="BL389" s="13"/>
      <c r="BM389" s="14">
        <v>116</v>
      </c>
      <c r="BN389" s="15">
        <f t="shared" si="331"/>
        <v>116</v>
      </c>
      <c r="BO389" s="66">
        <f>SUM(G389,L389,Q389,V389,AA389,AF389,AK389,AP389,AU389,AZ389,BE389,BJ389)</f>
        <v>0</v>
      </c>
      <c r="BP389" s="13">
        <f>SUM(H389,M389,R389,W389,AB389,AG389,AL389,AQ389,AV389,BA389,BF389,BK389)</f>
        <v>0</v>
      </c>
      <c r="BQ389" s="13">
        <f>SUM(I389,N389,S389,X389,AC389,AH389,AM389,AR389,AW389,BB389,BG389,BL389)</f>
        <v>0</v>
      </c>
      <c r="BR389" s="14">
        <f>SUM(J389,O389,T389,Y389,AD389,AI389,AN389,AS389,AX389,BC389,BH389,BM389)</f>
        <v>5926</v>
      </c>
      <c r="BS389" s="33">
        <f t="shared" si="350"/>
        <v>5926</v>
      </c>
    </row>
    <row r="390" spans="2:71" x14ac:dyDescent="0.3">
      <c r="B390" s="264"/>
      <c r="C390" s="223"/>
      <c r="D390" s="224"/>
      <c r="E390" s="224"/>
      <c r="F390" s="121" t="s">
        <v>106</v>
      </c>
      <c r="G390" s="32"/>
      <c r="H390" s="13"/>
      <c r="I390" s="13"/>
      <c r="J390" s="14">
        <v>88</v>
      </c>
      <c r="K390" s="15">
        <f t="shared" si="351"/>
        <v>88</v>
      </c>
      <c r="L390" s="32"/>
      <c r="M390" s="13"/>
      <c r="N390" s="13"/>
      <c r="O390" s="14">
        <v>80</v>
      </c>
      <c r="P390" s="15">
        <f t="shared" si="321"/>
        <v>80</v>
      </c>
      <c r="Q390" s="32"/>
      <c r="R390" s="13"/>
      <c r="S390" s="13"/>
      <c r="T390" s="14">
        <v>78</v>
      </c>
      <c r="U390" s="15">
        <f t="shared" si="322"/>
        <v>78</v>
      </c>
      <c r="V390" s="32"/>
      <c r="W390" s="13"/>
      <c r="X390" s="13"/>
      <c r="Y390" s="14">
        <v>129</v>
      </c>
      <c r="Z390" s="15">
        <f t="shared" si="323"/>
        <v>129</v>
      </c>
      <c r="AA390" s="32"/>
      <c r="AB390" s="13"/>
      <c r="AC390" s="13"/>
      <c r="AD390" s="14">
        <v>104</v>
      </c>
      <c r="AE390" s="15">
        <f t="shared" si="324"/>
        <v>104</v>
      </c>
      <c r="AF390" s="32"/>
      <c r="AG390" s="13"/>
      <c r="AH390" s="13"/>
      <c r="AI390" s="14">
        <v>154</v>
      </c>
      <c r="AJ390" s="15">
        <f t="shared" si="325"/>
        <v>154</v>
      </c>
      <c r="AK390" s="32"/>
      <c r="AL390" s="13"/>
      <c r="AM390" s="13"/>
      <c r="AN390" s="14">
        <v>36</v>
      </c>
      <c r="AO390" s="15">
        <f t="shared" si="326"/>
        <v>36</v>
      </c>
      <c r="AP390" s="32"/>
      <c r="AQ390" s="13"/>
      <c r="AR390" s="13"/>
      <c r="AS390" s="14">
        <v>55</v>
      </c>
      <c r="AT390" s="15">
        <f t="shared" si="327"/>
        <v>55</v>
      </c>
      <c r="AU390" s="32"/>
      <c r="AV390" s="13"/>
      <c r="AW390" s="13"/>
      <c r="AX390" s="14">
        <v>102</v>
      </c>
      <c r="AY390" s="15">
        <f t="shared" si="328"/>
        <v>102</v>
      </c>
      <c r="AZ390" s="32"/>
      <c r="BA390" s="13"/>
      <c r="BB390" s="13"/>
      <c r="BC390" s="14">
        <v>197</v>
      </c>
      <c r="BD390" s="15">
        <f t="shared" si="329"/>
        <v>197</v>
      </c>
      <c r="BE390" s="32"/>
      <c r="BF390" s="13"/>
      <c r="BG390" s="13"/>
      <c r="BH390" s="14">
        <v>168</v>
      </c>
      <c r="BI390" s="15">
        <f t="shared" si="330"/>
        <v>168</v>
      </c>
      <c r="BJ390" s="32"/>
      <c r="BK390" s="13"/>
      <c r="BL390" s="13"/>
      <c r="BM390" s="14">
        <v>25</v>
      </c>
      <c r="BN390" s="15">
        <f t="shared" si="331"/>
        <v>25</v>
      </c>
      <c r="BO390" s="66">
        <f>SUM(G390,L390,Q390,V390,AA390,AF390,AK390,AP390,AU390,AZ390,BE390,BJ390)</f>
        <v>0</v>
      </c>
      <c r="BP390" s="13">
        <f>SUM(H390,M390,R390,W390,AB390,AG390,AL390,AQ390,AV390,BA390,BF390,BK390)</f>
        <v>0</v>
      </c>
      <c r="BQ390" s="13">
        <f>SUM(I390,N390,S390,X390,AC390,AH390,AM390,AR390,AW390,BB390,BG390,BL390)</f>
        <v>0</v>
      </c>
      <c r="BR390" s="14">
        <f>SUM(J390,O390,T390,Y390,AD390,AI390,AN390,AS390,AX390,BC390,BH390,BM390)</f>
        <v>1216</v>
      </c>
      <c r="BS390" s="33">
        <f t="shared" si="350"/>
        <v>1216</v>
      </c>
    </row>
    <row r="391" spans="2:71" x14ac:dyDescent="0.3">
      <c r="B391" s="264"/>
      <c r="C391" s="223"/>
      <c r="D391" s="224"/>
      <c r="E391" s="224"/>
      <c r="F391" s="121" t="s">
        <v>415</v>
      </c>
      <c r="G391" s="32"/>
      <c r="H391" s="13"/>
      <c r="I391" s="13"/>
      <c r="J391" s="14">
        <v>1</v>
      </c>
      <c r="K391" s="15">
        <f t="shared" si="351"/>
        <v>1</v>
      </c>
      <c r="L391" s="32"/>
      <c r="M391" s="13"/>
      <c r="N391" s="13"/>
      <c r="O391" s="14"/>
      <c r="P391" s="15">
        <f t="shared" si="321"/>
        <v>0</v>
      </c>
      <c r="Q391" s="32"/>
      <c r="R391" s="13"/>
      <c r="S391" s="13"/>
      <c r="T391" s="14"/>
      <c r="U391" s="15">
        <f t="shared" si="322"/>
        <v>0</v>
      </c>
      <c r="V391" s="32"/>
      <c r="W391" s="13"/>
      <c r="X391" s="13"/>
      <c r="Y391" s="14"/>
      <c r="Z391" s="15">
        <f t="shared" si="323"/>
        <v>0</v>
      </c>
      <c r="AA391" s="32"/>
      <c r="AB391" s="13"/>
      <c r="AC391" s="13"/>
      <c r="AD391" s="14"/>
      <c r="AE391" s="15">
        <f t="shared" si="324"/>
        <v>0</v>
      </c>
      <c r="AF391" s="32"/>
      <c r="AG391" s="13"/>
      <c r="AH391" s="13"/>
      <c r="AI391" s="14"/>
      <c r="AJ391" s="15">
        <f t="shared" si="325"/>
        <v>0</v>
      </c>
      <c r="AK391" s="32"/>
      <c r="AL391" s="13"/>
      <c r="AM391" s="13"/>
      <c r="AN391" s="14"/>
      <c r="AO391" s="15">
        <f t="shared" si="326"/>
        <v>0</v>
      </c>
      <c r="AP391" s="32"/>
      <c r="AQ391" s="13"/>
      <c r="AR391" s="13"/>
      <c r="AS391" s="14"/>
      <c r="AT391" s="15">
        <f t="shared" si="327"/>
        <v>0</v>
      </c>
      <c r="AU391" s="32"/>
      <c r="AV391" s="13"/>
      <c r="AW391" s="13"/>
      <c r="AX391" s="14"/>
      <c r="AY391" s="15">
        <f t="shared" si="328"/>
        <v>0</v>
      </c>
      <c r="AZ391" s="32"/>
      <c r="BA391" s="13"/>
      <c r="BB391" s="13"/>
      <c r="BC391" s="14"/>
      <c r="BD391" s="15">
        <f t="shared" si="329"/>
        <v>0</v>
      </c>
      <c r="BE391" s="32"/>
      <c r="BF391" s="13"/>
      <c r="BG391" s="13"/>
      <c r="BH391" s="14"/>
      <c r="BI391" s="15">
        <f t="shared" si="330"/>
        <v>0</v>
      </c>
      <c r="BJ391" s="32"/>
      <c r="BK391" s="13"/>
      <c r="BL391" s="13"/>
      <c r="BM391" s="14"/>
      <c r="BN391" s="15">
        <f t="shared" si="331"/>
        <v>0</v>
      </c>
      <c r="BO391" s="66">
        <f>SUM(G391,L391,Q391,V391,AA391,AF391,AK391,AP391,AU391,AZ391,BE391,BJ391)</f>
        <v>0</v>
      </c>
      <c r="BP391" s="13">
        <f>SUM(H391,M391,R391,W391,AB391,AG391,AL391,AQ391,AV391,BA391,BF391,BK391)</f>
        <v>0</v>
      </c>
      <c r="BQ391" s="13">
        <f>SUM(I391,N391,S391,X391,AC391,AH391,AM391,AR391,AW391,BB391,BG391,BL391)</f>
        <v>0</v>
      </c>
      <c r="BR391" s="14">
        <f>SUM(J391,O391,T391,Y391,AD391,AI391,AN391,AS391,AX391,BC391,BH391,BM391)</f>
        <v>1</v>
      </c>
      <c r="BS391" s="33">
        <f t="shared" si="350"/>
        <v>1</v>
      </c>
    </row>
    <row r="392" spans="2:71" x14ac:dyDescent="0.3">
      <c r="B392" s="264"/>
      <c r="C392" s="223"/>
      <c r="D392" s="224"/>
      <c r="E392" s="224"/>
      <c r="F392" s="121" t="s">
        <v>560</v>
      </c>
      <c r="G392" s="32"/>
      <c r="H392" s="13"/>
      <c r="I392" s="13"/>
      <c r="J392" s="14"/>
      <c r="K392" s="15">
        <f t="shared" si="351"/>
        <v>0</v>
      </c>
      <c r="L392" s="32"/>
      <c r="M392" s="13"/>
      <c r="N392" s="13"/>
      <c r="O392" s="14"/>
      <c r="P392" s="15">
        <f t="shared" si="321"/>
        <v>0</v>
      </c>
      <c r="Q392" s="32"/>
      <c r="R392" s="13"/>
      <c r="S392" s="13"/>
      <c r="T392" s="14"/>
      <c r="U392" s="15">
        <f t="shared" si="322"/>
        <v>0</v>
      </c>
      <c r="V392" s="32"/>
      <c r="W392" s="13"/>
      <c r="X392" s="13"/>
      <c r="Y392" s="14"/>
      <c r="Z392" s="15">
        <f t="shared" si="323"/>
        <v>0</v>
      </c>
      <c r="AA392" s="32"/>
      <c r="AB392" s="13"/>
      <c r="AC392" s="13"/>
      <c r="AD392" s="14"/>
      <c r="AE392" s="15">
        <f t="shared" si="324"/>
        <v>0</v>
      </c>
      <c r="AF392" s="32"/>
      <c r="AG392" s="13"/>
      <c r="AH392" s="13"/>
      <c r="AI392" s="14"/>
      <c r="AJ392" s="15">
        <f t="shared" si="325"/>
        <v>0</v>
      </c>
      <c r="AK392" s="32"/>
      <c r="AL392" s="13"/>
      <c r="AM392" s="13"/>
      <c r="AN392" s="14"/>
      <c r="AO392" s="15">
        <f t="shared" si="326"/>
        <v>0</v>
      </c>
      <c r="AP392" s="32"/>
      <c r="AQ392" s="13"/>
      <c r="AR392" s="13"/>
      <c r="AS392" s="14"/>
      <c r="AT392" s="15">
        <f t="shared" si="327"/>
        <v>0</v>
      </c>
      <c r="AU392" s="32"/>
      <c r="AV392" s="13"/>
      <c r="AW392" s="13"/>
      <c r="AX392" s="14"/>
      <c r="AY392" s="15">
        <f t="shared" si="328"/>
        <v>0</v>
      </c>
      <c r="AZ392" s="32">
        <v>54</v>
      </c>
      <c r="BA392" s="13"/>
      <c r="BB392" s="13"/>
      <c r="BC392" s="14"/>
      <c r="BD392" s="15">
        <f t="shared" si="329"/>
        <v>54</v>
      </c>
      <c r="BE392" s="32">
        <v>24</v>
      </c>
      <c r="BF392" s="13"/>
      <c r="BG392" s="13"/>
      <c r="BH392" s="14"/>
      <c r="BI392" s="15">
        <f t="shared" si="330"/>
        <v>24</v>
      </c>
      <c r="BJ392" s="32"/>
      <c r="BK392" s="13"/>
      <c r="BL392" s="13"/>
      <c r="BM392" s="14"/>
      <c r="BN392" s="15">
        <f t="shared" si="331"/>
        <v>0</v>
      </c>
      <c r="BO392" s="66">
        <f>SUM(G392,L392,Q392,V392,AA392,AF392,AK392,AP392,AU392,AZ392,BE392,BJ392)</f>
        <v>78</v>
      </c>
      <c r="BP392" s="13">
        <f>SUM(H392,M392,R392,W392,AB392,AG392,AL392,AQ392,AV392,BA392,BF392,BK392)</f>
        <v>0</v>
      </c>
      <c r="BQ392" s="13">
        <f>SUM(I392,N392,S392,X392,AC392,AH392,AM392,AR392,AW392,BB392,BG392,BL392)</f>
        <v>0</v>
      </c>
      <c r="BR392" s="14">
        <f>SUM(J392,O392,T392,Y392,AD392,AI392,AN392,AS392,AX392,BC392,BH392,BM392)</f>
        <v>0</v>
      </c>
      <c r="BS392" s="33">
        <f t="shared" si="350"/>
        <v>78</v>
      </c>
    </row>
    <row r="393" spans="2:71" x14ac:dyDescent="0.3">
      <c r="B393" s="264"/>
      <c r="C393" s="225"/>
      <c r="D393" s="226"/>
      <c r="E393" s="226"/>
      <c r="F393" s="116" t="s">
        <v>4</v>
      </c>
      <c r="G393" s="54">
        <f>SUM(G386:G392)</f>
        <v>0</v>
      </c>
      <c r="H393" s="55">
        <f>SUM(H386:H392)</f>
        <v>0</v>
      </c>
      <c r="I393" s="55">
        <f>SUM(I386:I392)</f>
        <v>0</v>
      </c>
      <c r="J393" s="56">
        <f>SUM(J386:J392)</f>
        <v>1638</v>
      </c>
      <c r="K393" s="57">
        <f t="shared" si="351"/>
        <v>1638</v>
      </c>
      <c r="L393" s="54">
        <f>SUM(L386:L392)</f>
        <v>0</v>
      </c>
      <c r="M393" s="55">
        <f>SUM(M386:M392)</f>
        <v>0</v>
      </c>
      <c r="N393" s="55">
        <f>SUM(N386:N392)</f>
        <v>0</v>
      </c>
      <c r="O393" s="56">
        <f>SUM(O386:O392)</f>
        <v>2572</v>
      </c>
      <c r="P393" s="57">
        <f t="shared" si="321"/>
        <v>2572</v>
      </c>
      <c r="Q393" s="54">
        <f>SUM(Q386:Q392)</f>
        <v>0</v>
      </c>
      <c r="R393" s="55">
        <f>SUM(R386:R392)</f>
        <v>0</v>
      </c>
      <c r="S393" s="55">
        <f>SUM(S386:S392)</f>
        <v>0</v>
      </c>
      <c r="T393" s="56">
        <f>SUM(T386:T392)</f>
        <v>2261</v>
      </c>
      <c r="U393" s="57">
        <f t="shared" si="322"/>
        <v>2261</v>
      </c>
      <c r="V393" s="54">
        <f>SUM(V386:V392)</f>
        <v>0</v>
      </c>
      <c r="W393" s="55">
        <f>SUM(W386:W392)</f>
        <v>0</v>
      </c>
      <c r="X393" s="55">
        <f>SUM(X386:X392)</f>
        <v>0</v>
      </c>
      <c r="Y393" s="56">
        <f>SUM(Y386:Y392)</f>
        <v>3962</v>
      </c>
      <c r="Z393" s="57">
        <f t="shared" si="323"/>
        <v>3962</v>
      </c>
      <c r="AA393" s="54">
        <f>SUM(AA386:AA392)</f>
        <v>0</v>
      </c>
      <c r="AB393" s="55">
        <f>SUM(AB386:AB392)</f>
        <v>0</v>
      </c>
      <c r="AC393" s="55">
        <f>SUM(AC386:AC392)</f>
        <v>0</v>
      </c>
      <c r="AD393" s="56">
        <f>SUM(AD386:AD392)</f>
        <v>3892</v>
      </c>
      <c r="AE393" s="57">
        <f t="shared" si="324"/>
        <v>3892</v>
      </c>
      <c r="AF393" s="54">
        <f>SUM(AF386:AF392)</f>
        <v>0</v>
      </c>
      <c r="AG393" s="55">
        <f>SUM(AG386:AG392)</f>
        <v>0</v>
      </c>
      <c r="AH393" s="55">
        <f>SUM(AH386:AH392)</f>
        <v>0</v>
      </c>
      <c r="AI393" s="56">
        <f>SUM(AI386:AI392)</f>
        <v>3577</v>
      </c>
      <c r="AJ393" s="57">
        <f t="shared" si="325"/>
        <v>3577</v>
      </c>
      <c r="AK393" s="54">
        <f>SUM(AK386:AK392)</f>
        <v>0</v>
      </c>
      <c r="AL393" s="55">
        <f>SUM(AL386:AL392)</f>
        <v>0</v>
      </c>
      <c r="AM393" s="55">
        <f>SUM(AM386:AM392)</f>
        <v>0</v>
      </c>
      <c r="AN393" s="56">
        <f>SUM(AN386:AN392)</f>
        <v>1474</v>
      </c>
      <c r="AO393" s="57">
        <f t="shared" si="326"/>
        <v>1474</v>
      </c>
      <c r="AP393" s="54">
        <f>SUM(AP386:AP392)</f>
        <v>0</v>
      </c>
      <c r="AQ393" s="55">
        <f>SUM(AQ386:AQ392)</f>
        <v>0</v>
      </c>
      <c r="AR393" s="55">
        <f>SUM(AR386:AR392)</f>
        <v>0</v>
      </c>
      <c r="AS393" s="56">
        <f>SUM(AS386:AS392)</f>
        <v>2065</v>
      </c>
      <c r="AT393" s="57">
        <f t="shared" si="327"/>
        <v>2065</v>
      </c>
      <c r="AU393" s="54">
        <f>SUM(AU386:AU392)</f>
        <v>0</v>
      </c>
      <c r="AV393" s="55">
        <f>SUM(AV386:AV392)</f>
        <v>0</v>
      </c>
      <c r="AW393" s="55">
        <f>SUM(AW386:AW392)</f>
        <v>0</v>
      </c>
      <c r="AX393" s="56">
        <f>SUM(AX386:AX392)</f>
        <v>3632</v>
      </c>
      <c r="AY393" s="57">
        <f t="shared" si="328"/>
        <v>3632</v>
      </c>
      <c r="AZ393" s="54">
        <f>SUM(AZ386:AZ392)</f>
        <v>54</v>
      </c>
      <c r="BA393" s="55">
        <f>SUM(BA386:BA392)</f>
        <v>0</v>
      </c>
      <c r="BB393" s="55">
        <f>SUM(BB386:BB392)</f>
        <v>0</v>
      </c>
      <c r="BC393" s="56">
        <f>SUM(BC386:BC392)</f>
        <v>7100</v>
      </c>
      <c r="BD393" s="57">
        <f t="shared" si="329"/>
        <v>7154</v>
      </c>
      <c r="BE393" s="54">
        <f>SUM(BE386:BE392)</f>
        <v>24</v>
      </c>
      <c r="BF393" s="55">
        <f>SUM(BF386:BF392)</f>
        <v>0</v>
      </c>
      <c r="BG393" s="55">
        <f>SUM(BG386:BG392)</f>
        <v>0</v>
      </c>
      <c r="BH393" s="56">
        <f>SUM(BH386:BH392)</f>
        <v>3668</v>
      </c>
      <c r="BI393" s="57">
        <f t="shared" si="330"/>
        <v>3692</v>
      </c>
      <c r="BJ393" s="54">
        <f>SUM(BJ386:BJ392)</f>
        <v>0</v>
      </c>
      <c r="BK393" s="55">
        <f>SUM(BK386:BK392)</f>
        <v>0</v>
      </c>
      <c r="BL393" s="55">
        <f>SUM(BL386:BL392)</f>
        <v>0</v>
      </c>
      <c r="BM393" s="56">
        <f>SUM(BM386:BM392)</f>
        <v>851</v>
      </c>
      <c r="BN393" s="57">
        <f t="shared" si="331"/>
        <v>851</v>
      </c>
      <c r="BO393" s="72">
        <f>SUM(BO386:BO392)</f>
        <v>78</v>
      </c>
      <c r="BP393" s="55">
        <f>SUM(BP386:BP392)</f>
        <v>0</v>
      </c>
      <c r="BQ393" s="55">
        <f>SUM(BQ386:BQ392)</f>
        <v>0</v>
      </c>
      <c r="BR393" s="56">
        <f>SUM(BR386:BR392)</f>
        <v>36692</v>
      </c>
      <c r="BS393" s="58">
        <f t="shared" si="350"/>
        <v>36770</v>
      </c>
    </row>
    <row r="394" spans="2:71" s="75" customFormat="1" ht="22.5" customHeight="1" thickBot="1" x14ac:dyDescent="0.35">
      <c r="B394" s="265"/>
      <c r="C394" s="261" t="s">
        <v>22</v>
      </c>
      <c r="D394" s="261"/>
      <c r="E394" s="261"/>
      <c r="F394" s="262"/>
      <c r="G394" s="81">
        <f>SUM(G338,G356,G366,G385,G393)</f>
        <v>2484</v>
      </c>
      <c r="H394" s="82">
        <f>SUM(H338,H356,H366,H385,H393)</f>
        <v>941</v>
      </c>
      <c r="I394" s="82">
        <f>SUM(I338,I356,I366,I385,I393)</f>
        <v>244</v>
      </c>
      <c r="J394" s="83">
        <f>SUM(J338,J356,J366,J385,J393)</f>
        <v>24421</v>
      </c>
      <c r="K394" s="84">
        <f t="shared" si="351"/>
        <v>28090</v>
      </c>
      <c r="L394" s="81">
        <f>SUM(L338,L356,L366,L385,L393)</f>
        <v>3735</v>
      </c>
      <c r="M394" s="82">
        <f>SUM(M338,M356,M366,M385,M393)</f>
        <v>30</v>
      </c>
      <c r="N394" s="82">
        <f>SUM(N338,N356,N366,N385,N393)</f>
        <v>148</v>
      </c>
      <c r="O394" s="83">
        <f>SUM(O338,O356,O366,O385,O393)</f>
        <v>15818</v>
      </c>
      <c r="P394" s="84">
        <f t="shared" si="321"/>
        <v>19731</v>
      </c>
      <c r="Q394" s="81">
        <f>SUM(Q338,Q356,Q366,Q385,Q393)</f>
        <v>1817</v>
      </c>
      <c r="R394" s="82">
        <f>SUM(R338,R356,R366,R385,R393)</f>
        <v>1180</v>
      </c>
      <c r="S394" s="82">
        <f>SUM(S338,S356,S366,S385,S393)</f>
        <v>110</v>
      </c>
      <c r="T394" s="83">
        <f>SUM(T338,T356,T366,T385,T393)</f>
        <v>6234</v>
      </c>
      <c r="U394" s="84">
        <f t="shared" si="322"/>
        <v>9341</v>
      </c>
      <c r="V394" s="81">
        <f>SUM(V338,V356,V366,V385,V393)</f>
        <v>4525</v>
      </c>
      <c r="W394" s="82">
        <f>SUM(W338,W356,W366,W385,W393)</f>
        <v>12305</v>
      </c>
      <c r="X394" s="82">
        <f>SUM(X338,X356,X366,X385,X393)</f>
        <v>7566</v>
      </c>
      <c r="Y394" s="83">
        <f>SUM(Y338,Y356,Y366,Y385,Y393)</f>
        <v>17294</v>
      </c>
      <c r="Z394" s="84">
        <f t="shared" si="323"/>
        <v>41690</v>
      </c>
      <c r="AA394" s="81">
        <f>SUM(AA338,AA356,AA366,AA385,AA393)</f>
        <v>4313</v>
      </c>
      <c r="AB394" s="82">
        <f>SUM(AB338,AB356,AB366,AB385,AB393)</f>
        <v>36733</v>
      </c>
      <c r="AC394" s="82">
        <f>SUM(AC338,AC356,AC366,AC385,AC393)</f>
        <v>9652</v>
      </c>
      <c r="AD394" s="83">
        <f>SUM(AD338,AD356,AD366,AD385,AD393)</f>
        <v>16517</v>
      </c>
      <c r="AE394" s="84">
        <f t="shared" si="324"/>
        <v>67215</v>
      </c>
      <c r="AF394" s="81">
        <f>SUM(AF338,AF356,AF366,AF385,AF393)</f>
        <v>3647</v>
      </c>
      <c r="AG394" s="82">
        <f>SUM(AG338,AG356,AG366,AG385,AG393)</f>
        <v>3582</v>
      </c>
      <c r="AH394" s="82">
        <f>SUM(AH338,AH356,AH366,AH385,AH393)</f>
        <v>1936</v>
      </c>
      <c r="AI394" s="83">
        <f>SUM(AI338,AI356,AI366,AI385,AI393)</f>
        <v>7505</v>
      </c>
      <c r="AJ394" s="84">
        <f t="shared" si="325"/>
        <v>16670</v>
      </c>
      <c r="AK394" s="81">
        <f>SUM(AK338,AK356,AK366,AK385,AK393)</f>
        <v>2798</v>
      </c>
      <c r="AL394" s="82">
        <f>SUM(AL338,AL356,AL366,AL385,AL393)</f>
        <v>335</v>
      </c>
      <c r="AM394" s="82">
        <f>SUM(AM338,AM356,AM366,AM385,AM393)</f>
        <v>124</v>
      </c>
      <c r="AN394" s="83">
        <f>SUM(AN338,AN356,AN366,AN385,AN393)</f>
        <v>2739</v>
      </c>
      <c r="AO394" s="84">
        <f t="shared" si="326"/>
        <v>5996</v>
      </c>
      <c r="AP394" s="81">
        <f>SUM(AP338,AP356,AP366,AP385,AP393)</f>
        <v>3385</v>
      </c>
      <c r="AQ394" s="82">
        <f>SUM(AQ338,AQ356,AQ366,AQ385,AQ393)</f>
        <v>89</v>
      </c>
      <c r="AR394" s="82">
        <f>SUM(AR338,AR356,AR366,AR385,AR393)</f>
        <v>179</v>
      </c>
      <c r="AS394" s="83">
        <f>SUM(AS338,AS356,AS366,AS385,AS393)</f>
        <v>3746</v>
      </c>
      <c r="AT394" s="84">
        <f t="shared" si="327"/>
        <v>7399</v>
      </c>
      <c r="AU394" s="81">
        <f>SUM(AU338,AU356,AU366,AU385,AU393)</f>
        <v>6103</v>
      </c>
      <c r="AV394" s="82">
        <f>SUM(AV338,AV356,AV366,AV385,AV393)</f>
        <v>8631</v>
      </c>
      <c r="AW394" s="82">
        <f>SUM(AW338,AW356,AW366,AW385,AW393)</f>
        <v>7445</v>
      </c>
      <c r="AX394" s="83">
        <f>SUM(AX338,AX356,AX366,AX385,AX393)</f>
        <v>11378</v>
      </c>
      <c r="AY394" s="84">
        <f t="shared" si="328"/>
        <v>33557</v>
      </c>
      <c r="AZ394" s="81">
        <f>SUM(AZ338,AZ356,AZ366,AZ385,AZ393)</f>
        <v>6081</v>
      </c>
      <c r="BA394" s="82">
        <f>SUM(BA338,BA356,BA366,BA385,BA393)</f>
        <v>35475</v>
      </c>
      <c r="BB394" s="82">
        <f>SUM(BB338,BB356,BB366,BB385,BB393)</f>
        <v>12672</v>
      </c>
      <c r="BC394" s="83">
        <f>SUM(BC338,BC356,BC366,BC385,BC393)</f>
        <v>30245</v>
      </c>
      <c r="BD394" s="84">
        <f t="shared" si="329"/>
        <v>84473</v>
      </c>
      <c r="BE394" s="81">
        <f>SUM(BE338,BE356,BE366,BE385,BE393)</f>
        <v>4430</v>
      </c>
      <c r="BF394" s="82">
        <f>SUM(BF338,BF356,BF366,BF385,BF393)</f>
        <v>4819</v>
      </c>
      <c r="BG394" s="82">
        <f>SUM(BG338,BG356,BG366,BG385,BG393)</f>
        <v>1835</v>
      </c>
      <c r="BH394" s="83">
        <f>SUM(BH338,BH356,BH366,BH385,BH393)</f>
        <v>15394</v>
      </c>
      <c r="BI394" s="84">
        <f t="shared" si="330"/>
        <v>26478</v>
      </c>
      <c r="BJ394" s="81">
        <f>SUM(BJ338,BJ356,BJ366,BJ385,BJ393)</f>
        <v>3433</v>
      </c>
      <c r="BK394" s="82">
        <f>SUM(BK338,BK356,BK366,BK385,BK393)</f>
        <v>1101</v>
      </c>
      <c r="BL394" s="82">
        <f>SUM(BL338,BL356,BL366,BL385,BL393)</f>
        <v>659</v>
      </c>
      <c r="BM394" s="83">
        <f>SUM(BM338,BM356,BM366,BM385,BM393)</f>
        <v>5145</v>
      </c>
      <c r="BN394" s="84">
        <f t="shared" si="331"/>
        <v>10338</v>
      </c>
      <c r="BO394" s="105">
        <f>SUM(BO338,BO356,BO366,BO385,BO393)</f>
        <v>46751</v>
      </c>
      <c r="BP394" s="82">
        <f>SUM(BP338,BP356,BP366,BP385,BP393)</f>
        <v>105221</v>
      </c>
      <c r="BQ394" s="82">
        <f>SUM(BQ338,BQ356,BQ366,BQ385,BQ393)</f>
        <v>42570</v>
      </c>
      <c r="BR394" s="83">
        <f>SUM(BR338,BR356,BR366,BR385,BR393)</f>
        <v>156436</v>
      </c>
      <c r="BS394" s="85">
        <f t="shared" si="350"/>
        <v>350978</v>
      </c>
    </row>
    <row r="395" spans="2:71" x14ac:dyDescent="0.3">
      <c r="B395" s="253" t="s">
        <v>24</v>
      </c>
      <c r="C395" s="208" t="s">
        <v>19</v>
      </c>
      <c r="D395" s="209"/>
      <c r="E395" s="119"/>
      <c r="F395" s="134" t="s">
        <v>335</v>
      </c>
      <c r="G395" s="110">
        <v>18</v>
      </c>
      <c r="H395" s="107"/>
      <c r="I395" s="107"/>
      <c r="J395" s="108"/>
      <c r="K395" s="111">
        <f t="shared" si="351"/>
        <v>18</v>
      </c>
      <c r="L395" s="110">
        <v>21</v>
      </c>
      <c r="M395" s="107"/>
      <c r="N395" s="107"/>
      <c r="O395" s="108"/>
      <c r="P395" s="111">
        <f t="shared" si="321"/>
        <v>21</v>
      </c>
      <c r="Q395" s="110">
        <v>22</v>
      </c>
      <c r="R395" s="107"/>
      <c r="S395" s="107"/>
      <c r="T395" s="108"/>
      <c r="U395" s="111">
        <f t="shared" si="322"/>
        <v>22</v>
      </c>
      <c r="V395" s="110"/>
      <c r="W395" s="107"/>
      <c r="X395" s="107"/>
      <c r="Y395" s="108"/>
      <c r="Z395" s="111">
        <f t="shared" si="323"/>
        <v>0</v>
      </c>
      <c r="AA395" s="110"/>
      <c r="AB395" s="107"/>
      <c r="AC395" s="107"/>
      <c r="AD395" s="108"/>
      <c r="AE395" s="111">
        <f t="shared" si="324"/>
        <v>0</v>
      </c>
      <c r="AF395" s="110"/>
      <c r="AG395" s="107"/>
      <c r="AH395" s="107"/>
      <c r="AI395" s="108"/>
      <c r="AJ395" s="111">
        <f t="shared" si="325"/>
        <v>0</v>
      </c>
      <c r="AK395" s="110"/>
      <c r="AL395" s="107"/>
      <c r="AM395" s="107"/>
      <c r="AN395" s="108"/>
      <c r="AO395" s="111">
        <f t="shared" si="326"/>
        <v>0</v>
      </c>
      <c r="AP395" s="110"/>
      <c r="AQ395" s="107"/>
      <c r="AR395" s="107"/>
      <c r="AS395" s="108"/>
      <c r="AT395" s="111">
        <f t="shared" si="327"/>
        <v>0</v>
      </c>
      <c r="AU395" s="110"/>
      <c r="AV395" s="107"/>
      <c r="AW395" s="107"/>
      <c r="AX395" s="108"/>
      <c r="AY395" s="111">
        <f t="shared" si="328"/>
        <v>0</v>
      </c>
      <c r="AZ395" s="110"/>
      <c r="BA395" s="107"/>
      <c r="BB395" s="107"/>
      <c r="BC395" s="108"/>
      <c r="BD395" s="111">
        <f t="shared" si="329"/>
        <v>0</v>
      </c>
      <c r="BE395" s="110"/>
      <c r="BF395" s="107"/>
      <c r="BG395" s="107"/>
      <c r="BH395" s="108"/>
      <c r="BI395" s="111">
        <f t="shared" si="330"/>
        <v>0</v>
      </c>
      <c r="BJ395" s="110"/>
      <c r="BK395" s="107"/>
      <c r="BL395" s="107"/>
      <c r="BM395" s="108"/>
      <c r="BN395" s="111">
        <f t="shared" si="331"/>
        <v>0</v>
      </c>
      <c r="BO395" s="112">
        <f>SUM(G395,L395,Q395,V395,AA395,AF395,AK395,AP395,AU395,AZ395,BE395,BJ395)</f>
        <v>61</v>
      </c>
      <c r="BP395" s="107">
        <f>SUM(H395,M395,R395,W395,AB395,AG395,AL395,AQ395,AV395,BA395,BF395,BK395)</f>
        <v>0</v>
      </c>
      <c r="BQ395" s="107">
        <f>SUM(I395,N395,S395,X395,AC395,AH395,AM395,AR395,AW395,BB395,BG395,BL395)</f>
        <v>0</v>
      </c>
      <c r="BR395" s="108">
        <f>SUM(J395,O395,T395,Y395,AD395,AI395,AN395,AS395,AX395,BC395,BH395,BM395)</f>
        <v>0</v>
      </c>
      <c r="BS395" s="109">
        <f t="shared" si="350"/>
        <v>61</v>
      </c>
    </row>
    <row r="396" spans="2:71" x14ac:dyDescent="0.3">
      <c r="B396" s="254"/>
      <c r="C396" s="204"/>
      <c r="D396" s="205"/>
      <c r="E396" s="119"/>
      <c r="F396" s="123" t="s">
        <v>561</v>
      </c>
      <c r="G396" s="34"/>
      <c r="H396" s="16"/>
      <c r="I396" s="16"/>
      <c r="J396" s="17"/>
      <c r="K396" s="18">
        <f t="shared" si="351"/>
        <v>0</v>
      </c>
      <c r="L396" s="34"/>
      <c r="M396" s="16"/>
      <c r="N396" s="16"/>
      <c r="O396" s="17"/>
      <c r="P396" s="18">
        <f t="shared" si="321"/>
        <v>0</v>
      </c>
      <c r="Q396" s="34">
        <v>56</v>
      </c>
      <c r="R396" s="16"/>
      <c r="S396" s="16"/>
      <c r="T396" s="17"/>
      <c r="U396" s="18">
        <f t="shared" si="322"/>
        <v>56</v>
      </c>
      <c r="V396" s="34">
        <v>701</v>
      </c>
      <c r="W396" s="16"/>
      <c r="X396" s="16"/>
      <c r="Y396" s="17"/>
      <c r="Z396" s="18">
        <f t="shared" si="323"/>
        <v>701</v>
      </c>
      <c r="AA396" s="34">
        <v>299</v>
      </c>
      <c r="AB396" s="16"/>
      <c r="AC396" s="16"/>
      <c r="AD396" s="17"/>
      <c r="AE396" s="18">
        <f t="shared" si="324"/>
        <v>299</v>
      </c>
      <c r="AF396" s="34">
        <v>216</v>
      </c>
      <c r="AG396" s="16"/>
      <c r="AH396" s="16"/>
      <c r="AI396" s="17"/>
      <c r="AJ396" s="18">
        <f t="shared" si="325"/>
        <v>216</v>
      </c>
      <c r="AK396" s="34">
        <v>16</v>
      </c>
      <c r="AL396" s="16"/>
      <c r="AM396" s="16"/>
      <c r="AN396" s="17"/>
      <c r="AO396" s="18">
        <f t="shared" si="326"/>
        <v>16</v>
      </c>
      <c r="AP396" s="34">
        <v>15</v>
      </c>
      <c r="AQ396" s="16"/>
      <c r="AR396" s="16"/>
      <c r="AS396" s="17"/>
      <c r="AT396" s="18">
        <f t="shared" si="327"/>
        <v>15</v>
      </c>
      <c r="AU396" s="34">
        <v>59</v>
      </c>
      <c r="AV396" s="16"/>
      <c r="AW396" s="16"/>
      <c r="AX396" s="17"/>
      <c r="AY396" s="18">
        <f t="shared" si="328"/>
        <v>59</v>
      </c>
      <c r="AZ396" s="34">
        <v>2319</v>
      </c>
      <c r="BA396" s="16"/>
      <c r="BB396" s="16"/>
      <c r="BC396" s="17"/>
      <c r="BD396" s="18">
        <f t="shared" si="329"/>
        <v>2319</v>
      </c>
      <c r="BE396" s="34">
        <v>276</v>
      </c>
      <c r="BF396" s="16"/>
      <c r="BG396" s="16"/>
      <c r="BH396" s="17"/>
      <c r="BI396" s="18">
        <f t="shared" si="330"/>
        <v>276</v>
      </c>
      <c r="BJ396" s="34"/>
      <c r="BK396" s="16"/>
      <c r="BL396" s="16"/>
      <c r="BM396" s="17"/>
      <c r="BN396" s="18">
        <f t="shared" ref="BN396" si="354">SUM(BJ396:BM396)</f>
        <v>0</v>
      </c>
      <c r="BO396" s="70">
        <f>SUM(G396,L396,Q396,V396,AA396,AF396,AK396,AP396,AU396,AZ396,BE396,BJ396)</f>
        <v>3957</v>
      </c>
      <c r="BP396" s="16">
        <f>SUM(H396,M396,R396,W396,AB396,AG396,AL396,AQ396,AV396,BA396,BF396,BK396)</f>
        <v>0</v>
      </c>
      <c r="BQ396" s="16">
        <f>SUM(I396,N396,S396,X396,AC396,AH396,AM396,AR396,AW396,BB396,BG396,BL396)</f>
        <v>0</v>
      </c>
      <c r="BR396" s="17">
        <f>SUM(J396,O396,T396,Y396,AD396,AI396,AN396,AS396,AX396,BC396,BH396,BM396)</f>
        <v>0</v>
      </c>
      <c r="BS396" s="35">
        <f t="shared" si="350"/>
        <v>3957</v>
      </c>
    </row>
    <row r="397" spans="2:71" x14ac:dyDescent="0.3">
      <c r="B397" s="254"/>
      <c r="C397" s="204"/>
      <c r="D397" s="205"/>
      <c r="E397" s="119"/>
      <c r="F397" s="123" t="s">
        <v>336</v>
      </c>
      <c r="G397" s="34"/>
      <c r="H397" s="16"/>
      <c r="I397" s="16"/>
      <c r="J397" s="17"/>
      <c r="K397" s="18">
        <f t="shared" si="351"/>
        <v>0</v>
      </c>
      <c r="L397" s="34"/>
      <c r="M397" s="16"/>
      <c r="N397" s="16"/>
      <c r="O397" s="17"/>
      <c r="P397" s="18">
        <f t="shared" si="321"/>
        <v>0</v>
      </c>
      <c r="Q397" s="34"/>
      <c r="R397" s="16"/>
      <c r="S397" s="16"/>
      <c r="T397" s="17"/>
      <c r="U397" s="18">
        <f t="shared" si="322"/>
        <v>0</v>
      </c>
      <c r="V397" s="34"/>
      <c r="W397" s="16"/>
      <c r="X397" s="16"/>
      <c r="Y397" s="17"/>
      <c r="Z397" s="18">
        <f t="shared" si="323"/>
        <v>0</v>
      </c>
      <c r="AA397" s="34">
        <v>1000</v>
      </c>
      <c r="AB397" s="16"/>
      <c r="AC397" s="16"/>
      <c r="AD397" s="17"/>
      <c r="AE397" s="18">
        <f t="shared" si="324"/>
        <v>1000</v>
      </c>
      <c r="AF397" s="34">
        <v>1500</v>
      </c>
      <c r="AG397" s="16"/>
      <c r="AH397" s="16"/>
      <c r="AI397" s="17"/>
      <c r="AJ397" s="18">
        <f t="shared" si="325"/>
        <v>1500</v>
      </c>
      <c r="AK397" s="34"/>
      <c r="AL397" s="16"/>
      <c r="AM397" s="16"/>
      <c r="AN397" s="17"/>
      <c r="AO397" s="18">
        <f t="shared" si="326"/>
        <v>0</v>
      </c>
      <c r="AP397" s="34"/>
      <c r="AQ397" s="16"/>
      <c r="AR397" s="16"/>
      <c r="AS397" s="17"/>
      <c r="AT397" s="18">
        <f t="shared" si="327"/>
        <v>0</v>
      </c>
      <c r="AU397" s="34">
        <v>5200</v>
      </c>
      <c r="AV397" s="16"/>
      <c r="AW397" s="16"/>
      <c r="AX397" s="17"/>
      <c r="AY397" s="18">
        <f t="shared" si="328"/>
        <v>5200</v>
      </c>
      <c r="AZ397" s="34">
        <f>700+6873+4000</f>
        <v>11573</v>
      </c>
      <c r="BA397" s="16"/>
      <c r="BB397" s="16"/>
      <c r="BC397" s="17"/>
      <c r="BD397" s="18">
        <f t="shared" si="329"/>
        <v>11573</v>
      </c>
      <c r="BE397" s="34">
        <v>1500</v>
      </c>
      <c r="BF397" s="16"/>
      <c r="BG397" s="16"/>
      <c r="BH397" s="17"/>
      <c r="BI397" s="18">
        <f t="shared" si="330"/>
        <v>1500</v>
      </c>
      <c r="BJ397" s="34"/>
      <c r="BK397" s="16"/>
      <c r="BL397" s="16"/>
      <c r="BM397" s="17"/>
      <c r="BN397" s="18">
        <f t="shared" si="331"/>
        <v>0</v>
      </c>
      <c r="BO397" s="70">
        <f>SUM(G397,L397,Q397,V397,AA397,AF397,AK397,AP397,AU397,AZ397,BE397,BJ397)</f>
        <v>20773</v>
      </c>
      <c r="BP397" s="16">
        <f>SUM(H397,M397,R397,W397,AB397,AG397,AL397,AQ397,AV397,BA397,BF397,BK397)</f>
        <v>0</v>
      </c>
      <c r="BQ397" s="16">
        <f>SUM(I397,N397,S397,X397,AC397,AH397,AM397,AR397,AW397,BB397,BG397,BL397)</f>
        <v>0</v>
      </c>
      <c r="BR397" s="17">
        <f>SUM(J397,O397,T397,Y397,AD397,AI397,AN397,AS397,AX397,BC397,BH397,BM397)</f>
        <v>0</v>
      </c>
      <c r="BS397" s="35">
        <f t="shared" si="350"/>
        <v>20773</v>
      </c>
    </row>
    <row r="398" spans="2:71" x14ac:dyDescent="0.3">
      <c r="B398" s="254"/>
      <c r="C398" s="204"/>
      <c r="D398" s="205"/>
      <c r="E398" s="119"/>
      <c r="F398" s="123" t="s">
        <v>355</v>
      </c>
      <c r="G398" s="34"/>
      <c r="H398" s="16"/>
      <c r="I398" s="16"/>
      <c r="J398" s="17"/>
      <c r="K398" s="18">
        <f t="shared" si="351"/>
        <v>0</v>
      </c>
      <c r="L398" s="34"/>
      <c r="M398" s="16"/>
      <c r="N398" s="16"/>
      <c r="O398" s="17"/>
      <c r="P398" s="18">
        <f t="shared" si="321"/>
        <v>0</v>
      </c>
      <c r="Q398" s="34"/>
      <c r="R398" s="16"/>
      <c r="S398" s="16"/>
      <c r="T398" s="17"/>
      <c r="U398" s="18">
        <f t="shared" si="322"/>
        <v>0</v>
      </c>
      <c r="V398" s="34"/>
      <c r="W398" s="16"/>
      <c r="X398" s="16"/>
      <c r="Y398" s="17"/>
      <c r="Z398" s="18">
        <f t="shared" si="323"/>
        <v>0</v>
      </c>
      <c r="AA398" s="34"/>
      <c r="AB398" s="16"/>
      <c r="AC398" s="16"/>
      <c r="AD398" s="17"/>
      <c r="AE398" s="18">
        <f t="shared" si="324"/>
        <v>0</v>
      </c>
      <c r="AF398" s="34">
        <f>20587+1</f>
        <v>20588</v>
      </c>
      <c r="AG398" s="16"/>
      <c r="AH398" s="16"/>
      <c r="AI398" s="17"/>
      <c r="AJ398" s="18">
        <f t="shared" si="325"/>
        <v>20588</v>
      </c>
      <c r="AK398" s="34"/>
      <c r="AL398" s="16"/>
      <c r="AM398" s="16"/>
      <c r="AN398" s="17"/>
      <c r="AO398" s="18">
        <f t="shared" si="326"/>
        <v>0</v>
      </c>
      <c r="AP398" s="34">
        <f>3363+1</f>
        <v>3364</v>
      </c>
      <c r="AQ398" s="16"/>
      <c r="AR398" s="16"/>
      <c r="AS398" s="17"/>
      <c r="AT398" s="18">
        <f t="shared" si="327"/>
        <v>3364</v>
      </c>
      <c r="AU398" s="34"/>
      <c r="AV398" s="16"/>
      <c r="AW398" s="16"/>
      <c r="AX398" s="17"/>
      <c r="AY398" s="18">
        <f t="shared" si="328"/>
        <v>0</v>
      </c>
      <c r="AZ398" s="34"/>
      <c r="BA398" s="16"/>
      <c r="BB398" s="16"/>
      <c r="BC398" s="17"/>
      <c r="BD398" s="18">
        <f t="shared" si="329"/>
        <v>0</v>
      </c>
      <c r="BE398" s="34"/>
      <c r="BF398" s="16"/>
      <c r="BG398" s="16"/>
      <c r="BH398" s="17"/>
      <c r="BI398" s="18">
        <f t="shared" si="330"/>
        <v>0</v>
      </c>
      <c r="BJ398" s="34"/>
      <c r="BK398" s="16"/>
      <c r="BL398" s="16"/>
      <c r="BM398" s="17"/>
      <c r="BN398" s="18">
        <f t="shared" si="331"/>
        <v>0</v>
      </c>
      <c r="BO398" s="70">
        <f>SUM(G398,L398,Q398,V398,AA398,AF398,AK398,AP398,AU398,AZ398,BE398,BJ398)</f>
        <v>23952</v>
      </c>
      <c r="BP398" s="16">
        <f>SUM(H398,M398,R398,W398,AB398,AG398,AL398,AQ398,AV398,BA398,BF398,BK398)</f>
        <v>0</v>
      </c>
      <c r="BQ398" s="16">
        <f>SUM(I398,N398,S398,X398,AC398,AH398,AM398,AR398,AW398,BB398,BG398,BL398)</f>
        <v>0</v>
      </c>
      <c r="BR398" s="17">
        <f>SUM(J398,O398,T398,Y398,AD398,AI398,AN398,AS398,AX398,BC398,BH398,BM398)</f>
        <v>0</v>
      </c>
      <c r="BS398" s="35">
        <f t="shared" si="350"/>
        <v>23952</v>
      </c>
    </row>
    <row r="399" spans="2:71" x14ac:dyDescent="0.3">
      <c r="B399" s="254"/>
      <c r="C399" s="206"/>
      <c r="D399" s="207"/>
      <c r="E399" s="117"/>
      <c r="F399" s="118" t="s">
        <v>4</v>
      </c>
      <c r="G399" s="59">
        <f>SUM(G395:G398)</f>
        <v>18</v>
      </c>
      <c r="H399" s="60">
        <f>SUM(H395:H398)</f>
        <v>0</v>
      </c>
      <c r="I399" s="60">
        <f>SUM(I395:I398)</f>
        <v>0</v>
      </c>
      <c r="J399" s="61">
        <f>SUM(J395:J398)</f>
        <v>0</v>
      </c>
      <c r="K399" s="62">
        <f t="shared" si="351"/>
        <v>18</v>
      </c>
      <c r="L399" s="59">
        <f>SUM(L395:L398)</f>
        <v>21</v>
      </c>
      <c r="M399" s="60">
        <f>SUM(M395:M398)</f>
        <v>0</v>
      </c>
      <c r="N399" s="60">
        <f>SUM(N395:N398)</f>
        <v>0</v>
      </c>
      <c r="O399" s="61">
        <f>SUM(O395:O398)</f>
        <v>0</v>
      </c>
      <c r="P399" s="62">
        <f t="shared" si="321"/>
        <v>21</v>
      </c>
      <c r="Q399" s="59">
        <f>SUM(Q395:Q398)</f>
        <v>78</v>
      </c>
      <c r="R399" s="60">
        <f>SUM(R395:R398)</f>
        <v>0</v>
      </c>
      <c r="S399" s="60">
        <f>SUM(S395:S398)</f>
        <v>0</v>
      </c>
      <c r="T399" s="61">
        <f>SUM(T395:T398)</f>
        <v>0</v>
      </c>
      <c r="U399" s="62">
        <f t="shared" si="322"/>
        <v>78</v>
      </c>
      <c r="V399" s="59">
        <f>SUM(V395:V398)</f>
        <v>701</v>
      </c>
      <c r="W399" s="60">
        <f>SUM(W395:W398)</f>
        <v>0</v>
      </c>
      <c r="X399" s="60">
        <f>SUM(X395:X398)</f>
        <v>0</v>
      </c>
      <c r="Y399" s="61">
        <f>SUM(Y395:Y398)</f>
        <v>0</v>
      </c>
      <c r="Z399" s="62">
        <f t="shared" si="323"/>
        <v>701</v>
      </c>
      <c r="AA399" s="59">
        <f>SUM(AA395:AA398)</f>
        <v>1299</v>
      </c>
      <c r="AB399" s="60">
        <f>SUM(AB395:AB398)</f>
        <v>0</v>
      </c>
      <c r="AC399" s="60">
        <f>SUM(AC395:AC398)</f>
        <v>0</v>
      </c>
      <c r="AD399" s="61">
        <f>SUM(AD395:AD398)</f>
        <v>0</v>
      </c>
      <c r="AE399" s="62">
        <f t="shared" si="324"/>
        <v>1299</v>
      </c>
      <c r="AF399" s="59">
        <f>SUM(AF395:AF398)</f>
        <v>22304</v>
      </c>
      <c r="AG399" s="60">
        <f>SUM(AG395:AG398)</f>
        <v>0</v>
      </c>
      <c r="AH399" s="60">
        <f>SUM(AH395:AH398)</f>
        <v>0</v>
      </c>
      <c r="AI399" s="61">
        <f>SUM(AI395:AI398)</f>
        <v>0</v>
      </c>
      <c r="AJ399" s="62">
        <f t="shared" si="325"/>
        <v>22304</v>
      </c>
      <c r="AK399" s="59">
        <f>SUM(AK395:AK398)</f>
        <v>16</v>
      </c>
      <c r="AL399" s="60">
        <f>SUM(AL395:AL398)</f>
        <v>0</v>
      </c>
      <c r="AM399" s="60">
        <f>SUM(AM395:AM398)</f>
        <v>0</v>
      </c>
      <c r="AN399" s="61">
        <f>SUM(AN395:AN398)</f>
        <v>0</v>
      </c>
      <c r="AO399" s="62">
        <f t="shared" si="326"/>
        <v>16</v>
      </c>
      <c r="AP399" s="59">
        <f>SUM(AP395:AP398)</f>
        <v>3379</v>
      </c>
      <c r="AQ399" s="60">
        <f>SUM(AQ395:AQ398)</f>
        <v>0</v>
      </c>
      <c r="AR399" s="60">
        <f>SUM(AR395:AR398)</f>
        <v>0</v>
      </c>
      <c r="AS399" s="61">
        <f>SUM(AS395:AS398)</f>
        <v>0</v>
      </c>
      <c r="AT399" s="62">
        <f t="shared" si="327"/>
        <v>3379</v>
      </c>
      <c r="AU399" s="59">
        <f>SUM(AU395:AU398)</f>
        <v>5259</v>
      </c>
      <c r="AV399" s="60">
        <f>SUM(AV395:AV398)</f>
        <v>0</v>
      </c>
      <c r="AW399" s="60">
        <f>SUM(AW395:AW398)</f>
        <v>0</v>
      </c>
      <c r="AX399" s="61">
        <f>SUM(AX395:AX398)</f>
        <v>0</v>
      </c>
      <c r="AY399" s="62">
        <f t="shared" si="328"/>
        <v>5259</v>
      </c>
      <c r="AZ399" s="59">
        <f>SUM(AZ395:AZ398)</f>
        <v>13892</v>
      </c>
      <c r="BA399" s="60">
        <f>SUM(BA395:BA398)</f>
        <v>0</v>
      </c>
      <c r="BB399" s="60">
        <f>SUM(BB395:BB398)</f>
        <v>0</v>
      </c>
      <c r="BC399" s="61">
        <f>SUM(BC395:BC398)</f>
        <v>0</v>
      </c>
      <c r="BD399" s="62">
        <f t="shared" si="329"/>
        <v>13892</v>
      </c>
      <c r="BE399" s="59">
        <f>SUM(BE395:BE398)</f>
        <v>1776</v>
      </c>
      <c r="BF399" s="60">
        <f>SUM(BF395:BF398)</f>
        <v>0</v>
      </c>
      <c r="BG399" s="60">
        <f>SUM(BG395:BG398)</f>
        <v>0</v>
      </c>
      <c r="BH399" s="61">
        <f>SUM(BH395:BH398)</f>
        <v>0</v>
      </c>
      <c r="BI399" s="62">
        <f t="shared" si="330"/>
        <v>1776</v>
      </c>
      <c r="BJ399" s="59">
        <f>SUM(BJ395:BJ398)</f>
        <v>0</v>
      </c>
      <c r="BK399" s="60">
        <f>SUM(BK395:BK398)</f>
        <v>0</v>
      </c>
      <c r="BL399" s="60">
        <f>SUM(BL395:BL398)</f>
        <v>0</v>
      </c>
      <c r="BM399" s="61">
        <f>SUM(BM395:BM398)</f>
        <v>0</v>
      </c>
      <c r="BN399" s="62">
        <f t="shared" si="331"/>
        <v>0</v>
      </c>
      <c r="BO399" s="73">
        <f>SUM(BO395:BO398)</f>
        <v>48743</v>
      </c>
      <c r="BP399" s="60">
        <f>SUM(BP395:BP398)</f>
        <v>0</v>
      </c>
      <c r="BQ399" s="60">
        <f>SUM(BQ395:BQ398)</f>
        <v>0</v>
      </c>
      <c r="BR399" s="61">
        <f>SUM(BR395:BR398)</f>
        <v>0</v>
      </c>
      <c r="BS399" s="63">
        <f t="shared" si="350"/>
        <v>48743</v>
      </c>
    </row>
    <row r="400" spans="2:71" ht="16.5" customHeight="1" x14ac:dyDescent="0.3">
      <c r="B400" s="254"/>
      <c r="C400" s="271" t="s">
        <v>37</v>
      </c>
      <c r="D400" s="198" t="s">
        <v>108</v>
      </c>
      <c r="E400" s="199"/>
      <c r="F400" s="123" t="s">
        <v>562</v>
      </c>
      <c r="G400" s="34">
        <v>30</v>
      </c>
      <c r="H400" s="16"/>
      <c r="I400" s="16"/>
      <c r="J400" s="17"/>
      <c r="K400" s="18">
        <f t="shared" si="351"/>
        <v>30</v>
      </c>
      <c r="L400" s="34">
        <v>23</v>
      </c>
      <c r="M400" s="16"/>
      <c r="N400" s="16"/>
      <c r="O400" s="17"/>
      <c r="P400" s="18">
        <f t="shared" si="321"/>
        <v>23</v>
      </c>
      <c r="Q400" s="34"/>
      <c r="R400" s="16"/>
      <c r="S400" s="16"/>
      <c r="T400" s="17"/>
      <c r="U400" s="18">
        <f t="shared" si="322"/>
        <v>0</v>
      </c>
      <c r="V400" s="34"/>
      <c r="W400" s="16"/>
      <c r="X400" s="16"/>
      <c r="Y400" s="17"/>
      <c r="Z400" s="18">
        <f t="shared" si="323"/>
        <v>0</v>
      </c>
      <c r="AA400" s="34"/>
      <c r="AB400" s="16"/>
      <c r="AC400" s="16"/>
      <c r="AD400" s="17"/>
      <c r="AE400" s="18">
        <f t="shared" si="324"/>
        <v>0</v>
      </c>
      <c r="AF400" s="34"/>
      <c r="AG400" s="16"/>
      <c r="AH400" s="16"/>
      <c r="AI400" s="17"/>
      <c r="AJ400" s="18">
        <f t="shared" si="325"/>
        <v>0</v>
      </c>
      <c r="AK400" s="34"/>
      <c r="AL400" s="16"/>
      <c r="AM400" s="16"/>
      <c r="AN400" s="17"/>
      <c r="AO400" s="18">
        <f t="shared" si="326"/>
        <v>0</v>
      </c>
      <c r="AP400" s="34"/>
      <c r="AQ400" s="16"/>
      <c r="AR400" s="16"/>
      <c r="AS400" s="17"/>
      <c r="AT400" s="18">
        <f t="shared" si="327"/>
        <v>0</v>
      </c>
      <c r="AU400" s="34"/>
      <c r="AV400" s="16"/>
      <c r="AW400" s="16"/>
      <c r="AX400" s="17"/>
      <c r="AY400" s="18">
        <f t="shared" si="328"/>
        <v>0</v>
      </c>
      <c r="AZ400" s="34"/>
      <c r="BA400" s="16"/>
      <c r="BB400" s="16"/>
      <c r="BC400" s="17"/>
      <c r="BD400" s="18">
        <f t="shared" si="329"/>
        <v>0</v>
      </c>
      <c r="BE400" s="34"/>
      <c r="BF400" s="16"/>
      <c r="BG400" s="16"/>
      <c r="BH400" s="17"/>
      <c r="BI400" s="18">
        <f t="shared" si="330"/>
        <v>0</v>
      </c>
      <c r="BJ400" s="34"/>
      <c r="BK400" s="16"/>
      <c r="BL400" s="16"/>
      <c r="BM400" s="17"/>
      <c r="BN400" s="18">
        <f t="shared" si="331"/>
        <v>0</v>
      </c>
      <c r="BO400" s="65">
        <f>SUM(G400,L400,Q400,V400,AA400,AF400,AK400,AP400,AU400,AZ400,BE400,BJ400)</f>
        <v>53</v>
      </c>
      <c r="BP400" s="7">
        <f>SUM(H400,M400,R400,W400,AB400,AG400,AL400,AQ400,AV400,BA400,BF400,BK400)</f>
        <v>0</v>
      </c>
      <c r="BQ400" s="7">
        <f>SUM(I400,N400,S400,X400,AC400,AH400,AM400,AR400,AW400,BB400,BG400,BL400)</f>
        <v>0</v>
      </c>
      <c r="BR400" s="8">
        <f>SUM(J400,O400,T400,Y400,AD400,AI400,AN400,AS400,AX400,BC400,BH400,BM400)</f>
        <v>0</v>
      </c>
      <c r="BS400" s="31">
        <f t="shared" si="350"/>
        <v>53</v>
      </c>
    </row>
    <row r="401" spans="2:71" x14ac:dyDescent="0.3">
      <c r="B401" s="254"/>
      <c r="C401" s="272"/>
      <c r="D401" s="200"/>
      <c r="E401" s="201"/>
      <c r="F401" s="123" t="s">
        <v>563</v>
      </c>
      <c r="G401" s="34">
        <v>6</v>
      </c>
      <c r="H401" s="16"/>
      <c r="I401" s="16"/>
      <c r="J401" s="17"/>
      <c r="K401" s="18">
        <f t="shared" si="351"/>
        <v>6</v>
      </c>
      <c r="L401" s="34">
        <v>3</v>
      </c>
      <c r="M401" s="16"/>
      <c r="N401" s="16"/>
      <c r="O401" s="17"/>
      <c r="P401" s="18">
        <f t="shared" si="321"/>
        <v>3</v>
      </c>
      <c r="Q401" s="34"/>
      <c r="R401" s="16"/>
      <c r="S401" s="16"/>
      <c r="T401" s="17"/>
      <c r="U401" s="18">
        <f t="shared" si="322"/>
        <v>0</v>
      </c>
      <c r="V401" s="34"/>
      <c r="W401" s="16"/>
      <c r="X401" s="16"/>
      <c r="Y401" s="17"/>
      <c r="Z401" s="18">
        <f t="shared" si="323"/>
        <v>0</v>
      </c>
      <c r="AA401" s="34"/>
      <c r="AB401" s="16"/>
      <c r="AC401" s="16"/>
      <c r="AD401" s="17"/>
      <c r="AE401" s="18">
        <f t="shared" si="324"/>
        <v>0</v>
      </c>
      <c r="AF401" s="34"/>
      <c r="AG401" s="16"/>
      <c r="AH401" s="16"/>
      <c r="AI401" s="17"/>
      <c r="AJ401" s="18">
        <f t="shared" si="325"/>
        <v>0</v>
      </c>
      <c r="AK401" s="34"/>
      <c r="AL401" s="16"/>
      <c r="AM401" s="16"/>
      <c r="AN401" s="17"/>
      <c r="AO401" s="18">
        <f t="shared" si="326"/>
        <v>0</v>
      </c>
      <c r="AP401" s="34"/>
      <c r="AQ401" s="16"/>
      <c r="AR401" s="16"/>
      <c r="AS401" s="17"/>
      <c r="AT401" s="18">
        <f t="shared" si="327"/>
        <v>0</v>
      </c>
      <c r="AU401" s="34"/>
      <c r="AV401" s="16"/>
      <c r="AW401" s="16"/>
      <c r="AX401" s="17"/>
      <c r="AY401" s="18">
        <f t="shared" si="328"/>
        <v>0</v>
      </c>
      <c r="AZ401" s="34"/>
      <c r="BA401" s="16"/>
      <c r="BB401" s="16"/>
      <c r="BC401" s="17"/>
      <c r="BD401" s="18">
        <f t="shared" si="329"/>
        <v>0</v>
      </c>
      <c r="BE401" s="34"/>
      <c r="BF401" s="16"/>
      <c r="BG401" s="16"/>
      <c r="BH401" s="17"/>
      <c r="BI401" s="18">
        <f t="shared" si="330"/>
        <v>0</v>
      </c>
      <c r="BJ401" s="34"/>
      <c r="BK401" s="16"/>
      <c r="BL401" s="16"/>
      <c r="BM401" s="17"/>
      <c r="BN401" s="18">
        <f t="shared" si="331"/>
        <v>0</v>
      </c>
      <c r="BO401" s="70">
        <f>SUM(G401,L401,Q401,V401,AA401,AF401,AK401,AP401,AU401,AZ401,BE401,BJ401)</f>
        <v>9</v>
      </c>
      <c r="BP401" s="16">
        <f>SUM(H401,M401,R401,W401,AB401,AG401,AL401,AQ401,AV401,BA401,BF401,BK401)</f>
        <v>0</v>
      </c>
      <c r="BQ401" s="16">
        <f>SUM(I401,N401,S401,X401,AC401,AH401,AM401,AR401,AW401,BB401,BG401,BL401)</f>
        <v>0</v>
      </c>
      <c r="BR401" s="17">
        <f>SUM(J401,O401,T401,Y401,AD401,AI401,AN401,AS401,AX401,BC401,BH401,BM401)</f>
        <v>0</v>
      </c>
      <c r="BS401" s="35">
        <f t="shared" si="350"/>
        <v>9</v>
      </c>
    </row>
    <row r="402" spans="2:71" x14ac:dyDescent="0.3">
      <c r="B402" s="254"/>
      <c r="C402" s="272"/>
      <c r="D402" s="200"/>
      <c r="E402" s="201"/>
      <c r="F402" s="123" t="s">
        <v>564</v>
      </c>
      <c r="G402" s="34">
        <v>13</v>
      </c>
      <c r="H402" s="16"/>
      <c r="I402" s="16"/>
      <c r="J402" s="17"/>
      <c r="K402" s="18">
        <f t="shared" si="351"/>
        <v>13</v>
      </c>
      <c r="L402" s="34">
        <v>10</v>
      </c>
      <c r="M402" s="16"/>
      <c r="N402" s="16"/>
      <c r="O402" s="17"/>
      <c r="P402" s="18">
        <f t="shared" si="321"/>
        <v>10</v>
      </c>
      <c r="Q402" s="34"/>
      <c r="R402" s="16"/>
      <c r="S402" s="16"/>
      <c r="T402" s="17"/>
      <c r="U402" s="18">
        <f t="shared" si="322"/>
        <v>0</v>
      </c>
      <c r="V402" s="34"/>
      <c r="W402" s="16"/>
      <c r="X402" s="16"/>
      <c r="Y402" s="17"/>
      <c r="Z402" s="18">
        <f t="shared" si="323"/>
        <v>0</v>
      </c>
      <c r="AA402" s="34"/>
      <c r="AB402" s="16"/>
      <c r="AC402" s="16"/>
      <c r="AD402" s="17"/>
      <c r="AE402" s="18">
        <f t="shared" si="324"/>
        <v>0</v>
      </c>
      <c r="AF402" s="34"/>
      <c r="AG402" s="16"/>
      <c r="AH402" s="16"/>
      <c r="AI402" s="17"/>
      <c r="AJ402" s="18">
        <f t="shared" si="325"/>
        <v>0</v>
      </c>
      <c r="AK402" s="34"/>
      <c r="AL402" s="16"/>
      <c r="AM402" s="16"/>
      <c r="AN402" s="17"/>
      <c r="AO402" s="18">
        <f t="shared" si="326"/>
        <v>0</v>
      </c>
      <c r="AP402" s="34"/>
      <c r="AQ402" s="16"/>
      <c r="AR402" s="16"/>
      <c r="AS402" s="17"/>
      <c r="AT402" s="18">
        <f t="shared" si="327"/>
        <v>0</v>
      </c>
      <c r="AU402" s="34"/>
      <c r="AV402" s="16"/>
      <c r="AW402" s="16"/>
      <c r="AX402" s="17"/>
      <c r="AY402" s="18">
        <f t="shared" si="328"/>
        <v>0</v>
      </c>
      <c r="AZ402" s="34"/>
      <c r="BA402" s="16"/>
      <c r="BB402" s="16"/>
      <c r="BC402" s="17"/>
      <c r="BD402" s="18">
        <f t="shared" si="329"/>
        <v>0</v>
      </c>
      <c r="BE402" s="34"/>
      <c r="BF402" s="16"/>
      <c r="BG402" s="16"/>
      <c r="BH402" s="17"/>
      <c r="BI402" s="18">
        <f t="shared" si="330"/>
        <v>0</v>
      </c>
      <c r="BJ402" s="34"/>
      <c r="BK402" s="16"/>
      <c r="BL402" s="16"/>
      <c r="BM402" s="17"/>
      <c r="BN402" s="18">
        <f t="shared" si="331"/>
        <v>0</v>
      </c>
      <c r="BO402" s="70">
        <f>SUM(G402,L402,Q402,V402,AA402,AF402,AK402,AP402,AU402,AZ402,BE402,BJ402)</f>
        <v>23</v>
      </c>
      <c r="BP402" s="16">
        <f>SUM(H402,M402,R402,W402,AB402,AG402,AL402,AQ402,AV402,BA402,BF402,BK402)</f>
        <v>0</v>
      </c>
      <c r="BQ402" s="16">
        <f>SUM(I402,N402,S402,X402,AC402,AH402,AM402,AR402,AW402,BB402,BG402,BL402)</f>
        <v>0</v>
      </c>
      <c r="BR402" s="17">
        <f>SUM(J402,O402,T402,Y402,AD402,AI402,AN402,AS402,AX402,BC402,BH402,BM402)</f>
        <v>0</v>
      </c>
      <c r="BS402" s="35">
        <f t="shared" si="350"/>
        <v>23</v>
      </c>
    </row>
    <row r="403" spans="2:71" x14ac:dyDescent="0.3">
      <c r="B403" s="254"/>
      <c r="C403" s="272"/>
      <c r="D403" s="200"/>
      <c r="E403" s="201"/>
      <c r="F403" s="123" t="s">
        <v>565</v>
      </c>
      <c r="G403" s="34">
        <v>2</v>
      </c>
      <c r="H403" s="16"/>
      <c r="I403" s="16"/>
      <c r="J403" s="17"/>
      <c r="K403" s="18">
        <f t="shared" si="351"/>
        <v>2</v>
      </c>
      <c r="L403" s="34"/>
      <c r="M403" s="16"/>
      <c r="N403" s="16"/>
      <c r="O403" s="17"/>
      <c r="P403" s="18">
        <f t="shared" si="321"/>
        <v>0</v>
      </c>
      <c r="Q403" s="34"/>
      <c r="R403" s="16"/>
      <c r="S403" s="16"/>
      <c r="T403" s="17"/>
      <c r="U403" s="18">
        <f t="shared" si="322"/>
        <v>0</v>
      </c>
      <c r="V403" s="34"/>
      <c r="W403" s="16"/>
      <c r="X403" s="16"/>
      <c r="Y403" s="17"/>
      <c r="Z403" s="18">
        <f t="shared" si="323"/>
        <v>0</v>
      </c>
      <c r="AA403" s="34"/>
      <c r="AB403" s="16"/>
      <c r="AC403" s="16"/>
      <c r="AD403" s="17"/>
      <c r="AE403" s="18">
        <f t="shared" si="324"/>
        <v>0</v>
      </c>
      <c r="AF403" s="34"/>
      <c r="AG403" s="16"/>
      <c r="AH403" s="16"/>
      <c r="AI403" s="17"/>
      <c r="AJ403" s="18">
        <f t="shared" si="325"/>
        <v>0</v>
      </c>
      <c r="AK403" s="34"/>
      <c r="AL403" s="16"/>
      <c r="AM403" s="16"/>
      <c r="AN403" s="17"/>
      <c r="AO403" s="18">
        <f t="shared" si="326"/>
        <v>0</v>
      </c>
      <c r="AP403" s="34"/>
      <c r="AQ403" s="16"/>
      <c r="AR403" s="16"/>
      <c r="AS403" s="17"/>
      <c r="AT403" s="18">
        <f t="shared" si="327"/>
        <v>0</v>
      </c>
      <c r="AU403" s="34"/>
      <c r="AV403" s="16"/>
      <c r="AW403" s="16"/>
      <c r="AX403" s="17"/>
      <c r="AY403" s="18">
        <f t="shared" si="328"/>
        <v>0</v>
      </c>
      <c r="AZ403" s="34"/>
      <c r="BA403" s="16"/>
      <c r="BB403" s="16"/>
      <c r="BC403" s="17"/>
      <c r="BD403" s="18">
        <f t="shared" si="329"/>
        <v>0</v>
      </c>
      <c r="BE403" s="34"/>
      <c r="BF403" s="16"/>
      <c r="BG403" s="16"/>
      <c r="BH403" s="17"/>
      <c r="BI403" s="18">
        <f t="shared" si="330"/>
        <v>0</v>
      </c>
      <c r="BJ403" s="34"/>
      <c r="BK403" s="16"/>
      <c r="BL403" s="16"/>
      <c r="BM403" s="17"/>
      <c r="BN403" s="18">
        <f t="shared" si="331"/>
        <v>0</v>
      </c>
      <c r="BO403" s="70">
        <f>SUM(G403,L403,Q403,V403,AA403,AF403,AK403,AP403,AU403,AZ403,BE403,BJ403)</f>
        <v>2</v>
      </c>
      <c r="BP403" s="16">
        <f>SUM(H403,M403,R403,W403,AB403,AG403,AL403,AQ403,AV403,BA403,BF403,BK403)</f>
        <v>0</v>
      </c>
      <c r="BQ403" s="16">
        <f>SUM(I403,N403,S403,X403,AC403,AH403,AM403,AR403,AW403,BB403,BG403,BL403)</f>
        <v>0</v>
      </c>
      <c r="BR403" s="17">
        <f>SUM(J403,O403,T403,Y403,AD403,AI403,AN403,AS403,AX403,BC403,BH403,BM403)</f>
        <v>0</v>
      </c>
      <c r="BS403" s="35">
        <f t="shared" si="350"/>
        <v>2</v>
      </c>
    </row>
    <row r="404" spans="2:71" x14ac:dyDescent="0.3">
      <c r="B404" s="254"/>
      <c r="C404" s="204"/>
      <c r="D404" s="200"/>
      <c r="E404" s="201"/>
      <c r="F404" s="123" t="s">
        <v>566</v>
      </c>
      <c r="G404" s="34">
        <v>1065</v>
      </c>
      <c r="H404" s="16"/>
      <c r="I404" s="16"/>
      <c r="J404" s="17"/>
      <c r="K404" s="18">
        <f t="shared" si="351"/>
        <v>1065</v>
      </c>
      <c r="L404" s="34">
        <v>1259</v>
      </c>
      <c r="M404" s="16"/>
      <c r="N404" s="16"/>
      <c r="O404" s="17"/>
      <c r="P404" s="18">
        <f t="shared" si="321"/>
        <v>1259</v>
      </c>
      <c r="Q404" s="34">
        <v>304</v>
      </c>
      <c r="R404" s="16"/>
      <c r="S404" s="16"/>
      <c r="T404" s="17"/>
      <c r="U404" s="18">
        <f t="shared" si="322"/>
        <v>304</v>
      </c>
      <c r="V404" s="34">
        <v>112</v>
      </c>
      <c r="W404" s="16"/>
      <c r="X404" s="16"/>
      <c r="Y404" s="17"/>
      <c r="Z404" s="18">
        <f t="shared" si="323"/>
        <v>112</v>
      </c>
      <c r="AA404" s="34">
        <v>79</v>
      </c>
      <c r="AB404" s="16"/>
      <c r="AC404" s="16"/>
      <c r="AD404" s="17"/>
      <c r="AE404" s="18">
        <f t="shared" si="324"/>
        <v>79</v>
      </c>
      <c r="AF404" s="34"/>
      <c r="AG404" s="16"/>
      <c r="AH404" s="16"/>
      <c r="AI404" s="17"/>
      <c r="AJ404" s="18">
        <f t="shared" si="325"/>
        <v>0</v>
      </c>
      <c r="AK404" s="34"/>
      <c r="AL404" s="16"/>
      <c r="AM404" s="16"/>
      <c r="AN404" s="17"/>
      <c r="AO404" s="18">
        <f t="shared" si="326"/>
        <v>0</v>
      </c>
      <c r="AP404" s="34"/>
      <c r="AQ404" s="16"/>
      <c r="AR404" s="16"/>
      <c r="AS404" s="17"/>
      <c r="AT404" s="18">
        <f t="shared" si="327"/>
        <v>0</v>
      </c>
      <c r="AU404" s="34"/>
      <c r="AV404" s="16"/>
      <c r="AW404" s="16"/>
      <c r="AX404" s="17"/>
      <c r="AY404" s="18">
        <f t="shared" si="328"/>
        <v>0</v>
      </c>
      <c r="AZ404" s="34"/>
      <c r="BA404" s="16"/>
      <c r="BB404" s="16"/>
      <c r="BC404" s="17"/>
      <c r="BD404" s="18">
        <f t="shared" si="329"/>
        <v>0</v>
      </c>
      <c r="BE404" s="34"/>
      <c r="BF404" s="16"/>
      <c r="BG404" s="16"/>
      <c r="BH404" s="17"/>
      <c r="BI404" s="18">
        <f t="shared" si="330"/>
        <v>0</v>
      </c>
      <c r="BJ404" s="34"/>
      <c r="BK404" s="16"/>
      <c r="BL404" s="16"/>
      <c r="BM404" s="17"/>
      <c r="BN404" s="18">
        <f t="shared" si="331"/>
        <v>0</v>
      </c>
      <c r="BO404" s="70">
        <f>SUM(G404,L404,Q404,V404,AA404,AF404,AK404,AP404,AU404,AZ404,BE404,BJ404)</f>
        <v>2819</v>
      </c>
      <c r="BP404" s="16">
        <f>SUM(H404,M404,R404,W404,AB404,AG404,AL404,AQ404,AV404,BA404,BF404,BK404)</f>
        <v>0</v>
      </c>
      <c r="BQ404" s="16">
        <f>SUM(I404,N404,S404,X404,AC404,AH404,AM404,AR404,AW404,BB404,BG404,BL404)</f>
        <v>0</v>
      </c>
      <c r="BR404" s="17">
        <f>SUM(J404,O404,T404,Y404,AD404,AI404,AN404,AS404,AX404,BC404,BH404,BM404)</f>
        <v>0</v>
      </c>
      <c r="BS404" s="35">
        <f t="shared" si="350"/>
        <v>2819</v>
      </c>
    </row>
    <row r="405" spans="2:71" x14ac:dyDescent="0.3">
      <c r="B405" s="254"/>
      <c r="C405" s="204"/>
      <c r="D405" s="200"/>
      <c r="E405" s="201"/>
      <c r="F405" s="123" t="s">
        <v>567</v>
      </c>
      <c r="G405" s="34">
        <v>551</v>
      </c>
      <c r="H405" s="16"/>
      <c r="I405" s="16"/>
      <c r="J405" s="17"/>
      <c r="K405" s="18">
        <f t="shared" si="351"/>
        <v>551</v>
      </c>
      <c r="L405" s="34">
        <v>664</v>
      </c>
      <c r="M405" s="16"/>
      <c r="N405" s="16"/>
      <c r="O405" s="17"/>
      <c r="P405" s="18">
        <f t="shared" si="321"/>
        <v>664</v>
      </c>
      <c r="Q405" s="34">
        <v>15</v>
      </c>
      <c r="R405" s="16"/>
      <c r="S405" s="16"/>
      <c r="T405" s="17"/>
      <c r="U405" s="18">
        <f t="shared" si="322"/>
        <v>15</v>
      </c>
      <c r="V405" s="34">
        <v>27</v>
      </c>
      <c r="W405" s="16"/>
      <c r="X405" s="16"/>
      <c r="Y405" s="17"/>
      <c r="Z405" s="18">
        <f t="shared" si="323"/>
        <v>27</v>
      </c>
      <c r="AA405" s="34">
        <v>14</v>
      </c>
      <c r="AB405" s="16"/>
      <c r="AC405" s="16"/>
      <c r="AD405" s="17"/>
      <c r="AE405" s="18">
        <f t="shared" si="324"/>
        <v>14</v>
      </c>
      <c r="AF405" s="34"/>
      <c r="AG405" s="16"/>
      <c r="AH405" s="16"/>
      <c r="AI405" s="17"/>
      <c r="AJ405" s="18">
        <f t="shared" si="325"/>
        <v>0</v>
      </c>
      <c r="AK405" s="34"/>
      <c r="AL405" s="16"/>
      <c r="AM405" s="16"/>
      <c r="AN405" s="17"/>
      <c r="AO405" s="18">
        <f t="shared" si="326"/>
        <v>0</v>
      </c>
      <c r="AP405" s="34"/>
      <c r="AQ405" s="16"/>
      <c r="AR405" s="16"/>
      <c r="AS405" s="17"/>
      <c r="AT405" s="18">
        <f t="shared" si="327"/>
        <v>0</v>
      </c>
      <c r="AU405" s="34"/>
      <c r="AV405" s="16"/>
      <c r="AW405" s="16"/>
      <c r="AX405" s="17"/>
      <c r="AY405" s="18">
        <f t="shared" si="328"/>
        <v>0</v>
      </c>
      <c r="AZ405" s="34"/>
      <c r="BA405" s="16"/>
      <c r="BB405" s="16"/>
      <c r="BC405" s="17"/>
      <c r="BD405" s="18">
        <f t="shared" si="329"/>
        <v>0</v>
      </c>
      <c r="BE405" s="34"/>
      <c r="BF405" s="16"/>
      <c r="BG405" s="16"/>
      <c r="BH405" s="17"/>
      <c r="BI405" s="18">
        <f t="shared" si="330"/>
        <v>0</v>
      </c>
      <c r="BJ405" s="34"/>
      <c r="BK405" s="16"/>
      <c r="BL405" s="16"/>
      <c r="BM405" s="17"/>
      <c r="BN405" s="18">
        <f t="shared" si="331"/>
        <v>0</v>
      </c>
      <c r="BO405" s="70">
        <f>SUM(G405,L405,Q405,V405,AA405,AF405,AK405,AP405,AU405,AZ405,BE405,BJ405)</f>
        <v>1271</v>
      </c>
      <c r="BP405" s="16">
        <f>SUM(H405,M405,R405,W405,AB405,AG405,AL405,AQ405,AV405,BA405,BF405,BK405)</f>
        <v>0</v>
      </c>
      <c r="BQ405" s="16">
        <f>SUM(I405,N405,S405,X405,AC405,AH405,AM405,AR405,AW405,BB405,BG405,BL405)</f>
        <v>0</v>
      </c>
      <c r="BR405" s="17">
        <f>SUM(J405,O405,T405,Y405,AD405,AI405,AN405,AS405,AX405,BC405,BH405,BM405)</f>
        <v>0</v>
      </c>
      <c r="BS405" s="35">
        <f t="shared" si="350"/>
        <v>1271</v>
      </c>
    </row>
    <row r="406" spans="2:71" x14ac:dyDescent="0.3">
      <c r="B406" s="254"/>
      <c r="C406" s="204"/>
      <c r="D406" s="200"/>
      <c r="E406" s="201"/>
      <c r="F406" s="123" t="s">
        <v>568</v>
      </c>
      <c r="G406" s="34">
        <v>534</v>
      </c>
      <c r="H406" s="16"/>
      <c r="I406" s="16"/>
      <c r="J406" s="17"/>
      <c r="K406" s="18">
        <f t="shared" si="351"/>
        <v>534</v>
      </c>
      <c r="L406" s="34">
        <v>550</v>
      </c>
      <c r="M406" s="16"/>
      <c r="N406" s="16"/>
      <c r="O406" s="17"/>
      <c r="P406" s="18">
        <f t="shared" si="321"/>
        <v>550</v>
      </c>
      <c r="Q406" s="34">
        <v>73</v>
      </c>
      <c r="R406" s="16"/>
      <c r="S406" s="16"/>
      <c r="T406" s="17"/>
      <c r="U406" s="18">
        <f t="shared" si="322"/>
        <v>73</v>
      </c>
      <c r="V406" s="34">
        <v>28</v>
      </c>
      <c r="W406" s="16"/>
      <c r="X406" s="16"/>
      <c r="Y406" s="17"/>
      <c r="Z406" s="18">
        <f t="shared" si="323"/>
        <v>28</v>
      </c>
      <c r="AA406" s="34">
        <v>24</v>
      </c>
      <c r="AB406" s="16"/>
      <c r="AC406" s="16"/>
      <c r="AD406" s="17"/>
      <c r="AE406" s="18">
        <f t="shared" si="324"/>
        <v>24</v>
      </c>
      <c r="AF406" s="34"/>
      <c r="AG406" s="16"/>
      <c r="AH406" s="16"/>
      <c r="AI406" s="17"/>
      <c r="AJ406" s="18">
        <f t="shared" si="325"/>
        <v>0</v>
      </c>
      <c r="AK406" s="34"/>
      <c r="AL406" s="16"/>
      <c r="AM406" s="16"/>
      <c r="AN406" s="17"/>
      <c r="AO406" s="18">
        <f t="shared" si="326"/>
        <v>0</v>
      </c>
      <c r="AP406" s="34"/>
      <c r="AQ406" s="16"/>
      <c r="AR406" s="16"/>
      <c r="AS406" s="17"/>
      <c r="AT406" s="18">
        <f t="shared" si="327"/>
        <v>0</v>
      </c>
      <c r="AU406" s="34"/>
      <c r="AV406" s="16"/>
      <c r="AW406" s="16"/>
      <c r="AX406" s="17"/>
      <c r="AY406" s="18">
        <f t="shared" si="328"/>
        <v>0</v>
      </c>
      <c r="AZ406" s="34"/>
      <c r="BA406" s="16"/>
      <c r="BB406" s="16"/>
      <c r="BC406" s="17"/>
      <c r="BD406" s="18">
        <f t="shared" si="329"/>
        <v>0</v>
      </c>
      <c r="BE406" s="34"/>
      <c r="BF406" s="16"/>
      <c r="BG406" s="16"/>
      <c r="BH406" s="17"/>
      <c r="BI406" s="18">
        <f t="shared" si="330"/>
        <v>0</v>
      </c>
      <c r="BJ406" s="34"/>
      <c r="BK406" s="16"/>
      <c r="BL406" s="16"/>
      <c r="BM406" s="17"/>
      <c r="BN406" s="18">
        <f t="shared" si="331"/>
        <v>0</v>
      </c>
      <c r="BO406" s="70">
        <f>SUM(G406,L406,Q406,V406,AA406,AF406,AK406,AP406,AU406,AZ406,BE406,BJ406)</f>
        <v>1209</v>
      </c>
      <c r="BP406" s="16">
        <f>SUM(H406,M406,R406,W406,AB406,AG406,AL406,AQ406,AV406,BA406,BF406,BK406)</f>
        <v>0</v>
      </c>
      <c r="BQ406" s="16">
        <f>SUM(I406,N406,S406,X406,AC406,AH406,AM406,AR406,AW406,BB406,BG406,BL406)</f>
        <v>0</v>
      </c>
      <c r="BR406" s="17">
        <f>SUM(J406,O406,T406,Y406,AD406,AI406,AN406,AS406,AX406,BC406,BH406,BM406)</f>
        <v>0</v>
      </c>
      <c r="BS406" s="35">
        <f t="shared" si="350"/>
        <v>1209</v>
      </c>
    </row>
    <row r="407" spans="2:71" x14ac:dyDescent="0.3">
      <c r="B407" s="254"/>
      <c r="C407" s="204"/>
      <c r="D407" s="200"/>
      <c r="E407" s="201"/>
      <c r="F407" s="123" t="s">
        <v>231</v>
      </c>
      <c r="G407" s="34"/>
      <c r="H407" s="16"/>
      <c r="I407" s="16"/>
      <c r="J407" s="17"/>
      <c r="K407" s="18">
        <f t="shared" si="351"/>
        <v>0</v>
      </c>
      <c r="L407" s="34">
        <v>700</v>
      </c>
      <c r="M407" s="16"/>
      <c r="N407" s="16"/>
      <c r="O407" s="17"/>
      <c r="P407" s="18">
        <f t="shared" si="321"/>
        <v>700</v>
      </c>
      <c r="Q407" s="34">
        <v>30</v>
      </c>
      <c r="R407" s="16"/>
      <c r="S407" s="16"/>
      <c r="T407" s="17"/>
      <c r="U407" s="18">
        <f t="shared" si="322"/>
        <v>30</v>
      </c>
      <c r="V407" s="34">
        <v>1589</v>
      </c>
      <c r="W407" s="16"/>
      <c r="X407" s="16"/>
      <c r="Y407" s="17"/>
      <c r="Z407" s="18">
        <f t="shared" si="323"/>
        <v>1589</v>
      </c>
      <c r="AA407" s="34"/>
      <c r="AB407" s="16"/>
      <c r="AC407" s="16"/>
      <c r="AD407" s="17"/>
      <c r="AE407" s="18">
        <f t="shared" si="324"/>
        <v>0</v>
      </c>
      <c r="AF407" s="34"/>
      <c r="AG407" s="16"/>
      <c r="AH407" s="16"/>
      <c r="AI407" s="17"/>
      <c r="AJ407" s="18">
        <f t="shared" si="325"/>
        <v>0</v>
      </c>
      <c r="AK407" s="34"/>
      <c r="AL407" s="16"/>
      <c r="AM407" s="16"/>
      <c r="AN407" s="17"/>
      <c r="AO407" s="18">
        <f t="shared" si="326"/>
        <v>0</v>
      </c>
      <c r="AP407" s="34"/>
      <c r="AQ407" s="16"/>
      <c r="AR407" s="16"/>
      <c r="AS407" s="17"/>
      <c r="AT407" s="18">
        <f t="shared" si="327"/>
        <v>0</v>
      </c>
      <c r="AU407" s="34"/>
      <c r="AV407" s="16"/>
      <c r="AW407" s="16"/>
      <c r="AX407" s="17"/>
      <c r="AY407" s="18">
        <f t="shared" si="328"/>
        <v>0</v>
      </c>
      <c r="AZ407" s="34"/>
      <c r="BA407" s="16"/>
      <c r="BB407" s="16"/>
      <c r="BC407" s="17"/>
      <c r="BD407" s="18">
        <f t="shared" si="329"/>
        <v>0</v>
      </c>
      <c r="BE407" s="34"/>
      <c r="BF407" s="16"/>
      <c r="BG407" s="16"/>
      <c r="BH407" s="17"/>
      <c r="BI407" s="18">
        <f t="shared" si="330"/>
        <v>0</v>
      </c>
      <c r="BJ407" s="34"/>
      <c r="BK407" s="16"/>
      <c r="BL407" s="16"/>
      <c r="BM407" s="17"/>
      <c r="BN407" s="18">
        <f t="shared" si="331"/>
        <v>0</v>
      </c>
      <c r="BO407" s="70">
        <f>SUM(G407,L407,Q407,V407,AA407,AF407,AK407,AP407,AU407,AZ407,BE407,BJ407)</f>
        <v>2319</v>
      </c>
      <c r="BP407" s="16">
        <f>SUM(H407,M407,R407,W407,AB407,AG407,AL407,AQ407,AV407,BA407,BF407,BK407)</f>
        <v>0</v>
      </c>
      <c r="BQ407" s="16">
        <f>SUM(I407,N407,S407,X407,AC407,AH407,AM407,AR407,AW407,BB407,BG407,BL407)</f>
        <v>0</v>
      </c>
      <c r="BR407" s="17">
        <f>SUM(J407,O407,T407,Y407,AD407,AI407,AN407,AS407,AX407,BC407,BH407,BM407)</f>
        <v>0</v>
      </c>
      <c r="BS407" s="35">
        <f t="shared" si="350"/>
        <v>2319</v>
      </c>
    </row>
    <row r="408" spans="2:71" x14ac:dyDescent="0.3">
      <c r="B408" s="254"/>
      <c r="C408" s="204"/>
      <c r="D408" s="200"/>
      <c r="E408" s="201"/>
      <c r="F408" s="123" t="s">
        <v>232</v>
      </c>
      <c r="G408" s="34"/>
      <c r="H408" s="16"/>
      <c r="I408" s="16"/>
      <c r="J408" s="17"/>
      <c r="K408" s="18">
        <f t="shared" si="351"/>
        <v>0</v>
      </c>
      <c r="L408" s="34"/>
      <c r="M408" s="16"/>
      <c r="N408" s="16"/>
      <c r="O408" s="17"/>
      <c r="P408" s="18">
        <f t="shared" si="321"/>
        <v>0</v>
      </c>
      <c r="Q408" s="34"/>
      <c r="R408" s="16"/>
      <c r="S408" s="16"/>
      <c r="T408" s="17"/>
      <c r="U408" s="18">
        <f t="shared" si="322"/>
        <v>0</v>
      </c>
      <c r="V408" s="34"/>
      <c r="W408" s="16"/>
      <c r="X408" s="16"/>
      <c r="Y408" s="17"/>
      <c r="Z408" s="18">
        <f t="shared" si="323"/>
        <v>0</v>
      </c>
      <c r="AA408" s="34">
        <v>400</v>
      </c>
      <c r="AB408" s="16"/>
      <c r="AC408" s="16"/>
      <c r="AD408" s="17"/>
      <c r="AE408" s="18">
        <f t="shared" si="324"/>
        <v>400</v>
      </c>
      <c r="AF408" s="34"/>
      <c r="AG408" s="16"/>
      <c r="AH408" s="16"/>
      <c r="AI408" s="17"/>
      <c r="AJ408" s="18">
        <f t="shared" si="325"/>
        <v>0</v>
      </c>
      <c r="AK408" s="34">
        <v>12</v>
      </c>
      <c r="AL408" s="16"/>
      <c r="AM408" s="16"/>
      <c r="AN408" s="17"/>
      <c r="AO408" s="18">
        <f t="shared" si="326"/>
        <v>12</v>
      </c>
      <c r="AP408" s="34">
        <v>600</v>
      </c>
      <c r="AQ408" s="16"/>
      <c r="AR408" s="16"/>
      <c r="AS408" s="17"/>
      <c r="AT408" s="18">
        <f t="shared" si="327"/>
        <v>600</v>
      </c>
      <c r="AU408" s="34">
        <v>1052</v>
      </c>
      <c r="AV408" s="16"/>
      <c r="AW408" s="16"/>
      <c r="AX408" s="17"/>
      <c r="AY408" s="18">
        <f t="shared" si="328"/>
        <v>1052</v>
      </c>
      <c r="AZ408" s="34">
        <v>11</v>
      </c>
      <c r="BA408" s="16"/>
      <c r="BB408" s="16"/>
      <c r="BC408" s="17"/>
      <c r="BD408" s="18">
        <f t="shared" si="329"/>
        <v>11</v>
      </c>
      <c r="BE408" s="34">
        <v>304</v>
      </c>
      <c r="BF408" s="16"/>
      <c r="BG408" s="16"/>
      <c r="BH408" s="17"/>
      <c r="BI408" s="18">
        <f t="shared" si="330"/>
        <v>304</v>
      </c>
      <c r="BJ408" s="34">
        <v>9</v>
      </c>
      <c r="BK408" s="16"/>
      <c r="BL408" s="16"/>
      <c r="BM408" s="17"/>
      <c r="BN408" s="18">
        <f t="shared" si="331"/>
        <v>9</v>
      </c>
      <c r="BO408" s="70">
        <f>SUM(G408,L408,Q408,V408,AA408,AF408,AK408,AP408,AU408,AZ408,BE408,BJ408)</f>
        <v>2388</v>
      </c>
      <c r="BP408" s="16">
        <f>SUM(H408,M408,R408,W408,AB408,AG408,AL408,AQ408,AV408,BA408,BF408,BK408)</f>
        <v>0</v>
      </c>
      <c r="BQ408" s="16">
        <f>SUM(I408,N408,S408,X408,AC408,AH408,AM408,AR408,AW408,BB408,BG408,BL408)</f>
        <v>0</v>
      </c>
      <c r="BR408" s="17">
        <f>SUM(J408,O408,T408,Y408,AD408,AI408,AN408,AS408,AX408,BC408,BH408,BM408)</f>
        <v>0</v>
      </c>
      <c r="BS408" s="35">
        <f t="shared" si="350"/>
        <v>2388</v>
      </c>
    </row>
    <row r="409" spans="2:71" x14ac:dyDescent="0.3">
      <c r="B409" s="254"/>
      <c r="C409" s="204"/>
      <c r="D409" s="200"/>
      <c r="E409" s="201"/>
      <c r="F409" s="123" t="s">
        <v>233</v>
      </c>
      <c r="G409" s="34"/>
      <c r="H409" s="16"/>
      <c r="I409" s="16"/>
      <c r="J409" s="17"/>
      <c r="K409" s="18">
        <f t="shared" si="351"/>
        <v>0</v>
      </c>
      <c r="L409" s="34"/>
      <c r="M409" s="16"/>
      <c r="N409" s="16"/>
      <c r="O409" s="17"/>
      <c r="P409" s="18">
        <f t="shared" si="321"/>
        <v>0</v>
      </c>
      <c r="Q409" s="34"/>
      <c r="R409" s="16"/>
      <c r="S409" s="16"/>
      <c r="T409" s="17"/>
      <c r="U409" s="18">
        <f t="shared" si="322"/>
        <v>0</v>
      </c>
      <c r="V409" s="34"/>
      <c r="W409" s="16"/>
      <c r="X409" s="16"/>
      <c r="Y409" s="17"/>
      <c r="Z409" s="18">
        <f t="shared" si="323"/>
        <v>0</v>
      </c>
      <c r="AA409" s="34"/>
      <c r="AB409" s="16"/>
      <c r="AC409" s="16"/>
      <c r="AD409" s="17"/>
      <c r="AE409" s="18">
        <f t="shared" si="324"/>
        <v>0</v>
      </c>
      <c r="AF409" s="34"/>
      <c r="AG409" s="16"/>
      <c r="AH409" s="16"/>
      <c r="AI409" s="17"/>
      <c r="AJ409" s="18">
        <f t="shared" si="325"/>
        <v>0</v>
      </c>
      <c r="AK409" s="34"/>
      <c r="AL409" s="16"/>
      <c r="AM409" s="16"/>
      <c r="AN409" s="17"/>
      <c r="AO409" s="18">
        <f t="shared" si="326"/>
        <v>0</v>
      </c>
      <c r="AP409" s="34"/>
      <c r="AQ409" s="16"/>
      <c r="AR409" s="16"/>
      <c r="AS409" s="17"/>
      <c r="AT409" s="18">
        <f t="shared" si="327"/>
        <v>0</v>
      </c>
      <c r="AU409" s="34">
        <v>105</v>
      </c>
      <c r="AV409" s="16"/>
      <c r="AW409" s="16"/>
      <c r="AX409" s="17"/>
      <c r="AY409" s="18">
        <f t="shared" si="328"/>
        <v>105</v>
      </c>
      <c r="AZ409" s="34"/>
      <c r="BA409" s="16"/>
      <c r="BB409" s="16"/>
      <c r="BC409" s="17"/>
      <c r="BD409" s="18">
        <f t="shared" si="329"/>
        <v>0</v>
      </c>
      <c r="BE409" s="34"/>
      <c r="BF409" s="16"/>
      <c r="BG409" s="16"/>
      <c r="BH409" s="17"/>
      <c r="BI409" s="18">
        <f t="shared" si="330"/>
        <v>0</v>
      </c>
      <c r="BJ409" s="34"/>
      <c r="BK409" s="16"/>
      <c r="BL409" s="16"/>
      <c r="BM409" s="17"/>
      <c r="BN409" s="18">
        <f t="shared" si="331"/>
        <v>0</v>
      </c>
      <c r="BO409" s="70">
        <f>SUM(G409,L409,Q409,V409,AA409,AF409,AK409,AP409,AU409,AZ409,BE409,BJ409)</f>
        <v>105</v>
      </c>
      <c r="BP409" s="16">
        <f>SUM(H409,M409,R409,W409,AB409,AG409,AL409,AQ409,AV409,BA409,BF409,BK409)</f>
        <v>0</v>
      </c>
      <c r="BQ409" s="16">
        <f>SUM(I409,N409,S409,X409,AC409,AH409,AM409,AR409,AW409,BB409,BG409,BL409)</f>
        <v>0</v>
      </c>
      <c r="BR409" s="17">
        <f>SUM(J409,O409,T409,Y409,AD409,AI409,AN409,AS409,AX409,BC409,BH409,BM409)</f>
        <v>0</v>
      </c>
      <c r="BS409" s="35">
        <f t="shared" si="350"/>
        <v>105</v>
      </c>
    </row>
    <row r="410" spans="2:71" x14ac:dyDescent="0.3">
      <c r="B410" s="254"/>
      <c r="C410" s="204"/>
      <c r="D410" s="200"/>
      <c r="E410" s="201"/>
      <c r="F410" s="123" t="s">
        <v>234</v>
      </c>
      <c r="G410" s="34"/>
      <c r="H410" s="16"/>
      <c r="I410" s="16"/>
      <c r="J410" s="17"/>
      <c r="K410" s="18">
        <f t="shared" si="351"/>
        <v>0</v>
      </c>
      <c r="L410" s="34"/>
      <c r="M410" s="16"/>
      <c r="N410" s="16"/>
      <c r="O410" s="17"/>
      <c r="P410" s="18">
        <f t="shared" si="321"/>
        <v>0</v>
      </c>
      <c r="Q410" s="34"/>
      <c r="R410" s="16"/>
      <c r="S410" s="16"/>
      <c r="T410" s="17"/>
      <c r="U410" s="18">
        <f t="shared" si="322"/>
        <v>0</v>
      </c>
      <c r="V410" s="34"/>
      <c r="W410" s="16"/>
      <c r="X410" s="16"/>
      <c r="Y410" s="17"/>
      <c r="Z410" s="18">
        <f t="shared" si="323"/>
        <v>0</v>
      </c>
      <c r="AA410" s="34"/>
      <c r="AB410" s="16"/>
      <c r="AC410" s="16"/>
      <c r="AD410" s="17"/>
      <c r="AE410" s="18">
        <f t="shared" si="324"/>
        <v>0</v>
      </c>
      <c r="AF410" s="34">
        <v>200</v>
      </c>
      <c r="AG410" s="16"/>
      <c r="AH410" s="16"/>
      <c r="AI410" s="17"/>
      <c r="AJ410" s="18">
        <f t="shared" si="325"/>
        <v>200</v>
      </c>
      <c r="AK410" s="34"/>
      <c r="AL410" s="16"/>
      <c r="AM410" s="16"/>
      <c r="AN410" s="17"/>
      <c r="AO410" s="18">
        <f t="shared" si="326"/>
        <v>0</v>
      </c>
      <c r="AP410" s="34"/>
      <c r="AQ410" s="16"/>
      <c r="AR410" s="16"/>
      <c r="AS410" s="17"/>
      <c r="AT410" s="18">
        <f t="shared" si="327"/>
        <v>0</v>
      </c>
      <c r="AU410" s="34"/>
      <c r="AV410" s="16"/>
      <c r="AW410" s="16"/>
      <c r="AX410" s="17"/>
      <c r="AY410" s="18">
        <f t="shared" si="328"/>
        <v>0</v>
      </c>
      <c r="AZ410" s="34">
        <v>100</v>
      </c>
      <c r="BA410" s="16"/>
      <c r="BB410" s="16"/>
      <c r="BC410" s="17"/>
      <c r="BD410" s="18">
        <f t="shared" si="329"/>
        <v>100</v>
      </c>
      <c r="BE410" s="34">
        <v>231</v>
      </c>
      <c r="BF410" s="16"/>
      <c r="BG410" s="16"/>
      <c r="BH410" s="17"/>
      <c r="BI410" s="18">
        <f t="shared" si="330"/>
        <v>231</v>
      </c>
      <c r="BJ410" s="34">
        <v>100</v>
      </c>
      <c r="BK410" s="16"/>
      <c r="BL410" s="16"/>
      <c r="BM410" s="17"/>
      <c r="BN410" s="18">
        <f t="shared" si="331"/>
        <v>100</v>
      </c>
      <c r="BO410" s="70">
        <f>SUM(G410,L410,Q410,V410,AA410,AF410,AK410,AP410,AU410,AZ410,BE410,BJ410)</f>
        <v>631</v>
      </c>
      <c r="BP410" s="16">
        <f>SUM(H410,M410,R410,W410,AB410,AG410,AL410,AQ410,AV410,BA410,BF410,BK410)</f>
        <v>0</v>
      </c>
      <c r="BQ410" s="16">
        <f>SUM(I410,N410,S410,X410,AC410,AH410,AM410,AR410,AW410,BB410,BG410,BL410)</f>
        <v>0</v>
      </c>
      <c r="BR410" s="17">
        <f>SUM(J410,O410,T410,Y410,AD410,AI410,AN410,AS410,AX410,BC410,BH410,BM410)</f>
        <v>0</v>
      </c>
      <c r="BS410" s="35">
        <f t="shared" si="350"/>
        <v>631</v>
      </c>
    </row>
    <row r="411" spans="2:71" x14ac:dyDescent="0.3">
      <c r="B411" s="254"/>
      <c r="C411" s="204"/>
      <c r="D411" s="200"/>
      <c r="E411" s="201"/>
      <c r="F411" s="123" t="s">
        <v>235</v>
      </c>
      <c r="G411" s="34">
        <v>2</v>
      </c>
      <c r="H411" s="16"/>
      <c r="I411" s="16"/>
      <c r="J411" s="17"/>
      <c r="K411" s="18">
        <f t="shared" si="351"/>
        <v>2</v>
      </c>
      <c r="L411" s="34"/>
      <c r="M411" s="16"/>
      <c r="N411" s="16"/>
      <c r="O411" s="17"/>
      <c r="P411" s="18">
        <f t="shared" si="321"/>
        <v>0</v>
      </c>
      <c r="Q411" s="34"/>
      <c r="R411" s="16"/>
      <c r="S411" s="16"/>
      <c r="T411" s="17"/>
      <c r="U411" s="18">
        <f t="shared" si="322"/>
        <v>0</v>
      </c>
      <c r="V411" s="34"/>
      <c r="W411" s="16"/>
      <c r="X411" s="16"/>
      <c r="Y411" s="17"/>
      <c r="Z411" s="18">
        <f t="shared" si="323"/>
        <v>0</v>
      </c>
      <c r="AA411" s="34"/>
      <c r="AB411" s="16"/>
      <c r="AC411" s="16"/>
      <c r="AD411" s="17"/>
      <c r="AE411" s="18">
        <f t="shared" si="324"/>
        <v>0</v>
      </c>
      <c r="AF411" s="34">
        <v>160</v>
      </c>
      <c r="AG411" s="16"/>
      <c r="AH411" s="16"/>
      <c r="AI411" s="17"/>
      <c r="AJ411" s="18">
        <f t="shared" si="325"/>
        <v>160</v>
      </c>
      <c r="AK411" s="34"/>
      <c r="AL411" s="16"/>
      <c r="AM411" s="16"/>
      <c r="AN411" s="17"/>
      <c r="AO411" s="18">
        <f t="shared" si="326"/>
        <v>0</v>
      </c>
      <c r="AP411" s="34"/>
      <c r="AQ411" s="16"/>
      <c r="AR411" s="16"/>
      <c r="AS411" s="17"/>
      <c r="AT411" s="18">
        <f t="shared" si="327"/>
        <v>0</v>
      </c>
      <c r="AU411" s="34"/>
      <c r="AV411" s="16"/>
      <c r="AW411" s="16"/>
      <c r="AX411" s="17"/>
      <c r="AY411" s="18">
        <f t="shared" si="328"/>
        <v>0</v>
      </c>
      <c r="AZ411" s="34"/>
      <c r="BA411" s="16"/>
      <c r="BB411" s="16"/>
      <c r="BC411" s="17"/>
      <c r="BD411" s="18">
        <f t="shared" si="329"/>
        <v>0</v>
      </c>
      <c r="BE411" s="34"/>
      <c r="BF411" s="16"/>
      <c r="BG411" s="16"/>
      <c r="BH411" s="17"/>
      <c r="BI411" s="18">
        <f t="shared" si="330"/>
        <v>0</v>
      </c>
      <c r="BJ411" s="34"/>
      <c r="BK411" s="16"/>
      <c r="BL411" s="16"/>
      <c r="BM411" s="17"/>
      <c r="BN411" s="18">
        <f t="shared" ref="BN411:BN474" si="355">SUM(BJ411:BM411)</f>
        <v>0</v>
      </c>
      <c r="BO411" s="70">
        <f>SUM(G411,L411,Q411,V411,AA411,AF411,AK411,AP411,AU411,AZ411,BE411,BJ411)</f>
        <v>162</v>
      </c>
      <c r="BP411" s="16">
        <f>SUM(H411,M411,R411,W411,AB411,AG411,AL411,AQ411,AV411,BA411,BF411,BK411)</f>
        <v>0</v>
      </c>
      <c r="BQ411" s="16">
        <f>SUM(I411,N411,S411,X411,AC411,AH411,AM411,AR411,AW411,BB411,BG411,BL411)</f>
        <v>0</v>
      </c>
      <c r="BR411" s="17">
        <f>SUM(J411,O411,T411,Y411,AD411,AI411,AN411,AS411,AX411,BC411,BH411,BM411)</f>
        <v>0</v>
      </c>
      <c r="BS411" s="35">
        <f t="shared" si="350"/>
        <v>162</v>
      </c>
    </row>
    <row r="412" spans="2:71" x14ac:dyDescent="0.3">
      <c r="B412" s="254"/>
      <c r="C412" s="204"/>
      <c r="D412" s="200"/>
      <c r="E412" s="201"/>
      <c r="F412" s="123" t="s">
        <v>569</v>
      </c>
      <c r="G412" s="34"/>
      <c r="H412" s="16"/>
      <c r="I412" s="16"/>
      <c r="J412" s="17"/>
      <c r="K412" s="18">
        <f t="shared" si="351"/>
        <v>0</v>
      </c>
      <c r="L412" s="34"/>
      <c r="M412" s="16"/>
      <c r="N412" s="16"/>
      <c r="O412" s="17"/>
      <c r="P412" s="18">
        <f t="shared" ref="P412:P475" si="356">SUM(L412:O412)</f>
        <v>0</v>
      </c>
      <c r="Q412" s="34"/>
      <c r="R412" s="16"/>
      <c r="S412" s="16"/>
      <c r="T412" s="17"/>
      <c r="U412" s="18">
        <f t="shared" ref="U412:U475" si="357">SUM(Q412:T412)</f>
        <v>0</v>
      </c>
      <c r="V412" s="34">
        <v>120</v>
      </c>
      <c r="W412" s="16"/>
      <c r="X412" s="16"/>
      <c r="Y412" s="17"/>
      <c r="Z412" s="18">
        <f t="shared" ref="Z412:Z475" si="358">SUM(V412:Y412)</f>
        <v>120</v>
      </c>
      <c r="AA412" s="34"/>
      <c r="AB412" s="16"/>
      <c r="AC412" s="16"/>
      <c r="AD412" s="17"/>
      <c r="AE412" s="18">
        <f t="shared" ref="AE412:AE475" si="359">SUM(AA412:AD412)</f>
        <v>0</v>
      </c>
      <c r="AF412" s="34">
        <v>150</v>
      </c>
      <c r="AG412" s="16"/>
      <c r="AH412" s="16"/>
      <c r="AI412" s="17"/>
      <c r="AJ412" s="18">
        <f t="shared" ref="AJ412:AJ475" si="360">SUM(AF412:AI412)</f>
        <v>150</v>
      </c>
      <c r="AK412" s="34">
        <v>100</v>
      </c>
      <c r="AL412" s="16"/>
      <c r="AM412" s="16"/>
      <c r="AN412" s="17"/>
      <c r="AO412" s="18">
        <f t="shared" ref="AO412:AO475" si="361">SUM(AK412:AN412)</f>
        <v>100</v>
      </c>
      <c r="AP412" s="34"/>
      <c r="AQ412" s="16"/>
      <c r="AR412" s="16"/>
      <c r="AS412" s="17"/>
      <c r="AT412" s="18">
        <f t="shared" ref="AT412:AT475" si="362">SUM(AP412:AS412)</f>
        <v>0</v>
      </c>
      <c r="AU412" s="34"/>
      <c r="AV412" s="16"/>
      <c r="AW412" s="16"/>
      <c r="AX412" s="17"/>
      <c r="AY412" s="18">
        <f t="shared" ref="AY412:AY475" si="363">SUM(AU412:AX412)</f>
        <v>0</v>
      </c>
      <c r="AZ412" s="34"/>
      <c r="BA412" s="16"/>
      <c r="BB412" s="16"/>
      <c r="BC412" s="17"/>
      <c r="BD412" s="18">
        <f t="shared" ref="BD412:BD475" si="364">SUM(AZ412:BC412)</f>
        <v>0</v>
      </c>
      <c r="BE412" s="34"/>
      <c r="BF412" s="16"/>
      <c r="BG412" s="16"/>
      <c r="BH412" s="17"/>
      <c r="BI412" s="18">
        <f t="shared" ref="BI412:BI475" si="365">SUM(BE412:BH412)</f>
        <v>0</v>
      </c>
      <c r="BJ412" s="34"/>
      <c r="BK412" s="16"/>
      <c r="BL412" s="16"/>
      <c r="BM412" s="17"/>
      <c r="BN412" s="18">
        <f t="shared" si="355"/>
        <v>0</v>
      </c>
      <c r="BO412" s="70">
        <f>SUM(G412,L412,Q412,V412,AA412,AF412,AK412,AP412,AU412,AZ412,BE412,BJ412)</f>
        <v>370</v>
      </c>
      <c r="BP412" s="16">
        <f>SUM(H412,M412,R412,W412,AB412,AG412,AL412,AQ412,AV412,BA412,BF412,BK412)</f>
        <v>0</v>
      </c>
      <c r="BQ412" s="16">
        <f>SUM(I412,N412,S412,X412,AC412,AH412,AM412,AR412,AW412,BB412,BG412,BL412)</f>
        <v>0</v>
      </c>
      <c r="BR412" s="17">
        <f>SUM(J412,O412,T412,Y412,AD412,AI412,AN412,AS412,AX412,BC412,BH412,BM412)</f>
        <v>0</v>
      </c>
      <c r="BS412" s="35">
        <f t="shared" si="350"/>
        <v>370</v>
      </c>
    </row>
    <row r="413" spans="2:71" x14ac:dyDescent="0.3">
      <c r="B413" s="254"/>
      <c r="C413" s="204"/>
      <c r="D413" s="200"/>
      <c r="E413" s="201"/>
      <c r="F413" s="123" t="s">
        <v>570</v>
      </c>
      <c r="G413" s="34"/>
      <c r="H413" s="16"/>
      <c r="I413" s="16"/>
      <c r="J413" s="17"/>
      <c r="K413" s="18">
        <f t="shared" si="351"/>
        <v>0</v>
      </c>
      <c r="L413" s="34"/>
      <c r="M413" s="16"/>
      <c r="N413" s="16"/>
      <c r="O413" s="17"/>
      <c r="P413" s="18">
        <f t="shared" si="356"/>
        <v>0</v>
      </c>
      <c r="Q413" s="34"/>
      <c r="R413" s="16"/>
      <c r="S413" s="16"/>
      <c r="T413" s="17"/>
      <c r="U413" s="18">
        <f t="shared" si="357"/>
        <v>0</v>
      </c>
      <c r="V413" s="34"/>
      <c r="W413" s="16"/>
      <c r="X413" s="16"/>
      <c r="Y413" s="17"/>
      <c r="Z413" s="18">
        <f t="shared" si="358"/>
        <v>0</v>
      </c>
      <c r="AA413" s="34"/>
      <c r="AB413" s="16"/>
      <c r="AC413" s="16"/>
      <c r="AD413" s="17"/>
      <c r="AE413" s="18">
        <f t="shared" si="359"/>
        <v>0</v>
      </c>
      <c r="AF413" s="34">
        <v>47</v>
      </c>
      <c r="AG413" s="16"/>
      <c r="AH413" s="16"/>
      <c r="AI413" s="17"/>
      <c r="AJ413" s="18">
        <f t="shared" si="360"/>
        <v>47</v>
      </c>
      <c r="AK413" s="34"/>
      <c r="AL413" s="16"/>
      <c r="AM413" s="16"/>
      <c r="AN413" s="17"/>
      <c r="AO413" s="18">
        <f t="shared" si="361"/>
        <v>0</v>
      </c>
      <c r="AP413" s="34"/>
      <c r="AQ413" s="16"/>
      <c r="AR413" s="16"/>
      <c r="AS413" s="17"/>
      <c r="AT413" s="18">
        <f t="shared" si="362"/>
        <v>0</v>
      </c>
      <c r="AU413" s="34"/>
      <c r="AV413" s="16"/>
      <c r="AW413" s="16"/>
      <c r="AX413" s="17"/>
      <c r="AY413" s="18">
        <f t="shared" si="363"/>
        <v>0</v>
      </c>
      <c r="AZ413" s="34"/>
      <c r="BA413" s="16"/>
      <c r="BB413" s="16"/>
      <c r="BC413" s="17"/>
      <c r="BD413" s="18">
        <f t="shared" si="364"/>
        <v>0</v>
      </c>
      <c r="BE413" s="34"/>
      <c r="BF413" s="16"/>
      <c r="BG413" s="16"/>
      <c r="BH413" s="17"/>
      <c r="BI413" s="18">
        <f t="shared" si="365"/>
        <v>0</v>
      </c>
      <c r="BJ413" s="34"/>
      <c r="BK413" s="16"/>
      <c r="BL413" s="16"/>
      <c r="BM413" s="17"/>
      <c r="BN413" s="18">
        <f t="shared" si="355"/>
        <v>0</v>
      </c>
      <c r="BO413" s="70">
        <f>SUM(G413,L413,Q413,V413,AA413,AF413,AK413,AP413,AU413,AZ413,BE413,BJ413)</f>
        <v>47</v>
      </c>
      <c r="BP413" s="16">
        <f>SUM(H413,M413,R413,W413,AB413,AG413,AL413,AQ413,AV413,BA413,BF413,BK413)</f>
        <v>0</v>
      </c>
      <c r="BQ413" s="16">
        <f>SUM(I413,N413,S413,X413,AC413,AH413,AM413,AR413,AW413,BB413,BG413,BL413)</f>
        <v>0</v>
      </c>
      <c r="BR413" s="17">
        <f>SUM(J413,O413,T413,Y413,AD413,AI413,AN413,AS413,AX413,BC413,BH413,BM413)</f>
        <v>0</v>
      </c>
      <c r="BS413" s="35">
        <f t="shared" si="350"/>
        <v>47</v>
      </c>
    </row>
    <row r="414" spans="2:71" x14ac:dyDescent="0.3">
      <c r="B414" s="254"/>
      <c r="C414" s="204"/>
      <c r="D414" s="200"/>
      <c r="E414" s="201"/>
      <c r="F414" s="123" t="s">
        <v>399</v>
      </c>
      <c r="G414" s="34">
        <v>32</v>
      </c>
      <c r="H414" s="16"/>
      <c r="I414" s="16"/>
      <c r="J414" s="17"/>
      <c r="K414" s="18">
        <f t="shared" si="351"/>
        <v>32</v>
      </c>
      <c r="L414" s="34">
        <v>47</v>
      </c>
      <c r="M414" s="16"/>
      <c r="N414" s="16"/>
      <c r="O414" s="17"/>
      <c r="P414" s="18">
        <f t="shared" si="356"/>
        <v>47</v>
      </c>
      <c r="Q414" s="34">
        <v>78</v>
      </c>
      <c r="R414" s="16"/>
      <c r="S414" s="16"/>
      <c r="T414" s="17"/>
      <c r="U414" s="18">
        <f t="shared" si="357"/>
        <v>78</v>
      </c>
      <c r="V414" s="34">
        <v>292</v>
      </c>
      <c r="W414" s="16"/>
      <c r="X414" s="16"/>
      <c r="Y414" s="17"/>
      <c r="Z414" s="18">
        <f t="shared" si="358"/>
        <v>292</v>
      </c>
      <c r="AA414" s="34"/>
      <c r="AB414" s="16"/>
      <c r="AC414" s="16"/>
      <c r="AD414" s="17"/>
      <c r="AE414" s="18">
        <f t="shared" si="359"/>
        <v>0</v>
      </c>
      <c r="AF414" s="34">
        <v>367</v>
      </c>
      <c r="AG414" s="16"/>
      <c r="AH414" s="16"/>
      <c r="AI414" s="17"/>
      <c r="AJ414" s="18">
        <f t="shared" si="360"/>
        <v>367</v>
      </c>
      <c r="AK414" s="34"/>
      <c r="AL414" s="16"/>
      <c r="AM414" s="16"/>
      <c r="AN414" s="17"/>
      <c r="AO414" s="18">
        <f t="shared" si="361"/>
        <v>0</v>
      </c>
      <c r="AP414" s="34"/>
      <c r="AQ414" s="16"/>
      <c r="AR414" s="16"/>
      <c r="AS414" s="17"/>
      <c r="AT414" s="18">
        <f t="shared" si="362"/>
        <v>0</v>
      </c>
      <c r="AU414" s="34"/>
      <c r="AV414" s="16"/>
      <c r="AW414" s="16"/>
      <c r="AX414" s="17"/>
      <c r="AY414" s="18">
        <f t="shared" si="363"/>
        <v>0</v>
      </c>
      <c r="AZ414" s="34"/>
      <c r="BA414" s="16"/>
      <c r="BB414" s="16"/>
      <c r="BC414" s="17"/>
      <c r="BD414" s="18">
        <f t="shared" si="364"/>
        <v>0</v>
      </c>
      <c r="BE414" s="34"/>
      <c r="BF414" s="16"/>
      <c r="BG414" s="16"/>
      <c r="BH414" s="17"/>
      <c r="BI414" s="18">
        <f t="shared" si="365"/>
        <v>0</v>
      </c>
      <c r="BJ414" s="34"/>
      <c r="BK414" s="16"/>
      <c r="BL414" s="16"/>
      <c r="BM414" s="17"/>
      <c r="BN414" s="18">
        <f t="shared" si="355"/>
        <v>0</v>
      </c>
      <c r="BO414" s="70">
        <f>SUM(G414,L414,Q414,V414,AA414,AF414,AK414,AP414,AU414,AZ414,BE414,BJ414)</f>
        <v>816</v>
      </c>
      <c r="BP414" s="16">
        <f>SUM(H414,M414,R414,W414,AB414,AG414,AL414,AQ414,AV414,BA414,BF414,BK414)</f>
        <v>0</v>
      </c>
      <c r="BQ414" s="16">
        <f>SUM(I414,N414,S414,X414,AC414,AH414,AM414,AR414,AW414,BB414,BG414,BL414)</f>
        <v>0</v>
      </c>
      <c r="BR414" s="17">
        <f>SUM(J414,O414,T414,Y414,AD414,AI414,AN414,AS414,AX414,BC414,BH414,BM414)</f>
        <v>0</v>
      </c>
      <c r="BS414" s="35">
        <f t="shared" si="350"/>
        <v>816</v>
      </c>
    </row>
    <row r="415" spans="2:71" x14ac:dyDescent="0.3">
      <c r="B415" s="254"/>
      <c r="C415" s="204"/>
      <c r="D415" s="200"/>
      <c r="E415" s="201"/>
      <c r="F415" s="123" t="s">
        <v>250</v>
      </c>
      <c r="G415" s="34"/>
      <c r="H415" s="16"/>
      <c r="I415" s="16"/>
      <c r="J415" s="17"/>
      <c r="K415" s="18">
        <f t="shared" si="351"/>
        <v>0</v>
      </c>
      <c r="L415" s="34">
        <v>3</v>
      </c>
      <c r="M415" s="16"/>
      <c r="N415" s="16"/>
      <c r="O415" s="17"/>
      <c r="P415" s="18">
        <f t="shared" si="356"/>
        <v>3</v>
      </c>
      <c r="Q415" s="34">
        <v>836</v>
      </c>
      <c r="R415" s="16"/>
      <c r="S415" s="16"/>
      <c r="T415" s="17"/>
      <c r="U415" s="18">
        <f t="shared" si="357"/>
        <v>836</v>
      </c>
      <c r="V415" s="34">
        <v>1657</v>
      </c>
      <c r="W415" s="16"/>
      <c r="X415" s="16"/>
      <c r="Y415" s="17"/>
      <c r="Z415" s="18">
        <f t="shared" si="358"/>
        <v>1657</v>
      </c>
      <c r="AA415" s="34">
        <v>1739</v>
      </c>
      <c r="AB415" s="16"/>
      <c r="AC415" s="16"/>
      <c r="AD415" s="17"/>
      <c r="AE415" s="18">
        <f t="shared" si="359"/>
        <v>1739</v>
      </c>
      <c r="AF415" s="34">
        <v>678</v>
      </c>
      <c r="AG415" s="16"/>
      <c r="AH415" s="16"/>
      <c r="AI415" s="17"/>
      <c r="AJ415" s="18">
        <f t="shared" si="360"/>
        <v>678</v>
      </c>
      <c r="AK415" s="34">
        <v>136</v>
      </c>
      <c r="AL415" s="16"/>
      <c r="AM415" s="16"/>
      <c r="AN415" s="17"/>
      <c r="AO415" s="18">
        <f t="shared" si="361"/>
        <v>136</v>
      </c>
      <c r="AP415" s="34">
        <v>157</v>
      </c>
      <c r="AQ415" s="16"/>
      <c r="AR415" s="16"/>
      <c r="AS415" s="17"/>
      <c r="AT415" s="18">
        <f t="shared" si="362"/>
        <v>157</v>
      </c>
      <c r="AU415" s="34"/>
      <c r="AV415" s="16"/>
      <c r="AW415" s="16"/>
      <c r="AX415" s="17"/>
      <c r="AY415" s="18">
        <f t="shared" si="363"/>
        <v>0</v>
      </c>
      <c r="AZ415" s="34"/>
      <c r="BA415" s="16"/>
      <c r="BB415" s="16"/>
      <c r="BC415" s="17"/>
      <c r="BD415" s="18">
        <f t="shared" si="364"/>
        <v>0</v>
      </c>
      <c r="BE415" s="34"/>
      <c r="BF415" s="16"/>
      <c r="BG415" s="16"/>
      <c r="BH415" s="17"/>
      <c r="BI415" s="18">
        <f t="shared" si="365"/>
        <v>0</v>
      </c>
      <c r="BJ415" s="34"/>
      <c r="BK415" s="16"/>
      <c r="BL415" s="16"/>
      <c r="BM415" s="17"/>
      <c r="BN415" s="18">
        <f t="shared" si="355"/>
        <v>0</v>
      </c>
      <c r="BO415" s="70">
        <f>SUM(G415,L415,Q415,V415,AA415,AF415,AK415,AP415,AU415,AZ415,BE415,BJ415)</f>
        <v>5206</v>
      </c>
      <c r="BP415" s="16">
        <f>SUM(H415,M415,R415,W415,AB415,AG415,AL415,AQ415,AV415,BA415,BF415,BK415)</f>
        <v>0</v>
      </c>
      <c r="BQ415" s="16">
        <f>SUM(I415,N415,S415,X415,AC415,AH415,AM415,AR415,AW415,BB415,BG415,BL415)</f>
        <v>0</v>
      </c>
      <c r="BR415" s="17">
        <f>SUM(J415,O415,T415,Y415,AD415,AI415,AN415,AS415,AX415,BC415,BH415,BM415)</f>
        <v>0</v>
      </c>
      <c r="BS415" s="35">
        <f t="shared" si="350"/>
        <v>5206</v>
      </c>
    </row>
    <row r="416" spans="2:71" x14ac:dyDescent="0.3">
      <c r="B416" s="254"/>
      <c r="C416" s="204"/>
      <c r="D416" s="200"/>
      <c r="E416" s="201"/>
      <c r="F416" s="123" t="s">
        <v>251</v>
      </c>
      <c r="G416" s="34"/>
      <c r="H416" s="16"/>
      <c r="I416" s="16"/>
      <c r="J416" s="17"/>
      <c r="K416" s="18">
        <f t="shared" si="351"/>
        <v>0</v>
      </c>
      <c r="L416" s="34">
        <v>1</v>
      </c>
      <c r="M416" s="16"/>
      <c r="N416" s="16"/>
      <c r="O416" s="17"/>
      <c r="P416" s="18">
        <f t="shared" si="356"/>
        <v>1</v>
      </c>
      <c r="Q416" s="34">
        <v>73</v>
      </c>
      <c r="R416" s="16"/>
      <c r="S416" s="16"/>
      <c r="T416" s="17"/>
      <c r="U416" s="18">
        <f t="shared" si="357"/>
        <v>73</v>
      </c>
      <c r="V416" s="34">
        <v>557</v>
      </c>
      <c r="W416" s="16"/>
      <c r="X416" s="16"/>
      <c r="Y416" s="17"/>
      <c r="Z416" s="18">
        <f t="shared" si="358"/>
        <v>557</v>
      </c>
      <c r="AA416" s="34">
        <v>869</v>
      </c>
      <c r="AB416" s="16"/>
      <c r="AC416" s="16"/>
      <c r="AD416" s="17"/>
      <c r="AE416" s="18">
        <f t="shared" si="359"/>
        <v>869</v>
      </c>
      <c r="AF416" s="34"/>
      <c r="AG416" s="16"/>
      <c r="AH416" s="16"/>
      <c r="AI416" s="17"/>
      <c r="AJ416" s="18">
        <f t="shared" si="360"/>
        <v>0</v>
      </c>
      <c r="AK416" s="34">
        <v>31</v>
      </c>
      <c r="AL416" s="16"/>
      <c r="AM416" s="16"/>
      <c r="AN416" s="17"/>
      <c r="AO416" s="18">
        <f t="shared" si="361"/>
        <v>31</v>
      </c>
      <c r="AP416" s="34">
        <v>19</v>
      </c>
      <c r="AQ416" s="16"/>
      <c r="AR416" s="16"/>
      <c r="AS416" s="17"/>
      <c r="AT416" s="18">
        <f t="shared" si="362"/>
        <v>19</v>
      </c>
      <c r="AU416" s="34"/>
      <c r="AV416" s="16"/>
      <c r="AW416" s="16"/>
      <c r="AX416" s="17"/>
      <c r="AY416" s="18">
        <f t="shared" si="363"/>
        <v>0</v>
      </c>
      <c r="AZ416" s="34"/>
      <c r="BA416" s="16"/>
      <c r="BB416" s="16"/>
      <c r="BC416" s="17"/>
      <c r="BD416" s="18">
        <f t="shared" si="364"/>
        <v>0</v>
      </c>
      <c r="BE416" s="34"/>
      <c r="BF416" s="16"/>
      <c r="BG416" s="16"/>
      <c r="BH416" s="17"/>
      <c r="BI416" s="18">
        <f t="shared" si="365"/>
        <v>0</v>
      </c>
      <c r="BJ416" s="34"/>
      <c r="BK416" s="16"/>
      <c r="BL416" s="16"/>
      <c r="BM416" s="17"/>
      <c r="BN416" s="18">
        <f t="shared" si="355"/>
        <v>0</v>
      </c>
      <c r="BO416" s="70">
        <f>SUM(G416,L416,Q416,V416,AA416,AF416,AK416,AP416,AU416,AZ416,BE416,BJ416)</f>
        <v>1550</v>
      </c>
      <c r="BP416" s="16">
        <f>SUM(H416,M416,R416,W416,AB416,AG416,AL416,AQ416,AV416,BA416,BF416,BK416)</f>
        <v>0</v>
      </c>
      <c r="BQ416" s="16">
        <f>SUM(I416,N416,S416,X416,AC416,AH416,AM416,AR416,AW416,BB416,BG416,BL416)</f>
        <v>0</v>
      </c>
      <c r="BR416" s="17">
        <f>SUM(J416,O416,T416,Y416,AD416,AI416,AN416,AS416,AX416,BC416,BH416,BM416)</f>
        <v>0</v>
      </c>
      <c r="BS416" s="35">
        <f t="shared" si="350"/>
        <v>1550</v>
      </c>
    </row>
    <row r="417" spans="2:71" x14ac:dyDescent="0.3">
      <c r="B417" s="254"/>
      <c r="C417" s="204"/>
      <c r="D417" s="200"/>
      <c r="E417" s="201"/>
      <c r="F417" s="123" t="s">
        <v>253</v>
      </c>
      <c r="G417" s="34"/>
      <c r="H417" s="16"/>
      <c r="I417" s="16"/>
      <c r="J417" s="17"/>
      <c r="K417" s="18">
        <f t="shared" si="351"/>
        <v>0</v>
      </c>
      <c r="L417" s="34"/>
      <c r="M417" s="16"/>
      <c r="N417" s="16"/>
      <c r="O417" s="17"/>
      <c r="P417" s="18">
        <f t="shared" si="356"/>
        <v>0</v>
      </c>
      <c r="Q417" s="34">
        <v>435</v>
      </c>
      <c r="R417" s="16"/>
      <c r="S417" s="16"/>
      <c r="T417" s="17"/>
      <c r="U417" s="18">
        <f t="shared" si="357"/>
        <v>435</v>
      </c>
      <c r="V417" s="34">
        <v>697</v>
      </c>
      <c r="W417" s="16"/>
      <c r="X417" s="16"/>
      <c r="Y417" s="17"/>
      <c r="Z417" s="18">
        <f t="shared" si="358"/>
        <v>697</v>
      </c>
      <c r="AA417" s="34">
        <v>885</v>
      </c>
      <c r="AB417" s="16"/>
      <c r="AC417" s="16"/>
      <c r="AD417" s="17"/>
      <c r="AE417" s="18">
        <f t="shared" si="359"/>
        <v>885</v>
      </c>
      <c r="AF417" s="34">
        <v>213</v>
      </c>
      <c r="AG417" s="16"/>
      <c r="AH417" s="16"/>
      <c r="AI417" s="17"/>
      <c r="AJ417" s="18">
        <f t="shared" si="360"/>
        <v>213</v>
      </c>
      <c r="AK417" s="34">
        <v>54</v>
      </c>
      <c r="AL417" s="16"/>
      <c r="AM417" s="16"/>
      <c r="AN417" s="17"/>
      <c r="AO417" s="18">
        <f t="shared" si="361"/>
        <v>54</v>
      </c>
      <c r="AP417" s="34">
        <v>59</v>
      </c>
      <c r="AQ417" s="16"/>
      <c r="AR417" s="16"/>
      <c r="AS417" s="17"/>
      <c r="AT417" s="18">
        <f t="shared" si="362"/>
        <v>59</v>
      </c>
      <c r="AU417" s="34"/>
      <c r="AV417" s="16"/>
      <c r="AW417" s="16"/>
      <c r="AX417" s="17"/>
      <c r="AY417" s="18">
        <f t="shared" si="363"/>
        <v>0</v>
      </c>
      <c r="AZ417" s="34"/>
      <c r="BA417" s="16"/>
      <c r="BB417" s="16"/>
      <c r="BC417" s="17"/>
      <c r="BD417" s="18">
        <f t="shared" si="364"/>
        <v>0</v>
      </c>
      <c r="BE417" s="34"/>
      <c r="BF417" s="16"/>
      <c r="BG417" s="16"/>
      <c r="BH417" s="17"/>
      <c r="BI417" s="18">
        <f t="shared" si="365"/>
        <v>0</v>
      </c>
      <c r="BJ417" s="34"/>
      <c r="BK417" s="16"/>
      <c r="BL417" s="16"/>
      <c r="BM417" s="17"/>
      <c r="BN417" s="18">
        <f t="shared" si="355"/>
        <v>0</v>
      </c>
      <c r="BO417" s="70">
        <f>SUM(G417,L417,Q417,V417,AA417,AF417,AK417,AP417,AU417,AZ417,BE417,BJ417)</f>
        <v>2343</v>
      </c>
      <c r="BP417" s="16">
        <f>SUM(H417,M417,R417,W417,AB417,AG417,AL417,AQ417,AV417,BA417,BF417,BK417)</f>
        <v>0</v>
      </c>
      <c r="BQ417" s="16">
        <f>SUM(I417,N417,S417,X417,AC417,AH417,AM417,AR417,AW417,BB417,BG417,BL417)</f>
        <v>0</v>
      </c>
      <c r="BR417" s="17">
        <f>SUM(J417,O417,T417,Y417,AD417,AI417,AN417,AS417,AX417,BC417,BH417,BM417)</f>
        <v>0</v>
      </c>
      <c r="BS417" s="35">
        <f t="shared" si="350"/>
        <v>2343</v>
      </c>
    </row>
    <row r="418" spans="2:71" x14ac:dyDescent="0.3">
      <c r="B418" s="254"/>
      <c r="C418" s="204"/>
      <c r="D418" s="200"/>
      <c r="E418" s="201"/>
      <c r="F418" s="123" t="s">
        <v>252</v>
      </c>
      <c r="G418" s="34"/>
      <c r="H418" s="16"/>
      <c r="I418" s="16"/>
      <c r="J418" s="17"/>
      <c r="K418" s="18">
        <f t="shared" si="351"/>
        <v>0</v>
      </c>
      <c r="L418" s="34"/>
      <c r="M418" s="16"/>
      <c r="N418" s="16"/>
      <c r="O418" s="17"/>
      <c r="P418" s="18">
        <f t="shared" si="356"/>
        <v>0</v>
      </c>
      <c r="Q418" s="34">
        <v>185</v>
      </c>
      <c r="R418" s="16"/>
      <c r="S418" s="16"/>
      <c r="T418" s="17"/>
      <c r="U418" s="18">
        <f t="shared" si="357"/>
        <v>185</v>
      </c>
      <c r="V418" s="34">
        <v>465</v>
      </c>
      <c r="W418" s="16"/>
      <c r="X418" s="16"/>
      <c r="Y418" s="17"/>
      <c r="Z418" s="18">
        <f t="shared" si="358"/>
        <v>465</v>
      </c>
      <c r="AA418" s="34">
        <v>600</v>
      </c>
      <c r="AB418" s="16"/>
      <c r="AC418" s="16"/>
      <c r="AD418" s="17"/>
      <c r="AE418" s="18">
        <f t="shared" si="359"/>
        <v>600</v>
      </c>
      <c r="AF418" s="34">
        <v>64</v>
      </c>
      <c r="AG418" s="16"/>
      <c r="AH418" s="16"/>
      <c r="AI418" s="17"/>
      <c r="AJ418" s="18">
        <f t="shared" si="360"/>
        <v>64</v>
      </c>
      <c r="AK418" s="34">
        <v>8</v>
      </c>
      <c r="AL418" s="16"/>
      <c r="AM418" s="16"/>
      <c r="AN418" s="17"/>
      <c r="AO418" s="18">
        <f t="shared" si="361"/>
        <v>8</v>
      </c>
      <c r="AP418" s="34">
        <v>7</v>
      </c>
      <c r="AQ418" s="16"/>
      <c r="AR418" s="16"/>
      <c r="AS418" s="17"/>
      <c r="AT418" s="18">
        <f t="shared" si="362"/>
        <v>7</v>
      </c>
      <c r="AU418" s="34"/>
      <c r="AV418" s="16"/>
      <c r="AW418" s="16"/>
      <c r="AX418" s="17"/>
      <c r="AY418" s="18">
        <f t="shared" si="363"/>
        <v>0</v>
      </c>
      <c r="AZ418" s="34"/>
      <c r="BA418" s="16"/>
      <c r="BB418" s="16"/>
      <c r="BC418" s="17"/>
      <c r="BD418" s="18">
        <f t="shared" si="364"/>
        <v>0</v>
      </c>
      <c r="BE418" s="34"/>
      <c r="BF418" s="16"/>
      <c r="BG418" s="16"/>
      <c r="BH418" s="17"/>
      <c r="BI418" s="18">
        <f t="shared" si="365"/>
        <v>0</v>
      </c>
      <c r="BJ418" s="34"/>
      <c r="BK418" s="16"/>
      <c r="BL418" s="16"/>
      <c r="BM418" s="17"/>
      <c r="BN418" s="18">
        <f t="shared" si="355"/>
        <v>0</v>
      </c>
      <c r="BO418" s="70">
        <f>SUM(G418,L418,Q418,V418,AA418,AF418,AK418,AP418,AU418,AZ418,BE418,BJ418)</f>
        <v>1329</v>
      </c>
      <c r="BP418" s="16">
        <f>SUM(H418,M418,R418,W418,AB418,AG418,AL418,AQ418,AV418,BA418,BF418,BK418)</f>
        <v>0</v>
      </c>
      <c r="BQ418" s="16">
        <f>SUM(I418,N418,S418,X418,AC418,AH418,AM418,AR418,AW418,BB418,BG418,BL418)</f>
        <v>0</v>
      </c>
      <c r="BR418" s="17">
        <f>SUM(J418,O418,T418,Y418,AD418,AI418,AN418,AS418,AX418,BC418,BH418,BM418)</f>
        <v>0</v>
      </c>
      <c r="BS418" s="35">
        <f t="shared" si="350"/>
        <v>1329</v>
      </c>
    </row>
    <row r="419" spans="2:71" x14ac:dyDescent="0.3">
      <c r="B419" s="254"/>
      <c r="C419" s="204"/>
      <c r="D419" s="200"/>
      <c r="E419" s="201"/>
      <c r="F419" s="123" t="s">
        <v>571</v>
      </c>
      <c r="G419" s="34"/>
      <c r="H419" s="16"/>
      <c r="I419" s="16"/>
      <c r="J419" s="17"/>
      <c r="K419" s="18">
        <f t="shared" si="351"/>
        <v>0</v>
      </c>
      <c r="L419" s="34"/>
      <c r="M419" s="16"/>
      <c r="N419" s="16"/>
      <c r="O419" s="17"/>
      <c r="P419" s="18">
        <f t="shared" si="356"/>
        <v>0</v>
      </c>
      <c r="Q419" s="34">
        <v>3</v>
      </c>
      <c r="R419" s="16"/>
      <c r="S419" s="16"/>
      <c r="T419" s="17"/>
      <c r="U419" s="18">
        <f t="shared" si="357"/>
        <v>3</v>
      </c>
      <c r="V419" s="34"/>
      <c r="W419" s="16"/>
      <c r="X419" s="16"/>
      <c r="Y419" s="17"/>
      <c r="Z419" s="18">
        <f t="shared" si="358"/>
        <v>0</v>
      </c>
      <c r="AA419" s="34"/>
      <c r="AB419" s="16"/>
      <c r="AC419" s="16"/>
      <c r="AD419" s="17"/>
      <c r="AE419" s="18">
        <f t="shared" si="359"/>
        <v>0</v>
      </c>
      <c r="AF419" s="34"/>
      <c r="AG419" s="16"/>
      <c r="AH419" s="16"/>
      <c r="AI419" s="17"/>
      <c r="AJ419" s="18">
        <f t="shared" si="360"/>
        <v>0</v>
      </c>
      <c r="AK419" s="34"/>
      <c r="AL419" s="16"/>
      <c r="AM419" s="16"/>
      <c r="AN419" s="17"/>
      <c r="AO419" s="18">
        <f t="shared" si="361"/>
        <v>0</v>
      </c>
      <c r="AP419" s="34"/>
      <c r="AQ419" s="16"/>
      <c r="AR419" s="16"/>
      <c r="AS419" s="17"/>
      <c r="AT419" s="18">
        <f t="shared" si="362"/>
        <v>0</v>
      </c>
      <c r="AU419" s="34"/>
      <c r="AV419" s="16"/>
      <c r="AW419" s="16"/>
      <c r="AX419" s="17"/>
      <c r="AY419" s="18">
        <f t="shared" si="363"/>
        <v>0</v>
      </c>
      <c r="AZ419" s="34"/>
      <c r="BA419" s="16"/>
      <c r="BB419" s="16"/>
      <c r="BC419" s="17"/>
      <c r="BD419" s="18">
        <f t="shared" si="364"/>
        <v>0</v>
      </c>
      <c r="BE419" s="34"/>
      <c r="BF419" s="16"/>
      <c r="BG419" s="16"/>
      <c r="BH419" s="17"/>
      <c r="BI419" s="18">
        <f t="shared" si="365"/>
        <v>0</v>
      </c>
      <c r="BJ419" s="34"/>
      <c r="BK419" s="16"/>
      <c r="BL419" s="16"/>
      <c r="BM419" s="17"/>
      <c r="BN419" s="18">
        <f t="shared" si="355"/>
        <v>0</v>
      </c>
      <c r="BO419" s="70">
        <f>SUM(G419,L419,Q419,V419,AA419,AF419,AK419,AP419,AU419,AZ419,BE419,BJ419)</f>
        <v>3</v>
      </c>
      <c r="BP419" s="16">
        <f>SUM(H419,M419,R419,W419,AB419,AG419,AL419,AQ419,AV419,BA419,BF419,BK419)</f>
        <v>0</v>
      </c>
      <c r="BQ419" s="16">
        <f>SUM(I419,N419,S419,X419,AC419,AH419,AM419,AR419,AW419,BB419,BG419,BL419)</f>
        <v>0</v>
      </c>
      <c r="BR419" s="17">
        <f>SUM(J419,O419,T419,Y419,AD419,AI419,AN419,AS419,AX419,BC419,BH419,BM419)</f>
        <v>0</v>
      </c>
      <c r="BS419" s="35">
        <f t="shared" si="350"/>
        <v>3</v>
      </c>
    </row>
    <row r="420" spans="2:71" x14ac:dyDescent="0.3">
      <c r="B420" s="254"/>
      <c r="C420" s="204"/>
      <c r="D420" s="200"/>
      <c r="E420" s="201"/>
      <c r="F420" s="123" t="s">
        <v>271</v>
      </c>
      <c r="G420" s="34"/>
      <c r="H420" s="16"/>
      <c r="I420" s="16"/>
      <c r="J420" s="17"/>
      <c r="K420" s="18">
        <f t="shared" si="351"/>
        <v>0</v>
      </c>
      <c r="L420" s="34"/>
      <c r="M420" s="16"/>
      <c r="N420" s="16"/>
      <c r="O420" s="17"/>
      <c r="P420" s="18">
        <f t="shared" si="356"/>
        <v>0</v>
      </c>
      <c r="Q420" s="34"/>
      <c r="R420" s="16"/>
      <c r="S420" s="16"/>
      <c r="T420" s="17"/>
      <c r="U420" s="18">
        <f t="shared" si="357"/>
        <v>0</v>
      </c>
      <c r="V420" s="34">
        <v>2528</v>
      </c>
      <c r="W420" s="16"/>
      <c r="X420" s="16"/>
      <c r="Y420" s="17"/>
      <c r="Z420" s="18">
        <f t="shared" si="358"/>
        <v>2528</v>
      </c>
      <c r="AA420" s="34">
        <v>115</v>
      </c>
      <c r="AB420" s="16"/>
      <c r="AC420" s="16"/>
      <c r="AD420" s="17"/>
      <c r="AE420" s="18">
        <f t="shared" si="359"/>
        <v>115</v>
      </c>
      <c r="AF420" s="34">
        <v>54</v>
      </c>
      <c r="AG420" s="16"/>
      <c r="AH420" s="16"/>
      <c r="AI420" s="17"/>
      <c r="AJ420" s="18">
        <f t="shared" si="360"/>
        <v>54</v>
      </c>
      <c r="AK420" s="34"/>
      <c r="AL420" s="16"/>
      <c r="AM420" s="16"/>
      <c r="AN420" s="17"/>
      <c r="AO420" s="18">
        <f t="shared" si="361"/>
        <v>0</v>
      </c>
      <c r="AP420" s="34"/>
      <c r="AQ420" s="16"/>
      <c r="AR420" s="16"/>
      <c r="AS420" s="17"/>
      <c r="AT420" s="18">
        <f t="shared" si="362"/>
        <v>0</v>
      </c>
      <c r="AU420" s="34">
        <v>1453</v>
      </c>
      <c r="AV420" s="16"/>
      <c r="AW420" s="16"/>
      <c r="AX420" s="17"/>
      <c r="AY420" s="18">
        <f t="shared" si="363"/>
        <v>1453</v>
      </c>
      <c r="AZ420" s="34">
        <v>196</v>
      </c>
      <c r="BA420" s="16"/>
      <c r="BB420" s="16"/>
      <c r="BC420" s="17"/>
      <c r="BD420" s="18">
        <f t="shared" si="364"/>
        <v>196</v>
      </c>
      <c r="BE420" s="34"/>
      <c r="BF420" s="16"/>
      <c r="BG420" s="16"/>
      <c r="BH420" s="17"/>
      <c r="BI420" s="18">
        <f t="shared" si="365"/>
        <v>0</v>
      </c>
      <c r="BJ420" s="34"/>
      <c r="BK420" s="16"/>
      <c r="BL420" s="16"/>
      <c r="BM420" s="17"/>
      <c r="BN420" s="18">
        <f t="shared" si="355"/>
        <v>0</v>
      </c>
      <c r="BO420" s="70">
        <f>SUM(G420,L420,Q420,V420,AA420,AF420,AK420,AP420,AU420,AZ420,BE420,BJ420)</f>
        <v>4346</v>
      </c>
      <c r="BP420" s="16">
        <f>SUM(H420,M420,R420,W420,AB420,AG420,AL420,AQ420,AV420,BA420,BF420,BK420)</f>
        <v>0</v>
      </c>
      <c r="BQ420" s="16">
        <f>SUM(I420,N420,S420,X420,AC420,AH420,AM420,AR420,AW420,BB420,BG420,BL420)</f>
        <v>0</v>
      </c>
      <c r="BR420" s="17">
        <f>SUM(J420,O420,T420,Y420,AD420,AI420,AN420,AS420,AX420,BC420,BH420,BM420)</f>
        <v>0</v>
      </c>
      <c r="BS420" s="35">
        <f t="shared" si="350"/>
        <v>4346</v>
      </c>
    </row>
    <row r="421" spans="2:71" x14ac:dyDescent="0.3">
      <c r="B421" s="254"/>
      <c r="C421" s="204"/>
      <c r="D421" s="200"/>
      <c r="E421" s="201"/>
      <c r="F421" s="123" t="s">
        <v>572</v>
      </c>
      <c r="G421" s="34"/>
      <c r="H421" s="16"/>
      <c r="I421" s="16"/>
      <c r="J421" s="17"/>
      <c r="K421" s="18">
        <f t="shared" si="351"/>
        <v>0</v>
      </c>
      <c r="L421" s="34"/>
      <c r="M421" s="16"/>
      <c r="N421" s="16"/>
      <c r="O421" s="17"/>
      <c r="P421" s="18">
        <f t="shared" si="356"/>
        <v>0</v>
      </c>
      <c r="Q421" s="34"/>
      <c r="R421" s="16"/>
      <c r="S421" s="16"/>
      <c r="T421" s="17"/>
      <c r="U421" s="18">
        <f t="shared" si="357"/>
        <v>0</v>
      </c>
      <c r="V421" s="34"/>
      <c r="W421" s="16"/>
      <c r="X421" s="16"/>
      <c r="Y421" s="17"/>
      <c r="Z421" s="18">
        <f t="shared" si="358"/>
        <v>0</v>
      </c>
      <c r="AA421" s="34">
        <v>1</v>
      </c>
      <c r="AB421" s="16"/>
      <c r="AC421" s="16"/>
      <c r="AD421" s="17"/>
      <c r="AE421" s="18">
        <f t="shared" si="359"/>
        <v>1</v>
      </c>
      <c r="AF421" s="34">
        <v>2</v>
      </c>
      <c r="AG421" s="16"/>
      <c r="AH421" s="16">
        <v>2</v>
      </c>
      <c r="AI421" s="17"/>
      <c r="AJ421" s="18">
        <f t="shared" si="360"/>
        <v>4</v>
      </c>
      <c r="AK421" s="34"/>
      <c r="AL421" s="16"/>
      <c r="AM421" s="16"/>
      <c r="AN421" s="17"/>
      <c r="AO421" s="18">
        <f t="shared" si="361"/>
        <v>0</v>
      </c>
      <c r="AP421" s="34"/>
      <c r="AQ421" s="16"/>
      <c r="AR421" s="16"/>
      <c r="AS421" s="17"/>
      <c r="AT421" s="18">
        <f t="shared" si="362"/>
        <v>0</v>
      </c>
      <c r="AU421" s="34"/>
      <c r="AV421" s="16"/>
      <c r="AW421" s="16"/>
      <c r="AX421" s="17"/>
      <c r="AY421" s="18">
        <f t="shared" si="363"/>
        <v>0</v>
      </c>
      <c r="AZ421" s="34"/>
      <c r="BA421" s="16"/>
      <c r="BB421" s="16"/>
      <c r="BC421" s="17"/>
      <c r="BD421" s="18">
        <f t="shared" si="364"/>
        <v>0</v>
      </c>
      <c r="BE421" s="34"/>
      <c r="BF421" s="16"/>
      <c r="BG421" s="16"/>
      <c r="BH421" s="17"/>
      <c r="BI421" s="18">
        <f t="shared" si="365"/>
        <v>0</v>
      </c>
      <c r="BJ421" s="34"/>
      <c r="BK421" s="16"/>
      <c r="BL421" s="16"/>
      <c r="BM421" s="17"/>
      <c r="BN421" s="18">
        <f t="shared" si="355"/>
        <v>0</v>
      </c>
      <c r="BO421" s="70">
        <f>SUM(G421,L421,Q421,V421,AA421,AF421,AK421,AP421,AU421,AZ421,BE421,BJ421)</f>
        <v>3</v>
      </c>
      <c r="BP421" s="16">
        <f>SUM(H421,M421,R421,W421,AB421,AG421,AL421,AQ421,AV421,BA421,BF421,BK421)</f>
        <v>0</v>
      </c>
      <c r="BQ421" s="16">
        <f>SUM(I421,N421,S421,X421,AC421,AH421,AM421,AR421,AW421,BB421,BG421,BL421)</f>
        <v>2</v>
      </c>
      <c r="BR421" s="17">
        <f>SUM(J421,O421,T421,Y421,AD421,AI421,AN421,AS421,AX421,BC421,BH421,BM421)</f>
        <v>0</v>
      </c>
      <c r="BS421" s="35">
        <f t="shared" si="350"/>
        <v>5</v>
      </c>
    </row>
    <row r="422" spans="2:71" x14ac:dyDescent="0.3">
      <c r="B422" s="254"/>
      <c r="C422" s="204"/>
      <c r="D422" s="200"/>
      <c r="E422" s="201"/>
      <c r="F422" s="123" t="s">
        <v>337</v>
      </c>
      <c r="G422" s="34"/>
      <c r="H422" s="16"/>
      <c r="I422" s="16"/>
      <c r="J422" s="17"/>
      <c r="K422" s="18">
        <f t="shared" si="351"/>
        <v>0</v>
      </c>
      <c r="L422" s="34"/>
      <c r="M422" s="16"/>
      <c r="N422" s="16"/>
      <c r="O422" s="17"/>
      <c r="P422" s="18">
        <f t="shared" si="356"/>
        <v>0</v>
      </c>
      <c r="Q422" s="34"/>
      <c r="R422" s="16"/>
      <c r="S422" s="16"/>
      <c r="T422" s="17"/>
      <c r="U422" s="18">
        <f t="shared" si="357"/>
        <v>0</v>
      </c>
      <c r="V422" s="34"/>
      <c r="W422" s="16"/>
      <c r="X422" s="16"/>
      <c r="Y422" s="17"/>
      <c r="Z422" s="18">
        <f t="shared" si="358"/>
        <v>0</v>
      </c>
      <c r="AA422" s="34"/>
      <c r="AB422" s="16"/>
      <c r="AC422" s="16"/>
      <c r="AD422" s="17"/>
      <c r="AE422" s="18">
        <f t="shared" si="359"/>
        <v>0</v>
      </c>
      <c r="AF422" s="34">
        <v>1598</v>
      </c>
      <c r="AG422" s="16"/>
      <c r="AH422" s="16"/>
      <c r="AI422" s="17"/>
      <c r="AJ422" s="18">
        <f t="shared" si="360"/>
        <v>1598</v>
      </c>
      <c r="AK422" s="34">
        <v>484</v>
      </c>
      <c r="AL422" s="16"/>
      <c r="AM422" s="16"/>
      <c r="AN422" s="17"/>
      <c r="AO422" s="18">
        <f t="shared" si="361"/>
        <v>484</v>
      </c>
      <c r="AP422" s="34">
        <v>715</v>
      </c>
      <c r="AQ422" s="16"/>
      <c r="AR422" s="16"/>
      <c r="AS422" s="17"/>
      <c r="AT422" s="18">
        <f t="shared" si="362"/>
        <v>715</v>
      </c>
      <c r="AU422" s="34">
        <v>191</v>
      </c>
      <c r="AV422" s="16"/>
      <c r="AW422" s="16"/>
      <c r="AX422" s="17"/>
      <c r="AY422" s="18">
        <f t="shared" si="363"/>
        <v>191</v>
      </c>
      <c r="AZ422" s="34">
        <v>188</v>
      </c>
      <c r="BA422" s="16"/>
      <c r="BB422" s="16"/>
      <c r="BC422" s="17"/>
      <c r="BD422" s="18">
        <f t="shared" si="364"/>
        <v>188</v>
      </c>
      <c r="BE422" s="34">
        <v>69</v>
      </c>
      <c r="BF422" s="16"/>
      <c r="BG422" s="16"/>
      <c r="BH422" s="17"/>
      <c r="BI422" s="18">
        <f t="shared" si="365"/>
        <v>69</v>
      </c>
      <c r="BJ422" s="34"/>
      <c r="BK422" s="16"/>
      <c r="BL422" s="16"/>
      <c r="BM422" s="17"/>
      <c r="BN422" s="18">
        <f t="shared" si="355"/>
        <v>0</v>
      </c>
      <c r="BO422" s="70">
        <f>SUM(G422,L422,Q422,V422,AA422,AF422,AK422,AP422,AU422,AZ422,BE422,BJ422)</f>
        <v>3245</v>
      </c>
      <c r="BP422" s="16">
        <f>SUM(H422,M422,R422,W422,AB422,AG422,AL422,AQ422,AV422,BA422,BF422,BK422)</f>
        <v>0</v>
      </c>
      <c r="BQ422" s="16">
        <f>SUM(I422,N422,S422,X422,AC422,AH422,AM422,AR422,AW422,BB422,BG422,BL422)</f>
        <v>0</v>
      </c>
      <c r="BR422" s="17">
        <f>SUM(J422,O422,T422,Y422,AD422,AI422,AN422,AS422,AX422,BC422,BH422,BM422)</f>
        <v>0</v>
      </c>
      <c r="BS422" s="35">
        <f t="shared" si="350"/>
        <v>3245</v>
      </c>
    </row>
    <row r="423" spans="2:71" x14ac:dyDescent="0.3">
      <c r="B423" s="254"/>
      <c r="C423" s="204"/>
      <c r="D423" s="200"/>
      <c r="E423" s="201"/>
      <c r="F423" s="123" t="s">
        <v>338</v>
      </c>
      <c r="G423" s="34"/>
      <c r="H423" s="16"/>
      <c r="I423" s="16"/>
      <c r="J423" s="17"/>
      <c r="K423" s="18">
        <f t="shared" si="351"/>
        <v>0</v>
      </c>
      <c r="L423" s="34"/>
      <c r="M423" s="16"/>
      <c r="N423" s="16"/>
      <c r="O423" s="17"/>
      <c r="P423" s="18">
        <f t="shared" si="356"/>
        <v>0</v>
      </c>
      <c r="Q423" s="34"/>
      <c r="R423" s="16"/>
      <c r="S423" s="16"/>
      <c r="T423" s="17"/>
      <c r="U423" s="18">
        <f t="shared" si="357"/>
        <v>0</v>
      </c>
      <c r="V423" s="34"/>
      <c r="W423" s="16"/>
      <c r="X423" s="16"/>
      <c r="Y423" s="17"/>
      <c r="Z423" s="18">
        <f t="shared" si="358"/>
        <v>0</v>
      </c>
      <c r="AA423" s="34"/>
      <c r="AB423" s="16"/>
      <c r="AC423" s="16"/>
      <c r="AD423" s="17"/>
      <c r="AE423" s="18">
        <f t="shared" si="359"/>
        <v>0</v>
      </c>
      <c r="AF423" s="34">
        <v>906</v>
      </c>
      <c r="AG423" s="16"/>
      <c r="AH423" s="16"/>
      <c r="AI423" s="17"/>
      <c r="AJ423" s="18">
        <f t="shared" si="360"/>
        <v>906</v>
      </c>
      <c r="AK423" s="34">
        <v>403</v>
      </c>
      <c r="AL423" s="16"/>
      <c r="AM423" s="16"/>
      <c r="AN423" s="17"/>
      <c r="AO423" s="18">
        <f t="shared" si="361"/>
        <v>403</v>
      </c>
      <c r="AP423" s="34">
        <v>564</v>
      </c>
      <c r="AQ423" s="16"/>
      <c r="AR423" s="16"/>
      <c r="AS423" s="17"/>
      <c r="AT423" s="18">
        <f t="shared" si="362"/>
        <v>564</v>
      </c>
      <c r="AU423" s="34">
        <v>30</v>
      </c>
      <c r="AV423" s="16"/>
      <c r="AW423" s="16"/>
      <c r="AX423" s="17"/>
      <c r="AY423" s="18">
        <f t="shared" si="363"/>
        <v>30</v>
      </c>
      <c r="AZ423" s="34">
        <v>35</v>
      </c>
      <c r="BA423" s="16"/>
      <c r="BB423" s="16"/>
      <c r="BC423" s="17"/>
      <c r="BD423" s="18">
        <f t="shared" si="364"/>
        <v>35</v>
      </c>
      <c r="BE423" s="34">
        <v>13</v>
      </c>
      <c r="BF423" s="16"/>
      <c r="BG423" s="16"/>
      <c r="BH423" s="17"/>
      <c r="BI423" s="18">
        <f t="shared" si="365"/>
        <v>13</v>
      </c>
      <c r="BJ423" s="34"/>
      <c r="BK423" s="16"/>
      <c r="BL423" s="16"/>
      <c r="BM423" s="17"/>
      <c r="BN423" s="18">
        <f t="shared" si="355"/>
        <v>0</v>
      </c>
      <c r="BO423" s="70">
        <f>SUM(G423,L423,Q423,V423,AA423,AF423,AK423,AP423,AU423,AZ423,BE423,BJ423)</f>
        <v>1951</v>
      </c>
      <c r="BP423" s="16">
        <f>SUM(H423,M423,R423,W423,AB423,AG423,AL423,AQ423,AV423,BA423,BF423,BK423)</f>
        <v>0</v>
      </c>
      <c r="BQ423" s="16">
        <f>SUM(I423,N423,S423,X423,AC423,AH423,AM423,AR423,AW423,BB423,BG423,BL423)</f>
        <v>0</v>
      </c>
      <c r="BR423" s="17">
        <f>SUM(J423,O423,T423,Y423,AD423,AI423,AN423,AS423,AX423,BC423,BH423,BM423)</f>
        <v>0</v>
      </c>
      <c r="BS423" s="35">
        <f t="shared" si="350"/>
        <v>1951</v>
      </c>
    </row>
    <row r="424" spans="2:71" x14ac:dyDescent="0.3">
      <c r="B424" s="254"/>
      <c r="C424" s="204"/>
      <c r="D424" s="200"/>
      <c r="E424" s="201"/>
      <c r="F424" s="123" t="s">
        <v>573</v>
      </c>
      <c r="G424" s="34"/>
      <c r="H424" s="16"/>
      <c r="I424" s="16"/>
      <c r="J424" s="17"/>
      <c r="K424" s="18">
        <f t="shared" si="351"/>
        <v>0</v>
      </c>
      <c r="L424" s="34"/>
      <c r="M424" s="16"/>
      <c r="N424" s="16"/>
      <c r="O424" s="17"/>
      <c r="P424" s="18">
        <f t="shared" si="356"/>
        <v>0</v>
      </c>
      <c r="Q424" s="34"/>
      <c r="R424" s="16"/>
      <c r="S424" s="16"/>
      <c r="T424" s="17"/>
      <c r="U424" s="18">
        <f t="shared" si="357"/>
        <v>0</v>
      </c>
      <c r="V424" s="34"/>
      <c r="W424" s="16"/>
      <c r="X424" s="16"/>
      <c r="Y424" s="17"/>
      <c r="Z424" s="18">
        <f t="shared" si="358"/>
        <v>0</v>
      </c>
      <c r="AA424" s="34"/>
      <c r="AB424" s="16"/>
      <c r="AC424" s="16"/>
      <c r="AD424" s="17"/>
      <c r="AE424" s="18">
        <f t="shared" si="359"/>
        <v>0</v>
      </c>
      <c r="AF424" s="34">
        <v>624</v>
      </c>
      <c r="AG424" s="16"/>
      <c r="AH424" s="16"/>
      <c r="AI424" s="17"/>
      <c r="AJ424" s="18">
        <f t="shared" si="360"/>
        <v>624</v>
      </c>
      <c r="AK424" s="34">
        <v>220</v>
      </c>
      <c r="AL424" s="16"/>
      <c r="AM424" s="16"/>
      <c r="AN424" s="17"/>
      <c r="AO424" s="18">
        <f t="shared" si="361"/>
        <v>220</v>
      </c>
      <c r="AP424" s="34">
        <v>409</v>
      </c>
      <c r="AQ424" s="16"/>
      <c r="AR424" s="16"/>
      <c r="AS424" s="17"/>
      <c r="AT424" s="18">
        <f t="shared" si="362"/>
        <v>409</v>
      </c>
      <c r="AU424" s="34">
        <v>46</v>
      </c>
      <c r="AV424" s="16"/>
      <c r="AW424" s="16"/>
      <c r="AX424" s="17"/>
      <c r="AY424" s="18">
        <f t="shared" si="363"/>
        <v>46</v>
      </c>
      <c r="AZ424" s="34">
        <v>10</v>
      </c>
      <c r="BA424" s="16"/>
      <c r="BB424" s="16"/>
      <c r="BC424" s="17"/>
      <c r="BD424" s="18">
        <f t="shared" si="364"/>
        <v>10</v>
      </c>
      <c r="BE424" s="34">
        <v>3</v>
      </c>
      <c r="BF424" s="16"/>
      <c r="BG424" s="16"/>
      <c r="BH424" s="17"/>
      <c r="BI424" s="18">
        <f t="shared" si="365"/>
        <v>3</v>
      </c>
      <c r="BJ424" s="34"/>
      <c r="BK424" s="16"/>
      <c r="BL424" s="16"/>
      <c r="BM424" s="17"/>
      <c r="BN424" s="18">
        <f t="shared" si="355"/>
        <v>0</v>
      </c>
      <c r="BO424" s="70">
        <f>SUM(G424,L424,Q424,V424,AA424,AF424,AK424,AP424,AU424,AZ424,BE424,BJ424)</f>
        <v>1312</v>
      </c>
      <c r="BP424" s="16">
        <f>SUM(H424,M424,R424,W424,AB424,AG424,AL424,AQ424,AV424,BA424,BF424,BK424)</f>
        <v>0</v>
      </c>
      <c r="BQ424" s="16">
        <f>SUM(I424,N424,S424,X424,AC424,AH424,AM424,AR424,AW424,BB424,BG424,BL424)</f>
        <v>0</v>
      </c>
      <c r="BR424" s="17">
        <f>SUM(J424,O424,T424,Y424,AD424,AI424,AN424,AS424,AX424,BC424,BH424,BM424)</f>
        <v>0</v>
      </c>
      <c r="BS424" s="35">
        <f t="shared" si="350"/>
        <v>1312</v>
      </c>
    </row>
    <row r="425" spans="2:71" x14ac:dyDescent="0.3">
      <c r="B425" s="254"/>
      <c r="C425" s="204"/>
      <c r="D425" s="200"/>
      <c r="E425" s="201"/>
      <c r="F425" s="123" t="s">
        <v>371</v>
      </c>
      <c r="G425" s="34"/>
      <c r="H425" s="16"/>
      <c r="I425" s="16"/>
      <c r="J425" s="17"/>
      <c r="K425" s="18">
        <f t="shared" si="351"/>
        <v>0</v>
      </c>
      <c r="L425" s="34"/>
      <c r="M425" s="16"/>
      <c r="N425" s="16"/>
      <c r="O425" s="17"/>
      <c r="P425" s="18">
        <f t="shared" si="356"/>
        <v>0</v>
      </c>
      <c r="Q425" s="34"/>
      <c r="R425" s="16"/>
      <c r="S425" s="16"/>
      <c r="T425" s="17"/>
      <c r="U425" s="18">
        <f t="shared" si="357"/>
        <v>0</v>
      </c>
      <c r="V425" s="34"/>
      <c r="W425" s="16"/>
      <c r="X425" s="16"/>
      <c r="Y425" s="17"/>
      <c r="Z425" s="18">
        <f t="shared" si="358"/>
        <v>0</v>
      </c>
      <c r="AA425" s="34"/>
      <c r="AB425" s="16"/>
      <c r="AC425" s="16"/>
      <c r="AD425" s="17"/>
      <c r="AE425" s="18">
        <f t="shared" si="359"/>
        <v>0</v>
      </c>
      <c r="AF425" s="34"/>
      <c r="AG425" s="16"/>
      <c r="AH425" s="16"/>
      <c r="AI425" s="17"/>
      <c r="AJ425" s="18">
        <f t="shared" si="360"/>
        <v>0</v>
      </c>
      <c r="AK425" s="34"/>
      <c r="AL425" s="16"/>
      <c r="AM425" s="16"/>
      <c r="AN425" s="17"/>
      <c r="AO425" s="18">
        <f t="shared" si="361"/>
        <v>0</v>
      </c>
      <c r="AP425" s="34">
        <v>34</v>
      </c>
      <c r="AQ425" s="16"/>
      <c r="AR425" s="16"/>
      <c r="AS425" s="17"/>
      <c r="AT425" s="18">
        <f t="shared" si="362"/>
        <v>34</v>
      </c>
      <c r="AU425" s="34">
        <v>1530</v>
      </c>
      <c r="AV425" s="16"/>
      <c r="AW425" s="16"/>
      <c r="AX425" s="17"/>
      <c r="AY425" s="18">
        <f t="shared" si="363"/>
        <v>1530</v>
      </c>
      <c r="AZ425" s="34">
        <v>5057</v>
      </c>
      <c r="BA425" s="16"/>
      <c r="BB425" s="16"/>
      <c r="BC425" s="17"/>
      <c r="BD425" s="18">
        <f t="shared" si="364"/>
        <v>5057</v>
      </c>
      <c r="BE425" s="34">
        <v>3225</v>
      </c>
      <c r="BF425" s="16"/>
      <c r="BG425" s="16"/>
      <c r="BH425" s="17"/>
      <c r="BI425" s="18">
        <f t="shared" si="365"/>
        <v>3225</v>
      </c>
      <c r="BJ425" s="34">
        <v>148</v>
      </c>
      <c r="BK425" s="16"/>
      <c r="BL425" s="16"/>
      <c r="BM425" s="17"/>
      <c r="BN425" s="18">
        <f t="shared" si="355"/>
        <v>148</v>
      </c>
      <c r="BO425" s="70">
        <f>SUM(G425,L425,Q425,V425,AA425,AF425,AK425,AP425,AU425,AZ425,BE425,BJ425)</f>
        <v>9994</v>
      </c>
      <c r="BP425" s="16">
        <f>SUM(H425,M425,R425,W425,AB425,AG425,AL425,AQ425,AV425,BA425,BF425,BK425)</f>
        <v>0</v>
      </c>
      <c r="BQ425" s="16">
        <f>SUM(I425,N425,S425,X425,AC425,AH425,AM425,AR425,AW425,BB425,BG425,BL425)</f>
        <v>0</v>
      </c>
      <c r="BR425" s="17">
        <f>SUM(J425,O425,T425,Y425,AD425,AI425,AN425,AS425,AX425,BC425,BH425,BM425)</f>
        <v>0</v>
      </c>
      <c r="BS425" s="35">
        <f t="shared" si="350"/>
        <v>9994</v>
      </c>
    </row>
    <row r="426" spans="2:71" x14ac:dyDescent="0.3">
      <c r="B426" s="254"/>
      <c r="C426" s="204"/>
      <c r="D426" s="200"/>
      <c r="E426" s="201"/>
      <c r="F426" s="123" t="s">
        <v>375</v>
      </c>
      <c r="G426" s="34"/>
      <c r="H426" s="16"/>
      <c r="I426" s="16"/>
      <c r="J426" s="17"/>
      <c r="K426" s="18">
        <f t="shared" si="351"/>
        <v>0</v>
      </c>
      <c r="L426" s="34"/>
      <c r="M426" s="16"/>
      <c r="N426" s="16"/>
      <c r="O426" s="17"/>
      <c r="P426" s="18">
        <f t="shared" si="356"/>
        <v>0</v>
      </c>
      <c r="Q426" s="34"/>
      <c r="R426" s="16"/>
      <c r="S426" s="16"/>
      <c r="T426" s="17"/>
      <c r="U426" s="18">
        <f t="shared" si="357"/>
        <v>0</v>
      </c>
      <c r="V426" s="34"/>
      <c r="W426" s="16"/>
      <c r="X426" s="16"/>
      <c r="Y426" s="17"/>
      <c r="Z426" s="18">
        <f t="shared" si="358"/>
        <v>0</v>
      </c>
      <c r="AA426" s="34"/>
      <c r="AB426" s="16"/>
      <c r="AC426" s="16"/>
      <c r="AD426" s="17"/>
      <c r="AE426" s="18">
        <f t="shared" si="359"/>
        <v>0</v>
      </c>
      <c r="AF426" s="34"/>
      <c r="AG426" s="16"/>
      <c r="AH426" s="16"/>
      <c r="AI426" s="17"/>
      <c r="AJ426" s="18">
        <f t="shared" si="360"/>
        <v>0</v>
      </c>
      <c r="AK426" s="34"/>
      <c r="AL426" s="16"/>
      <c r="AM426" s="16"/>
      <c r="AN426" s="17"/>
      <c r="AO426" s="18">
        <f t="shared" si="361"/>
        <v>0</v>
      </c>
      <c r="AP426" s="34">
        <v>30</v>
      </c>
      <c r="AQ426" s="16"/>
      <c r="AR426" s="16"/>
      <c r="AS426" s="17"/>
      <c r="AT426" s="18">
        <f t="shared" si="362"/>
        <v>30</v>
      </c>
      <c r="AU426" s="34">
        <v>497</v>
      </c>
      <c r="AV426" s="16"/>
      <c r="AW426" s="16"/>
      <c r="AX426" s="17"/>
      <c r="AY426" s="18">
        <f t="shared" si="363"/>
        <v>497</v>
      </c>
      <c r="AZ426" s="34">
        <v>854</v>
      </c>
      <c r="BA426" s="16"/>
      <c r="BB426" s="16"/>
      <c r="BC426" s="17"/>
      <c r="BD426" s="18">
        <f t="shared" si="364"/>
        <v>854</v>
      </c>
      <c r="BE426" s="34">
        <v>564</v>
      </c>
      <c r="BF426" s="16"/>
      <c r="BG426" s="16"/>
      <c r="BH426" s="17"/>
      <c r="BI426" s="18">
        <f t="shared" si="365"/>
        <v>564</v>
      </c>
      <c r="BJ426" s="34">
        <v>30</v>
      </c>
      <c r="BK426" s="16"/>
      <c r="BL426" s="16"/>
      <c r="BM426" s="17"/>
      <c r="BN426" s="18">
        <f t="shared" si="355"/>
        <v>30</v>
      </c>
      <c r="BO426" s="70">
        <f>SUM(G426,L426,Q426,V426,AA426,AF426,AK426,AP426,AU426,AZ426,BE426,BJ426)</f>
        <v>1975</v>
      </c>
      <c r="BP426" s="16">
        <f>SUM(H426,M426,R426,W426,AB426,AG426,AL426,AQ426,AV426,BA426,BF426,BK426)</f>
        <v>0</v>
      </c>
      <c r="BQ426" s="16">
        <f>SUM(I426,N426,S426,X426,AC426,AH426,AM426,AR426,AW426,BB426,BG426,BL426)</f>
        <v>0</v>
      </c>
      <c r="BR426" s="17">
        <f>SUM(J426,O426,T426,Y426,AD426,AI426,AN426,AS426,AX426,BC426,BH426,BM426)</f>
        <v>0</v>
      </c>
      <c r="BS426" s="35">
        <f t="shared" si="350"/>
        <v>1975</v>
      </c>
    </row>
    <row r="427" spans="2:71" x14ac:dyDescent="0.3">
      <c r="B427" s="254"/>
      <c r="C427" s="204"/>
      <c r="D427" s="200"/>
      <c r="E427" s="201"/>
      <c r="F427" s="123" t="s">
        <v>404</v>
      </c>
      <c r="G427" s="34"/>
      <c r="H427" s="16"/>
      <c r="I427" s="16"/>
      <c r="J427" s="17"/>
      <c r="K427" s="18">
        <f t="shared" si="351"/>
        <v>0</v>
      </c>
      <c r="L427" s="34"/>
      <c r="M427" s="16"/>
      <c r="N427" s="16"/>
      <c r="O427" s="17"/>
      <c r="P427" s="18">
        <f t="shared" si="356"/>
        <v>0</v>
      </c>
      <c r="Q427" s="34"/>
      <c r="R427" s="16"/>
      <c r="S427" s="16"/>
      <c r="T427" s="17"/>
      <c r="U427" s="18">
        <f t="shared" si="357"/>
        <v>0</v>
      </c>
      <c r="V427" s="34"/>
      <c r="W427" s="16"/>
      <c r="X427" s="16"/>
      <c r="Y427" s="17"/>
      <c r="Z427" s="18">
        <f t="shared" si="358"/>
        <v>0</v>
      </c>
      <c r="AA427" s="34"/>
      <c r="AB427" s="16"/>
      <c r="AC427" s="16"/>
      <c r="AD427" s="17"/>
      <c r="AE427" s="18">
        <f t="shared" si="359"/>
        <v>0</v>
      </c>
      <c r="AF427" s="34"/>
      <c r="AG427" s="16"/>
      <c r="AH427" s="16"/>
      <c r="AI427" s="17"/>
      <c r="AJ427" s="18">
        <f t="shared" si="360"/>
        <v>0</v>
      </c>
      <c r="AK427" s="34"/>
      <c r="AL427" s="16"/>
      <c r="AM427" s="16"/>
      <c r="AN427" s="17"/>
      <c r="AO427" s="18">
        <f t="shared" si="361"/>
        <v>0</v>
      </c>
      <c r="AP427" s="34"/>
      <c r="AQ427" s="16"/>
      <c r="AR427" s="16"/>
      <c r="AS427" s="17"/>
      <c r="AT427" s="18">
        <f t="shared" si="362"/>
        <v>0</v>
      </c>
      <c r="AU427" s="34"/>
      <c r="AV427" s="16"/>
      <c r="AW427" s="16"/>
      <c r="AX427" s="17"/>
      <c r="AY427" s="18">
        <f t="shared" si="363"/>
        <v>0</v>
      </c>
      <c r="AZ427" s="34"/>
      <c r="BA427" s="16"/>
      <c r="BB427" s="16"/>
      <c r="BC427" s="17"/>
      <c r="BD427" s="18">
        <f t="shared" si="364"/>
        <v>0</v>
      </c>
      <c r="BE427" s="34">
        <v>8</v>
      </c>
      <c r="BF427" s="16"/>
      <c r="BG427" s="16"/>
      <c r="BH427" s="17"/>
      <c r="BI427" s="18">
        <f t="shared" si="365"/>
        <v>8</v>
      </c>
      <c r="BJ427" s="34">
        <v>455</v>
      </c>
      <c r="BK427" s="16"/>
      <c r="BL427" s="16"/>
      <c r="BM427" s="17"/>
      <c r="BN427" s="18">
        <f t="shared" si="355"/>
        <v>455</v>
      </c>
      <c r="BO427" s="70">
        <f>SUM(G427,L427,Q427,V427,AA427,AF427,AK427,AP427,AU427,AZ427,BE427,BJ427)</f>
        <v>463</v>
      </c>
      <c r="BP427" s="16">
        <f>SUM(H427,M427,R427,W427,AB427,AG427,AL427,AQ427,AV427,BA427,BF427,BK427)</f>
        <v>0</v>
      </c>
      <c r="BQ427" s="16">
        <f>SUM(I427,N427,S427,X427,AC427,AH427,AM427,AR427,AW427,BB427,BG427,BL427)</f>
        <v>0</v>
      </c>
      <c r="BR427" s="17">
        <f>SUM(J427,O427,T427,Y427,AD427,AI427,AN427,AS427,AX427,BC427,BH427,BM427)</f>
        <v>0</v>
      </c>
      <c r="BS427" s="35">
        <f t="shared" si="350"/>
        <v>463</v>
      </c>
    </row>
    <row r="428" spans="2:71" x14ac:dyDescent="0.3">
      <c r="B428" s="254"/>
      <c r="C428" s="204"/>
      <c r="D428" s="200"/>
      <c r="E428" s="201"/>
      <c r="F428" s="123" t="s">
        <v>405</v>
      </c>
      <c r="G428" s="34"/>
      <c r="H428" s="16"/>
      <c r="I428" s="16"/>
      <c r="J428" s="17"/>
      <c r="K428" s="18">
        <f t="shared" si="351"/>
        <v>0</v>
      </c>
      <c r="L428" s="34"/>
      <c r="M428" s="16"/>
      <c r="N428" s="16"/>
      <c r="O428" s="17"/>
      <c r="P428" s="18">
        <f t="shared" si="356"/>
        <v>0</v>
      </c>
      <c r="Q428" s="34"/>
      <c r="R428" s="16"/>
      <c r="S428" s="16"/>
      <c r="T428" s="17"/>
      <c r="U428" s="18">
        <f t="shared" si="357"/>
        <v>0</v>
      </c>
      <c r="V428" s="34"/>
      <c r="W428" s="16"/>
      <c r="X428" s="16"/>
      <c r="Y428" s="17"/>
      <c r="Z428" s="18">
        <f t="shared" si="358"/>
        <v>0</v>
      </c>
      <c r="AA428" s="34"/>
      <c r="AB428" s="16"/>
      <c r="AC428" s="16"/>
      <c r="AD428" s="17"/>
      <c r="AE428" s="18">
        <f t="shared" si="359"/>
        <v>0</v>
      </c>
      <c r="AF428" s="34"/>
      <c r="AG428" s="16"/>
      <c r="AH428" s="16"/>
      <c r="AI428" s="17"/>
      <c r="AJ428" s="18">
        <f t="shared" si="360"/>
        <v>0</v>
      </c>
      <c r="AK428" s="34"/>
      <c r="AL428" s="16"/>
      <c r="AM428" s="16"/>
      <c r="AN428" s="17"/>
      <c r="AO428" s="18">
        <f t="shared" si="361"/>
        <v>0</v>
      </c>
      <c r="AP428" s="34"/>
      <c r="AQ428" s="16"/>
      <c r="AR428" s="16"/>
      <c r="AS428" s="17"/>
      <c r="AT428" s="18">
        <f t="shared" si="362"/>
        <v>0</v>
      </c>
      <c r="AU428" s="34"/>
      <c r="AV428" s="16"/>
      <c r="AW428" s="16"/>
      <c r="AX428" s="17"/>
      <c r="AY428" s="18">
        <f t="shared" si="363"/>
        <v>0</v>
      </c>
      <c r="AZ428" s="34"/>
      <c r="BA428" s="16"/>
      <c r="BB428" s="16"/>
      <c r="BC428" s="17"/>
      <c r="BD428" s="18">
        <f t="shared" si="364"/>
        <v>0</v>
      </c>
      <c r="BE428" s="34"/>
      <c r="BF428" s="16"/>
      <c r="BG428" s="16"/>
      <c r="BH428" s="17"/>
      <c r="BI428" s="18">
        <f t="shared" si="365"/>
        <v>0</v>
      </c>
      <c r="BJ428" s="34">
        <v>290</v>
      </c>
      <c r="BK428" s="16"/>
      <c r="BL428" s="16"/>
      <c r="BM428" s="17"/>
      <c r="BN428" s="18">
        <f t="shared" si="355"/>
        <v>290</v>
      </c>
      <c r="BO428" s="70">
        <f>SUM(G428,L428,Q428,V428,AA428,AF428,AK428,AP428,AU428,AZ428,BE428,BJ428)</f>
        <v>290</v>
      </c>
      <c r="BP428" s="16">
        <f>SUM(H428,M428,R428,W428,AB428,AG428,AL428,AQ428,AV428,BA428,BF428,BK428)</f>
        <v>0</v>
      </c>
      <c r="BQ428" s="16">
        <f>SUM(I428,N428,S428,X428,AC428,AH428,AM428,AR428,AW428,BB428,BG428,BL428)</f>
        <v>0</v>
      </c>
      <c r="BR428" s="17">
        <f>SUM(J428,O428,T428,Y428,AD428,AI428,AN428,AS428,AX428,BC428,BH428,BM428)</f>
        <v>0</v>
      </c>
      <c r="BS428" s="35">
        <f t="shared" si="350"/>
        <v>290</v>
      </c>
    </row>
    <row r="429" spans="2:71" x14ac:dyDescent="0.3">
      <c r="B429" s="254"/>
      <c r="C429" s="204"/>
      <c r="D429" s="200"/>
      <c r="E429" s="201"/>
      <c r="F429" s="124" t="s">
        <v>416</v>
      </c>
      <c r="G429" s="36"/>
      <c r="H429" s="10"/>
      <c r="I429" s="10"/>
      <c r="J429" s="11"/>
      <c r="K429" s="12">
        <f t="shared" si="351"/>
        <v>0</v>
      </c>
      <c r="L429" s="36"/>
      <c r="M429" s="10"/>
      <c r="N429" s="10"/>
      <c r="O429" s="11"/>
      <c r="P429" s="12">
        <f t="shared" si="356"/>
        <v>0</v>
      </c>
      <c r="Q429" s="36"/>
      <c r="R429" s="10"/>
      <c r="S429" s="10"/>
      <c r="T429" s="11"/>
      <c r="U429" s="12">
        <f t="shared" si="357"/>
        <v>0</v>
      </c>
      <c r="V429" s="36"/>
      <c r="W429" s="10"/>
      <c r="X429" s="10"/>
      <c r="Y429" s="11"/>
      <c r="Z429" s="12">
        <f t="shared" si="358"/>
        <v>0</v>
      </c>
      <c r="AA429" s="36"/>
      <c r="AB429" s="10"/>
      <c r="AC429" s="10"/>
      <c r="AD429" s="11"/>
      <c r="AE429" s="12">
        <f t="shared" si="359"/>
        <v>0</v>
      </c>
      <c r="AF429" s="36"/>
      <c r="AG429" s="10"/>
      <c r="AH429" s="10"/>
      <c r="AI429" s="11"/>
      <c r="AJ429" s="12">
        <f t="shared" si="360"/>
        <v>0</v>
      </c>
      <c r="AK429" s="36"/>
      <c r="AL429" s="10"/>
      <c r="AM429" s="10"/>
      <c r="AN429" s="11"/>
      <c r="AO429" s="12">
        <f t="shared" si="361"/>
        <v>0</v>
      </c>
      <c r="AP429" s="36"/>
      <c r="AQ429" s="10"/>
      <c r="AR429" s="10"/>
      <c r="AS429" s="11"/>
      <c r="AT429" s="12">
        <f t="shared" si="362"/>
        <v>0</v>
      </c>
      <c r="AU429" s="36"/>
      <c r="AV429" s="10"/>
      <c r="AW429" s="10"/>
      <c r="AX429" s="11"/>
      <c r="AY429" s="12">
        <f t="shared" si="363"/>
        <v>0</v>
      </c>
      <c r="AZ429" s="36"/>
      <c r="BA429" s="10"/>
      <c r="BB429" s="10"/>
      <c r="BC429" s="11"/>
      <c r="BD429" s="12">
        <f t="shared" si="364"/>
        <v>0</v>
      </c>
      <c r="BE429" s="36">
        <v>24</v>
      </c>
      <c r="BF429" s="10"/>
      <c r="BG429" s="10"/>
      <c r="BH429" s="11"/>
      <c r="BI429" s="12">
        <f t="shared" si="365"/>
        <v>24</v>
      </c>
      <c r="BJ429" s="36">
        <v>456</v>
      </c>
      <c r="BK429" s="10"/>
      <c r="BL429" s="10"/>
      <c r="BM429" s="11"/>
      <c r="BN429" s="12">
        <f t="shared" si="355"/>
        <v>456</v>
      </c>
      <c r="BO429" s="71">
        <f>SUM(G429,L429,Q429,V429,AA429,AF429,AK429,AP429,AU429,AZ429,BE429,BJ429)</f>
        <v>480</v>
      </c>
      <c r="BP429" s="10">
        <f>SUM(H429,M429,R429,W429,AB429,AG429,AL429,AQ429,AV429,BA429,BF429,BK429)</f>
        <v>0</v>
      </c>
      <c r="BQ429" s="10">
        <f>SUM(I429,N429,S429,X429,AC429,AH429,AM429,AR429,AW429,BB429,BG429,BL429)</f>
        <v>0</v>
      </c>
      <c r="BR429" s="11">
        <f>SUM(J429,O429,T429,Y429,AD429,AI429,AN429,AS429,AX429,BC429,BH429,BM429)</f>
        <v>0</v>
      </c>
      <c r="BS429" s="37">
        <f t="shared" si="350"/>
        <v>480</v>
      </c>
    </row>
    <row r="430" spans="2:71" s="97" customFormat="1" x14ac:dyDescent="0.3">
      <c r="B430" s="254"/>
      <c r="C430" s="204"/>
      <c r="D430" s="202"/>
      <c r="E430" s="203"/>
      <c r="F430" s="113" t="s">
        <v>54</v>
      </c>
      <c r="G430" s="98">
        <f>SUM(G400:G429)</f>
        <v>2235</v>
      </c>
      <c r="H430" s="99">
        <f>SUM(H400:H429)</f>
        <v>0</v>
      </c>
      <c r="I430" s="99">
        <f>SUM(I400:I429)</f>
        <v>0</v>
      </c>
      <c r="J430" s="100">
        <f>SUM(J400:J429)</f>
        <v>0</v>
      </c>
      <c r="K430" s="101">
        <f t="shared" si="351"/>
        <v>2235</v>
      </c>
      <c r="L430" s="98">
        <f>SUM(L400:L429)</f>
        <v>3260</v>
      </c>
      <c r="M430" s="99">
        <f>SUM(M400:M429)</f>
        <v>0</v>
      </c>
      <c r="N430" s="99">
        <f>SUM(N400:N429)</f>
        <v>0</v>
      </c>
      <c r="O430" s="100">
        <f>SUM(O400:O429)</f>
        <v>0</v>
      </c>
      <c r="P430" s="101">
        <f t="shared" si="356"/>
        <v>3260</v>
      </c>
      <c r="Q430" s="98">
        <f>SUM(Q400:Q429)</f>
        <v>2032</v>
      </c>
      <c r="R430" s="99">
        <f>SUM(R400:R429)</f>
        <v>0</v>
      </c>
      <c r="S430" s="99">
        <f>SUM(S400:S429)</f>
        <v>0</v>
      </c>
      <c r="T430" s="100">
        <f>SUM(T400:T429)</f>
        <v>0</v>
      </c>
      <c r="U430" s="101">
        <f t="shared" si="357"/>
        <v>2032</v>
      </c>
      <c r="V430" s="98">
        <f>SUM(V400:V429)</f>
        <v>8072</v>
      </c>
      <c r="W430" s="99">
        <f>SUM(W400:W429)</f>
        <v>0</v>
      </c>
      <c r="X430" s="99">
        <f>SUM(X400:X429)</f>
        <v>0</v>
      </c>
      <c r="Y430" s="100">
        <f>SUM(Y400:Y429)</f>
        <v>0</v>
      </c>
      <c r="Z430" s="101">
        <f t="shared" si="358"/>
        <v>8072</v>
      </c>
      <c r="AA430" s="98">
        <f>SUM(AA400:AA429)</f>
        <v>4726</v>
      </c>
      <c r="AB430" s="99">
        <f>SUM(AB400:AB429)</f>
        <v>0</v>
      </c>
      <c r="AC430" s="99">
        <f>SUM(AC400:AC429)</f>
        <v>0</v>
      </c>
      <c r="AD430" s="100">
        <f>SUM(AD400:AD429)</f>
        <v>0</v>
      </c>
      <c r="AE430" s="101">
        <f t="shared" si="359"/>
        <v>4726</v>
      </c>
      <c r="AF430" s="98">
        <f>SUM(AF400:AF429)</f>
        <v>5063</v>
      </c>
      <c r="AG430" s="99">
        <f>SUM(AG400:AG429)</f>
        <v>0</v>
      </c>
      <c r="AH430" s="99">
        <f>SUM(AH400:AH429)</f>
        <v>2</v>
      </c>
      <c r="AI430" s="100">
        <f>SUM(AI400:AI429)</f>
        <v>0</v>
      </c>
      <c r="AJ430" s="101">
        <f t="shared" si="360"/>
        <v>5065</v>
      </c>
      <c r="AK430" s="98">
        <f>SUM(AK400:AK429)</f>
        <v>1448</v>
      </c>
      <c r="AL430" s="99">
        <f>SUM(AL400:AL429)</f>
        <v>0</v>
      </c>
      <c r="AM430" s="99">
        <f>SUM(AM400:AM429)</f>
        <v>0</v>
      </c>
      <c r="AN430" s="100">
        <f>SUM(AN400:AN429)</f>
        <v>0</v>
      </c>
      <c r="AO430" s="101">
        <f t="shared" si="361"/>
        <v>1448</v>
      </c>
      <c r="AP430" s="98">
        <f>SUM(AP400:AP429)</f>
        <v>2594</v>
      </c>
      <c r="AQ430" s="99">
        <f>SUM(AQ400:AQ429)</f>
        <v>0</v>
      </c>
      <c r="AR430" s="99">
        <f>SUM(AR400:AR429)</f>
        <v>0</v>
      </c>
      <c r="AS430" s="100">
        <f>SUM(AS400:AS429)</f>
        <v>0</v>
      </c>
      <c r="AT430" s="101">
        <f t="shared" si="362"/>
        <v>2594</v>
      </c>
      <c r="AU430" s="98">
        <f>SUM(AU400:AU429)</f>
        <v>4904</v>
      </c>
      <c r="AV430" s="99">
        <f>SUM(AV400:AV429)</f>
        <v>0</v>
      </c>
      <c r="AW430" s="99">
        <f>SUM(AW400:AW429)</f>
        <v>0</v>
      </c>
      <c r="AX430" s="100">
        <f>SUM(AX400:AX429)</f>
        <v>0</v>
      </c>
      <c r="AY430" s="101">
        <f t="shared" si="363"/>
        <v>4904</v>
      </c>
      <c r="AZ430" s="98">
        <f>SUM(AZ400:AZ429)</f>
        <v>6451</v>
      </c>
      <c r="BA430" s="99">
        <f>SUM(BA400:BA429)</f>
        <v>0</v>
      </c>
      <c r="BB430" s="99">
        <f>SUM(BB400:BB429)</f>
        <v>0</v>
      </c>
      <c r="BC430" s="100">
        <f>SUM(BC400:BC429)</f>
        <v>0</v>
      </c>
      <c r="BD430" s="101">
        <f t="shared" si="364"/>
        <v>6451</v>
      </c>
      <c r="BE430" s="98">
        <f>SUM(BE400:BE429)</f>
        <v>4441</v>
      </c>
      <c r="BF430" s="99">
        <f>SUM(BF400:BF429)</f>
        <v>0</v>
      </c>
      <c r="BG430" s="99">
        <f>SUM(BG400:BG429)</f>
        <v>0</v>
      </c>
      <c r="BH430" s="100">
        <f>SUM(BH400:BH429)</f>
        <v>0</v>
      </c>
      <c r="BI430" s="101">
        <f t="shared" si="365"/>
        <v>4441</v>
      </c>
      <c r="BJ430" s="98">
        <f>SUM(BJ400:BJ429)</f>
        <v>1488</v>
      </c>
      <c r="BK430" s="99">
        <f>SUM(BK400:BK429)</f>
        <v>0</v>
      </c>
      <c r="BL430" s="99">
        <f>SUM(BL400:BL429)</f>
        <v>0</v>
      </c>
      <c r="BM430" s="100">
        <f>SUM(BM400:BM429)</f>
        <v>0</v>
      </c>
      <c r="BN430" s="101">
        <f t="shared" si="355"/>
        <v>1488</v>
      </c>
      <c r="BO430" s="103">
        <f>SUM(BO400:BO429)</f>
        <v>46714</v>
      </c>
      <c r="BP430" s="99">
        <f>SUM(BP400:BP429)</f>
        <v>0</v>
      </c>
      <c r="BQ430" s="99">
        <f>SUM(BQ400:BQ429)</f>
        <v>2</v>
      </c>
      <c r="BR430" s="100">
        <f>SUM(BR400:BR429)</f>
        <v>0</v>
      </c>
      <c r="BS430" s="102">
        <f t="shared" si="350"/>
        <v>46716</v>
      </c>
    </row>
    <row r="431" spans="2:71" ht="16.5" customHeight="1" x14ac:dyDescent="0.3">
      <c r="B431" s="254"/>
      <c r="C431" s="204"/>
      <c r="D431" s="198" t="s">
        <v>38</v>
      </c>
      <c r="E431" s="199"/>
      <c r="F431" s="145" t="s">
        <v>574</v>
      </c>
      <c r="G431" s="30">
        <v>277</v>
      </c>
      <c r="H431" s="7"/>
      <c r="I431" s="7"/>
      <c r="J431" s="8"/>
      <c r="K431" s="9">
        <f t="shared" si="351"/>
        <v>277</v>
      </c>
      <c r="L431" s="30">
        <v>76</v>
      </c>
      <c r="M431" s="7"/>
      <c r="N431" s="7"/>
      <c r="O431" s="8"/>
      <c r="P431" s="9">
        <f t="shared" si="356"/>
        <v>76</v>
      </c>
      <c r="Q431" s="30"/>
      <c r="R431" s="7"/>
      <c r="S431" s="7"/>
      <c r="T431" s="8"/>
      <c r="U431" s="9">
        <f t="shared" si="357"/>
        <v>0</v>
      </c>
      <c r="V431" s="30"/>
      <c r="W431" s="7"/>
      <c r="X431" s="7"/>
      <c r="Y431" s="8"/>
      <c r="Z431" s="9">
        <f t="shared" si="358"/>
        <v>0</v>
      </c>
      <c r="AA431" s="30"/>
      <c r="AB431" s="7"/>
      <c r="AC431" s="7"/>
      <c r="AD431" s="8"/>
      <c r="AE431" s="9">
        <f t="shared" si="359"/>
        <v>0</v>
      </c>
      <c r="AF431" s="30"/>
      <c r="AG431" s="7"/>
      <c r="AH431" s="7"/>
      <c r="AI431" s="8"/>
      <c r="AJ431" s="9">
        <f t="shared" si="360"/>
        <v>0</v>
      </c>
      <c r="AK431" s="30"/>
      <c r="AL431" s="7"/>
      <c r="AM431" s="7"/>
      <c r="AN431" s="8"/>
      <c r="AO431" s="9">
        <f t="shared" si="361"/>
        <v>0</v>
      </c>
      <c r="AP431" s="30"/>
      <c r="AQ431" s="7"/>
      <c r="AR431" s="7"/>
      <c r="AS431" s="8"/>
      <c r="AT431" s="9">
        <f t="shared" si="362"/>
        <v>0</v>
      </c>
      <c r="AU431" s="30"/>
      <c r="AV431" s="7"/>
      <c r="AW431" s="7"/>
      <c r="AX431" s="8"/>
      <c r="AY431" s="9">
        <f t="shared" si="363"/>
        <v>0</v>
      </c>
      <c r="AZ431" s="30"/>
      <c r="BA431" s="7"/>
      <c r="BB431" s="7"/>
      <c r="BC431" s="8"/>
      <c r="BD431" s="9">
        <f t="shared" si="364"/>
        <v>0</v>
      </c>
      <c r="BE431" s="30"/>
      <c r="BF431" s="7"/>
      <c r="BG431" s="7"/>
      <c r="BH431" s="8"/>
      <c r="BI431" s="9">
        <f t="shared" si="365"/>
        <v>0</v>
      </c>
      <c r="BJ431" s="30"/>
      <c r="BK431" s="7"/>
      <c r="BL431" s="7"/>
      <c r="BM431" s="8"/>
      <c r="BN431" s="9">
        <f t="shared" si="355"/>
        <v>0</v>
      </c>
      <c r="BO431" s="65">
        <f>SUM(G431,L431,Q431,V431,AA431,AF431,AK431,AP431,AU431,AZ431,BE431,BJ431)</f>
        <v>353</v>
      </c>
      <c r="BP431" s="7">
        <f>SUM(H431,M431,R431,W431,AB431,AG431,AL431,AQ431,AV431,BA431,BF431,BK431)</f>
        <v>0</v>
      </c>
      <c r="BQ431" s="7">
        <f>SUM(I431,N431,S431,X431,AC431,AH431,AM431,AR431,AW431,BB431,BG431,BL431)</f>
        <v>0</v>
      </c>
      <c r="BR431" s="8">
        <f>SUM(J431,O431,T431,Y431,AD431,AI431,AN431,AS431,AX431,BC431,BH431,BM431)</f>
        <v>0</v>
      </c>
      <c r="BS431" s="31">
        <f t="shared" si="350"/>
        <v>353</v>
      </c>
    </row>
    <row r="432" spans="2:71" x14ac:dyDescent="0.3">
      <c r="B432" s="254"/>
      <c r="C432" s="204"/>
      <c r="D432" s="200"/>
      <c r="E432" s="201"/>
      <c r="F432" s="121" t="s">
        <v>575</v>
      </c>
      <c r="G432" s="32">
        <v>75</v>
      </c>
      <c r="H432" s="13"/>
      <c r="I432" s="13"/>
      <c r="J432" s="14"/>
      <c r="K432" s="15">
        <f t="shared" si="351"/>
        <v>75</v>
      </c>
      <c r="L432" s="32">
        <v>11</v>
      </c>
      <c r="M432" s="13"/>
      <c r="N432" s="13"/>
      <c r="O432" s="14"/>
      <c r="P432" s="15">
        <f t="shared" si="356"/>
        <v>11</v>
      </c>
      <c r="Q432" s="32">
        <v>1</v>
      </c>
      <c r="R432" s="13"/>
      <c r="S432" s="13"/>
      <c r="T432" s="14"/>
      <c r="U432" s="15">
        <f t="shared" si="357"/>
        <v>1</v>
      </c>
      <c r="V432" s="32"/>
      <c r="W432" s="13"/>
      <c r="X432" s="13"/>
      <c r="Y432" s="14"/>
      <c r="Z432" s="15">
        <f t="shared" si="358"/>
        <v>0</v>
      </c>
      <c r="AA432" s="32"/>
      <c r="AB432" s="13"/>
      <c r="AC432" s="13"/>
      <c r="AD432" s="14"/>
      <c r="AE432" s="15">
        <f t="shared" si="359"/>
        <v>0</v>
      </c>
      <c r="AF432" s="32"/>
      <c r="AG432" s="13"/>
      <c r="AH432" s="13"/>
      <c r="AI432" s="14"/>
      <c r="AJ432" s="15">
        <f t="shared" si="360"/>
        <v>0</v>
      </c>
      <c r="AK432" s="32"/>
      <c r="AL432" s="13"/>
      <c r="AM432" s="13"/>
      <c r="AN432" s="14"/>
      <c r="AO432" s="15">
        <f t="shared" si="361"/>
        <v>0</v>
      </c>
      <c r="AP432" s="32"/>
      <c r="AQ432" s="13"/>
      <c r="AR432" s="13"/>
      <c r="AS432" s="14"/>
      <c r="AT432" s="15">
        <f t="shared" si="362"/>
        <v>0</v>
      </c>
      <c r="AU432" s="32"/>
      <c r="AV432" s="13"/>
      <c r="AW432" s="13"/>
      <c r="AX432" s="14"/>
      <c r="AY432" s="15">
        <f t="shared" si="363"/>
        <v>0</v>
      </c>
      <c r="AZ432" s="32"/>
      <c r="BA432" s="13"/>
      <c r="BB432" s="13"/>
      <c r="BC432" s="14"/>
      <c r="BD432" s="15">
        <f t="shared" si="364"/>
        <v>0</v>
      </c>
      <c r="BE432" s="32"/>
      <c r="BF432" s="13"/>
      <c r="BG432" s="13"/>
      <c r="BH432" s="14"/>
      <c r="BI432" s="15">
        <f t="shared" si="365"/>
        <v>0</v>
      </c>
      <c r="BJ432" s="32"/>
      <c r="BK432" s="13"/>
      <c r="BL432" s="13"/>
      <c r="BM432" s="14"/>
      <c r="BN432" s="15">
        <f t="shared" si="355"/>
        <v>0</v>
      </c>
      <c r="BO432" s="66">
        <f>SUM(G432,L432,Q432,V432,AA432,AF432,AK432,AP432,AU432,AZ432,BE432,BJ432)</f>
        <v>87</v>
      </c>
      <c r="BP432" s="13">
        <f>SUM(H432,M432,R432,W432,AB432,AG432,AL432,AQ432,AV432,BA432,BF432,BK432)</f>
        <v>0</v>
      </c>
      <c r="BQ432" s="13">
        <f>SUM(I432,N432,S432,X432,AC432,AH432,AM432,AR432,AW432,BB432,BG432,BL432)</f>
        <v>0</v>
      </c>
      <c r="BR432" s="14">
        <f>SUM(J432,O432,T432,Y432,AD432,AI432,AN432,AS432,AX432,BC432,BH432,BM432)</f>
        <v>0</v>
      </c>
      <c r="BS432" s="33">
        <f t="shared" si="350"/>
        <v>87</v>
      </c>
    </row>
    <row r="433" spans="2:71" x14ac:dyDescent="0.3">
      <c r="B433" s="254"/>
      <c r="C433" s="204"/>
      <c r="D433" s="200"/>
      <c r="E433" s="201"/>
      <c r="F433" s="121" t="s">
        <v>576</v>
      </c>
      <c r="G433" s="32">
        <v>66</v>
      </c>
      <c r="H433" s="13"/>
      <c r="I433" s="13"/>
      <c r="J433" s="14"/>
      <c r="K433" s="15">
        <f t="shared" si="351"/>
        <v>66</v>
      </c>
      <c r="L433" s="32">
        <v>4</v>
      </c>
      <c r="M433" s="13"/>
      <c r="N433" s="13"/>
      <c r="O433" s="14"/>
      <c r="P433" s="15">
        <f t="shared" si="356"/>
        <v>4</v>
      </c>
      <c r="Q433" s="32"/>
      <c r="R433" s="13"/>
      <c r="S433" s="13"/>
      <c r="T433" s="14"/>
      <c r="U433" s="15">
        <f t="shared" si="357"/>
        <v>0</v>
      </c>
      <c r="V433" s="32">
        <v>1</v>
      </c>
      <c r="W433" s="13"/>
      <c r="X433" s="13"/>
      <c r="Y433" s="14"/>
      <c r="Z433" s="15">
        <f t="shared" si="358"/>
        <v>1</v>
      </c>
      <c r="AA433" s="32"/>
      <c r="AB433" s="13"/>
      <c r="AC433" s="13"/>
      <c r="AD433" s="14"/>
      <c r="AE433" s="15">
        <f t="shared" si="359"/>
        <v>0</v>
      </c>
      <c r="AF433" s="32"/>
      <c r="AG433" s="13"/>
      <c r="AH433" s="13"/>
      <c r="AI433" s="14"/>
      <c r="AJ433" s="15">
        <f t="shared" si="360"/>
        <v>0</v>
      </c>
      <c r="AK433" s="32"/>
      <c r="AL433" s="13"/>
      <c r="AM433" s="13"/>
      <c r="AN433" s="14"/>
      <c r="AO433" s="15">
        <f t="shared" si="361"/>
        <v>0</v>
      </c>
      <c r="AP433" s="32"/>
      <c r="AQ433" s="13"/>
      <c r="AR433" s="13"/>
      <c r="AS433" s="14"/>
      <c r="AT433" s="15">
        <f t="shared" si="362"/>
        <v>0</v>
      </c>
      <c r="AU433" s="32"/>
      <c r="AV433" s="13"/>
      <c r="AW433" s="13"/>
      <c r="AX433" s="14"/>
      <c r="AY433" s="15">
        <f t="shared" si="363"/>
        <v>0</v>
      </c>
      <c r="AZ433" s="32"/>
      <c r="BA433" s="13"/>
      <c r="BB433" s="13"/>
      <c r="BC433" s="14"/>
      <c r="BD433" s="15">
        <f t="shared" si="364"/>
        <v>0</v>
      </c>
      <c r="BE433" s="32"/>
      <c r="BF433" s="13"/>
      <c r="BG433" s="13"/>
      <c r="BH433" s="14"/>
      <c r="BI433" s="15">
        <f t="shared" si="365"/>
        <v>0</v>
      </c>
      <c r="BJ433" s="32"/>
      <c r="BK433" s="13"/>
      <c r="BL433" s="13"/>
      <c r="BM433" s="14"/>
      <c r="BN433" s="15">
        <f t="shared" si="355"/>
        <v>0</v>
      </c>
      <c r="BO433" s="66">
        <f>SUM(G433,L433,Q433,V433,AA433,AF433,AK433,AP433,AU433,AZ433,BE433,BJ433)</f>
        <v>71</v>
      </c>
      <c r="BP433" s="13">
        <f>SUM(H433,M433,R433,W433,AB433,AG433,AL433,AQ433,AV433,BA433,BF433,BK433)</f>
        <v>0</v>
      </c>
      <c r="BQ433" s="13">
        <f>SUM(I433,N433,S433,X433,AC433,AH433,AM433,AR433,AW433,BB433,BG433,BL433)</f>
        <v>0</v>
      </c>
      <c r="BR433" s="14">
        <f>SUM(J433,O433,T433,Y433,AD433,AI433,AN433,AS433,AX433,BC433,BH433,BM433)</f>
        <v>0</v>
      </c>
      <c r="BS433" s="33">
        <f t="shared" si="350"/>
        <v>71</v>
      </c>
    </row>
    <row r="434" spans="2:71" x14ac:dyDescent="0.3">
      <c r="B434" s="254"/>
      <c r="C434" s="204"/>
      <c r="D434" s="200"/>
      <c r="E434" s="201"/>
      <c r="F434" s="121" t="s">
        <v>577</v>
      </c>
      <c r="G434" s="32">
        <v>8</v>
      </c>
      <c r="H434" s="13"/>
      <c r="I434" s="13"/>
      <c r="J434" s="14"/>
      <c r="K434" s="15">
        <f t="shared" si="351"/>
        <v>8</v>
      </c>
      <c r="L434" s="32"/>
      <c r="M434" s="13"/>
      <c r="N434" s="13"/>
      <c r="O434" s="14"/>
      <c r="P434" s="15">
        <f t="shared" si="356"/>
        <v>0</v>
      </c>
      <c r="Q434" s="32"/>
      <c r="R434" s="13"/>
      <c r="S434" s="13"/>
      <c r="T434" s="14"/>
      <c r="U434" s="15">
        <f t="shared" si="357"/>
        <v>0</v>
      </c>
      <c r="V434" s="32"/>
      <c r="W434" s="13"/>
      <c r="X434" s="13"/>
      <c r="Y434" s="14"/>
      <c r="Z434" s="15">
        <f t="shared" si="358"/>
        <v>0</v>
      </c>
      <c r="AA434" s="32">
        <v>1</v>
      </c>
      <c r="AB434" s="13"/>
      <c r="AC434" s="13"/>
      <c r="AD434" s="14"/>
      <c r="AE434" s="15">
        <f t="shared" si="359"/>
        <v>1</v>
      </c>
      <c r="AF434" s="32"/>
      <c r="AG434" s="13"/>
      <c r="AH434" s="13"/>
      <c r="AI434" s="14"/>
      <c r="AJ434" s="15">
        <f t="shared" si="360"/>
        <v>0</v>
      </c>
      <c r="AK434" s="32"/>
      <c r="AL434" s="13"/>
      <c r="AM434" s="13"/>
      <c r="AN434" s="14"/>
      <c r="AO434" s="15">
        <f t="shared" si="361"/>
        <v>0</v>
      </c>
      <c r="AP434" s="32"/>
      <c r="AQ434" s="13"/>
      <c r="AR434" s="13"/>
      <c r="AS434" s="14"/>
      <c r="AT434" s="15">
        <f t="shared" si="362"/>
        <v>0</v>
      </c>
      <c r="AU434" s="32"/>
      <c r="AV434" s="13"/>
      <c r="AW434" s="13"/>
      <c r="AX434" s="14"/>
      <c r="AY434" s="15">
        <f t="shared" si="363"/>
        <v>0</v>
      </c>
      <c r="AZ434" s="32"/>
      <c r="BA434" s="13"/>
      <c r="BB434" s="13"/>
      <c r="BC434" s="14"/>
      <c r="BD434" s="15">
        <f t="shared" si="364"/>
        <v>0</v>
      </c>
      <c r="BE434" s="32"/>
      <c r="BF434" s="13"/>
      <c r="BG434" s="13"/>
      <c r="BH434" s="14"/>
      <c r="BI434" s="15">
        <f t="shared" si="365"/>
        <v>0</v>
      </c>
      <c r="BJ434" s="32"/>
      <c r="BK434" s="13"/>
      <c r="BL434" s="13"/>
      <c r="BM434" s="14"/>
      <c r="BN434" s="15">
        <f t="shared" si="355"/>
        <v>0</v>
      </c>
      <c r="BO434" s="66">
        <f>SUM(G434,L434,Q434,V434,AA434,AF434,AK434,AP434,AU434,AZ434,BE434,BJ434)</f>
        <v>9</v>
      </c>
      <c r="BP434" s="13">
        <f>SUM(H434,M434,R434,W434,AB434,AG434,AL434,AQ434,AV434,BA434,BF434,BK434)</f>
        <v>0</v>
      </c>
      <c r="BQ434" s="13">
        <f>SUM(I434,N434,S434,X434,AC434,AH434,AM434,AR434,AW434,BB434,BG434,BL434)</f>
        <v>0</v>
      </c>
      <c r="BR434" s="14">
        <f>SUM(J434,O434,T434,Y434,AD434,AI434,AN434,AS434,AX434,BC434,BH434,BM434)</f>
        <v>0</v>
      </c>
      <c r="BS434" s="33">
        <f t="shared" si="350"/>
        <v>9</v>
      </c>
    </row>
    <row r="435" spans="2:71" x14ac:dyDescent="0.3">
      <c r="B435" s="254"/>
      <c r="C435" s="204"/>
      <c r="D435" s="200"/>
      <c r="E435" s="201"/>
      <c r="F435" s="121" t="s">
        <v>578</v>
      </c>
      <c r="G435" s="32">
        <v>7140</v>
      </c>
      <c r="H435" s="13"/>
      <c r="I435" s="13"/>
      <c r="J435" s="14"/>
      <c r="K435" s="15">
        <f t="shared" si="351"/>
        <v>7140</v>
      </c>
      <c r="L435" s="193">
        <f>8115+2</f>
        <v>8117</v>
      </c>
      <c r="M435" s="13"/>
      <c r="N435" s="13"/>
      <c r="O435" s="14"/>
      <c r="P435" s="15">
        <f t="shared" si="356"/>
        <v>8117</v>
      </c>
      <c r="Q435" s="32">
        <f>1319+2</f>
        <v>1321</v>
      </c>
      <c r="R435" s="13"/>
      <c r="S435" s="13"/>
      <c r="T435" s="14"/>
      <c r="U435" s="15">
        <f t="shared" si="357"/>
        <v>1321</v>
      </c>
      <c r="V435" s="32">
        <v>305</v>
      </c>
      <c r="W435" s="13"/>
      <c r="X435" s="13"/>
      <c r="Y435" s="14"/>
      <c r="Z435" s="15">
        <f t="shared" si="358"/>
        <v>305</v>
      </c>
      <c r="AA435" s="32">
        <v>164</v>
      </c>
      <c r="AB435" s="13"/>
      <c r="AC435" s="13"/>
      <c r="AD435" s="14"/>
      <c r="AE435" s="15">
        <f t="shared" si="359"/>
        <v>164</v>
      </c>
      <c r="AF435" s="32">
        <v>2</v>
      </c>
      <c r="AG435" s="13"/>
      <c r="AH435" s="13"/>
      <c r="AI435" s="14"/>
      <c r="AJ435" s="15">
        <f t="shared" si="360"/>
        <v>2</v>
      </c>
      <c r="AK435" s="32"/>
      <c r="AL435" s="13"/>
      <c r="AM435" s="13"/>
      <c r="AN435" s="14"/>
      <c r="AO435" s="15">
        <f t="shared" si="361"/>
        <v>0</v>
      </c>
      <c r="AP435" s="32"/>
      <c r="AQ435" s="13"/>
      <c r="AR435" s="13"/>
      <c r="AS435" s="14"/>
      <c r="AT435" s="15">
        <f t="shared" si="362"/>
        <v>0</v>
      </c>
      <c r="AU435" s="32"/>
      <c r="AV435" s="13"/>
      <c r="AW435" s="13"/>
      <c r="AX435" s="14"/>
      <c r="AY435" s="15">
        <f t="shared" si="363"/>
        <v>0</v>
      </c>
      <c r="AZ435" s="32"/>
      <c r="BA435" s="13"/>
      <c r="BB435" s="13"/>
      <c r="BC435" s="14"/>
      <c r="BD435" s="15">
        <f t="shared" si="364"/>
        <v>0</v>
      </c>
      <c r="BE435" s="32"/>
      <c r="BF435" s="13"/>
      <c r="BG435" s="13"/>
      <c r="BH435" s="14"/>
      <c r="BI435" s="15">
        <f t="shared" si="365"/>
        <v>0</v>
      </c>
      <c r="BJ435" s="32"/>
      <c r="BK435" s="13"/>
      <c r="BL435" s="13"/>
      <c r="BM435" s="14"/>
      <c r="BN435" s="15">
        <f t="shared" si="355"/>
        <v>0</v>
      </c>
      <c r="BO435" s="66">
        <f>SUM(G435,L435,Q435,V435,AA435,AF435,AK435,AP435,AU435,AZ435,BE435,BJ435)</f>
        <v>17049</v>
      </c>
      <c r="BP435" s="13">
        <f>SUM(H435,M435,R435,W435,AB435,AG435,AL435,AQ435,AV435,BA435,BF435,BK435)</f>
        <v>0</v>
      </c>
      <c r="BQ435" s="13">
        <f>SUM(I435,N435,S435,X435,AC435,AH435,AM435,AR435,AW435,BB435,BG435,BL435)</f>
        <v>0</v>
      </c>
      <c r="BR435" s="14">
        <f>SUM(J435,O435,T435,Y435,AD435,AI435,AN435,AS435,AX435,BC435,BH435,BM435)</f>
        <v>0</v>
      </c>
      <c r="BS435" s="33">
        <f t="shared" si="350"/>
        <v>17049</v>
      </c>
    </row>
    <row r="436" spans="2:71" x14ac:dyDescent="0.3">
      <c r="B436" s="254"/>
      <c r="C436" s="204"/>
      <c r="D436" s="200"/>
      <c r="E436" s="201"/>
      <c r="F436" s="121" t="s">
        <v>579</v>
      </c>
      <c r="G436" s="34">
        <v>3687</v>
      </c>
      <c r="H436" s="16"/>
      <c r="I436" s="16"/>
      <c r="J436" s="17"/>
      <c r="K436" s="18">
        <f t="shared" si="351"/>
        <v>3687</v>
      </c>
      <c r="L436" s="194">
        <f>5481+1</f>
        <v>5482</v>
      </c>
      <c r="M436" s="16"/>
      <c r="N436" s="16"/>
      <c r="O436" s="17"/>
      <c r="P436" s="18">
        <f t="shared" si="356"/>
        <v>5482</v>
      </c>
      <c r="Q436" s="34">
        <v>94</v>
      </c>
      <c r="R436" s="16"/>
      <c r="S436" s="16"/>
      <c r="T436" s="17"/>
      <c r="U436" s="18">
        <f t="shared" si="357"/>
        <v>94</v>
      </c>
      <c r="V436" s="34">
        <v>127</v>
      </c>
      <c r="W436" s="16"/>
      <c r="X436" s="16"/>
      <c r="Y436" s="17"/>
      <c r="Z436" s="18">
        <f t="shared" si="358"/>
        <v>127</v>
      </c>
      <c r="AA436" s="34">
        <v>51</v>
      </c>
      <c r="AB436" s="16"/>
      <c r="AC436" s="16"/>
      <c r="AD436" s="17"/>
      <c r="AE436" s="18">
        <f t="shared" si="359"/>
        <v>51</v>
      </c>
      <c r="AF436" s="34">
        <v>2</v>
      </c>
      <c r="AG436" s="16"/>
      <c r="AH436" s="16"/>
      <c r="AI436" s="17"/>
      <c r="AJ436" s="18">
        <f t="shared" si="360"/>
        <v>2</v>
      </c>
      <c r="AK436" s="34"/>
      <c r="AL436" s="16"/>
      <c r="AM436" s="16"/>
      <c r="AN436" s="17"/>
      <c r="AO436" s="18">
        <f t="shared" si="361"/>
        <v>0</v>
      </c>
      <c r="AP436" s="34"/>
      <c r="AQ436" s="16"/>
      <c r="AR436" s="16"/>
      <c r="AS436" s="17"/>
      <c r="AT436" s="18">
        <f t="shared" si="362"/>
        <v>0</v>
      </c>
      <c r="AU436" s="34"/>
      <c r="AV436" s="16"/>
      <c r="AW436" s="16"/>
      <c r="AX436" s="17"/>
      <c r="AY436" s="18">
        <f t="shared" si="363"/>
        <v>0</v>
      </c>
      <c r="AZ436" s="34"/>
      <c r="BA436" s="16"/>
      <c r="BB436" s="16"/>
      <c r="BC436" s="17"/>
      <c r="BD436" s="18">
        <f t="shared" si="364"/>
        <v>0</v>
      </c>
      <c r="BE436" s="34"/>
      <c r="BF436" s="16"/>
      <c r="BG436" s="16"/>
      <c r="BH436" s="17"/>
      <c r="BI436" s="18">
        <f t="shared" si="365"/>
        <v>0</v>
      </c>
      <c r="BJ436" s="34"/>
      <c r="BK436" s="16"/>
      <c r="BL436" s="16"/>
      <c r="BM436" s="17"/>
      <c r="BN436" s="18">
        <f t="shared" si="355"/>
        <v>0</v>
      </c>
      <c r="BO436" s="70">
        <f>SUM(G436,L436,Q436,V436,AA436,AF436,AK436,AP436,AU436,AZ436,BE436,BJ436)</f>
        <v>9443</v>
      </c>
      <c r="BP436" s="16">
        <f>SUM(H436,M436,R436,W436,AB436,AG436,AL436,AQ436,AV436,BA436,BF436,BK436)</f>
        <v>0</v>
      </c>
      <c r="BQ436" s="16">
        <f>SUM(I436,N436,S436,X436,AC436,AH436,AM436,AR436,AW436,BB436,BG436,BL436)</f>
        <v>0</v>
      </c>
      <c r="BR436" s="17">
        <f>SUM(J436,O436,T436,Y436,AD436,AI436,AN436,AS436,AX436,BC436,BH436,BM436)</f>
        <v>0</v>
      </c>
      <c r="BS436" s="35">
        <f t="shared" si="350"/>
        <v>9443</v>
      </c>
    </row>
    <row r="437" spans="2:71" x14ac:dyDescent="0.3">
      <c r="B437" s="254"/>
      <c r="C437" s="204"/>
      <c r="D437" s="200"/>
      <c r="E437" s="201"/>
      <c r="F437" s="123" t="s">
        <v>580</v>
      </c>
      <c r="G437" s="34">
        <v>2819</v>
      </c>
      <c r="H437" s="16"/>
      <c r="I437" s="16"/>
      <c r="J437" s="17"/>
      <c r="K437" s="18">
        <f t="shared" si="351"/>
        <v>2819</v>
      </c>
      <c r="L437" s="34">
        <v>3828</v>
      </c>
      <c r="M437" s="16"/>
      <c r="N437" s="16"/>
      <c r="O437" s="17"/>
      <c r="P437" s="18">
        <f t="shared" si="356"/>
        <v>3828</v>
      </c>
      <c r="Q437" s="34">
        <v>359</v>
      </c>
      <c r="R437" s="16"/>
      <c r="S437" s="16"/>
      <c r="T437" s="17"/>
      <c r="U437" s="18">
        <f t="shared" si="357"/>
        <v>359</v>
      </c>
      <c r="V437" s="34">
        <v>132</v>
      </c>
      <c r="W437" s="16"/>
      <c r="X437" s="16"/>
      <c r="Y437" s="17"/>
      <c r="Z437" s="18">
        <f t="shared" si="358"/>
        <v>132</v>
      </c>
      <c r="AA437" s="34">
        <v>65</v>
      </c>
      <c r="AB437" s="16"/>
      <c r="AC437" s="16"/>
      <c r="AD437" s="17"/>
      <c r="AE437" s="18">
        <f t="shared" si="359"/>
        <v>65</v>
      </c>
      <c r="AF437" s="34"/>
      <c r="AG437" s="16"/>
      <c r="AH437" s="16"/>
      <c r="AI437" s="17"/>
      <c r="AJ437" s="18">
        <f t="shared" si="360"/>
        <v>0</v>
      </c>
      <c r="AK437" s="34"/>
      <c r="AL437" s="16"/>
      <c r="AM437" s="16"/>
      <c r="AN437" s="17"/>
      <c r="AO437" s="18">
        <f t="shared" si="361"/>
        <v>0</v>
      </c>
      <c r="AP437" s="34"/>
      <c r="AQ437" s="16"/>
      <c r="AR437" s="16"/>
      <c r="AS437" s="17"/>
      <c r="AT437" s="18">
        <f t="shared" si="362"/>
        <v>0</v>
      </c>
      <c r="AU437" s="34"/>
      <c r="AV437" s="16"/>
      <c r="AW437" s="16"/>
      <c r="AX437" s="17"/>
      <c r="AY437" s="18">
        <f t="shared" si="363"/>
        <v>0</v>
      </c>
      <c r="AZ437" s="34"/>
      <c r="BA437" s="16"/>
      <c r="BB437" s="16"/>
      <c r="BC437" s="17"/>
      <c r="BD437" s="18">
        <f t="shared" si="364"/>
        <v>0</v>
      </c>
      <c r="BE437" s="34"/>
      <c r="BF437" s="16"/>
      <c r="BG437" s="16"/>
      <c r="BH437" s="17"/>
      <c r="BI437" s="18">
        <f t="shared" si="365"/>
        <v>0</v>
      </c>
      <c r="BJ437" s="34"/>
      <c r="BK437" s="16"/>
      <c r="BL437" s="16"/>
      <c r="BM437" s="17"/>
      <c r="BN437" s="18">
        <f t="shared" si="355"/>
        <v>0</v>
      </c>
      <c r="BO437" s="70">
        <f>SUM(G437,L437,Q437,V437,AA437,AF437,AK437,AP437,AU437,AZ437,BE437,BJ437)</f>
        <v>7203</v>
      </c>
      <c r="BP437" s="16">
        <f>SUM(H437,M437,R437,W437,AB437,AG437,AL437,AQ437,AV437,BA437,BF437,BK437)</f>
        <v>0</v>
      </c>
      <c r="BQ437" s="16">
        <f>SUM(I437,N437,S437,X437,AC437,AH437,AM437,AR437,AW437,BB437,BG437,BL437)</f>
        <v>0</v>
      </c>
      <c r="BR437" s="17">
        <f>SUM(J437,O437,T437,Y437,AD437,AI437,AN437,AS437,AX437,BC437,BH437,BM437)</f>
        <v>0</v>
      </c>
      <c r="BS437" s="35">
        <f t="shared" si="350"/>
        <v>7203</v>
      </c>
    </row>
    <row r="438" spans="2:71" x14ac:dyDescent="0.3">
      <c r="B438" s="254"/>
      <c r="C438" s="204"/>
      <c r="D438" s="200"/>
      <c r="E438" s="201"/>
      <c r="F438" s="121" t="s">
        <v>581</v>
      </c>
      <c r="G438" s="34">
        <v>149</v>
      </c>
      <c r="H438" s="16"/>
      <c r="I438" s="16"/>
      <c r="J438" s="17"/>
      <c r="K438" s="18">
        <f t="shared" si="351"/>
        <v>149</v>
      </c>
      <c r="L438" s="34">
        <v>133</v>
      </c>
      <c r="M438" s="16"/>
      <c r="N438" s="16"/>
      <c r="O438" s="17"/>
      <c r="P438" s="18">
        <f t="shared" si="356"/>
        <v>133</v>
      </c>
      <c r="Q438" s="34"/>
      <c r="R438" s="16"/>
      <c r="S438" s="16"/>
      <c r="T438" s="17"/>
      <c r="U438" s="18">
        <f t="shared" si="357"/>
        <v>0</v>
      </c>
      <c r="V438" s="34"/>
      <c r="W438" s="16"/>
      <c r="X438" s="16"/>
      <c r="Y438" s="17"/>
      <c r="Z438" s="18">
        <f t="shared" si="358"/>
        <v>0</v>
      </c>
      <c r="AA438" s="34"/>
      <c r="AB438" s="16"/>
      <c r="AC438" s="16"/>
      <c r="AD438" s="17"/>
      <c r="AE438" s="18">
        <f t="shared" si="359"/>
        <v>0</v>
      </c>
      <c r="AF438" s="34"/>
      <c r="AG438" s="16"/>
      <c r="AH438" s="16"/>
      <c r="AI438" s="17"/>
      <c r="AJ438" s="18">
        <f t="shared" si="360"/>
        <v>0</v>
      </c>
      <c r="AK438" s="34"/>
      <c r="AL438" s="16"/>
      <c r="AM438" s="16"/>
      <c r="AN438" s="17"/>
      <c r="AO438" s="18">
        <f t="shared" si="361"/>
        <v>0</v>
      </c>
      <c r="AP438" s="34"/>
      <c r="AQ438" s="16"/>
      <c r="AR438" s="16"/>
      <c r="AS438" s="17"/>
      <c r="AT438" s="18">
        <f t="shared" si="362"/>
        <v>0</v>
      </c>
      <c r="AU438" s="34"/>
      <c r="AV438" s="16"/>
      <c r="AW438" s="16"/>
      <c r="AX438" s="17"/>
      <c r="AY438" s="18">
        <f t="shared" si="363"/>
        <v>0</v>
      </c>
      <c r="AZ438" s="34"/>
      <c r="BA438" s="16"/>
      <c r="BB438" s="16"/>
      <c r="BC438" s="17"/>
      <c r="BD438" s="18">
        <f t="shared" si="364"/>
        <v>0</v>
      </c>
      <c r="BE438" s="34"/>
      <c r="BF438" s="16"/>
      <c r="BG438" s="16"/>
      <c r="BH438" s="17"/>
      <c r="BI438" s="18">
        <f t="shared" si="365"/>
        <v>0</v>
      </c>
      <c r="BJ438" s="34"/>
      <c r="BK438" s="16"/>
      <c r="BL438" s="16"/>
      <c r="BM438" s="17"/>
      <c r="BN438" s="18">
        <f t="shared" si="355"/>
        <v>0</v>
      </c>
      <c r="BO438" s="70">
        <f>SUM(G438,L438,Q438,V438,AA438,AF438,AK438,AP438,AU438,AZ438,BE438,BJ438)</f>
        <v>282</v>
      </c>
      <c r="BP438" s="16">
        <f>SUM(H438,M438,R438,W438,AB438,AG438,AL438,AQ438,AV438,BA438,BF438,BK438)</f>
        <v>0</v>
      </c>
      <c r="BQ438" s="16">
        <f>SUM(I438,N438,S438,X438,AC438,AH438,AM438,AR438,AW438,BB438,BG438,BL438)</f>
        <v>0</v>
      </c>
      <c r="BR438" s="17">
        <f>SUM(J438,O438,T438,Y438,AD438,AI438,AN438,AS438,AX438,BC438,BH438,BM438)</f>
        <v>0</v>
      </c>
      <c r="BS438" s="35">
        <f t="shared" si="350"/>
        <v>282</v>
      </c>
    </row>
    <row r="439" spans="2:71" x14ac:dyDescent="0.3">
      <c r="B439" s="254"/>
      <c r="C439" s="204"/>
      <c r="D439" s="200"/>
      <c r="E439" s="201"/>
      <c r="F439" s="121" t="s">
        <v>582</v>
      </c>
      <c r="G439" s="34">
        <v>76</v>
      </c>
      <c r="H439" s="16"/>
      <c r="I439" s="16"/>
      <c r="J439" s="17"/>
      <c r="K439" s="18">
        <f t="shared" si="351"/>
        <v>76</v>
      </c>
      <c r="L439" s="34">
        <v>68</v>
      </c>
      <c r="M439" s="16"/>
      <c r="N439" s="16"/>
      <c r="O439" s="17"/>
      <c r="P439" s="18">
        <f t="shared" si="356"/>
        <v>68</v>
      </c>
      <c r="Q439" s="34"/>
      <c r="R439" s="16"/>
      <c r="S439" s="16"/>
      <c r="T439" s="17"/>
      <c r="U439" s="18">
        <f t="shared" si="357"/>
        <v>0</v>
      </c>
      <c r="V439" s="34"/>
      <c r="W439" s="16"/>
      <c r="X439" s="16"/>
      <c r="Y439" s="17"/>
      <c r="Z439" s="18">
        <f t="shared" si="358"/>
        <v>0</v>
      </c>
      <c r="AA439" s="34"/>
      <c r="AB439" s="16"/>
      <c r="AC439" s="16"/>
      <c r="AD439" s="17"/>
      <c r="AE439" s="18">
        <f t="shared" si="359"/>
        <v>0</v>
      </c>
      <c r="AF439" s="34"/>
      <c r="AG439" s="16"/>
      <c r="AH439" s="16"/>
      <c r="AI439" s="17"/>
      <c r="AJ439" s="18">
        <f t="shared" si="360"/>
        <v>0</v>
      </c>
      <c r="AK439" s="34"/>
      <c r="AL439" s="16"/>
      <c r="AM439" s="16"/>
      <c r="AN439" s="17"/>
      <c r="AO439" s="18">
        <f t="shared" si="361"/>
        <v>0</v>
      </c>
      <c r="AP439" s="34"/>
      <c r="AQ439" s="16"/>
      <c r="AR439" s="16"/>
      <c r="AS439" s="17"/>
      <c r="AT439" s="18">
        <f t="shared" si="362"/>
        <v>0</v>
      </c>
      <c r="AU439" s="34"/>
      <c r="AV439" s="16"/>
      <c r="AW439" s="16"/>
      <c r="AX439" s="17"/>
      <c r="AY439" s="18">
        <f t="shared" si="363"/>
        <v>0</v>
      </c>
      <c r="AZ439" s="34"/>
      <c r="BA439" s="16"/>
      <c r="BB439" s="16"/>
      <c r="BC439" s="17"/>
      <c r="BD439" s="18">
        <f t="shared" si="364"/>
        <v>0</v>
      </c>
      <c r="BE439" s="34"/>
      <c r="BF439" s="16"/>
      <c r="BG439" s="16"/>
      <c r="BH439" s="17"/>
      <c r="BI439" s="18">
        <f t="shared" si="365"/>
        <v>0</v>
      </c>
      <c r="BJ439" s="34"/>
      <c r="BK439" s="16"/>
      <c r="BL439" s="16"/>
      <c r="BM439" s="17"/>
      <c r="BN439" s="18">
        <f t="shared" si="355"/>
        <v>0</v>
      </c>
      <c r="BO439" s="70">
        <f>SUM(G439,L439,Q439,V439,AA439,AF439,AK439,AP439,AU439,AZ439,BE439,BJ439)</f>
        <v>144</v>
      </c>
      <c r="BP439" s="16">
        <f>SUM(H439,M439,R439,W439,AB439,AG439,AL439,AQ439,AV439,BA439,BF439,BK439)</f>
        <v>0</v>
      </c>
      <c r="BQ439" s="16">
        <f>SUM(I439,N439,S439,X439,AC439,AH439,AM439,AR439,AW439,BB439,BG439,BL439)</f>
        <v>0</v>
      </c>
      <c r="BR439" s="17">
        <f>SUM(J439,O439,T439,Y439,AD439,AI439,AN439,AS439,AX439,BC439,BH439,BM439)</f>
        <v>0</v>
      </c>
      <c r="BS439" s="35">
        <f t="shared" ref="BS439:BS484" si="366">SUM(BO439:BR439)</f>
        <v>144</v>
      </c>
    </row>
    <row r="440" spans="2:71" x14ac:dyDescent="0.3">
      <c r="B440" s="254"/>
      <c r="C440" s="204"/>
      <c r="D440" s="200"/>
      <c r="E440" s="201"/>
      <c r="F440" s="123" t="s">
        <v>583</v>
      </c>
      <c r="G440" s="34">
        <v>37</v>
      </c>
      <c r="H440" s="16"/>
      <c r="I440" s="16"/>
      <c r="J440" s="17"/>
      <c r="K440" s="18">
        <f t="shared" si="351"/>
        <v>37</v>
      </c>
      <c r="L440" s="34">
        <v>55</v>
      </c>
      <c r="M440" s="16"/>
      <c r="N440" s="16"/>
      <c r="O440" s="17"/>
      <c r="P440" s="18">
        <f t="shared" si="356"/>
        <v>55</v>
      </c>
      <c r="Q440" s="34"/>
      <c r="R440" s="16"/>
      <c r="S440" s="16"/>
      <c r="T440" s="17"/>
      <c r="U440" s="18">
        <f t="shared" si="357"/>
        <v>0</v>
      </c>
      <c r="V440" s="34"/>
      <c r="W440" s="16"/>
      <c r="X440" s="16"/>
      <c r="Y440" s="17"/>
      <c r="Z440" s="18">
        <f t="shared" si="358"/>
        <v>0</v>
      </c>
      <c r="AA440" s="34"/>
      <c r="AB440" s="16"/>
      <c r="AC440" s="16"/>
      <c r="AD440" s="17"/>
      <c r="AE440" s="18">
        <f t="shared" si="359"/>
        <v>0</v>
      </c>
      <c r="AF440" s="34"/>
      <c r="AG440" s="16"/>
      <c r="AH440" s="16"/>
      <c r="AI440" s="17"/>
      <c r="AJ440" s="18">
        <f t="shared" si="360"/>
        <v>0</v>
      </c>
      <c r="AK440" s="34"/>
      <c r="AL440" s="16"/>
      <c r="AM440" s="16"/>
      <c r="AN440" s="17"/>
      <c r="AO440" s="18">
        <f t="shared" si="361"/>
        <v>0</v>
      </c>
      <c r="AP440" s="34"/>
      <c r="AQ440" s="16"/>
      <c r="AR440" s="16"/>
      <c r="AS440" s="17"/>
      <c r="AT440" s="18">
        <f t="shared" si="362"/>
        <v>0</v>
      </c>
      <c r="AU440" s="34"/>
      <c r="AV440" s="16"/>
      <c r="AW440" s="16"/>
      <c r="AX440" s="17"/>
      <c r="AY440" s="18">
        <f t="shared" si="363"/>
        <v>0</v>
      </c>
      <c r="AZ440" s="34"/>
      <c r="BA440" s="16"/>
      <c r="BB440" s="16"/>
      <c r="BC440" s="17"/>
      <c r="BD440" s="18">
        <f t="shared" si="364"/>
        <v>0</v>
      </c>
      <c r="BE440" s="34"/>
      <c r="BF440" s="16"/>
      <c r="BG440" s="16"/>
      <c r="BH440" s="17"/>
      <c r="BI440" s="18">
        <f t="shared" si="365"/>
        <v>0</v>
      </c>
      <c r="BJ440" s="34"/>
      <c r="BK440" s="16"/>
      <c r="BL440" s="16"/>
      <c r="BM440" s="17"/>
      <c r="BN440" s="18">
        <f t="shared" si="355"/>
        <v>0</v>
      </c>
      <c r="BO440" s="70">
        <f>SUM(G440,L440,Q440,V440,AA440,AF440,AK440,AP440,AU440,AZ440,BE440,BJ440)</f>
        <v>92</v>
      </c>
      <c r="BP440" s="16">
        <f>SUM(H440,M440,R440,W440,AB440,AG440,AL440,AQ440,AV440,BA440,BF440,BK440)</f>
        <v>0</v>
      </c>
      <c r="BQ440" s="16">
        <f>SUM(I440,N440,S440,X440,AC440,AH440,AM440,AR440,AW440,BB440,BG440,BL440)</f>
        <v>0</v>
      </c>
      <c r="BR440" s="17">
        <f>SUM(J440,O440,T440,Y440,AD440,AI440,AN440,AS440,AX440,BC440,BH440,BM440)</f>
        <v>0</v>
      </c>
      <c r="BS440" s="35">
        <f t="shared" si="366"/>
        <v>92</v>
      </c>
    </row>
    <row r="441" spans="2:71" x14ac:dyDescent="0.3">
      <c r="B441" s="254"/>
      <c r="C441" s="204"/>
      <c r="D441" s="200"/>
      <c r="E441" s="201"/>
      <c r="F441" s="123" t="s">
        <v>584</v>
      </c>
      <c r="G441" s="34"/>
      <c r="H441" s="16"/>
      <c r="I441" s="16"/>
      <c r="J441" s="17"/>
      <c r="K441" s="18">
        <f t="shared" si="351"/>
        <v>0</v>
      </c>
      <c r="L441" s="34">
        <v>254</v>
      </c>
      <c r="M441" s="16"/>
      <c r="N441" s="16"/>
      <c r="O441" s="17"/>
      <c r="P441" s="18">
        <f t="shared" si="356"/>
        <v>254</v>
      </c>
      <c r="Q441" s="34">
        <v>121</v>
      </c>
      <c r="R441" s="16"/>
      <c r="S441" s="16"/>
      <c r="T441" s="17"/>
      <c r="U441" s="18">
        <f t="shared" si="357"/>
        <v>121</v>
      </c>
      <c r="V441" s="34">
        <v>363</v>
      </c>
      <c r="W441" s="16"/>
      <c r="X441" s="16"/>
      <c r="Y441" s="17"/>
      <c r="Z441" s="18">
        <f t="shared" si="358"/>
        <v>363</v>
      </c>
      <c r="AA441" s="34">
        <v>150</v>
      </c>
      <c r="AB441" s="16"/>
      <c r="AC441" s="16"/>
      <c r="AD441" s="17"/>
      <c r="AE441" s="18">
        <f t="shared" si="359"/>
        <v>150</v>
      </c>
      <c r="AF441" s="34"/>
      <c r="AG441" s="16"/>
      <c r="AH441" s="16"/>
      <c r="AI441" s="17"/>
      <c r="AJ441" s="18">
        <f t="shared" si="360"/>
        <v>0</v>
      </c>
      <c r="AK441" s="34"/>
      <c r="AL441" s="16"/>
      <c r="AM441" s="16"/>
      <c r="AN441" s="17"/>
      <c r="AO441" s="18">
        <f t="shared" si="361"/>
        <v>0</v>
      </c>
      <c r="AP441" s="34"/>
      <c r="AQ441" s="16"/>
      <c r="AR441" s="16"/>
      <c r="AS441" s="17"/>
      <c r="AT441" s="18">
        <f t="shared" si="362"/>
        <v>0</v>
      </c>
      <c r="AU441" s="34"/>
      <c r="AV441" s="16"/>
      <c r="AW441" s="16"/>
      <c r="AX441" s="17"/>
      <c r="AY441" s="18">
        <f t="shared" si="363"/>
        <v>0</v>
      </c>
      <c r="AZ441" s="34"/>
      <c r="BA441" s="16"/>
      <c r="BB441" s="16"/>
      <c r="BC441" s="17"/>
      <c r="BD441" s="18">
        <f t="shared" si="364"/>
        <v>0</v>
      </c>
      <c r="BE441" s="34"/>
      <c r="BF441" s="16"/>
      <c r="BG441" s="16"/>
      <c r="BH441" s="17"/>
      <c r="BI441" s="18">
        <f t="shared" si="365"/>
        <v>0</v>
      </c>
      <c r="BJ441" s="34"/>
      <c r="BK441" s="16"/>
      <c r="BL441" s="16"/>
      <c r="BM441" s="17"/>
      <c r="BN441" s="18">
        <f t="shared" si="355"/>
        <v>0</v>
      </c>
      <c r="BO441" s="70">
        <f>SUM(G441,L441,Q441,V441,AA441,AF441,AK441,AP441,AU441,AZ441,BE441,BJ441)</f>
        <v>888</v>
      </c>
      <c r="BP441" s="16">
        <f>SUM(H441,M441,R441,W441,AB441,AG441,AL441,AQ441,AV441,BA441,BF441,BK441)</f>
        <v>0</v>
      </c>
      <c r="BQ441" s="16">
        <f>SUM(I441,N441,S441,X441,AC441,AH441,AM441,AR441,AW441,BB441,BG441,BL441)</f>
        <v>0</v>
      </c>
      <c r="BR441" s="17">
        <f>SUM(J441,O441,T441,Y441,AD441,AI441,AN441,AS441,AX441,BC441,BH441,BM441)</f>
        <v>0</v>
      </c>
      <c r="BS441" s="35">
        <f t="shared" si="366"/>
        <v>888</v>
      </c>
    </row>
    <row r="442" spans="2:71" x14ac:dyDescent="0.3">
      <c r="B442" s="254"/>
      <c r="C442" s="204"/>
      <c r="D442" s="200"/>
      <c r="E442" s="201"/>
      <c r="F442" s="123" t="s">
        <v>585</v>
      </c>
      <c r="G442" s="34"/>
      <c r="H442" s="16"/>
      <c r="I442" s="16"/>
      <c r="J442" s="17"/>
      <c r="K442" s="18">
        <f t="shared" si="351"/>
        <v>0</v>
      </c>
      <c r="L442" s="34"/>
      <c r="M442" s="16"/>
      <c r="N442" s="16"/>
      <c r="O442" s="17"/>
      <c r="P442" s="18">
        <f t="shared" si="356"/>
        <v>0</v>
      </c>
      <c r="Q442" s="34"/>
      <c r="R442" s="16"/>
      <c r="S442" s="16"/>
      <c r="T442" s="17"/>
      <c r="U442" s="18">
        <f t="shared" si="357"/>
        <v>0</v>
      </c>
      <c r="V442" s="34">
        <v>1</v>
      </c>
      <c r="W442" s="16"/>
      <c r="X442" s="16"/>
      <c r="Y442" s="17"/>
      <c r="Z442" s="18">
        <f t="shared" si="358"/>
        <v>1</v>
      </c>
      <c r="AA442" s="34">
        <v>6</v>
      </c>
      <c r="AB442" s="16"/>
      <c r="AC442" s="16"/>
      <c r="AD442" s="17"/>
      <c r="AE442" s="18">
        <f t="shared" si="359"/>
        <v>6</v>
      </c>
      <c r="AF442" s="34">
        <v>1</v>
      </c>
      <c r="AG442" s="16"/>
      <c r="AH442" s="16"/>
      <c r="AI442" s="17"/>
      <c r="AJ442" s="18">
        <f t="shared" si="360"/>
        <v>1</v>
      </c>
      <c r="AK442" s="34"/>
      <c r="AL442" s="16"/>
      <c r="AM442" s="16"/>
      <c r="AN442" s="17"/>
      <c r="AO442" s="18">
        <f t="shared" si="361"/>
        <v>0</v>
      </c>
      <c r="AP442" s="34"/>
      <c r="AQ442" s="16"/>
      <c r="AR442" s="16"/>
      <c r="AS442" s="17"/>
      <c r="AT442" s="18">
        <f t="shared" si="362"/>
        <v>0</v>
      </c>
      <c r="AU442" s="34"/>
      <c r="AV442" s="16"/>
      <c r="AW442" s="16"/>
      <c r="AX442" s="17"/>
      <c r="AY442" s="18">
        <f t="shared" si="363"/>
        <v>0</v>
      </c>
      <c r="AZ442" s="34"/>
      <c r="BA442" s="16"/>
      <c r="BB442" s="16"/>
      <c r="BC442" s="17"/>
      <c r="BD442" s="18">
        <f t="shared" si="364"/>
        <v>0</v>
      </c>
      <c r="BE442" s="34"/>
      <c r="BF442" s="16"/>
      <c r="BG442" s="16"/>
      <c r="BH442" s="17"/>
      <c r="BI442" s="18">
        <f t="shared" si="365"/>
        <v>0</v>
      </c>
      <c r="BJ442" s="34"/>
      <c r="BK442" s="16"/>
      <c r="BL442" s="16"/>
      <c r="BM442" s="17"/>
      <c r="BN442" s="18">
        <f t="shared" si="355"/>
        <v>0</v>
      </c>
      <c r="BO442" s="70">
        <f>SUM(G442,L442,Q442,V442,AA442,AF442,AK442,AP442,AU442,AZ442,BE442,BJ442)</f>
        <v>8</v>
      </c>
      <c r="BP442" s="16">
        <f>SUM(H442,M442,R442,W442,AB442,AG442,AL442,AQ442,AV442,BA442,BF442,BK442)</f>
        <v>0</v>
      </c>
      <c r="BQ442" s="16">
        <f>SUM(I442,N442,S442,X442,AC442,AH442,AM442,AR442,AW442,BB442,BG442,BL442)</f>
        <v>0</v>
      </c>
      <c r="BR442" s="17">
        <f>SUM(J442,O442,T442,Y442,AD442,AI442,AN442,AS442,AX442,BC442,BH442,BM442)</f>
        <v>0</v>
      </c>
      <c r="BS442" s="35">
        <f t="shared" si="366"/>
        <v>8</v>
      </c>
    </row>
    <row r="443" spans="2:71" x14ac:dyDescent="0.3">
      <c r="B443" s="254"/>
      <c r="C443" s="204"/>
      <c r="D443" s="200"/>
      <c r="E443" s="201"/>
      <c r="F443" s="123" t="s">
        <v>586</v>
      </c>
      <c r="G443" s="34"/>
      <c r="H443" s="16"/>
      <c r="I443" s="16"/>
      <c r="J443" s="17"/>
      <c r="K443" s="18">
        <f t="shared" ref="K443:K484" si="367">SUM(G443:J443)</f>
        <v>0</v>
      </c>
      <c r="L443" s="34">
        <v>366</v>
      </c>
      <c r="M443" s="16"/>
      <c r="N443" s="16"/>
      <c r="O443" s="17"/>
      <c r="P443" s="18">
        <f t="shared" si="356"/>
        <v>366</v>
      </c>
      <c r="Q443" s="34">
        <v>8331</v>
      </c>
      <c r="R443" s="16"/>
      <c r="S443" s="16"/>
      <c r="T443" s="17"/>
      <c r="U443" s="18">
        <f t="shared" si="357"/>
        <v>8331</v>
      </c>
      <c r="V443" s="34">
        <v>15524</v>
      </c>
      <c r="W443" s="16"/>
      <c r="X443" s="16"/>
      <c r="Y443" s="17"/>
      <c r="Z443" s="18">
        <f t="shared" si="358"/>
        <v>15524</v>
      </c>
      <c r="AA443" s="34">
        <v>13393</v>
      </c>
      <c r="AB443" s="16"/>
      <c r="AC443" s="16"/>
      <c r="AD443" s="17"/>
      <c r="AE443" s="18">
        <f t="shared" si="359"/>
        <v>13393</v>
      </c>
      <c r="AF443" s="34">
        <v>2548</v>
      </c>
      <c r="AG443" s="16"/>
      <c r="AH443" s="16"/>
      <c r="AI443" s="17"/>
      <c r="AJ443" s="18">
        <f t="shared" si="360"/>
        <v>2548</v>
      </c>
      <c r="AK443" s="34">
        <v>384</v>
      </c>
      <c r="AL443" s="16"/>
      <c r="AM443" s="16"/>
      <c r="AN443" s="17"/>
      <c r="AO443" s="18">
        <f t="shared" si="361"/>
        <v>384</v>
      </c>
      <c r="AP443" s="34">
        <v>171</v>
      </c>
      <c r="AQ443" s="16"/>
      <c r="AR443" s="16"/>
      <c r="AS443" s="17"/>
      <c r="AT443" s="18">
        <f t="shared" si="362"/>
        <v>171</v>
      </c>
      <c r="AU443" s="34"/>
      <c r="AV443" s="16"/>
      <c r="AW443" s="16"/>
      <c r="AX443" s="17"/>
      <c r="AY443" s="18">
        <f t="shared" si="363"/>
        <v>0</v>
      </c>
      <c r="AZ443" s="34">
        <v>2</v>
      </c>
      <c r="BA443" s="16"/>
      <c r="BB443" s="16"/>
      <c r="BC443" s="17"/>
      <c r="BD443" s="18">
        <f t="shared" si="364"/>
        <v>2</v>
      </c>
      <c r="BE443" s="34"/>
      <c r="BF443" s="16"/>
      <c r="BG443" s="16"/>
      <c r="BH443" s="17"/>
      <c r="BI443" s="18">
        <f t="shared" si="365"/>
        <v>0</v>
      </c>
      <c r="BJ443" s="34"/>
      <c r="BK443" s="16"/>
      <c r="BL443" s="16"/>
      <c r="BM443" s="17"/>
      <c r="BN443" s="18">
        <f t="shared" si="355"/>
        <v>0</v>
      </c>
      <c r="BO443" s="70">
        <f>SUM(G443,L443,Q443,V443,AA443,AF443,AK443,AP443,AU443,AZ443,BE443,BJ443)</f>
        <v>40719</v>
      </c>
      <c r="BP443" s="16">
        <f>SUM(H443,M443,R443,W443,AB443,AG443,AL443,AQ443,AV443,BA443,BF443,BK443)</f>
        <v>0</v>
      </c>
      <c r="BQ443" s="16">
        <f>SUM(I443,N443,S443,X443,AC443,AH443,AM443,AR443,AW443,BB443,BG443,BL443)</f>
        <v>0</v>
      </c>
      <c r="BR443" s="17">
        <f>SUM(J443,O443,T443,Y443,AD443,AI443,AN443,AS443,AX443,BC443,BH443,BM443)</f>
        <v>0</v>
      </c>
      <c r="BS443" s="35">
        <f t="shared" si="366"/>
        <v>40719</v>
      </c>
    </row>
    <row r="444" spans="2:71" x14ac:dyDescent="0.3">
      <c r="B444" s="254"/>
      <c r="C444" s="204"/>
      <c r="D444" s="200"/>
      <c r="E444" s="201"/>
      <c r="F444" s="123" t="s">
        <v>587</v>
      </c>
      <c r="G444" s="34"/>
      <c r="H444" s="16"/>
      <c r="I444" s="16"/>
      <c r="J444" s="17"/>
      <c r="K444" s="18">
        <f t="shared" si="367"/>
        <v>0</v>
      </c>
      <c r="L444" s="34">
        <v>389</v>
      </c>
      <c r="M444" s="16"/>
      <c r="N444" s="16"/>
      <c r="O444" s="17"/>
      <c r="P444" s="18">
        <f t="shared" si="356"/>
        <v>389</v>
      </c>
      <c r="Q444" s="34">
        <v>886</v>
      </c>
      <c r="R444" s="16"/>
      <c r="S444" s="16"/>
      <c r="T444" s="17"/>
      <c r="U444" s="18">
        <f t="shared" si="357"/>
        <v>886</v>
      </c>
      <c r="V444" s="34">
        <v>5997</v>
      </c>
      <c r="W444" s="16"/>
      <c r="X444" s="16"/>
      <c r="Y444" s="17"/>
      <c r="Z444" s="18">
        <f t="shared" si="358"/>
        <v>5997</v>
      </c>
      <c r="AA444" s="34">
        <v>7626</v>
      </c>
      <c r="AB444" s="16"/>
      <c r="AC444" s="16"/>
      <c r="AD444" s="17"/>
      <c r="AE444" s="18">
        <f t="shared" si="359"/>
        <v>7626</v>
      </c>
      <c r="AF444" s="34">
        <v>591</v>
      </c>
      <c r="AG444" s="16"/>
      <c r="AH444" s="16"/>
      <c r="AI444" s="17"/>
      <c r="AJ444" s="18">
        <f t="shared" si="360"/>
        <v>591</v>
      </c>
      <c r="AK444" s="34">
        <v>52</v>
      </c>
      <c r="AL444" s="16"/>
      <c r="AM444" s="16"/>
      <c r="AN444" s="17"/>
      <c r="AO444" s="18">
        <f t="shared" si="361"/>
        <v>52</v>
      </c>
      <c r="AP444" s="34">
        <v>20</v>
      </c>
      <c r="AQ444" s="16"/>
      <c r="AR444" s="16"/>
      <c r="AS444" s="17"/>
      <c r="AT444" s="18">
        <f t="shared" si="362"/>
        <v>20</v>
      </c>
      <c r="AU444" s="34"/>
      <c r="AV444" s="16"/>
      <c r="AW444" s="16"/>
      <c r="AX444" s="17"/>
      <c r="AY444" s="18">
        <f t="shared" si="363"/>
        <v>0</v>
      </c>
      <c r="AZ444" s="34"/>
      <c r="BA444" s="16"/>
      <c r="BB444" s="16"/>
      <c r="BC444" s="17"/>
      <c r="BD444" s="18">
        <f t="shared" si="364"/>
        <v>0</v>
      </c>
      <c r="BE444" s="34"/>
      <c r="BF444" s="16"/>
      <c r="BG444" s="16"/>
      <c r="BH444" s="17"/>
      <c r="BI444" s="18">
        <f t="shared" si="365"/>
        <v>0</v>
      </c>
      <c r="BJ444" s="34"/>
      <c r="BK444" s="16"/>
      <c r="BL444" s="16"/>
      <c r="BM444" s="17"/>
      <c r="BN444" s="18">
        <f t="shared" si="355"/>
        <v>0</v>
      </c>
      <c r="BO444" s="70">
        <f>SUM(G444,L444,Q444,V444,AA444,AF444,AK444,AP444,AU444,AZ444,BE444,BJ444)</f>
        <v>15561</v>
      </c>
      <c r="BP444" s="16">
        <f>SUM(H444,M444,R444,W444,AB444,AG444,AL444,AQ444,AV444,BA444,BF444,BK444)</f>
        <v>0</v>
      </c>
      <c r="BQ444" s="16">
        <f>SUM(I444,N444,S444,X444,AC444,AH444,AM444,AR444,AW444,BB444,BG444,BL444)</f>
        <v>0</v>
      </c>
      <c r="BR444" s="17">
        <f>SUM(J444,O444,T444,Y444,AD444,AI444,AN444,AS444,AX444,BC444,BH444,BM444)</f>
        <v>0</v>
      </c>
      <c r="BS444" s="35">
        <f t="shared" si="366"/>
        <v>15561</v>
      </c>
    </row>
    <row r="445" spans="2:71" x14ac:dyDescent="0.3">
      <c r="B445" s="254"/>
      <c r="C445" s="204"/>
      <c r="D445" s="200"/>
      <c r="E445" s="201"/>
      <c r="F445" s="123" t="s">
        <v>588</v>
      </c>
      <c r="G445" s="34"/>
      <c r="H445" s="16"/>
      <c r="I445" s="16"/>
      <c r="J445" s="17"/>
      <c r="K445" s="18">
        <f t="shared" si="367"/>
        <v>0</v>
      </c>
      <c r="L445" s="34">
        <v>268</v>
      </c>
      <c r="M445" s="16"/>
      <c r="N445" s="16"/>
      <c r="O445" s="17"/>
      <c r="P445" s="18">
        <f t="shared" si="356"/>
        <v>268</v>
      </c>
      <c r="Q445" s="34">
        <v>4480</v>
      </c>
      <c r="R445" s="16"/>
      <c r="S445" s="16"/>
      <c r="T445" s="17"/>
      <c r="U445" s="18">
        <f t="shared" si="357"/>
        <v>4480</v>
      </c>
      <c r="V445" s="34">
        <v>7249</v>
      </c>
      <c r="W445" s="16"/>
      <c r="X445" s="16"/>
      <c r="Y445" s="17"/>
      <c r="Z445" s="18">
        <f t="shared" si="358"/>
        <v>7249</v>
      </c>
      <c r="AA445" s="34">
        <v>6811</v>
      </c>
      <c r="AB445" s="16"/>
      <c r="AC445" s="16"/>
      <c r="AD445" s="17"/>
      <c r="AE445" s="18">
        <f t="shared" si="359"/>
        <v>6811</v>
      </c>
      <c r="AF445" s="34">
        <v>763</v>
      </c>
      <c r="AG445" s="16"/>
      <c r="AH445" s="16"/>
      <c r="AI445" s="17"/>
      <c r="AJ445" s="18">
        <f t="shared" si="360"/>
        <v>763</v>
      </c>
      <c r="AK445" s="34">
        <v>92</v>
      </c>
      <c r="AL445" s="16"/>
      <c r="AM445" s="16"/>
      <c r="AN445" s="17"/>
      <c r="AO445" s="18">
        <f t="shared" si="361"/>
        <v>92</v>
      </c>
      <c r="AP445" s="34">
        <v>49</v>
      </c>
      <c r="AQ445" s="16"/>
      <c r="AR445" s="16"/>
      <c r="AS445" s="17"/>
      <c r="AT445" s="18">
        <f t="shared" si="362"/>
        <v>49</v>
      </c>
      <c r="AU445" s="34"/>
      <c r="AV445" s="16"/>
      <c r="AW445" s="16"/>
      <c r="AX445" s="17"/>
      <c r="AY445" s="18">
        <f t="shared" si="363"/>
        <v>0</v>
      </c>
      <c r="AZ445" s="34"/>
      <c r="BA445" s="16"/>
      <c r="BB445" s="16"/>
      <c r="BC445" s="17"/>
      <c r="BD445" s="18">
        <f t="shared" si="364"/>
        <v>0</v>
      </c>
      <c r="BE445" s="34"/>
      <c r="BF445" s="16"/>
      <c r="BG445" s="16"/>
      <c r="BH445" s="17"/>
      <c r="BI445" s="18">
        <f t="shared" si="365"/>
        <v>0</v>
      </c>
      <c r="BJ445" s="34"/>
      <c r="BK445" s="16"/>
      <c r="BL445" s="16"/>
      <c r="BM445" s="17"/>
      <c r="BN445" s="18">
        <f t="shared" si="355"/>
        <v>0</v>
      </c>
      <c r="BO445" s="70">
        <f>SUM(G445,L445,Q445,V445,AA445,AF445,AK445,AP445,AU445,AZ445,BE445,BJ445)</f>
        <v>19712</v>
      </c>
      <c r="BP445" s="16">
        <f>SUM(H445,M445,R445,W445,AB445,AG445,AL445,AQ445,AV445,BA445,BF445,BK445)</f>
        <v>0</v>
      </c>
      <c r="BQ445" s="16">
        <f>SUM(I445,N445,S445,X445,AC445,AH445,AM445,AR445,AW445,BB445,BG445,BL445)</f>
        <v>0</v>
      </c>
      <c r="BR445" s="17">
        <f>SUM(J445,O445,T445,Y445,AD445,AI445,AN445,AS445,AX445,BC445,BH445,BM445)</f>
        <v>0</v>
      </c>
      <c r="BS445" s="35">
        <f t="shared" si="366"/>
        <v>19712</v>
      </c>
    </row>
    <row r="446" spans="2:71" x14ac:dyDescent="0.3">
      <c r="B446" s="254"/>
      <c r="C446" s="204"/>
      <c r="D446" s="200"/>
      <c r="E446" s="201"/>
      <c r="F446" s="123" t="s">
        <v>589</v>
      </c>
      <c r="G446" s="34"/>
      <c r="H446" s="16"/>
      <c r="I446" s="16"/>
      <c r="J446" s="17"/>
      <c r="K446" s="18">
        <f t="shared" si="367"/>
        <v>0</v>
      </c>
      <c r="L446" s="34">
        <v>71</v>
      </c>
      <c r="M446" s="16"/>
      <c r="N446" s="16"/>
      <c r="O446" s="17"/>
      <c r="P446" s="18">
        <f t="shared" si="356"/>
        <v>71</v>
      </c>
      <c r="Q446" s="34">
        <v>1634</v>
      </c>
      <c r="R446" s="16"/>
      <c r="S446" s="16"/>
      <c r="T446" s="17"/>
      <c r="U446" s="18">
        <f t="shared" si="357"/>
        <v>1634</v>
      </c>
      <c r="V446" s="34">
        <v>4152</v>
      </c>
      <c r="W446" s="16"/>
      <c r="X446" s="16"/>
      <c r="Y446" s="17"/>
      <c r="Z446" s="18">
        <f t="shared" si="358"/>
        <v>4152</v>
      </c>
      <c r="AA446" s="34">
        <v>4015</v>
      </c>
      <c r="AB446" s="16"/>
      <c r="AC446" s="16"/>
      <c r="AD446" s="17"/>
      <c r="AE446" s="18">
        <f t="shared" si="359"/>
        <v>4015</v>
      </c>
      <c r="AF446" s="34">
        <v>190</v>
      </c>
      <c r="AG446" s="16"/>
      <c r="AH446" s="16"/>
      <c r="AI446" s="17"/>
      <c r="AJ446" s="18">
        <f t="shared" si="360"/>
        <v>190</v>
      </c>
      <c r="AK446" s="34">
        <v>39</v>
      </c>
      <c r="AL446" s="16"/>
      <c r="AM446" s="16"/>
      <c r="AN446" s="17"/>
      <c r="AO446" s="18">
        <f t="shared" si="361"/>
        <v>39</v>
      </c>
      <c r="AP446" s="34">
        <v>19</v>
      </c>
      <c r="AQ446" s="16"/>
      <c r="AR446" s="16"/>
      <c r="AS446" s="17"/>
      <c r="AT446" s="18">
        <f t="shared" si="362"/>
        <v>19</v>
      </c>
      <c r="AU446" s="34"/>
      <c r="AV446" s="16"/>
      <c r="AW446" s="16"/>
      <c r="AX446" s="17"/>
      <c r="AY446" s="18">
        <f t="shared" si="363"/>
        <v>0</v>
      </c>
      <c r="AZ446" s="34"/>
      <c r="BA446" s="16"/>
      <c r="BB446" s="16"/>
      <c r="BC446" s="17"/>
      <c r="BD446" s="18">
        <f t="shared" si="364"/>
        <v>0</v>
      </c>
      <c r="BE446" s="34"/>
      <c r="BF446" s="16"/>
      <c r="BG446" s="16"/>
      <c r="BH446" s="17"/>
      <c r="BI446" s="18">
        <f t="shared" si="365"/>
        <v>0</v>
      </c>
      <c r="BJ446" s="34"/>
      <c r="BK446" s="16"/>
      <c r="BL446" s="16"/>
      <c r="BM446" s="17"/>
      <c r="BN446" s="18">
        <f t="shared" si="355"/>
        <v>0</v>
      </c>
      <c r="BO446" s="70">
        <f>SUM(G446,L446,Q446,V446,AA446,AF446,AK446,AP446,AU446,AZ446,BE446,BJ446)</f>
        <v>10120</v>
      </c>
      <c r="BP446" s="16">
        <f>SUM(H446,M446,R446,W446,AB446,AG446,AL446,AQ446,AV446,BA446,BF446,BK446)</f>
        <v>0</v>
      </c>
      <c r="BQ446" s="16">
        <f>SUM(I446,N446,S446,X446,AC446,AH446,AM446,AR446,AW446,BB446,BG446,BL446)</f>
        <v>0</v>
      </c>
      <c r="BR446" s="17">
        <f>SUM(J446,O446,T446,Y446,AD446,AI446,AN446,AS446,AX446,BC446,BH446,BM446)</f>
        <v>0</v>
      </c>
      <c r="BS446" s="35">
        <f t="shared" si="366"/>
        <v>10120</v>
      </c>
    </row>
    <row r="447" spans="2:71" x14ac:dyDescent="0.3">
      <c r="B447" s="254"/>
      <c r="C447" s="204"/>
      <c r="D447" s="200"/>
      <c r="E447" s="201"/>
      <c r="F447" s="123" t="s">
        <v>590</v>
      </c>
      <c r="G447" s="34"/>
      <c r="H447" s="16"/>
      <c r="I447" s="16"/>
      <c r="J447" s="17"/>
      <c r="K447" s="18">
        <f t="shared" si="367"/>
        <v>0</v>
      </c>
      <c r="L447" s="34"/>
      <c r="M447" s="16"/>
      <c r="N447" s="16"/>
      <c r="O447" s="17"/>
      <c r="P447" s="18">
        <f t="shared" si="356"/>
        <v>0</v>
      </c>
      <c r="Q447" s="34">
        <v>151</v>
      </c>
      <c r="R447" s="16"/>
      <c r="S447" s="16"/>
      <c r="T447" s="17"/>
      <c r="U447" s="18">
        <f t="shared" si="357"/>
        <v>151</v>
      </c>
      <c r="V447" s="34">
        <v>165</v>
      </c>
      <c r="W447" s="16"/>
      <c r="X447" s="16"/>
      <c r="Y447" s="17"/>
      <c r="Z447" s="18">
        <f t="shared" si="358"/>
        <v>165</v>
      </c>
      <c r="AA447" s="34">
        <v>206</v>
      </c>
      <c r="AB447" s="16"/>
      <c r="AC447" s="16"/>
      <c r="AD447" s="17"/>
      <c r="AE447" s="18">
        <f t="shared" si="359"/>
        <v>206</v>
      </c>
      <c r="AF447" s="34">
        <v>3</v>
      </c>
      <c r="AG447" s="16"/>
      <c r="AH447" s="16"/>
      <c r="AI447" s="17"/>
      <c r="AJ447" s="18">
        <f t="shared" si="360"/>
        <v>3</v>
      </c>
      <c r="AK447" s="34"/>
      <c r="AL447" s="16"/>
      <c r="AM447" s="16"/>
      <c r="AN447" s="17"/>
      <c r="AO447" s="18">
        <f t="shared" si="361"/>
        <v>0</v>
      </c>
      <c r="AP447" s="34"/>
      <c r="AQ447" s="16"/>
      <c r="AR447" s="16"/>
      <c r="AS447" s="17"/>
      <c r="AT447" s="18">
        <f t="shared" si="362"/>
        <v>0</v>
      </c>
      <c r="AU447" s="34"/>
      <c r="AV447" s="16"/>
      <c r="AW447" s="16"/>
      <c r="AX447" s="17"/>
      <c r="AY447" s="18">
        <f t="shared" si="363"/>
        <v>0</v>
      </c>
      <c r="AZ447" s="34"/>
      <c r="BA447" s="16"/>
      <c r="BB447" s="16"/>
      <c r="BC447" s="17"/>
      <c r="BD447" s="18">
        <f t="shared" si="364"/>
        <v>0</v>
      </c>
      <c r="BE447" s="34"/>
      <c r="BF447" s="16"/>
      <c r="BG447" s="16"/>
      <c r="BH447" s="17"/>
      <c r="BI447" s="18">
        <f t="shared" si="365"/>
        <v>0</v>
      </c>
      <c r="BJ447" s="34"/>
      <c r="BK447" s="16"/>
      <c r="BL447" s="16"/>
      <c r="BM447" s="17"/>
      <c r="BN447" s="18">
        <f t="shared" si="355"/>
        <v>0</v>
      </c>
      <c r="BO447" s="70">
        <f>SUM(G447,L447,Q447,V447,AA447,AF447,AK447,AP447,AU447,AZ447,BE447,BJ447)</f>
        <v>525</v>
      </c>
      <c r="BP447" s="16">
        <f>SUM(H447,M447,R447,W447,AB447,AG447,AL447,AQ447,AV447,BA447,BF447,BK447)</f>
        <v>0</v>
      </c>
      <c r="BQ447" s="16">
        <f>SUM(I447,N447,S447,X447,AC447,AH447,AM447,AR447,AW447,BB447,BG447,BL447)</f>
        <v>0</v>
      </c>
      <c r="BR447" s="17">
        <f>SUM(J447,O447,T447,Y447,AD447,AI447,AN447,AS447,AX447,BC447,BH447,BM447)</f>
        <v>0</v>
      </c>
      <c r="BS447" s="35">
        <f t="shared" si="366"/>
        <v>525</v>
      </c>
    </row>
    <row r="448" spans="2:71" x14ac:dyDescent="0.3">
      <c r="B448" s="254"/>
      <c r="C448" s="204"/>
      <c r="D448" s="200"/>
      <c r="E448" s="201"/>
      <c r="F448" s="123" t="s">
        <v>591</v>
      </c>
      <c r="G448" s="34"/>
      <c r="H448" s="16"/>
      <c r="I448" s="16"/>
      <c r="J448" s="17"/>
      <c r="K448" s="18">
        <f t="shared" si="367"/>
        <v>0</v>
      </c>
      <c r="L448" s="34"/>
      <c r="M448" s="16"/>
      <c r="N448" s="16"/>
      <c r="O448" s="17"/>
      <c r="P448" s="18">
        <f t="shared" si="356"/>
        <v>0</v>
      </c>
      <c r="Q448" s="34">
        <v>10</v>
      </c>
      <c r="R448" s="16"/>
      <c r="S448" s="16"/>
      <c r="T448" s="17"/>
      <c r="U448" s="18">
        <f t="shared" si="357"/>
        <v>10</v>
      </c>
      <c r="V448" s="34">
        <v>26</v>
      </c>
      <c r="W448" s="16"/>
      <c r="X448" s="16"/>
      <c r="Y448" s="17"/>
      <c r="Z448" s="18">
        <f t="shared" si="358"/>
        <v>26</v>
      </c>
      <c r="AA448" s="34">
        <v>57</v>
      </c>
      <c r="AB448" s="16"/>
      <c r="AC448" s="16"/>
      <c r="AD448" s="17"/>
      <c r="AE448" s="18">
        <f t="shared" si="359"/>
        <v>57</v>
      </c>
      <c r="AF448" s="34"/>
      <c r="AG448" s="16"/>
      <c r="AH448" s="16"/>
      <c r="AI448" s="17"/>
      <c r="AJ448" s="18">
        <f t="shared" si="360"/>
        <v>0</v>
      </c>
      <c r="AK448" s="34"/>
      <c r="AL448" s="16"/>
      <c r="AM448" s="16"/>
      <c r="AN448" s="17"/>
      <c r="AO448" s="18">
        <f t="shared" si="361"/>
        <v>0</v>
      </c>
      <c r="AP448" s="34"/>
      <c r="AQ448" s="16"/>
      <c r="AR448" s="16"/>
      <c r="AS448" s="17"/>
      <c r="AT448" s="18">
        <f t="shared" si="362"/>
        <v>0</v>
      </c>
      <c r="AU448" s="34"/>
      <c r="AV448" s="16"/>
      <c r="AW448" s="16"/>
      <c r="AX448" s="17"/>
      <c r="AY448" s="18">
        <f t="shared" si="363"/>
        <v>0</v>
      </c>
      <c r="AZ448" s="34"/>
      <c r="BA448" s="16"/>
      <c r="BB448" s="16"/>
      <c r="BC448" s="17"/>
      <c r="BD448" s="18">
        <f t="shared" si="364"/>
        <v>0</v>
      </c>
      <c r="BE448" s="34"/>
      <c r="BF448" s="16"/>
      <c r="BG448" s="16"/>
      <c r="BH448" s="17"/>
      <c r="BI448" s="18">
        <f t="shared" si="365"/>
        <v>0</v>
      </c>
      <c r="BJ448" s="34"/>
      <c r="BK448" s="16"/>
      <c r="BL448" s="16"/>
      <c r="BM448" s="17"/>
      <c r="BN448" s="18">
        <f t="shared" si="355"/>
        <v>0</v>
      </c>
      <c r="BO448" s="70">
        <f>SUM(G448,L448,Q448,V448,AA448,AF448,AK448,AP448,AU448,AZ448,BE448,BJ448)</f>
        <v>93</v>
      </c>
      <c r="BP448" s="16">
        <f>SUM(H448,M448,R448,W448,AB448,AG448,AL448,AQ448,AV448,BA448,BF448,BK448)</f>
        <v>0</v>
      </c>
      <c r="BQ448" s="16">
        <f>SUM(I448,N448,S448,X448,AC448,AH448,AM448,AR448,AW448,BB448,BG448,BL448)</f>
        <v>0</v>
      </c>
      <c r="BR448" s="17">
        <f>SUM(J448,O448,T448,Y448,AD448,AI448,AN448,AS448,AX448,BC448,BH448,BM448)</f>
        <v>0</v>
      </c>
      <c r="BS448" s="35">
        <f t="shared" si="366"/>
        <v>93</v>
      </c>
    </row>
    <row r="449" spans="2:71" x14ac:dyDescent="0.3">
      <c r="B449" s="254"/>
      <c r="C449" s="204"/>
      <c r="D449" s="200"/>
      <c r="E449" s="201"/>
      <c r="F449" s="123" t="s">
        <v>592</v>
      </c>
      <c r="G449" s="34"/>
      <c r="H449" s="16"/>
      <c r="I449" s="16"/>
      <c r="J449" s="17"/>
      <c r="K449" s="18">
        <f t="shared" si="367"/>
        <v>0</v>
      </c>
      <c r="L449" s="34"/>
      <c r="M449" s="16"/>
      <c r="N449" s="16"/>
      <c r="O449" s="17"/>
      <c r="P449" s="18">
        <f t="shared" si="356"/>
        <v>0</v>
      </c>
      <c r="Q449" s="34">
        <v>76</v>
      </c>
      <c r="R449" s="16"/>
      <c r="S449" s="16"/>
      <c r="T449" s="17"/>
      <c r="U449" s="18">
        <f t="shared" si="357"/>
        <v>76</v>
      </c>
      <c r="V449" s="34">
        <v>79</v>
      </c>
      <c r="W449" s="16"/>
      <c r="X449" s="16"/>
      <c r="Y449" s="17"/>
      <c r="Z449" s="18">
        <f t="shared" si="358"/>
        <v>79</v>
      </c>
      <c r="AA449" s="34">
        <v>88</v>
      </c>
      <c r="AB449" s="16"/>
      <c r="AC449" s="16"/>
      <c r="AD449" s="17"/>
      <c r="AE449" s="18">
        <f t="shared" si="359"/>
        <v>88</v>
      </c>
      <c r="AF449" s="34"/>
      <c r="AG449" s="16"/>
      <c r="AH449" s="16"/>
      <c r="AI449" s="17"/>
      <c r="AJ449" s="18">
        <f t="shared" si="360"/>
        <v>0</v>
      </c>
      <c r="AK449" s="34"/>
      <c r="AL449" s="16"/>
      <c r="AM449" s="16"/>
      <c r="AN449" s="17"/>
      <c r="AO449" s="18">
        <f t="shared" si="361"/>
        <v>0</v>
      </c>
      <c r="AP449" s="34"/>
      <c r="AQ449" s="16"/>
      <c r="AR449" s="16"/>
      <c r="AS449" s="17"/>
      <c r="AT449" s="18">
        <f t="shared" si="362"/>
        <v>0</v>
      </c>
      <c r="AU449" s="34"/>
      <c r="AV449" s="16"/>
      <c r="AW449" s="16"/>
      <c r="AX449" s="17"/>
      <c r="AY449" s="18">
        <f t="shared" si="363"/>
        <v>0</v>
      </c>
      <c r="AZ449" s="34"/>
      <c r="BA449" s="16"/>
      <c r="BB449" s="16"/>
      <c r="BC449" s="17"/>
      <c r="BD449" s="18">
        <f t="shared" si="364"/>
        <v>0</v>
      </c>
      <c r="BE449" s="34"/>
      <c r="BF449" s="16"/>
      <c r="BG449" s="16"/>
      <c r="BH449" s="17"/>
      <c r="BI449" s="18">
        <f t="shared" si="365"/>
        <v>0</v>
      </c>
      <c r="BJ449" s="34"/>
      <c r="BK449" s="16"/>
      <c r="BL449" s="16"/>
      <c r="BM449" s="17"/>
      <c r="BN449" s="18">
        <f t="shared" si="355"/>
        <v>0</v>
      </c>
      <c r="BO449" s="70">
        <f>SUM(G449,L449,Q449,V449,AA449,AF449,AK449,AP449,AU449,AZ449,BE449,BJ449)</f>
        <v>243</v>
      </c>
      <c r="BP449" s="16">
        <f>SUM(H449,M449,R449,W449,AB449,AG449,AL449,AQ449,AV449,BA449,BF449,BK449)</f>
        <v>0</v>
      </c>
      <c r="BQ449" s="16">
        <f>SUM(I449,N449,S449,X449,AC449,AH449,AM449,AR449,AW449,BB449,BG449,BL449)</f>
        <v>0</v>
      </c>
      <c r="BR449" s="17">
        <f>SUM(J449,O449,T449,Y449,AD449,AI449,AN449,AS449,AX449,BC449,BH449,BM449)</f>
        <v>0</v>
      </c>
      <c r="BS449" s="35">
        <f t="shared" si="366"/>
        <v>243</v>
      </c>
    </row>
    <row r="450" spans="2:71" x14ac:dyDescent="0.3">
      <c r="B450" s="254"/>
      <c r="C450" s="204"/>
      <c r="D450" s="200"/>
      <c r="E450" s="201"/>
      <c r="F450" s="123" t="s">
        <v>593</v>
      </c>
      <c r="G450" s="34"/>
      <c r="H450" s="16"/>
      <c r="I450" s="16"/>
      <c r="J450" s="17"/>
      <c r="K450" s="18">
        <f t="shared" si="367"/>
        <v>0</v>
      </c>
      <c r="L450" s="34"/>
      <c r="M450" s="16"/>
      <c r="N450" s="16"/>
      <c r="O450" s="17"/>
      <c r="P450" s="18">
        <f t="shared" si="356"/>
        <v>0</v>
      </c>
      <c r="Q450" s="34">
        <v>15</v>
      </c>
      <c r="R450" s="16"/>
      <c r="S450" s="16"/>
      <c r="T450" s="17"/>
      <c r="U450" s="18">
        <f t="shared" si="357"/>
        <v>15</v>
      </c>
      <c r="V450" s="34">
        <v>54</v>
      </c>
      <c r="W450" s="16"/>
      <c r="X450" s="16"/>
      <c r="Y450" s="17"/>
      <c r="Z450" s="18">
        <f t="shared" si="358"/>
        <v>54</v>
      </c>
      <c r="AA450" s="34">
        <v>57</v>
      </c>
      <c r="AB450" s="16"/>
      <c r="AC450" s="16"/>
      <c r="AD450" s="17"/>
      <c r="AE450" s="18">
        <f t="shared" si="359"/>
        <v>57</v>
      </c>
      <c r="AF450" s="34"/>
      <c r="AG450" s="16"/>
      <c r="AH450" s="16"/>
      <c r="AI450" s="17"/>
      <c r="AJ450" s="18">
        <f t="shared" si="360"/>
        <v>0</v>
      </c>
      <c r="AK450" s="34"/>
      <c r="AL450" s="16"/>
      <c r="AM450" s="16"/>
      <c r="AN450" s="17"/>
      <c r="AO450" s="18">
        <f t="shared" si="361"/>
        <v>0</v>
      </c>
      <c r="AP450" s="34"/>
      <c r="AQ450" s="16"/>
      <c r="AR450" s="16"/>
      <c r="AS450" s="17"/>
      <c r="AT450" s="18">
        <f t="shared" si="362"/>
        <v>0</v>
      </c>
      <c r="AU450" s="34"/>
      <c r="AV450" s="16"/>
      <c r="AW450" s="16"/>
      <c r="AX450" s="17"/>
      <c r="AY450" s="18">
        <f t="shared" si="363"/>
        <v>0</v>
      </c>
      <c r="AZ450" s="34"/>
      <c r="BA450" s="16"/>
      <c r="BB450" s="16"/>
      <c r="BC450" s="17"/>
      <c r="BD450" s="18">
        <f t="shared" si="364"/>
        <v>0</v>
      </c>
      <c r="BE450" s="34"/>
      <c r="BF450" s="16"/>
      <c r="BG450" s="16"/>
      <c r="BH450" s="17"/>
      <c r="BI450" s="18">
        <f t="shared" si="365"/>
        <v>0</v>
      </c>
      <c r="BJ450" s="34"/>
      <c r="BK450" s="16"/>
      <c r="BL450" s="16"/>
      <c r="BM450" s="17"/>
      <c r="BN450" s="18">
        <f t="shared" si="355"/>
        <v>0</v>
      </c>
      <c r="BO450" s="70">
        <f>SUM(G450,L450,Q450,V450,AA450,AF450,AK450,AP450,AU450,AZ450,BE450,BJ450)</f>
        <v>126</v>
      </c>
      <c r="BP450" s="16">
        <f>SUM(H450,M450,R450,W450,AB450,AG450,AL450,AQ450,AV450,BA450,BF450,BK450)</f>
        <v>0</v>
      </c>
      <c r="BQ450" s="16">
        <f>SUM(I450,N450,S450,X450,AC450,AH450,AM450,AR450,AW450,BB450,BG450,BL450)</f>
        <v>0</v>
      </c>
      <c r="BR450" s="17">
        <f>SUM(J450,O450,T450,Y450,AD450,AI450,AN450,AS450,AX450,BC450,BH450,BM450)</f>
        <v>0</v>
      </c>
      <c r="BS450" s="35">
        <f t="shared" si="366"/>
        <v>126</v>
      </c>
    </row>
    <row r="451" spans="2:71" x14ac:dyDescent="0.3">
      <c r="B451" s="254"/>
      <c r="C451" s="204"/>
      <c r="D451" s="200"/>
      <c r="E451" s="201"/>
      <c r="F451" s="123" t="s">
        <v>594</v>
      </c>
      <c r="G451" s="34"/>
      <c r="H451" s="16"/>
      <c r="I451" s="16"/>
      <c r="J451" s="17"/>
      <c r="K451" s="18">
        <f t="shared" si="367"/>
        <v>0</v>
      </c>
      <c r="L451" s="34"/>
      <c r="M451" s="16"/>
      <c r="N451" s="16"/>
      <c r="O451" s="17"/>
      <c r="P451" s="18">
        <f t="shared" si="356"/>
        <v>0</v>
      </c>
      <c r="Q451" s="34"/>
      <c r="R451" s="16"/>
      <c r="S451" s="16"/>
      <c r="T451" s="17"/>
      <c r="U451" s="18">
        <f t="shared" si="357"/>
        <v>0</v>
      </c>
      <c r="V451" s="34"/>
      <c r="W451" s="16"/>
      <c r="X451" s="16"/>
      <c r="Y451" s="17"/>
      <c r="Z451" s="18">
        <f t="shared" si="358"/>
        <v>0</v>
      </c>
      <c r="AA451" s="34">
        <v>14</v>
      </c>
      <c r="AB451" s="16"/>
      <c r="AC451" s="16"/>
      <c r="AD451" s="17"/>
      <c r="AE451" s="18">
        <f t="shared" si="359"/>
        <v>14</v>
      </c>
      <c r="AF451" s="34">
        <v>2</v>
      </c>
      <c r="AG451" s="16"/>
      <c r="AH451" s="16"/>
      <c r="AI451" s="17"/>
      <c r="AJ451" s="18">
        <f t="shared" si="360"/>
        <v>2</v>
      </c>
      <c r="AK451" s="34">
        <v>1</v>
      </c>
      <c r="AL451" s="16"/>
      <c r="AM451" s="16"/>
      <c r="AN451" s="17"/>
      <c r="AO451" s="18">
        <f t="shared" si="361"/>
        <v>1</v>
      </c>
      <c r="AP451" s="34"/>
      <c r="AQ451" s="16"/>
      <c r="AR451" s="16"/>
      <c r="AS451" s="17"/>
      <c r="AT451" s="18">
        <f t="shared" si="362"/>
        <v>0</v>
      </c>
      <c r="AU451" s="34"/>
      <c r="AV451" s="16"/>
      <c r="AW451" s="16"/>
      <c r="AX451" s="17"/>
      <c r="AY451" s="18">
        <f t="shared" si="363"/>
        <v>0</v>
      </c>
      <c r="AZ451" s="34"/>
      <c r="BA451" s="16"/>
      <c r="BB451" s="16"/>
      <c r="BC451" s="17"/>
      <c r="BD451" s="18">
        <f t="shared" si="364"/>
        <v>0</v>
      </c>
      <c r="BE451" s="34"/>
      <c r="BF451" s="16"/>
      <c r="BG451" s="16"/>
      <c r="BH451" s="17"/>
      <c r="BI451" s="18">
        <f t="shared" si="365"/>
        <v>0</v>
      </c>
      <c r="BJ451" s="34"/>
      <c r="BK451" s="16"/>
      <c r="BL451" s="16"/>
      <c r="BM451" s="17"/>
      <c r="BN451" s="18">
        <f t="shared" si="355"/>
        <v>0</v>
      </c>
      <c r="BO451" s="70">
        <f>SUM(G451,L451,Q451,V451,AA451,AF451,AK451,AP451,AU451,AZ451,BE451,BJ451)</f>
        <v>17</v>
      </c>
      <c r="BP451" s="16">
        <f>SUM(H451,M451,R451,W451,AB451,AG451,AL451,AQ451,AV451,BA451,BF451,BK451)</f>
        <v>0</v>
      </c>
      <c r="BQ451" s="16">
        <f>SUM(I451,N451,S451,X451,AC451,AH451,AM451,AR451,AW451,BB451,BG451,BL451)</f>
        <v>0</v>
      </c>
      <c r="BR451" s="17">
        <f>SUM(J451,O451,T451,Y451,AD451,AI451,AN451,AS451,AX451,BC451,BH451,BM451)</f>
        <v>0</v>
      </c>
      <c r="BS451" s="35">
        <f t="shared" si="366"/>
        <v>17</v>
      </c>
    </row>
    <row r="452" spans="2:71" x14ac:dyDescent="0.3">
      <c r="B452" s="254"/>
      <c r="C452" s="204"/>
      <c r="D452" s="200"/>
      <c r="E452" s="201"/>
      <c r="F452" s="123" t="s">
        <v>595</v>
      </c>
      <c r="G452" s="34"/>
      <c r="H452" s="16"/>
      <c r="I452" s="16"/>
      <c r="J452" s="17"/>
      <c r="K452" s="18">
        <f t="shared" si="367"/>
        <v>0</v>
      </c>
      <c r="L452" s="34"/>
      <c r="M452" s="16"/>
      <c r="N452" s="16"/>
      <c r="O452" s="17"/>
      <c r="P452" s="18">
        <f t="shared" si="356"/>
        <v>0</v>
      </c>
      <c r="Q452" s="34"/>
      <c r="R452" s="16"/>
      <c r="S452" s="16"/>
      <c r="T452" s="17"/>
      <c r="U452" s="18">
        <f t="shared" si="357"/>
        <v>0</v>
      </c>
      <c r="V452" s="34"/>
      <c r="W452" s="16"/>
      <c r="X452" s="16"/>
      <c r="Y452" s="17"/>
      <c r="Z452" s="18">
        <f t="shared" si="358"/>
        <v>0</v>
      </c>
      <c r="AA452" s="34">
        <v>2</v>
      </c>
      <c r="AB452" s="16"/>
      <c r="AC452" s="16"/>
      <c r="AD452" s="17"/>
      <c r="AE452" s="18">
        <f t="shared" si="359"/>
        <v>2</v>
      </c>
      <c r="AF452" s="34">
        <v>5</v>
      </c>
      <c r="AG452" s="16"/>
      <c r="AH452" s="16"/>
      <c r="AI452" s="17"/>
      <c r="AJ452" s="18">
        <f t="shared" si="360"/>
        <v>5</v>
      </c>
      <c r="AK452" s="34"/>
      <c r="AL452" s="16"/>
      <c r="AM452" s="16"/>
      <c r="AN452" s="17"/>
      <c r="AO452" s="18">
        <f t="shared" si="361"/>
        <v>0</v>
      </c>
      <c r="AP452" s="34"/>
      <c r="AQ452" s="16"/>
      <c r="AR452" s="16"/>
      <c r="AS452" s="17"/>
      <c r="AT452" s="18">
        <f t="shared" si="362"/>
        <v>0</v>
      </c>
      <c r="AU452" s="34">
        <v>1</v>
      </c>
      <c r="AV452" s="16"/>
      <c r="AW452" s="16"/>
      <c r="AX452" s="17"/>
      <c r="AY452" s="18">
        <f t="shared" si="363"/>
        <v>1</v>
      </c>
      <c r="AZ452" s="34"/>
      <c r="BA452" s="16"/>
      <c r="BB452" s="16"/>
      <c r="BC452" s="17"/>
      <c r="BD452" s="18">
        <f t="shared" si="364"/>
        <v>0</v>
      </c>
      <c r="BE452" s="34"/>
      <c r="BF452" s="16"/>
      <c r="BG452" s="16"/>
      <c r="BH452" s="17"/>
      <c r="BI452" s="18">
        <f t="shared" si="365"/>
        <v>0</v>
      </c>
      <c r="BJ452" s="34"/>
      <c r="BK452" s="16"/>
      <c r="BL452" s="16"/>
      <c r="BM452" s="17"/>
      <c r="BN452" s="18">
        <f t="shared" si="355"/>
        <v>0</v>
      </c>
      <c r="BO452" s="70">
        <f>SUM(G452,L452,Q452,V452,AA452,AF452,AK452,AP452,AU452,AZ452,BE452,BJ452)</f>
        <v>8</v>
      </c>
      <c r="BP452" s="16">
        <f>SUM(H452,M452,R452,W452,AB452,AG452,AL452,AQ452,AV452,BA452,BF452,BK452)</f>
        <v>0</v>
      </c>
      <c r="BQ452" s="16">
        <f>SUM(I452,N452,S452,X452,AC452,AH452,AM452,AR452,AW452,BB452,BG452,BL452)</f>
        <v>0</v>
      </c>
      <c r="BR452" s="17">
        <f>SUM(J452,O452,T452,Y452,AD452,AI452,AN452,AS452,AX452,BC452,BH452,BM452)</f>
        <v>0</v>
      </c>
      <c r="BS452" s="35">
        <f t="shared" si="366"/>
        <v>8</v>
      </c>
    </row>
    <row r="453" spans="2:71" x14ac:dyDescent="0.3">
      <c r="B453" s="254"/>
      <c r="C453" s="204"/>
      <c r="D453" s="200"/>
      <c r="E453" s="201"/>
      <c r="F453" s="123" t="s">
        <v>596</v>
      </c>
      <c r="G453" s="34"/>
      <c r="H453" s="16"/>
      <c r="I453" s="16"/>
      <c r="J453" s="17"/>
      <c r="K453" s="18">
        <f t="shared" si="367"/>
        <v>0</v>
      </c>
      <c r="L453" s="34"/>
      <c r="M453" s="16"/>
      <c r="N453" s="16"/>
      <c r="O453" s="17"/>
      <c r="P453" s="18">
        <f t="shared" si="356"/>
        <v>0</v>
      </c>
      <c r="Q453" s="34"/>
      <c r="R453" s="16"/>
      <c r="S453" s="16"/>
      <c r="T453" s="17"/>
      <c r="U453" s="18">
        <f t="shared" si="357"/>
        <v>0</v>
      </c>
      <c r="V453" s="34"/>
      <c r="W453" s="16"/>
      <c r="X453" s="16"/>
      <c r="Y453" s="17"/>
      <c r="Z453" s="18">
        <f t="shared" si="358"/>
        <v>0</v>
      </c>
      <c r="AA453" s="34">
        <v>3</v>
      </c>
      <c r="AB453" s="16"/>
      <c r="AC453" s="16"/>
      <c r="AD453" s="17"/>
      <c r="AE453" s="18">
        <f t="shared" si="359"/>
        <v>3</v>
      </c>
      <c r="AF453" s="34"/>
      <c r="AG453" s="16"/>
      <c r="AH453" s="16"/>
      <c r="AI453" s="17"/>
      <c r="AJ453" s="18">
        <f t="shared" si="360"/>
        <v>0</v>
      </c>
      <c r="AK453" s="34"/>
      <c r="AL453" s="16"/>
      <c r="AM453" s="16"/>
      <c r="AN453" s="17"/>
      <c r="AO453" s="18">
        <f t="shared" si="361"/>
        <v>0</v>
      </c>
      <c r="AP453" s="34"/>
      <c r="AQ453" s="16"/>
      <c r="AR453" s="16"/>
      <c r="AS453" s="17"/>
      <c r="AT453" s="18">
        <f t="shared" si="362"/>
        <v>0</v>
      </c>
      <c r="AU453" s="34"/>
      <c r="AV453" s="16"/>
      <c r="AW453" s="16"/>
      <c r="AX453" s="17"/>
      <c r="AY453" s="18">
        <f t="shared" si="363"/>
        <v>0</v>
      </c>
      <c r="AZ453" s="34"/>
      <c r="BA453" s="16"/>
      <c r="BB453" s="16"/>
      <c r="BC453" s="17"/>
      <c r="BD453" s="18">
        <f t="shared" si="364"/>
        <v>0</v>
      </c>
      <c r="BE453" s="34"/>
      <c r="BF453" s="16"/>
      <c r="BG453" s="16"/>
      <c r="BH453" s="17"/>
      <c r="BI453" s="18">
        <f t="shared" si="365"/>
        <v>0</v>
      </c>
      <c r="BJ453" s="34"/>
      <c r="BK453" s="16"/>
      <c r="BL453" s="16"/>
      <c r="BM453" s="17"/>
      <c r="BN453" s="18">
        <f t="shared" si="355"/>
        <v>0</v>
      </c>
      <c r="BO453" s="70">
        <f>SUM(G453,L453,Q453,V453,AA453,AF453,AK453,AP453,AU453,AZ453,BE453,BJ453)</f>
        <v>3</v>
      </c>
      <c r="BP453" s="16">
        <f>SUM(H453,M453,R453,W453,AB453,AG453,AL453,AQ453,AV453,BA453,BF453,BK453)</f>
        <v>0</v>
      </c>
      <c r="BQ453" s="16">
        <f>SUM(I453,N453,S453,X453,AC453,AH453,AM453,AR453,AW453,BB453,BG453,BL453)</f>
        <v>0</v>
      </c>
      <c r="BR453" s="17">
        <f>SUM(J453,O453,T453,Y453,AD453,AI453,AN453,AS453,AX453,BC453,BH453,BM453)</f>
        <v>0</v>
      </c>
      <c r="BS453" s="35">
        <f t="shared" si="366"/>
        <v>3</v>
      </c>
    </row>
    <row r="454" spans="2:71" x14ac:dyDescent="0.3">
      <c r="B454" s="254"/>
      <c r="C454" s="204"/>
      <c r="D454" s="200"/>
      <c r="E454" s="201"/>
      <c r="F454" s="123" t="s">
        <v>597</v>
      </c>
      <c r="G454" s="34"/>
      <c r="H454" s="16"/>
      <c r="I454" s="16"/>
      <c r="J454" s="17"/>
      <c r="K454" s="18">
        <f t="shared" si="367"/>
        <v>0</v>
      </c>
      <c r="L454" s="34"/>
      <c r="M454" s="16"/>
      <c r="N454" s="16"/>
      <c r="O454" s="17"/>
      <c r="P454" s="18">
        <f t="shared" si="356"/>
        <v>0</v>
      </c>
      <c r="Q454" s="34"/>
      <c r="R454" s="16"/>
      <c r="S454" s="16"/>
      <c r="T454" s="17"/>
      <c r="U454" s="18">
        <f t="shared" si="357"/>
        <v>0</v>
      </c>
      <c r="V454" s="34"/>
      <c r="W454" s="16"/>
      <c r="X454" s="16"/>
      <c r="Y454" s="17"/>
      <c r="Z454" s="18">
        <f t="shared" si="358"/>
        <v>0</v>
      </c>
      <c r="AA454" s="34">
        <v>1</v>
      </c>
      <c r="AB454" s="16"/>
      <c r="AC454" s="16"/>
      <c r="AD454" s="17"/>
      <c r="AE454" s="18">
        <f t="shared" si="359"/>
        <v>1</v>
      </c>
      <c r="AF454" s="34">
        <v>5</v>
      </c>
      <c r="AG454" s="16"/>
      <c r="AH454" s="16"/>
      <c r="AI454" s="17"/>
      <c r="AJ454" s="18">
        <f t="shared" si="360"/>
        <v>5</v>
      </c>
      <c r="AK454" s="34">
        <v>2</v>
      </c>
      <c r="AL454" s="16"/>
      <c r="AM454" s="16"/>
      <c r="AN454" s="17"/>
      <c r="AO454" s="18">
        <f t="shared" si="361"/>
        <v>2</v>
      </c>
      <c r="AP454" s="34"/>
      <c r="AQ454" s="16"/>
      <c r="AR454" s="16"/>
      <c r="AS454" s="17"/>
      <c r="AT454" s="18">
        <f t="shared" si="362"/>
        <v>0</v>
      </c>
      <c r="AU454" s="34">
        <v>1</v>
      </c>
      <c r="AV454" s="16"/>
      <c r="AW454" s="16"/>
      <c r="AX454" s="17"/>
      <c r="AY454" s="18">
        <f t="shared" si="363"/>
        <v>1</v>
      </c>
      <c r="AZ454" s="34"/>
      <c r="BA454" s="16"/>
      <c r="BB454" s="16"/>
      <c r="BC454" s="17"/>
      <c r="BD454" s="18">
        <f t="shared" si="364"/>
        <v>0</v>
      </c>
      <c r="BE454" s="34"/>
      <c r="BF454" s="16"/>
      <c r="BG454" s="16"/>
      <c r="BH454" s="17"/>
      <c r="BI454" s="18">
        <f t="shared" si="365"/>
        <v>0</v>
      </c>
      <c r="BJ454" s="34"/>
      <c r="BK454" s="16"/>
      <c r="BL454" s="16"/>
      <c r="BM454" s="17"/>
      <c r="BN454" s="18">
        <f t="shared" si="355"/>
        <v>0</v>
      </c>
      <c r="BO454" s="70">
        <f>SUM(G454,L454,Q454,V454,AA454,AF454,AK454,AP454,AU454,AZ454,BE454,BJ454)</f>
        <v>9</v>
      </c>
      <c r="BP454" s="16">
        <f>SUM(H454,M454,R454,W454,AB454,AG454,AL454,AQ454,AV454,BA454,BF454,BK454)</f>
        <v>0</v>
      </c>
      <c r="BQ454" s="16">
        <f>SUM(I454,N454,S454,X454,AC454,AH454,AM454,AR454,AW454,BB454,BG454,BL454)</f>
        <v>0</v>
      </c>
      <c r="BR454" s="17">
        <f>SUM(J454,O454,T454,Y454,AD454,AI454,AN454,AS454,AX454,BC454,BH454,BM454)</f>
        <v>0</v>
      </c>
      <c r="BS454" s="35">
        <f t="shared" si="366"/>
        <v>9</v>
      </c>
    </row>
    <row r="455" spans="2:71" x14ac:dyDescent="0.3">
      <c r="B455" s="254"/>
      <c r="C455" s="204"/>
      <c r="D455" s="200"/>
      <c r="E455" s="201"/>
      <c r="F455" s="123" t="s">
        <v>598</v>
      </c>
      <c r="G455" s="34"/>
      <c r="H455" s="16"/>
      <c r="I455" s="16"/>
      <c r="J455" s="17"/>
      <c r="K455" s="18">
        <f t="shared" si="367"/>
        <v>0</v>
      </c>
      <c r="L455" s="34"/>
      <c r="M455" s="16"/>
      <c r="N455" s="16"/>
      <c r="O455" s="17"/>
      <c r="P455" s="18">
        <f t="shared" si="356"/>
        <v>0</v>
      </c>
      <c r="Q455" s="34"/>
      <c r="R455" s="16"/>
      <c r="S455" s="16"/>
      <c r="T455" s="17"/>
      <c r="U455" s="18">
        <f t="shared" si="357"/>
        <v>0</v>
      </c>
      <c r="V455" s="34"/>
      <c r="W455" s="16"/>
      <c r="X455" s="16"/>
      <c r="Y455" s="17"/>
      <c r="Z455" s="18">
        <f t="shared" si="358"/>
        <v>0</v>
      </c>
      <c r="AA455" s="34"/>
      <c r="AB455" s="16"/>
      <c r="AC455" s="16"/>
      <c r="AD455" s="17"/>
      <c r="AE455" s="18">
        <f t="shared" si="359"/>
        <v>0</v>
      </c>
      <c r="AF455" s="34">
        <v>1</v>
      </c>
      <c r="AG455" s="16"/>
      <c r="AH455" s="16"/>
      <c r="AI455" s="17"/>
      <c r="AJ455" s="18">
        <f t="shared" si="360"/>
        <v>1</v>
      </c>
      <c r="AK455" s="34"/>
      <c r="AL455" s="16"/>
      <c r="AM455" s="16"/>
      <c r="AN455" s="17"/>
      <c r="AO455" s="18">
        <f t="shared" si="361"/>
        <v>0</v>
      </c>
      <c r="AP455" s="34">
        <v>1</v>
      </c>
      <c r="AQ455" s="16"/>
      <c r="AR455" s="16"/>
      <c r="AS455" s="17"/>
      <c r="AT455" s="18">
        <f t="shared" si="362"/>
        <v>1</v>
      </c>
      <c r="AU455" s="34"/>
      <c r="AV455" s="16"/>
      <c r="AW455" s="16"/>
      <c r="AX455" s="17"/>
      <c r="AY455" s="18">
        <f t="shared" si="363"/>
        <v>0</v>
      </c>
      <c r="AZ455" s="34"/>
      <c r="BA455" s="16"/>
      <c r="BB455" s="16"/>
      <c r="BC455" s="17"/>
      <c r="BD455" s="18">
        <f t="shared" si="364"/>
        <v>0</v>
      </c>
      <c r="BE455" s="34"/>
      <c r="BF455" s="16"/>
      <c r="BG455" s="16"/>
      <c r="BH455" s="17"/>
      <c r="BI455" s="18">
        <f t="shared" si="365"/>
        <v>0</v>
      </c>
      <c r="BJ455" s="34"/>
      <c r="BK455" s="16"/>
      <c r="BL455" s="16"/>
      <c r="BM455" s="17"/>
      <c r="BN455" s="18">
        <f t="shared" si="355"/>
        <v>0</v>
      </c>
      <c r="BO455" s="70">
        <f>SUM(G455,L455,Q455,V455,AA455,AF455,AK455,AP455,AU455,AZ455,BE455,BJ455)</f>
        <v>2</v>
      </c>
      <c r="BP455" s="16">
        <f>SUM(H455,M455,R455,W455,AB455,AG455,AL455,AQ455,AV455,BA455,BF455,BK455)</f>
        <v>0</v>
      </c>
      <c r="BQ455" s="16">
        <f>SUM(I455,N455,S455,X455,AC455,AH455,AM455,AR455,AW455,BB455,BG455,BL455)</f>
        <v>0</v>
      </c>
      <c r="BR455" s="17">
        <f>SUM(J455,O455,T455,Y455,AD455,AI455,AN455,AS455,AX455,BC455,BH455,BM455)</f>
        <v>0</v>
      </c>
      <c r="BS455" s="35">
        <f t="shared" si="366"/>
        <v>2</v>
      </c>
    </row>
    <row r="456" spans="2:71" x14ac:dyDescent="0.3">
      <c r="B456" s="254"/>
      <c r="C456" s="204"/>
      <c r="D456" s="200"/>
      <c r="E456" s="201"/>
      <c r="F456" s="123" t="s">
        <v>599</v>
      </c>
      <c r="G456" s="34"/>
      <c r="H456" s="16"/>
      <c r="I456" s="16"/>
      <c r="J456" s="17"/>
      <c r="K456" s="18">
        <f t="shared" si="367"/>
        <v>0</v>
      </c>
      <c r="L456" s="34"/>
      <c r="M456" s="16"/>
      <c r="N456" s="16"/>
      <c r="O456" s="17"/>
      <c r="P456" s="18">
        <f t="shared" si="356"/>
        <v>0</v>
      </c>
      <c r="Q456" s="34"/>
      <c r="R456" s="16"/>
      <c r="S456" s="16"/>
      <c r="T456" s="17"/>
      <c r="U456" s="18">
        <f t="shared" si="357"/>
        <v>0</v>
      </c>
      <c r="V456" s="34"/>
      <c r="W456" s="16"/>
      <c r="X456" s="16"/>
      <c r="Y456" s="17"/>
      <c r="Z456" s="18">
        <f t="shared" si="358"/>
        <v>0</v>
      </c>
      <c r="AA456" s="34">
        <v>72</v>
      </c>
      <c r="AB456" s="16"/>
      <c r="AC456" s="16"/>
      <c r="AD456" s="17"/>
      <c r="AE456" s="18">
        <f t="shared" si="359"/>
        <v>72</v>
      </c>
      <c r="AF456" s="34">
        <v>12381</v>
      </c>
      <c r="AG456" s="16"/>
      <c r="AH456" s="16"/>
      <c r="AI456" s="17"/>
      <c r="AJ456" s="18">
        <f t="shared" si="360"/>
        <v>12381</v>
      </c>
      <c r="AK456" s="34">
        <v>3903</v>
      </c>
      <c r="AL456" s="16"/>
      <c r="AM456" s="16"/>
      <c r="AN456" s="17"/>
      <c r="AO456" s="18">
        <f t="shared" si="361"/>
        <v>3903</v>
      </c>
      <c r="AP456" s="34">
        <v>5430</v>
      </c>
      <c r="AQ456" s="16"/>
      <c r="AR456" s="16"/>
      <c r="AS456" s="17"/>
      <c r="AT456" s="18">
        <f t="shared" si="362"/>
        <v>5430</v>
      </c>
      <c r="AU456" s="34">
        <v>751</v>
      </c>
      <c r="AV456" s="16"/>
      <c r="AW456" s="16"/>
      <c r="AX456" s="17"/>
      <c r="AY456" s="18">
        <f t="shared" si="363"/>
        <v>751</v>
      </c>
      <c r="AZ456" s="34"/>
      <c r="BA456" s="16"/>
      <c r="BB456" s="16"/>
      <c r="BC456" s="17"/>
      <c r="BD456" s="18">
        <f t="shared" si="364"/>
        <v>0</v>
      </c>
      <c r="BE456" s="34">
        <v>92</v>
      </c>
      <c r="BF456" s="16"/>
      <c r="BG456" s="16"/>
      <c r="BH456" s="17"/>
      <c r="BI456" s="18">
        <f t="shared" si="365"/>
        <v>92</v>
      </c>
      <c r="BJ456" s="34"/>
      <c r="BK456" s="16"/>
      <c r="BL456" s="16"/>
      <c r="BM456" s="17"/>
      <c r="BN456" s="18">
        <f t="shared" si="355"/>
        <v>0</v>
      </c>
      <c r="BO456" s="70">
        <f>SUM(G456,L456,Q456,V456,AA456,AF456,AK456,AP456,AU456,AZ456,BE456,BJ456)</f>
        <v>22629</v>
      </c>
      <c r="BP456" s="16">
        <f>SUM(H456,M456,R456,W456,AB456,AG456,AL456,AQ456,AV456,BA456,BF456,BK456)</f>
        <v>0</v>
      </c>
      <c r="BQ456" s="16">
        <f>SUM(I456,N456,S456,X456,AC456,AH456,AM456,AR456,AW456,BB456,BG456,BL456)</f>
        <v>0</v>
      </c>
      <c r="BR456" s="17">
        <f>SUM(J456,O456,T456,Y456,AD456,AI456,AN456,AS456,AX456,BC456,BH456,BM456)</f>
        <v>0</v>
      </c>
      <c r="BS456" s="35">
        <f t="shared" si="366"/>
        <v>22629</v>
      </c>
    </row>
    <row r="457" spans="2:71" x14ac:dyDescent="0.3">
      <c r="B457" s="254"/>
      <c r="C457" s="204"/>
      <c r="D457" s="200"/>
      <c r="E457" s="201"/>
      <c r="F457" s="123" t="s">
        <v>600</v>
      </c>
      <c r="G457" s="34"/>
      <c r="H457" s="16"/>
      <c r="I457" s="16"/>
      <c r="J457" s="17"/>
      <c r="K457" s="18">
        <f t="shared" si="367"/>
        <v>0</v>
      </c>
      <c r="L457" s="34"/>
      <c r="M457" s="16"/>
      <c r="N457" s="16"/>
      <c r="O457" s="17"/>
      <c r="P457" s="18">
        <f t="shared" si="356"/>
        <v>0</v>
      </c>
      <c r="Q457" s="34"/>
      <c r="R457" s="16"/>
      <c r="S457" s="16"/>
      <c r="T457" s="17"/>
      <c r="U457" s="18">
        <f t="shared" si="357"/>
        <v>0</v>
      </c>
      <c r="V457" s="34"/>
      <c r="W457" s="16"/>
      <c r="X457" s="16"/>
      <c r="Y457" s="17"/>
      <c r="Z457" s="18">
        <f t="shared" si="358"/>
        <v>0</v>
      </c>
      <c r="AA457" s="34">
        <v>1304</v>
      </c>
      <c r="AB457" s="16"/>
      <c r="AC457" s="16"/>
      <c r="AD457" s="17"/>
      <c r="AE457" s="18">
        <f t="shared" si="359"/>
        <v>1304</v>
      </c>
      <c r="AF457" s="34">
        <v>8830</v>
      </c>
      <c r="AG457" s="16"/>
      <c r="AH457" s="16"/>
      <c r="AI457" s="17"/>
      <c r="AJ457" s="18">
        <f t="shared" si="360"/>
        <v>8830</v>
      </c>
      <c r="AK457" s="34">
        <v>4632</v>
      </c>
      <c r="AL457" s="16"/>
      <c r="AM457" s="16"/>
      <c r="AN457" s="17"/>
      <c r="AO457" s="18">
        <f t="shared" si="361"/>
        <v>4632</v>
      </c>
      <c r="AP457" s="34">
        <v>4956</v>
      </c>
      <c r="AQ457" s="16"/>
      <c r="AR457" s="16"/>
      <c r="AS457" s="17"/>
      <c r="AT457" s="18">
        <f t="shared" si="362"/>
        <v>4956</v>
      </c>
      <c r="AU457" s="34">
        <v>285</v>
      </c>
      <c r="AV457" s="16"/>
      <c r="AW457" s="16"/>
      <c r="AX457" s="17"/>
      <c r="AY457" s="18">
        <f t="shared" si="363"/>
        <v>285</v>
      </c>
      <c r="AZ457" s="34"/>
      <c r="BA457" s="16"/>
      <c r="BB457" s="16"/>
      <c r="BC457" s="17"/>
      <c r="BD457" s="18">
        <f t="shared" si="364"/>
        <v>0</v>
      </c>
      <c r="BE457" s="34">
        <v>26</v>
      </c>
      <c r="BF457" s="16"/>
      <c r="BG457" s="16"/>
      <c r="BH457" s="17"/>
      <c r="BI457" s="18">
        <f t="shared" si="365"/>
        <v>26</v>
      </c>
      <c r="BJ457" s="34"/>
      <c r="BK457" s="16"/>
      <c r="BL457" s="16"/>
      <c r="BM457" s="17"/>
      <c r="BN457" s="18">
        <f t="shared" si="355"/>
        <v>0</v>
      </c>
      <c r="BO457" s="70">
        <f>SUM(G457,L457,Q457,V457,AA457,AF457,AK457,AP457,AU457,AZ457,BE457,BJ457)</f>
        <v>20033</v>
      </c>
      <c r="BP457" s="16">
        <f>SUM(H457,M457,R457,W457,AB457,AG457,AL457,AQ457,AV457,BA457,BF457,BK457)</f>
        <v>0</v>
      </c>
      <c r="BQ457" s="16">
        <f>SUM(I457,N457,S457,X457,AC457,AH457,AM457,AR457,AW457,BB457,BG457,BL457)</f>
        <v>0</v>
      </c>
      <c r="BR457" s="17">
        <f>SUM(J457,O457,T457,Y457,AD457,AI457,AN457,AS457,AX457,BC457,BH457,BM457)</f>
        <v>0</v>
      </c>
      <c r="BS457" s="35">
        <f t="shared" si="366"/>
        <v>20033</v>
      </c>
    </row>
    <row r="458" spans="2:71" x14ac:dyDescent="0.3">
      <c r="B458" s="254"/>
      <c r="C458" s="204"/>
      <c r="D458" s="200"/>
      <c r="E458" s="201"/>
      <c r="F458" s="123" t="s">
        <v>601</v>
      </c>
      <c r="G458" s="34"/>
      <c r="H458" s="16"/>
      <c r="I458" s="16"/>
      <c r="J458" s="17"/>
      <c r="K458" s="18">
        <f t="shared" si="367"/>
        <v>0</v>
      </c>
      <c r="L458" s="34"/>
      <c r="M458" s="16"/>
      <c r="N458" s="16"/>
      <c r="O458" s="17"/>
      <c r="P458" s="18">
        <f t="shared" si="356"/>
        <v>0</v>
      </c>
      <c r="Q458" s="34"/>
      <c r="R458" s="16"/>
      <c r="S458" s="16"/>
      <c r="T458" s="17"/>
      <c r="U458" s="18">
        <f t="shared" si="357"/>
        <v>0</v>
      </c>
      <c r="V458" s="34"/>
      <c r="W458" s="16"/>
      <c r="X458" s="16"/>
      <c r="Y458" s="17"/>
      <c r="Z458" s="18">
        <f t="shared" si="358"/>
        <v>0</v>
      </c>
      <c r="AA458" s="34">
        <v>429</v>
      </c>
      <c r="AB458" s="16"/>
      <c r="AC458" s="16"/>
      <c r="AD458" s="17"/>
      <c r="AE458" s="18">
        <f t="shared" si="359"/>
        <v>429</v>
      </c>
      <c r="AF458" s="34">
        <v>4565</v>
      </c>
      <c r="AG458" s="16"/>
      <c r="AH458" s="16"/>
      <c r="AI458" s="17"/>
      <c r="AJ458" s="18">
        <f t="shared" si="360"/>
        <v>4565</v>
      </c>
      <c r="AK458" s="34">
        <v>2115</v>
      </c>
      <c r="AL458" s="16"/>
      <c r="AM458" s="16"/>
      <c r="AN458" s="17"/>
      <c r="AO458" s="18">
        <f t="shared" si="361"/>
        <v>2115</v>
      </c>
      <c r="AP458" s="34">
        <v>3405</v>
      </c>
      <c r="AQ458" s="16"/>
      <c r="AR458" s="16"/>
      <c r="AS458" s="17"/>
      <c r="AT458" s="18">
        <f t="shared" si="362"/>
        <v>3405</v>
      </c>
      <c r="AU458" s="34">
        <v>171</v>
      </c>
      <c r="AV458" s="16"/>
      <c r="AW458" s="16"/>
      <c r="AX458" s="17"/>
      <c r="AY458" s="18">
        <f t="shared" si="363"/>
        <v>171</v>
      </c>
      <c r="AZ458" s="34">
        <v>96</v>
      </c>
      <c r="BA458" s="16"/>
      <c r="BB458" s="16"/>
      <c r="BC458" s="17"/>
      <c r="BD458" s="18">
        <f t="shared" si="364"/>
        <v>96</v>
      </c>
      <c r="BE458" s="34">
        <v>14</v>
      </c>
      <c r="BF458" s="16"/>
      <c r="BG458" s="16"/>
      <c r="BH458" s="17"/>
      <c r="BI458" s="18">
        <f t="shared" si="365"/>
        <v>14</v>
      </c>
      <c r="BJ458" s="34"/>
      <c r="BK458" s="16"/>
      <c r="BL458" s="16"/>
      <c r="BM458" s="17"/>
      <c r="BN458" s="18">
        <f t="shared" si="355"/>
        <v>0</v>
      </c>
      <c r="BO458" s="70">
        <f>SUM(G458,L458,Q458,V458,AA458,AF458,AK458,AP458,AU458,AZ458,BE458,BJ458)</f>
        <v>10795</v>
      </c>
      <c r="BP458" s="16">
        <f>SUM(H458,M458,R458,W458,AB458,AG458,AL458,AQ458,AV458,BA458,BF458,BK458)</f>
        <v>0</v>
      </c>
      <c r="BQ458" s="16">
        <f>SUM(I458,N458,S458,X458,AC458,AH458,AM458,AR458,AW458,BB458,BG458,BL458)</f>
        <v>0</v>
      </c>
      <c r="BR458" s="17">
        <f>SUM(J458,O458,T458,Y458,AD458,AI458,AN458,AS458,AX458,BC458,BH458,BM458)</f>
        <v>0</v>
      </c>
      <c r="BS458" s="35">
        <f t="shared" si="366"/>
        <v>10795</v>
      </c>
    </row>
    <row r="459" spans="2:71" x14ac:dyDescent="0.3">
      <c r="B459" s="254"/>
      <c r="C459" s="204"/>
      <c r="D459" s="200"/>
      <c r="E459" s="201"/>
      <c r="F459" s="123" t="s">
        <v>602</v>
      </c>
      <c r="G459" s="34"/>
      <c r="H459" s="16"/>
      <c r="I459" s="16"/>
      <c r="J459" s="17"/>
      <c r="K459" s="18">
        <f t="shared" si="367"/>
        <v>0</v>
      </c>
      <c r="L459" s="34"/>
      <c r="M459" s="16"/>
      <c r="N459" s="16"/>
      <c r="O459" s="17"/>
      <c r="P459" s="18">
        <f t="shared" si="356"/>
        <v>0</v>
      </c>
      <c r="Q459" s="34"/>
      <c r="R459" s="16"/>
      <c r="S459" s="16"/>
      <c r="T459" s="17"/>
      <c r="U459" s="18">
        <f t="shared" si="357"/>
        <v>0</v>
      </c>
      <c r="V459" s="34"/>
      <c r="W459" s="16"/>
      <c r="X459" s="16"/>
      <c r="Y459" s="17"/>
      <c r="Z459" s="18">
        <f t="shared" si="358"/>
        <v>0</v>
      </c>
      <c r="AA459" s="34"/>
      <c r="AB459" s="16"/>
      <c r="AC459" s="16"/>
      <c r="AD459" s="17"/>
      <c r="AE459" s="18">
        <f t="shared" si="359"/>
        <v>0</v>
      </c>
      <c r="AF459" s="34">
        <v>252</v>
      </c>
      <c r="AG459" s="16"/>
      <c r="AH459" s="16"/>
      <c r="AI459" s="17"/>
      <c r="AJ459" s="18">
        <f t="shared" si="360"/>
        <v>252</v>
      </c>
      <c r="AK459" s="34">
        <v>100</v>
      </c>
      <c r="AL459" s="16"/>
      <c r="AM459" s="16"/>
      <c r="AN459" s="17"/>
      <c r="AO459" s="18">
        <f t="shared" si="361"/>
        <v>100</v>
      </c>
      <c r="AP459" s="34">
        <v>63</v>
      </c>
      <c r="AQ459" s="16"/>
      <c r="AR459" s="16"/>
      <c r="AS459" s="17"/>
      <c r="AT459" s="18">
        <f t="shared" si="362"/>
        <v>63</v>
      </c>
      <c r="AU459" s="34"/>
      <c r="AV459" s="16"/>
      <c r="AW459" s="16"/>
      <c r="AX459" s="17"/>
      <c r="AY459" s="18">
        <f t="shared" si="363"/>
        <v>0</v>
      </c>
      <c r="AZ459" s="34">
        <v>557</v>
      </c>
      <c r="BA459" s="16"/>
      <c r="BB459" s="16"/>
      <c r="BC459" s="17"/>
      <c r="BD459" s="18">
        <f t="shared" si="364"/>
        <v>557</v>
      </c>
      <c r="BE459" s="34"/>
      <c r="BF459" s="16"/>
      <c r="BG459" s="16"/>
      <c r="BH459" s="17"/>
      <c r="BI459" s="18">
        <f t="shared" si="365"/>
        <v>0</v>
      </c>
      <c r="BJ459" s="34"/>
      <c r="BK459" s="16"/>
      <c r="BL459" s="16"/>
      <c r="BM459" s="17"/>
      <c r="BN459" s="18">
        <f t="shared" si="355"/>
        <v>0</v>
      </c>
      <c r="BO459" s="70">
        <f>SUM(G459,L459,Q459,V459,AA459,AF459,AK459,AP459,AU459,AZ459,BE459,BJ459)</f>
        <v>972</v>
      </c>
      <c r="BP459" s="16">
        <f>SUM(H459,M459,R459,W459,AB459,AG459,AL459,AQ459,AV459,BA459,BF459,BK459)</f>
        <v>0</v>
      </c>
      <c r="BQ459" s="16">
        <f>SUM(I459,N459,S459,X459,AC459,AH459,AM459,AR459,AW459,BB459,BG459,BL459)</f>
        <v>0</v>
      </c>
      <c r="BR459" s="17">
        <f>SUM(J459,O459,T459,Y459,AD459,AI459,AN459,AS459,AX459,BC459,BH459,BM459)</f>
        <v>0</v>
      </c>
      <c r="BS459" s="35">
        <f t="shared" si="366"/>
        <v>972</v>
      </c>
    </row>
    <row r="460" spans="2:71" x14ac:dyDescent="0.3">
      <c r="B460" s="254"/>
      <c r="C460" s="204"/>
      <c r="D460" s="200"/>
      <c r="E460" s="201"/>
      <c r="F460" s="123" t="s">
        <v>603</v>
      </c>
      <c r="G460" s="34"/>
      <c r="H460" s="16"/>
      <c r="I460" s="16"/>
      <c r="J460" s="17"/>
      <c r="K460" s="18">
        <f t="shared" si="367"/>
        <v>0</v>
      </c>
      <c r="L460" s="34"/>
      <c r="M460" s="16"/>
      <c r="N460" s="16"/>
      <c r="O460" s="17"/>
      <c r="P460" s="18">
        <f t="shared" si="356"/>
        <v>0</v>
      </c>
      <c r="Q460" s="34"/>
      <c r="R460" s="16"/>
      <c r="S460" s="16"/>
      <c r="T460" s="17"/>
      <c r="U460" s="18">
        <f t="shared" si="357"/>
        <v>0</v>
      </c>
      <c r="V460" s="34"/>
      <c r="W460" s="16"/>
      <c r="X460" s="16"/>
      <c r="Y460" s="17"/>
      <c r="Z460" s="18">
        <f t="shared" si="358"/>
        <v>0</v>
      </c>
      <c r="AA460" s="34"/>
      <c r="AB460" s="16"/>
      <c r="AC460" s="16"/>
      <c r="AD460" s="17"/>
      <c r="AE460" s="18">
        <f t="shared" si="359"/>
        <v>0</v>
      </c>
      <c r="AF460" s="34">
        <v>108</v>
      </c>
      <c r="AG460" s="16"/>
      <c r="AH460" s="16"/>
      <c r="AI460" s="17"/>
      <c r="AJ460" s="18">
        <f t="shared" si="360"/>
        <v>108</v>
      </c>
      <c r="AK460" s="34">
        <v>27</v>
      </c>
      <c r="AL460" s="16"/>
      <c r="AM460" s="16"/>
      <c r="AN460" s="17"/>
      <c r="AO460" s="18">
        <f t="shared" si="361"/>
        <v>27</v>
      </c>
      <c r="AP460" s="34">
        <v>38</v>
      </c>
      <c r="AQ460" s="16"/>
      <c r="AR460" s="16"/>
      <c r="AS460" s="17"/>
      <c r="AT460" s="18">
        <f t="shared" si="362"/>
        <v>38</v>
      </c>
      <c r="AU460" s="34"/>
      <c r="AV460" s="16"/>
      <c r="AW460" s="16"/>
      <c r="AX460" s="17"/>
      <c r="AY460" s="18">
        <f t="shared" si="363"/>
        <v>0</v>
      </c>
      <c r="AZ460" s="34">
        <v>136</v>
      </c>
      <c r="BA460" s="16"/>
      <c r="BB460" s="16"/>
      <c r="BC460" s="17"/>
      <c r="BD460" s="18">
        <f t="shared" si="364"/>
        <v>136</v>
      </c>
      <c r="BE460" s="34"/>
      <c r="BF460" s="16"/>
      <c r="BG460" s="16"/>
      <c r="BH460" s="17"/>
      <c r="BI460" s="18">
        <f t="shared" si="365"/>
        <v>0</v>
      </c>
      <c r="BJ460" s="34"/>
      <c r="BK460" s="16"/>
      <c r="BL460" s="16"/>
      <c r="BM460" s="17"/>
      <c r="BN460" s="18">
        <f t="shared" si="355"/>
        <v>0</v>
      </c>
      <c r="BO460" s="70">
        <f>SUM(G460,L460,Q460,V460,AA460,AF460,AK460,AP460,AU460,AZ460,BE460,BJ460)</f>
        <v>309</v>
      </c>
      <c r="BP460" s="16">
        <f>SUM(H460,M460,R460,W460,AB460,AG460,AL460,AQ460,AV460,BA460,BF460,BK460)</f>
        <v>0</v>
      </c>
      <c r="BQ460" s="16">
        <f>SUM(I460,N460,S460,X460,AC460,AH460,AM460,AR460,AW460,BB460,BG460,BL460)</f>
        <v>0</v>
      </c>
      <c r="BR460" s="17">
        <f>SUM(J460,O460,T460,Y460,AD460,AI460,AN460,AS460,AX460,BC460,BH460,BM460)</f>
        <v>0</v>
      </c>
      <c r="BS460" s="35">
        <f t="shared" si="366"/>
        <v>309</v>
      </c>
    </row>
    <row r="461" spans="2:71" x14ac:dyDescent="0.3">
      <c r="B461" s="254"/>
      <c r="C461" s="204"/>
      <c r="D461" s="200"/>
      <c r="E461" s="201"/>
      <c r="F461" s="123" t="s">
        <v>604</v>
      </c>
      <c r="G461" s="34"/>
      <c r="H461" s="16"/>
      <c r="I461" s="16"/>
      <c r="J461" s="17"/>
      <c r="K461" s="18">
        <f t="shared" si="367"/>
        <v>0</v>
      </c>
      <c r="L461" s="34"/>
      <c r="M461" s="16"/>
      <c r="N461" s="16"/>
      <c r="O461" s="17"/>
      <c r="P461" s="18">
        <f t="shared" si="356"/>
        <v>0</v>
      </c>
      <c r="Q461" s="34"/>
      <c r="R461" s="16"/>
      <c r="S461" s="16"/>
      <c r="T461" s="17"/>
      <c r="U461" s="18">
        <f t="shared" si="357"/>
        <v>0</v>
      </c>
      <c r="V461" s="34"/>
      <c r="W461" s="16"/>
      <c r="X461" s="16"/>
      <c r="Y461" s="17"/>
      <c r="Z461" s="18">
        <f t="shared" si="358"/>
        <v>0</v>
      </c>
      <c r="AA461" s="34"/>
      <c r="AB461" s="16"/>
      <c r="AC461" s="16"/>
      <c r="AD461" s="17"/>
      <c r="AE461" s="18">
        <f t="shared" si="359"/>
        <v>0</v>
      </c>
      <c r="AF461" s="34">
        <v>37</v>
      </c>
      <c r="AG461" s="16"/>
      <c r="AH461" s="16"/>
      <c r="AI461" s="17"/>
      <c r="AJ461" s="18">
        <f t="shared" si="360"/>
        <v>37</v>
      </c>
      <c r="AK461" s="34">
        <v>28</v>
      </c>
      <c r="AL461" s="16"/>
      <c r="AM461" s="16"/>
      <c r="AN461" s="17"/>
      <c r="AO461" s="18">
        <f t="shared" si="361"/>
        <v>28</v>
      </c>
      <c r="AP461" s="34">
        <v>83</v>
      </c>
      <c r="AQ461" s="16"/>
      <c r="AR461" s="16"/>
      <c r="AS461" s="17"/>
      <c r="AT461" s="18">
        <f t="shared" si="362"/>
        <v>83</v>
      </c>
      <c r="AU461" s="34"/>
      <c r="AV461" s="16"/>
      <c r="AW461" s="16"/>
      <c r="AX461" s="17"/>
      <c r="AY461" s="18">
        <f t="shared" si="363"/>
        <v>0</v>
      </c>
      <c r="AZ461" s="34"/>
      <c r="BA461" s="16"/>
      <c r="BB461" s="16"/>
      <c r="BC461" s="17"/>
      <c r="BD461" s="18">
        <f t="shared" si="364"/>
        <v>0</v>
      </c>
      <c r="BE461" s="34"/>
      <c r="BF461" s="16"/>
      <c r="BG461" s="16"/>
      <c r="BH461" s="17"/>
      <c r="BI461" s="18">
        <f t="shared" si="365"/>
        <v>0</v>
      </c>
      <c r="BJ461" s="34"/>
      <c r="BK461" s="16"/>
      <c r="BL461" s="16"/>
      <c r="BM461" s="17"/>
      <c r="BN461" s="18">
        <f t="shared" si="355"/>
        <v>0</v>
      </c>
      <c r="BO461" s="70">
        <f>SUM(G461,L461,Q461,V461,AA461,AF461,AK461,AP461,AU461,AZ461,BE461,BJ461)</f>
        <v>148</v>
      </c>
      <c r="BP461" s="16">
        <f>SUM(H461,M461,R461,W461,AB461,AG461,AL461,AQ461,AV461,BA461,BF461,BK461)</f>
        <v>0</v>
      </c>
      <c r="BQ461" s="16">
        <f>SUM(I461,N461,S461,X461,AC461,AH461,AM461,AR461,AW461,BB461,BG461,BL461)</f>
        <v>0</v>
      </c>
      <c r="BR461" s="17">
        <f>SUM(J461,O461,T461,Y461,AD461,AI461,AN461,AS461,AX461,BC461,BH461,BM461)</f>
        <v>0</v>
      </c>
      <c r="BS461" s="35">
        <f t="shared" si="366"/>
        <v>148</v>
      </c>
    </row>
    <row r="462" spans="2:71" x14ac:dyDescent="0.3">
      <c r="B462" s="254"/>
      <c r="C462" s="204"/>
      <c r="D462" s="200"/>
      <c r="E462" s="201"/>
      <c r="F462" s="123" t="s">
        <v>605</v>
      </c>
      <c r="G462" s="34"/>
      <c r="H462" s="16"/>
      <c r="I462" s="16"/>
      <c r="J462" s="17"/>
      <c r="K462" s="18">
        <f t="shared" si="367"/>
        <v>0</v>
      </c>
      <c r="L462" s="34"/>
      <c r="M462" s="16"/>
      <c r="N462" s="16"/>
      <c r="O462" s="17"/>
      <c r="P462" s="18">
        <f t="shared" si="356"/>
        <v>0</v>
      </c>
      <c r="Q462" s="34"/>
      <c r="R462" s="16"/>
      <c r="S462" s="16"/>
      <c r="T462" s="17"/>
      <c r="U462" s="18">
        <f t="shared" si="357"/>
        <v>0</v>
      </c>
      <c r="V462" s="34"/>
      <c r="W462" s="16"/>
      <c r="X462" s="16"/>
      <c r="Y462" s="17"/>
      <c r="Z462" s="18">
        <f t="shared" si="358"/>
        <v>0</v>
      </c>
      <c r="AA462" s="34"/>
      <c r="AB462" s="16"/>
      <c r="AC462" s="16"/>
      <c r="AD462" s="17"/>
      <c r="AE462" s="18">
        <f t="shared" si="359"/>
        <v>0</v>
      </c>
      <c r="AF462" s="34"/>
      <c r="AG462" s="16"/>
      <c r="AH462" s="16"/>
      <c r="AI462" s="17"/>
      <c r="AJ462" s="18">
        <f t="shared" si="360"/>
        <v>0</v>
      </c>
      <c r="AK462" s="34"/>
      <c r="AL462" s="16"/>
      <c r="AM462" s="16"/>
      <c r="AN462" s="17"/>
      <c r="AO462" s="18">
        <f t="shared" si="361"/>
        <v>0</v>
      </c>
      <c r="AP462" s="34">
        <v>711</v>
      </c>
      <c r="AQ462" s="16"/>
      <c r="AR462" s="16"/>
      <c r="AS462" s="17"/>
      <c r="AT462" s="18">
        <f t="shared" si="362"/>
        <v>711</v>
      </c>
      <c r="AU462" s="34">
        <v>20234</v>
      </c>
      <c r="AV462" s="16"/>
      <c r="AW462" s="16"/>
      <c r="AX462" s="17"/>
      <c r="AY462" s="18">
        <f t="shared" si="363"/>
        <v>20234</v>
      </c>
      <c r="AZ462" s="34">
        <v>24912</v>
      </c>
      <c r="BA462" s="16"/>
      <c r="BB462" s="16"/>
      <c r="BC462" s="17"/>
      <c r="BD462" s="18">
        <f t="shared" si="364"/>
        <v>24912</v>
      </c>
      <c r="BE462" s="34">
        <v>12124</v>
      </c>
      <c r="BF462" s="16"/>
      <c r="BG462" s="16"/>
      <c r="BH462" s="17"/>
      <c r="BI462" s="18">
        <f t="shared" si="365"/>
        <v>12124</v>
      </c>
      <c r="BJ462" s="34">
        <v>612</v>
      </c>
      <c r="BK462" s="16"/>
      <c r="BL462" s="16"/>
      <c r="BM462" s="17"/>
      <c r="BN462" s="18">
        <f t="shared" si="355"/>
        <v>612</v>
      </c>
      <c r="BO462" s="70">
        <f>SUM(G462,L462,Q462,V462,AA462,AF462,AK462,AP462,AU462,AZ462,BE462,BJ462)</f>
        <v>58593</v>
      </c>
      <c r="BP462" s="16">
        <f>SUM(H462,M462,R462,W462,AB462,AG462,AL462,AQ462,AV462,BA462,BF462,BK462)</f>
        <v>0</v>
      </c>
      <c r="BQ462" s="16">
        <f>SUM(I462,N462,S462,X462,AC462,AH462,AM462,AR462,AW462,BB462,BG462,BL462)</f>
        <v>0</v>
      </c>
      <c r="BR462" s="17">
        <f>SUM(J462,O462,T462,Y462,AD462,AI462,AN462,AS462,AX462,BC462,BH462,BM462)</f>
        <v>0</v>
      </c>
      <c r="BS462" s="35">
        <f t="shared" si="366"/>
        <v>58593</v>
      </c>
    </row>
    <row r="463" spans="2:71" x14ac:dyDescent="0.3">
      <c r="B463" s="254"/>
      <c r="C463" s="204"/>
      <c r="D463" s="200"/>
      <c r="E463" s="201"/>
      <c r="F463" s="123" t="s">
        <v>606</v>
      </c>
      <c r="G463" s="34"/>
      <c r="H463" s="16"/>
      <c r="I463" s="16"/>
      <c r="J463" s="17"/>
      <c r="K463" s="18">
        <f t="shared" si="367"/>
        <v>0</v>
      </c>
      <c r="L463" s="34"/>
      <c r="M463" s="16"/>
      <c r="N463" s="16"/>
      <c r="O463" s="17"/>
      <c r="P463" s="18">
        <f t="shared" si="356"/>
        <v>0</v>
      </c>
      <c r="Q463" s="34"/>
      <c r="R463" s="16"/>
      <c r="S463" s="16"/>
      <c r="T463" s="17"/>
      <c r="U463" s="18">
        <f t="shared" si="357"/>
        <v>0</v>
      </c>
      <c r="V463" s="34"/>
      <c r="W463" s="16"/>
      <c r="X463" s="16"/>
      <c r="Y463" s="17"/>
      <c r="Z463" s="18">
        <f t="shared" si="358"/>
        <v>0</v>
      </c>
      <c r="AA463" s="34"/>
      <c r="AB463" s="16"/>
      <c r="AC463" s="16"/>
      <c r="AD463" s="17"/>
      <c r="AE463" s="18">
        <f t="shared" si="359"/>
        <v>0</v>
      </c>
      <c r="AF463" s="34"/>
      <c r="AG463" s="16"/>
      <c r="AH463" s="16"/>
      <c r="AI463" s="17"/>
      <c r="AJ463" s="18">
        <f t="shared" si="360"/>
        <v>0</v>
      </c>
      <c r="AK463" s="34"/>
      <c r="AL463" s="16"/>
      <c r="AM463" s="16"/>
      <c r="AN463" s="17"/>
      <c r="AO463" s="18">
        <f t="shared" si="361"/>
        <v>0</v>
      </c>
      <c r="AP463" s="34">
        <v>618</v>
      </c>
      <c r="AQ463" s="16"/>
      <c r="AR463" s="16"/>
      <c r="AS463" s="17"/>
      <c r="AT463" s="18">
        <f t="shared" si="362"/>
        <v>618</v>
      </c>
      <c r="AU463" s="34">
        <v>8067</v>
      </c>
      <c r="AV463" s="16"/>
      <c r="AW463" s="16"/>
      <c r="AX463" s="17"/>
      <c r="AY463" s="18">
        <f t="shared" si="363"/>
        <v>8067</v>
      </c>
      <c r="AZ463" s="34">
        <v>11014</v>
      </c>
      <c r="BA463" s="16"/>
      <c r="BB463" s="16"/>
      <c r="BC463" s="17"/>
      <c r="BD463" s="18">
        <f t="shared" si="364"/>
        <v>11014</v>
      </c>
      <c r="BE463" s="34">
        <v>6883</v>
      </c>
      <c r="BF463" s="16"/>
      <c r="BG463" s="16"/>
      <c r="BH463" s="17"/>
      <c r="BI463" s="18">
        <f t="shared" si="365"/>
        <v>6883</v>
      </c>
      <c r="BJ463" s="34">
        <v>175</v>
      </c>
      <c r="BK463" s="16"/>
      <c r="BL463" s="16"/>
      <c r="BM463" s="17"/>
      <c r="BN463" s="18">
        <f t="shared" si="355"/>
        <v>175</v>
      </c>
      <c r="BO463" s="70">
        <f>SUM(G463,L463,Q463,V463,AA463,AF463,AK463,AP463,AU463,AZ463,BE463,BJ463)</f>
        <v>26757</v>
      </c>
      <c r="BP463" s="16">
        <f>SUM(H463,M463,R463,W463,AB463,AG463,AL463,AQ463,AV463,BA463,BF463,BK463)</f>
        <v>0</v>
      </c>
      <c r="BQ463" s="16">
        <f>SUM(I463,N463,S463,X463,AC463,AH463,AM463,AR463,AW463,BB463,BG463,BL463)</f>
        <v>0</v>
      </c>
      <c r="BR463" s="17">
        <f>SUM(J463,O463,T463,Y463,AD463,AI463,AN463,AS463,AX463,BC463,BH463,BM463)</f>
        <v>0</v>
      </c>
      <c r="BS463" s="35">
        <f t="shared" si="366"/>
        <v>26757</v>
      </c>
    </row>
    <row r="464" spans="2:71" x14ac:dyDescent="0.3">
      <c r="B464" s="254"/>
      <c r="C464" s="204"/>
      <c r="D464" s="200"/>
      <c r="E464" s="201"/>
      <c r="F464" s="123" t="s">
        <v>607</v>
      </c>
      <c r="G464" s="34"/>
      <c r="H464" s="16"/>
      <c r="I464" s="16"/>
      <c r="J464" s="17"/>
      <c r="K464" s="18">
        <f t="shared" si="367"/>
        <v>0</v>
      </c>
      <c r="L464" s="34"/>
      <c r="M464" s="16"/>
      <c r="N464" s="16"/>
      <c r="O464" s="17"/>
      <c r="P464" s="18">
        <f t="shared" si="356"/>
        <v>0</v>
      </c>
      <c r="Q464" s="34"/>
      <c r="R464" s="16"/>
      <c r="S464" s="16"/>
      <c r="T464" s="17"/>
      <c r="U464" s="18">
        <f t="shared" si="357"/>
        <v>0</v>
      </c>
      <c r="V464" s="34"/>
      <c r="W464" s="16"/>
      <c r="X464" s="16"/>
      <c r="Y464" s="17"/>
      <c r="Z464" s="18">
        <f t="shared" si="358"/>
        <v>0</v>
      </c>
      <c r="AA464" s="34"/>
      <c r="AB464" s="16"/>
      <c r="AC464" s="16"/>
      <c r="AD464" s="17"/>
      <c r="AE464" s="18">
        <f t="shared" si="359"/>
        <v>0</v>
      </c>
      <c r="AF464" s="34"/>
      <c r="AG464" s="16"/>
      <c r="AH464" s="16"/>
      <c r="AI464" s="17"/>
      <c r="AJ464" s="18">
        <f t="shared" si="360"/>
        <v>0</v>
      </c>
      <c r="AK464" s="34"/>
      <c r="AL464" s="16"/>
      <c r="AM464" s="16"/>
      <c r="AN464" s="17"/>
      <c r="AO464" s="18">
        <f t="shared" si="361"/>
        <v>0</v>
      </c>
      <c r="AP464" s="34"/>
      <c r="AQ464" s="16"/>
      <c r="AR464" s="16"/>
      <c r="AS464" s="17"/>
      <c r="AT464" s="18">
        <f t="shared" si="362"/>
        <v>0</v>
      </c>
      <c r="AU464" s="34">
        <v>231</v>
      </c>
      <c r="AV464" s="16"/>
      <c r="AW464" s="16"/>
      <c r="AX464" s="17"/>
      <c r="AY464" s="18">
        <f t="shared" si="363"/>
        <v>231</v>
      </c>
      <c r="AZ464" s="34">
        <v>591</v>
      </c>
      <c r="BA464" s="16"/>
      <c r="BB464" s="16"/>
      <c r="BC464" s="17"/>
      <c r="BD464" s="18">
        <f t="shared" si="364"/>
        <v>591</v>
      </c>
      <c r="BE464" s="34">
        <v>354</v>
      </c>
      <c r="BF464" s="16"/>
      <c r="BG464" s="16"/>
      <c r="BH464" s="17"/>
      <c r="BI464" s="18">
        <f t="shared" si="365"/>
        <v>354</v>
      </c>
      <c r="BJ464" s="34"/>
      <c r="BK464" s="16"/>
      <c r="BL464" s="16"/>
      <c r="BM464" s="17"/>
      <c r="BN464" s="18">
        <f t="shared" si="355"/>
        <v>0</v>
      </c>
      <c r="BO464" s="70">
        <f>SUM(G464,L464,Q464,V464,AA464,AF464,AK464,AP464,AU464,AZ464,BE464,BJ464)</f>
        <v>1176</v>
      </c>
      <c r="BP464" s="16">
        <f>SUM(H464,M464,R464,W464,AB464,AG464,AL464,AQ464,AV464,BA464,BF464,BK464)</f>
        <v>0</v>
      </c>
      <c r="BQ464" s="16">
        <f>SUM(I464,N464,S464,X464,AC464,AH464,AM464,AR464,AW464,BB464,BG464,BL464)</f>
        <v>0</v>
      </c>
      <c r="BR464" s="17">
        <f>SUM(J464,O464,T464,Y464,AD464,AI464,AN464,AS464,AX464,BC464,BH464,BM464)</f>
        <v>0</v>
      </c>
      <c r="BS464" s="35">
        <f t="shared" si="366"/>
        <v>1176</v>
      </c>
    </row>
    <row r="465" spans="2:71" x14ac:dyDescent="0.3">
      <c r="B465" s="254"/>
      <c r="C465" s="204"/>
      <c r="D465" s="200"/>
      <c r="E465" s="201"/>
      <c r="F465" s="123" t="s">
        <v>608</v>
      </c>
      <c r="G465" s="34"/>
      <c r="H465" s="16"/>
      <c r="I465" s="16"/>
      <c r="J465" s="17"/>
      <c r="K465" s="18">
        <f t="shared" si="367"/>
        <v>0</v>
      </c>
      <c r="L465" s="34"/>
      <c r="M465" s="16"/>
      <c r="N465" s="16"/>
      <c r="O465" s="17"/>
      <c r="P465" s="18">
        <f t="shared" si="356"/>
        <v>0</v>
      </c>
      <c r="Q465" s="34"/>
      <c r="R465" s="16"/>
      <c r="S465" s="16"/>
      <c r="T465" s="17"/>
      <c r="U465" s="18">
        <f t="shared" si="357"/>
        <v>0</v>
      </c>
      <c r="V465" s="34"/>
      <c r="W465" s="16"/>
      <c r="X465" s="16"/>
      <c r="Y465" s="17"/>
      <c r="Z465" s="18">
        <f t="shared" si="358"/>
        <v>0</v>
      </c>
      <c r="AA465" s="34"/>
      <c r="AB465" s="16"/>
      <c r="AC465" s="16"/>
      <c r="AD465" s="17"/>
      <c r="AE465" s="18">
        <f t="shared" si="359"/>
        <v>0</v>
      </c>
      <c r="AF465" s="34"/>
      <c r="AG465" s="16"/>
      <c r="AH465" s="16"/>
      <c r="AI465" s="17"/>
      <c r="AJ465" s="18">
        <f t="shared" si="360"/>
        <v>0</v>
      </c>
      <c r="AK465" s="34"/>
      <c r="AL465" s="16"/>
      <c r="AM465" s="16"/>
      <c r="AN465" s="17"/>
      <c r="AO465" s="18">
        <f t="shared" si="361"/>
        <v>0</v>
      </c>
      <c r="AP465" s="34"/>
      <c r="AQ465" s="16"/>
      <c r="AR465" s="16"/>
      <c r="AS465" s="17"/>
      <c r="AT465" s="18">
        <f t="shared" si="362"/>
        <v>0</v>
      </c>
      <c r="AU465" s="34">
        <v>80</v>
      </c>
      <c r="AV465" s="16"/>
      <c r="AW465" s="16"/>
      <c r="AX465" s="17"/>
      <c r="AY465" s="18">
        <f t="shared" si="363"/>
        <v>80</v>
      </c>
      <c r="AZ465" s="34">
        <v>70</v>
      </c>
      <c r="BA465" s="16"/>
      <c r="BB465" s="16"/>
      <c r="BC465" s="17"/>
      <c r="BD465" s="18">
        <f t="shared" si="364"/>
        <v>70</v>
      </c>
      <c r="BE465" s="34">
        <v>56</v>
      </c>
      <c r="BF465" s="16"/>
      <c r="BG465" s="16"/>
      <c r="BH465" s="17"/>
      <c r="BI465" s="18">
        <f t="shared" si="365"/>
        <v>56</v>
      </c>
      <c r="BJ465" s="34"/>
      <c r="BK465" s="16"/>
      <c r="BL465" s="16"/>
      <c r="BM465" s="17"/>
      <c r="BN465" s="18">
        <f t="shared" si="355"/>
        <v>0</v>
      </c>
      <c r="BO465" s="70">
        <f>SUM(G465,L465,Q465,V465,AA465,AF465,AK465,AP465,AU465,AZ465,BE465,BJ465)</f>
        <v>206</v>
      </c>
      <c r="BP465" s="16">
        <f>SUM(H465,M465,R465,W465,AB465,AG465,AL465,AQ465,AV465,BA465,BF465,BK465)</f>
        <v>0</v>
      </c>
      <c r="BQ465" s="16">
        <f>SUM(I465,N465,S465,X465,AC465,AH465,AM465,AR465,AW465,BB465,BG465,BL465)</f>
        <v>0</v>
      </c>
      <c r="BR465" s="17">
        <f>SUM(J465,O465,T465,Y465,AD465,AI465,AN465,AS465,AX465,BC465,BH465,BM465)</f>
        <v>0</v>
      </c>
      <c r="BS465" s="35">
        <f t="shared" si="366"/>
        <v>206</v>
      </c>
    </row>
    <row r="466" spans="2:71" x14ac:dyDescent="0.3">
      <c r="B466" s="254"/>
      <c r="C466" s="204"/>
      <c r="D466" s="200"/>
      <c r="E466" s="201"/>
      <c r="F466" s="123" t="s">
        <v>609</v>
      </c>
      <c r="G466" s="34"/>
      <c r="H466" s="16"/>
      <c r="I466" s="16"/>
      <c r="J466" s="17"/>
      <c r="K466" s="18">
        <f t="shared" si="367"/>
        <v>0</v>
      </c>
      <c r="L466" s="34"/>
      <c r="M466" s="16"/>
      <c r="N466" s="16"/>
      <c r="O466" s="17"/>
      <c r="P466" s="18">
        <f t="shared" si="356"/>
        <v>0</v>
      </c>
      <c r="Q466" s="34"/>
      <c r="R466" s="16"/>
      <c r="S466" s="16"/>
      <c r="T466" s="17"/>
      <c r="U466" s="18">
        <f t="shared" si="357"/>
        <v>0</v>
      </c>
      <c r="V466" s="34"/>
      <c r="W466" s="16"/>
      <c r="X466" s="16"/>
      <c r="Y466" s="17"/>
      <c r="Z466" s="18">
        <f t="shared" si="358"/>
        <v>0</v>
      </c>
      <c r="AA466" s="34"/>
      <c r="AB466" s="16"/>
      <c r="AC466" s="16"/>
      <c r="AD466" s="17"/>
      <c r="AE466" s="18">
        <f t="shared" si="359"/>
        <v>0</v>
      </c>
      <c r="AF466" s="34"/>
      <c r="AG466" s="16"/>
      <c r="AH466" s="16"/>
      <c r="AI466" s="17"/>
      <c r="AJ466" s="18">
        <f t="shared" si="360"/>
        <v>0</v>
      </c>
      <c r="AK466" s="34"/>
      <c r="AL466" s="16"/>
      <c r="AM466" s="16"/>
      <c r="AN466" s="17"/>
      <c r="AO466" s="18">
        <f t="shared" si="361"/>
        <v>0</v>
      </c>
      <c r="AP466" s="34"/>
      <c r="AQ466" s="16"/>
      <c r="AR466" s="16"/>
      <c r="AS466" s="17"/>
      <c r="AT466" s="18">
        <f t="shared" si="362"/>
        <v>0</v>
      </c>
      <c r="AU466" s="34">
        <v>2</v>
      </c>
      <c r="AV466" s="16"/>
      <c r="AW466" s="16"/>
      <c r="AX466" s="17"/>
      <c r="AY466" s="18">
        <f t="shared" si="363"/>
        <v>2</v>
      </c>
      <c r="AZ466" s="34">
        <f>1+3</f>
        <v>4</v>
      </c>
      <c r="BA466" s="16"/>
      <c r="BB466" s="16"/>
      <c r="BC466" s="17"/>
      <c r="BD466" s="18">
        <f t="shared" si="364"/>
        <v>4</v>
      </c>
      <c r="BE466" s="34"/>
      <c r="BF466" s="16"/>
      <c r="BG466" s="16"/>
      <c r="BH466" s="17"/>
      <c r="BI466" s="18">
        <f t="shared" si="365"/>
        <v>0</v>
      </c>
      <c r="BJ466" s="34"/>
      <c r="BK466" s="16"/>
      <c r="BL466" s="16"/>
      <c r="BM466" s="17"/>
      <c r="BN466" s="18">
        <f t="shared" si="355"/>
        <v>0</v>
      </c>
      <c r="BO466" s="70">
        <f>SUM(G466,L466,Q466,V466,AA466,AF466,AK466,AP466,AU466,AZ466,BE466,BJ466)</f>
        <v>6</v>
      </c>
      <c r="BP466" s="16">
        <f>SUM(H466,M466,R466,W466,AB466,AG466,AL466,AQ466,AV466,BA466,BF466,BK466)</f>
        <v>0</v>
      </c>
      <c r="BQ466" s="16">
        <f>SUM(I466,N466,S466,X466,AC466,AH466,AM466,AR466,AW466,BB466,BG466,BL466)</f>
        <v>0</v>
      </c>
      <c r="BR466" s="17">
        <f>SUM(J466,O466,T466,Y466,AD466,AI466,AN466,AS466,AX466,BC466,BH466,BM466)</f>
        <v>0</v>
      </c>
      <c r="BS466" s="35">
        <f t="shared" si="366"/>
        <v>6</v>
      </c>
    </row>
    <row r="467" spans="2:71" x14ac:dyDescent="0.3">
      <c r="B467" s="254"/>
      <c r="C467" s="204"/>
      <c r="D467" s="200"/>
      <c r="E467" s="201"/>
      <c r="F467" s="123" t="s">
        <v>610</v>
      </c>
      <c r="G467" s="34"/>
      <c r="H467" s="16"/>
      <c r="I467" s="16"/>
      <c r="J467" s="17"/>
      <c r="K467" s="18">
        <f t="shared" si="367"/>
        <v>0</v>
      </c>
      <c r="L467" s="34"/>
      <c r="M467" s="16"/>
      <c r="N467" s="16"/>
      <c r="O467" s="17"/>
      <c r="P467" s="18">
        <f t="shared" si="356"/>
        <v>0</v>
      </c>
      <c r="Q467" s="34"/>
      <c r="R467" s="16"/>
      <c r="S467" s="16"/>
      <c r="T467" s="17"/>
      <c r="U467" s="18">
        <f t="shared" si="357"/>
        <v>0</v>
      </c>
      <c r="V467" s="34"/>
      <c r="W467" s="16"/>
      <c r="X467" s="16"/>
      <c r="Y467" s="17"/>
      <c r="Z467" s="18">
        <f t="shared" si="358"/>
        <v>0</v>
      </c>
      <c r="AA467" s="34"/>
      <c r="AB467" s="16"/>
      <c r="AC467" s="16"/>
      <c r="AD467" s="17"/>
      <c r="AE467" s="18">
        <f t="shared" si="359"/>
        <v>0</v>
      </c>
      <c r="AF467" s="34"/>
      <c r="AG467" s="16"/>
      <c r="AH467" s="16"/>
      <c r="AI467" s="17"/>
      <c r="AJ467" s="18">
        <f t="shared" si="360"/>
        <v>0</v>
      </c>
      <c r="AK467" s="34"/>
      <c r="AL467" s="16"/>
      <c r="AM467" s="16"/>
      <c r="AN467" s="17"/>
      <c r="AO467" s="18">
        <f t="shared" si="361"/>
        <v>0</v>
      </c>
      <c r="AP467" s="34"/>
      <c r="AQ467" s="16"/>
      <c r="AR467" s="16"/>
      <c r="AS467" s="17"/>
      <c r="AT467" s="18">
        <f t="shared" si="362"/>
        <v>0</v>
      </c>
      <c r="AU467" s="34">
        <v>2</v>
      </c>
      <c r="AV467" s="16"/>
      <c r="AW467" s="16"/>
      <c r="AX467" s="17"/>
      <c r="AY467" s="18">
        <f t="shared" si="363"/>
        <v>2</v>
      </c>
      <c r="AZ467" s="34"/>
      <c r="BA467" s="16"/>
      <c r="BB467" s="16"/>
      <c r="BC467" s="17"/>
      <c r="BD467" s="18">
        <f t="shared" si="364"/>
        <v>0</v>
      </c>
      <c r="BE467" s="34"/>
      <c r="BF467" s="16"/>
      <c r="BG467" s="16"/>
      <c r="BH467" s="17"/>
      <c r="BI467" s="18">
        <f t="shared" si="365"/>
        <v>0</v>
      </c>
      <c r="BJ467" s="34"/>
      <c r="BK467" s="16"/>
      <c r="BL467" s="16"/>
      <c r="BM467" s="17"/>
      <c r="BN467" s="18">
        <f t="shared" si="355"/>
        <v>0</v>
      </c>
      <c r="BO467" s="70">
        <f>SUM(G467,L467,Q467,V467,AA467,AF467,AK467,AP467,AU467,AZ467,BE467,BJ467)</f>
        <v>2</v>
      </c>
      <c r="BP467" s="16">
        <f>SUM(H467,M467,R467,W467,AB467,AG467,AL467,AQ467,AV467,BA467,BF467,BK467)</f>
        <v>0</v>
      </c>
      <c r="BQ467" s="16">
        <f>SUM(I467,N467,S467,X467,AC467,AH467,AM467,AR467,AW467,BB467,BG467,BL467)</f>
        <v>0</v>
      </c>
      <c r="BR467" s="17">
        <f>SUM(J467,O467,T467,Y467,AD467,AI467,AN467,AS467,AX467,BC467,BH467,BM467)</f>
        <v>0</v>
      </c>
      <c r="BS467" s="35">
        <f t="shared" si="366"/>
        <v>2</v>
      </c>
    </row>
    <row r="468" spans="2:71" x14ac:dyDescent="0.3">
      <c r="B468" s="254"/>
      <c r="C468" s="204"/>
      <c r="D468" s="200"/>
      <c r="E468" s="201"/>
      <c r="F468" s="123" t="s">
        <v>611</v>
      </c>
      <c r="G468" s="34"/>
      <c r="H468" s="16"/>
      <c r="I468" s="16"/>
      <c r="J468" s="17"/>
      <c r="K468" s="18">
        <f t="shared" si="367"/>
        <v>0</v>
      </c>
      <c r="L468" s="34"/>
      <c r="M468" s="16"/>
      <c r="N468" s="16"/>
      <c r="O468" s="17"/>
      <c r="P468" s="18">
        <f t="shared" si="356"/>
        <v>0</v>
      </c>
      <c r="Q468" s="34"/>
      <c r="R468" s="16"/>
      <c r="S468" s="16"/>
      <c r="T468" s="17"/>
      <c r="U468" s="18">
        <f t="shared" si="357"/>
        <v>0</v>
      </c>
      <c r="V468" s="34"/>
      <c r="W468" s="16"/>
      <c r="X468" s="16"/>
      <c r="Y468" s="17"/>
      <c r="Z468" s="18">
        <f t="shared" si="358"/>
        <v>0</v>
      </c>
      <c r="AA468" s="34"/>
      <c r="AB468" s="16"/>
      <c r="AC468" s="16"/>
      <c r="AD468" s="17"/>
      <c r="AE468" s="18">
        <f t="shared" si="359"/>
        <v>0</v>
      </c>
      <c r="AF468" s="34"/>
      <c r="AG468" s="16"/>
      <c r="AH468" s="16"/>
      <c r="AI468" s="17"/>
      <c r="AJ468" s="18">
        <f t="shared" si="360"/>
        <v>0</v>
      </c>
      <c r="AK468" s="34"/>
      <c r="AL468" s="16"/>
      <c r="AM468" s="16"/>
      <c r="AN468" s="17"/>
      <c r="AO468" s="18">
        <f t="shared" si="361"/>
        <v>0</v>
      </c>
      <c r="AP468" s="34"/>
      <c r="AQ468" s="16"/>
      <c r="AR468" s="16"/>
      <c r="AS468" s="17"/>
      <c r="AT468" s="18">
        <f t="shared" si="362"/>
        <v>0</v>
      </c>
      <c r="AU468" s="34"/>
      <c r="AV468" s="16"/>
      <c r="AW468" s="16"/>
      <c r="AX468" s="17"/>
      <c r="AY468" s="18">
        <f t="shared" si="363"/>
        <v>0</v>
      </c>
      <c r="AZ468" s="34">
        <v>11638</v>
      </c>
      <c r="BA468" s="16"/>
      <c r="BB468" s="16"/>
      <c r="BC468" s="17"/>
      <c r="BD468" s="18">
        <f t="shared" si="364"/>
        <v>11638</v>
      </c>
      <c r="BE468" s="34">
        <v>6360</v>
      </c>
      <c r="BF468" s="16"/>
      <c r="BG468" s="16"/>
      <c r="BH468" s="17"/>
      <c r="BI468" s="18">
        <f t="shared" si="365"/>
        <v>6360</v>
      </c>
      <c r="BJ468" s="34">
        <v>45</v>
      </c>
      <c r="BK468" s="16"/>
      <c r="BL468" s="16"/>
      <c r="BM468" s="17"/>
      <c r="BN468" s="18">
        <f t="shared" si="355"/>
        <v>45</v>
      </c>
      <c r="BO468" s="70">
        <f>SUM(G468,L468,Q468,V468,AA468,AF468,AK468,AP468,AU468,AZ468,BE468,BJ468)</f>
        <v>18043</v>
      </c>
      <c r="BP468" s="16">
        <f>SUM(H468,M468,R468,W468,AB468,AG468,AL468,AQ468,AV468,BA468,BF468,BK468)</f>
        <v>0</v>
      </c>
      <c r="BQ468" s="16">
        <f>SUM(I468,N468,S468,X468,AC468,AH468,AM468,AR468,AW468,BB468,BG468,BL468)</f>
        <v>0</v>
      </c>
      <c r="BR468" s="17">
        <f>SUM(J468,O468,T468,Y468,AD468,AI468,AN468,AS468,AX468,BC468,BH468,BM468)</f>
        <v>0</v>
      </c>
      <c r="BS468" s="35">
        <f t="shared" si="366"/>
        <v>18043</v>
      </c>
    </row>
    <row r="469" spans="2:71" x14ac:dyDescent="0.3">
      <c r="B469" s="254"/>
      <c r="C469" s="204"/>
      <c r="D469" s="200"/>
      <c r="E469" s="201"/>
      <c r="F469" s="123" t="s">
        <v>612</v>
      </c>
      <c r="G469" s="34"/>
      <c r="H469" s="16"/>
      <c r="I469" s="16"/>
      <c r="J469" s="17"/>
      <c r="K469" s="18">
        <f t="shared" si="367"/>
        <v>0</v>
      </c>
      <c r="L469" s="34"/>
      <c r="M469" s="16"/>
      <c r="N469" s="16"/>
      <c r="O469" s="17"/>
      <c r="P469" s="18">
        <f t="shared" si="356"/>
        <v>0</v>
      </c>
      <c r="Q469" s="34"/>
      <c r="R469" s="16"/>
      <c r="S469" s="16"/>
      <c r="T469" s="17"/>
      <c r="U469" s="18">
        <f t="shared" si="357"/>
        <v>0</v>
      </c>
      <c r="V469" s="34"/>
      <c r="W469" s="16"/>
      <c r="X469" s="16"/>
      <c r="Y469" s="17"/>
      <c r="Z469" s="18">
        <f t="shared" si="358"/>
        <v>0</v>
      </c>
      <c r="AA469" s="34"/>
      <c r="AB469" s="16"/>
      <c r="AC469" s="16"/>
      <c r="AD469" s="17"/>
      <c r="AE469" s="18">
        <f t="shared" si="359"/>
        <v>0</v>
      </c>
      <c r="AF469" s="34"/>
      <c r="AG469" s="16"/>
      <c r="AH469" s="16"/>
      <c r="AI469" s="17"/>
      <c r="AJ469" s="18">
        <f t="shared" si="360"/>
        <v>0</v>
      </c>
      <c r="AK469" s="34"/>
      <c r="AL469" s="16"/>
      <c r="AM469" s="16"/>
      <c r="AN469" s="17"/>
      <c r="AO469" s="18">
        <f t="shared" si="361"/>
        <v>0</v>
      </c>
      <c r="AP469" s="34"/>
      <c r="AQ469" s="16"/>
      <c r="AR469" s="16"/>
      <c r="AS469" s="17"/>
      <c r="AT469" s="18">
        <f t="shared" si="362"/>
        <v>0</v>
      </c>
      <c r="AU469" s="34"/>
      <c r="AV469" s="16"/>
      <c r="AW469" s="16"/>
      <c r="AX469" s="17"/>
      <c r="AY469" s="18">
        <f t="shared" si="363"/>
        <v>0</v>
      </c>
      <c r="AZ469" s="34">
        <v>1</v>
      </c>
      <c r="BA469" s="16"/>
      <c r="BB469" s="16"/>
      <c r="BC469" s="17"/>
      <c r="BD469" s="18">
        <f t="shared" si="364"/>
        <v>1</v>
      </c>
      <c r="BE469" s="34"/>
      <c r="BF469" s="16"/>
      <c r="BG469" s="16"/>
      <c r="BH469" s="17"/>
      <c r="BI469" s="18">
        <f t="shared" si="365"/>
        <v>0</v>
      </c>
      <c r="BJ469" s="34"/>
      <c r="BK469" s="16"/>
      <c r="BL469" s="16"/>
      <c r="BM469" s="17"/>
      <c r="BN469" s="18">
        <f t="shared" si="355"/>
        <v>0</v>
      </c>
      <c r="BO469" s="70">
        <f>SUM(G469,L469,Q469,V469,AA469,AF469,AK469,AP469,AU469,AZ469,BE469,BJ469)</f>
        <v>1</v>
      </c>
      <c r="BP469" s="16">
        <f>SUM(H469,M469,R469,W469,AB469,AG469,AL469,AQ469,AV469,BA469,BF469,BK469)</f>
        <v>0</v>
      </c>
      <c r="BQ469" s="16">
        <f>SUM(I469,N469,S469,X469,AC469,AH469,AM469,AR469,AW469,BB469,BG469,BL469)</f>
        <v>0</v>
      </c>
      <c r="BR469" s="17">
        <f>SUM(J469,O469,T469,Y469,AD469,AI469,AN469,AS469,AX469,BC469,BH469,BM469)</f>
        <v>0</v>
      </c>
      <c r="BS469" s="35">
        <f t="shared" si="366"/>
        <v>1</v>
      </c>
    </row>
    <row r="470" spans="2:71" x14ac:dyDescent="0.3">
      <c r="B470" s="254"/>
      <c r="C470" s="204"/>
      <c r="D470" s="200"/>
      <c r="E470" s="201"/>
      <c r="F470" s="123" t="s">
        <v>613</v>
      </c>
      <c r="G470" s="34"/>
      <c r="H470" s="16"/>
      <c r="I470" s="16"/>
      <c r="J470" s="17"/>
      <c r="K470" s="18">
        <f t="shared" si="367"/>
        <v>0</v>
      </c>
      <c r="L470" s="34"/>
      <c r="M470" s="16"/>
      <c r="N470" s="16"/>
      <c r="O470" s="17"/>
      <c r="P470" s="18">
        <f t="shared" si="356"/>
        <v>0</v>
      </c>
      <c r="Q470" s="34"/>
      <c r="R470" s="16"/>
      <c r="S470" s="16"/>
      <c r="T470" s="17"/>
      <c r="U470" s="18">
        <f t="shared" si="357"/>
        <v>0</v>
      </c>
      <c r="V470" s="34"/>
      <c r="W470" s="16"/>
      <c r="X470" s="16"/>
      <c r="Y470" s="17"/>
      <c r="Z470" s="18">
        <f t="shared" si="358"/>
        <v>0</v>
      </c>
      <c r="AA470" s="34"/>
      <c r="AB470" s="16"/>
      <c r="AC470" s="16"/>
      <c r="AD470" s="17"/>
      <c r="AE470" s="18">
        <f t="shared" si="359"/>
        <v>0</v>
      </c>
      <c r="AF470" s="34"/>
      <c r="AG470" s="16"/>
      <c r="AH470" s="16"/>
      <c r="AI470" s="17"/>
      <c r="AJ470" s="18">
        <f t="shared" si="360"/>
        <v>0</v>
      </c>
      <c r="AK470" s="34"/>
      <c r="AL470" s="16"/>
      <c r="AM470" s="16"/>
      <c r="AN470" s="17"/>
      <c r="AO470" s="18">
        <f t="shared" si="361"/>
        <v>0</v>
      </c>
      <c r="AP470" s="34"/>
      <c r="AQ470" s="16"/>
      <c r="AR470" s="16"/>
      <c r="AS470" s="17"/>
      <c r="AT470" s="18">
        <f t="shared" si="362"/>
        <v>0</v>
      </c>
      <c r="AU470" s="34"/>
      <c r="AV470" s="16"/>
      <c r="AW470" s="16"/>
      <c r="AX470" s="17"/>
      <c r="AY470" s="18">
        <f t="shared" si="363"/>
        <v>0</v>
      </c>
      <c r="AZ470" s="34"/>
      <c r="BA470" s="16"/>
      <c r="BB470" s="16"/>
      <c r="BC470" s="17"/>
      <c r="BD470" s="18">
        <f t="shared" si="364"/>
        <v>0</v>
      </c>
      <c r="BE470" s="34">
        <v>72</v>
      </c>
      <c r="BF470" s="16"/>
      <c r="BG470" s="16"/>
      <c r="BH470" s="17"/>
      <c r="BI470" s="18">
        <f t="shared" si="365"/>
        <v>72</v>
      </c>
      <c r="BJ470" s="34">
        <v>3026</v>
      </c>
      <c r="BK470" s="16"/>
      <c r="BL470" s="16"/>
      <c r="BM470" s="17"/>
      <c r="BN470" s="18">
        <f t="shared" si="355"/>
        <v>3026</v>
      </c>
      <c r="BO470" s="70">
        <f>SUM(G470,L470,Q470,V470,AA470,AF470,AK470,AP470,AU470,AZ470,BE470,BJ470)</f>
        <v>3098</v>
      </c>
      <c r="BP470" s="16">
        <f>SUM(H470,M470,R470,W470,AB470,AG470,AL470,AQ470,AV470,BA470,BF470,BK470)</f>
        <v>0</v>
      </c>
      <c r="BQ470" s="16">
        <f>SUM(I470,N470,S470,X470,AC470,AH470,AM470,AR470,AW470,BB470,BG470,BL470)</f>
        <v>0</v>
      </c>
      <c r="BR470" s="17">
        <f>SUM(J470,O470,T470,Y470,AD470,AI470,AN470,AS470,AX470,BC470,BH470,BM470)</f>
        <v>0</v>
      </c>
      <c r="BS470" s="35">
        <f t="shared" si="366"/>
        <v>3098</v>
      </c>
    </row>
    <row r="471" spans="2:71" x14ac:dyDescent="0.3">
      <c r="B471" s="254"/>
      <c r="C471" s="204"/>
      <c r="D471" s="200"/>
      <c r="E471" s="201"/>
      <c r="F471" s="123" t="s">
        <v>614</v>
      </c>
      <c r="G471" s="34"/>
      <c r="H471" s="16"/>
      <c r="I471" s="16"/>
      <c r="J471" s="17"/>
      <c r="K471" s="18">
        <f t="shared" si="367"/>
        <v>0</v>
      </c>
      <c r="L471" s="34"/>
      <c r="M471" s="16"/>
      <c r="N471" s="16"/>
      <c r="O471" s="17"/>
      <c r="P471" s="18">
        <f t="shared" si="356"/>
        <v>0</v>
      </c>
      <c r="Q471" s="34"/>
      <c r="R471" s="16"/>
      <c r="S471" s="16"/>
      <c r="T471" s="17"/>
      <c r="U471" s="18">
        <f t="shared" si="357"/>
        <v>0</v>
      </c>
      <c r="V471" s="34"/>
      <c r="W471" s="16"/>
      <c r="X471" s="16"/>
      <c r="Y471" s="17"/>
      <c r="Z471" s="18">
        <f t="shared" si="358"/>
        <v>0</v>
      </c>
      <c r="AA471" s="34"/>
      <c r="AB471" s="16"/>
      <c r="AC471" s="16"/>
      <c r="AD471" s="17"/>
      <c r="AE471" s="18">
        <f t="shared" si="359"/>
        <v>0</v>
      </c>
      <c r="AF471" s="34"/>
      <c r="AG471" s="16"/>
      <c r="AH471" s="16"/>
      <c r="AI471" s="17"/>
      <c r="AJ471" s="18">
        <f t="shared" si="360"/>
        <v>0</v>
      </c>
      <c r="AK471" s="34"/>
      <c r="AL471" s="16"/>
      <c r="AM471" s="16"/>
      <c r="AN471" s="17"/>
      <c r="AO471" s="18">
        <f t="shared" si="361"/>
        <v>0</v>
      </c>
      <c r="AP471" s="34"/>
      <c r="AQ471" s="16"/>
      <c r="AR471" s="16"/>
      <c r="AS471" s="17"/>
      <c r="AT471" s="18">
        <f t="shared" si="362"/>
        <v>0</v>
      </c>
      <c r="AU471" s="34"/>
      <c r="AV471" s="16"/>
      <c r="AW471" s="16"/>
      <c r="AX471" s="17"/>
      <c r="AY471" s="18">
        <f t="shared" si="363"/>
        <v>0</v>
      </c>
      <c r="AZ471" s="34"/>
      <c r="BA471" s="16"/>
      <c r="BB471" s="16"/>
      <c r="BC471" s="17"/>
      <c r="BD471" s="18">
        <f t="shared" si="364"/>
        <v>0</v>
      </c>
      <c r="BE471" s="34">
        <v>20</v>
      </c>
      <c r="BF471" s="16"/>
      <c r="BG471" s="16"/>
      <c r="BH471" s="17"/>
      <c r="BI471" s="18">
        <f t="shared" si="365"/>
        <v>20</v>
      </c>
      <c r="BJ471" s="34">
        <v>1733</v>
      </c>
      <c r="BK471" s="16"/>
      <c r="BL471" s="16"/>
      <c r="BM471" s="17"/>
      <c r="BN471" s="18">
        <f t="shared" si="355"/>
        <v>1733</v>
      </c>
      <c r="BO471" s="70">
        <f>SUM(G471,L471,Q471,V471,AA471,AF471,AK471,AP471,AU471,AZ471,BE471,BJ471)</f>
        <v>1753</v>
      </c>
      <c r="BP471" s="16">
        <f>SUM(H471,M471,R471,W471,AB471,AG471,AL471,AQ471,AV471,BA471,BF471,BK471)</f>
        <v>0</v>
      </c>
      <c r="BQ471" s="16">
        <f>SUM(I471,N471,S471,X471,AC471,AH471,AM471,AR471,AW471,BB471,BG471,BL471)</f>
        <v>0</v>
      </c>
      <c r="BR471" s="17">
        <f>SUM(J471,O471,T471,Y471,AD471,AI471,AN471,AS471,AX471,BC471,BH471,BM471)</f>
        <v>0</v>
      </c>
      <c r="BS471" s="35">
        <f t="shared" si="366"/>
        <v>1753</v>
      </c>
    </row>
    <row r="472" spans="2:71" x14ac:dyDescent="0.3">
      <c r="B472" s="254"/>
      <c r="C472" s="204"/>
      <c r="D472" s="200"/>
      <c r="E472" s="201"/>
      <c r="F472" s="123" t="s">
        <v>615</v>
      </c>
      <c r="G472" s="34"/>
      <c r="H472" s="16"/>
      <c r="I472" s="16"/>
      <c r="J472" s="17"/>
      <c r="K472" s="18">
        <f t="shared" si="367"/>
        <v>0</v>
      </c>
      <c r="L472" s="34"/>
      <c r="M472" s="16"/>
      <c r="N472" s="16"/>
      <c r="O472" s="17"/>
      <c r="P472" s="18">
        <f t="shared" si="356"/>
        <v>0</v>
      </c>
      <c r="Q472" s="34"/>
      <c r="R472" s="16"/>
      <c r="S472" s="16"/>
      <c r="T472" s="17"/>
      <c r="U472" s="18">
        <f t="shared" si="357"/>
        <v>0</v>
      </c>
      <c r="V472" s="34"/>
      <c r="W472" s="16"/>
      <c r="X472" s="16"/>
      <c r="Y472" s="17"/>
      <c r="Z472" s="18">
        <f t="shared" si="358"/>
        <v>0</v>
      </c>
      <c r="AA472" s="34"/>
      <c r="AB472" s="16"/>
      <c r="AC472" s="16"/>
      <c r="AD472" s="17"/>
      <c r="AE472" s="18">
        <f t="shared" si="359"/>
        <v>0</v>
      </c>
      <c r="AF472" s="34"/>
      <c r="AG472" s="16"/>
      <c r="AH472" s="16"/>
      <c r="AI472" s="17"/>
      <c r="AJ472" s="18">
        <f t="shared" si="360"/>
        <v>0</v>
      </c>
      <c r="AK472" s="34"/>
      <c r="AL472" s="16"/>
      <c r="AM472" s="16"/>
      <c r="AN472" s="17"/>
      <c r="AO472" s="18">
        <f t="shared" si="361"/>
        <v>0</v>
      </c>
      <c r="AP472" s="34"/>
      <c r="AQ472" s="16"/>
      <c r="AR472" s="16"/>
      <c r="AS472" s="17"/>
      <c r="AT472" s="18">
        <f t="shared" si="362"/>
        <v>0</v>
      </c>
      <c r="AU472" s="34"/>
      <c r="AV472" s="16"/>
      <c r="AW472" s="16"/>
      <c r="AX472" s="17"/>
      <c r="AY472" s="18">
        <f t="shared" si="363"/>
        <v>0</v>
      </c>
      <c r="AZ472" s="34"/>
      <c r="BA472" s="16"/>
      <c r="BB472" s="16"/>
      <c r="BC472" s="17"/>
      <c r="BD472" s="18">
        <f t="shared" si="364"/>
        <v>0</v>
      </c>
      <c r="BE472" s="34">
        <v>118</v>
      </c>
      <c r="BF472" s="16"/>
      <c r="BG472" s="16"/>
      <c r="BH472" s="17"/>
      <c r="BI472" s="18">
        <f t="shared" si="365"/>
        <v>118</v>
      </c>
      <c r="BJ472" s="34">
        <v>3213</v>
      </c>
      <c r="BK472" s="16"/>
      <c r="BL472" s="16"/>
      <c r="BM472" s="17"/>
      <c r="BN472" s="18">
        <f t="shared" si="355"/>
        <v>3213</v>
      </c>
      <c r="BO472" s="70">
        <f>SUM(G472,L472,Q472,V472,AA472,AF472,AK472,AP472,AU472,AZ472,BE472,BJ472)</f>
        <v>3331</v>
      </c>
      <c r="BP472" s="16">
        <f>SUM(H472,M472,R472,W472,AB472,AG472,AL472,AQ472,AV472,BA472,BF472,BK472)</f>
        <v>0</v>
      </c>
      <c r="BQ472" s="16">
        <f>SUM(I472,N472,S472,X472,AC472,AH472,AM472,AR472,AW472,BB472,BG472,BL472)</f>
        <v>0</v>
      </c>
      <c r="BR472" s="17">
        <f>SUM(J472,O472,T472,Y472,AD472,AI472,AN472,AS472,AX472,BC472,BH472,BM472)</f>
        <v>0</v>
      </c>
      <c r="BS472" s="35">
        <f t="shared" si="366"/>
        <v>3331</v>
      </c>
    </row>
    <row r="473" spans="2:71" x14ac:dyDescent="0.3">
      <c r="B473" s="254"/>
      <c r="C473" s="204"/>
      <c r="D473" s="200"/>
      <c r="E473" s="201"/>
      <c r="F473" s="123" t="s">
        <v>616</v>
      </c>
      <c r="G473" s="34"/>
      <c r="H473" s="16"/>
      <c r="I473" s="16"/>
      <c r="J473" s="17"/>
      <c r="K473" s="18">
        <f t="shared" si="367"/>
        <v>0</v>
      </c>
      <c r="L473" s="34"/>
      <c r="M473" s="16"/>
      <c r="N473" s="16"/>
      <c r="O473" s="17"/>
      <c r="P473" s="18">
        <f t="shared" si="356"/>
        <v>0</v>
      </c>
      <c r="Q473" s="34"/>
      <c r="R473" s="16"/>
      <c r="S473" s="16"/>
      <c r="T473" s="17"/>
      <c r="U473" s="18">
        <f t="shared" si="357"/>
        <v>0</v>
      </c>
      <c r="V473" s="34"/>
      <c r="W473" s="16"/>
      <c r="X473" s="16"/>
      <c r="Y473" s="17"/>
      <c r="Z473" s="18">
        <f t="shared" si="358"/>
        <v>0</v>
      </c>
      <c r="AA473" s="34"/>
      <c r="AB473" s="16"/>
      <c r="AC473" s="16"/>
      <c r="AD473" s="17"/>
      <c r="AE473" s="18">
        <f t="shared" si="359"/>
        <v>0</v>
      </c>
      <c r="AF473" s="34"/>
      <c r="AG473" s="16"/>
      <c r="AH473" s="16"/>
      <c r="AI473" s="17"/>
      <c r="AJ473" s="18">
        <f t="shared" si="360"/>
        <v>0</v>
      </c>
      <c r="AK473" s="34"/>
      <c r="AL473" s="16"/>
      <c r="AM473" s="16"/>
      <c r="AN473" s="17"/>
      <c r="AO473" s="18">
        <f t="shared" si="361"/>
        <v>0</v>
      </c>
      <c r="AP473" s="34"/>
      <c r="AQ473" s="16"/>
      <c r="AR473" s="16"/>
      <c r="AS473" s="17"/>
      <c r="AT473" s="18">
        <f t="shared" si="362"/>
        <v>0</v>
      </c>
      <c r="AU473" s="34"/>
      <c r="AV473" s="16"/>
      <c r="AW473" s="16"/>
      <c r="AX473" s="17"/>
      <c r="AY473" s="18">
        <f t="shared" si="363"/>
        <v>0</v>
      </c>
      <c r="AZ473" s="34"/>
      <c r="BA473" s="16"/>
      <c r="BB473" s="16"/>
      <c r="BC473" s="17"/>
      <c r="BD473" s="18">
        <f t="shared" si="364"/>
        <v>0</v>
      </c>
      <c r="BE473" s="34"/>
      <c r="BF473" s="16"/>
      <c r="BG473" s="16"/>
      <c r="BH473" s="17"/>
      <c r="BI473" s="18">
        <f t="shared" si="365"/>
        <v>0</v>
      </c>
      <c r="BJ473" s="34">
        <v>52</v>
      </c>
      <c r="BK473" s="16"/>
      <c r="BL473" s="16"/>
      <c r="BM473" s="17"/>
      <c r="BN473" s="18">
        <f t="shared" si="355"/>
        <v>52</v>
      </c>
      <c r="BO473" s="70">
        <f>SUM(G473,L473,Q473,V473,AA473,AF473,AK473,AP473,AU473,AZ473,BE473,BJ473)</f>
        <v>52</v>
      </c>
      <c r="BP473" s="16">
        <f>SUM(H473,M473,R473,W473,AB473,AG473,AL473,AQ473,AV473,BA473,BF473,BK473)</f>
        <v>0</v>
      </c>
      <c r="BQ473" s="16">
        <f>SUM(I473,N473,S473,X473,AC473,AH473,AM473,AR473,AW473,BB473,BG473,BL473)</f>
        <v>0</v>
      </c>
      <c r="BR473" s="17">
        <f>SUM(J473,O473,T473,Y473,AD473,AI473,AN473,AS473,AX473,BC473,BH473,BM473)</f>
        <v>0</v>
      </c>
      <c r="BS473" s="35">
        <f t="shared" si="366"/>
        <v>52</v>
      </c>
    </row>
    <row r="474" spans="2:71" x14ac:dyDescent="0.3">
      <c r="B474" s="254"/>
      <c r="C474" s="204"/>
      <c r="D474" s="200"/>
      <c r="E474" s="201"/>
      <c r="F474" s="123" t="s">
        <v>617</v>
      </c>
      <c r="G474" s="34"/>
      <c r="H474" s="16"/>
      <c r="I474" s="16"/>
      <c r="J474" s="17"/>
      <c r="K474" s="18">
        <f t="shared" si="367"/>
        <v>0</v>
      </c>
      <c r="L474" s="34"/>
      <c r="M474" s="16"/>
      <c r="N474" s="16"/>
      <c r="O474" s="17"/>
      <c r="P474" s="18">
        <f t="shared" si="356"/>
        <v>0</v>
      </c>
      <c r="Q474" s="34"/>
      <c r="R474" s="16"/>
      <c r="S474" s="16"/>
      <c r="T474" s="17"/>
      <c r="U474" s="18">
        <f t="shared" si="357"/>
        <v>0</v>
      </c>
      <c r="V474" s="34"/>
      <c r="W474" s="16"/>
      <c r="X474" s="16"/>
      <c r="Y474" s="17"/>
      <c r="Z474" s="18">
        <f t="shared" si="358"/>
        <v>0</v>
      </c>
      <c r="AA474" s="34"/>
      <c r="AB474" s="16"/>
      <c r="AC474" s="16"/>
      <c r="AD474" s="17"/>
      <c r="AE474" s="18">
        <f t="shared" si="359"/>
        <v>0</v>
      </c>
      <c r="AF474" s="34"/>
      <c r="AG474" s="16"/>
      <c r="AH474" s="16"/>
      <c r="AI474" s="17"/>
      <c r="AJ474" s="18">
        <f t="shared" si="360"/>
        <v>0</v>
      </c>
      <c r="AK474" s="34"/>
      <c r="AL474" s="16"/>
      <c r="AM474" s="16"/>
      <c r="AN474" s="17"/>
      <c r="AO474" s="18">
        <f t="shared" si="361"/>
        <v>0</v>
      </c>
      <c r="AP474" s="34"/>
      <c r="AQ474" s="16"/>
      <c r="AR474" s="16"/>
      <c r="AS474" s="17"/>
      <c r="AT474" s="18">
        <f t="shared" si="362"/>
        <v>0</v>
      </c>
      <c r="AU474" s="34"/>
      <c r="AV474" s="16"/>
      <c r="AW474" s="16"/>
      <c r="AX474" s="17"/>
      <c r="AY474" s="18">
        <f t="shared" si="363"/>
        <v>0</v>
      </c>
      <c r="AZ474" s="34"/>
      <c r="BA474" s="16"/>
      <c r="BB474" s="16"/>
      <c r="BC474" s="17"/>
      <c r="BD474" s="18">
        <f t="shared" si="364"/>
        <v>0</v>
      </c>
      <c r="BE474" s="34"/>
      <c r="BF474" s="16"/>
      <c r="BG474" s="16"/>
      <c r="BH474" s="17"/>
      <c r="BI474" s="18">
        <f t="shared" si="365"/>
        <v>0</v>
      </c>
      <c r="BJ474" s="34">
        <v>14</v>
      </c>
      <c r="BK474" s="16"/>
      <c r="BL474" s="16"/>
      <c r="BM474" s="17"/>
      <c r="BN474" s="18">
        <f t="shared" si="355"/>
        <v>14</v>
      </c>
      <c r="BO474" s="70">
        <f>SUM(G474,L474,Q474,V474,AA474,AF474,AK474,AP474,AU474,AZ474,BE474,BJ474)</f>
        <v>14</v>
      </c>
      <c r="BP474" s="16">
        <f>SUM(H474,M474,R474,W474,AB474,AG474,AL474,AQ474,AV474,BA474,BF474,BK474)</f>
        <v>0</v>
      </c>
      <c r="BQ474" s="16">
        <f>SUM(I474,N474,S474,X474,AC474,AH474,AM474,AR474,AW474,BB474,BG474,BL474)</f>
        <v>0</v>
      </c>
      <c r="BR474" s="17">
        <f>SUM(J474,O474,T474,Y474,AD474,AI474,AN474,AS474,AX474,BC474,BH474,BM474)</f>
        <v>0</v>
      </c>
      <c r="BS474" s="35">
        <f t="shared" si="366"/>
        <v>14</v>
      </c>
    </row>
    <row r="475" spans="2:71" x14ac:dyDescent="0.3">
      <c r="B475" s="254"/>
      <c r="C475" s="204"/>
      <c r="D475" s="200"/>
      <c r="E475" s="201"/>
      <c r="F475" s="124" t="s">
        <v>618</v>
      </c>
      <c r="G475" s="36"/>
      <c r="H475" s="10"/>
      <c r="I475" s="10"/>
      <c r="J475" s="11"/>
      <c r="K475" s="12">
        <f t="shared" si="367"/>
        <v>0</v>
      </c>
      <c r="L475" s="36"/>
      <c r="M475" s="10"/>
      <c r="N475" s="10"/>
      <c r="O475" s="11"/>
      <c r="P475" s="12">
        <f t="shared" si="356"/>
        <v>0</v>
      </c>
      <c r="Q475" s="36"/>
      <c r="R475" s="10"/>
      <c r="S475" s="10"/>
      <c r="T475" s="11"/>
      <c r="U475" s="12">
        <f t="shared" si="357"/>
        <v>0</v>
      </c>
      <c r="V475" s="36"/>
      <c r="W475" s="10"/>
      <c r="X475" s="10"/>
      <c r="Y475" s="11"/>
      <c r="Z475" s="12">
        <f t="shared" si="358"/>
        <v>0</v>
      </c>
      <c r="AA475" s="36"/>
      <c r="AB475" s="10"/>
      <c r="AC475" s="10"/>
      <c r="AD475" s="11"/>
      <c r="AE475" s="12">
        <f t="shared" si="359"/>
        <v>0</v>
      </c>
      <c r="AF475" s="36"/>
      <c r="AG475" s="10"/>
      <c r="AH475" s="10"/>
      <c r="AI475" s="11"/>
      <c r="AJ475" s="12">
        <f t="shared" si="360"/>
        <v>0</v>
      </c>
      <c r="AK475" s="36"/>
      <c r="AL475" s="10"/>
      <c r="AM475" s="10"/>
      <c r="AN475" s="11"/>
      <c r="AO475" s="12">
        <f t="shared" si="361"/>
        <v>0</v>
      </c>
      <c r="AP475" s="36"/>
      <c r="AQ475" s="10"/>
      <c r="AR475" s="10"/>
      <c r="AS475" s="11"/>
      <c r="AT475" s="12">
        <f t="shared" si="362"/>
        <v>0</v>
      </c>
      <c r="AU475" s="36"/>
      <c r="AV475" s="10"/>
      <c r="AW475" s="10"/>
      <c r="AX475" s="11"/>
      <c r="AY475" s="12">
        <f t="shared" si="363"/>
        <v>0</v>
      </c>
      <c r="AZ475" s="36"/>
      <c r="BA475" s="10"/>
      <c r="BB475" s="10"/>
      <c r="BC475" s="11"/>
      <c r="BD475" s="12">
        <f t="shared" si="364"/>
        <v>0</v>
      </c>
      <c r="BE475" s="36"/>
      <c r="BF475" s="10"/>
      <c r="BG475" s="10"/>
      <c r="BH475" s="11"/>
      <c r="BI475" s="12">
        <f t="shared" si="365"/>
        <v>0</v>
      </c>
      <c r="BJ475" s="36">
        <v>39</v>
      </c>
      <c r="BK475" s="10"/>
      <c r="BL475" s="10"/>
      <c r="BM475" s="11"/>
      <c r="BN475" s="12">
        <f t="shared" ref="BN475:BN484" si="368">SUM(BJ475:BM475)</f>
        <v>39</v>
      </c>
      <c r="BO475" s="71">
        <f>SUM(G475,L475,Q475,V475,AA475,AF475,AK475,AP475,AU475,AZ475,BE475,BJ475)</f>
        <v>39</v>
      </c>
      <c r="BP475" s="10">
        <f>SUM(H475,M475,R475,W475,AB475,AG475,AL475,AQ475,AV475,BA475,BF475,BK475)</f>
        <v>0</v>
      </c>
      <c r="BQ475" s="10">
        <f>SUM(I475,N475,S475,X475,AC475,AH475,AM475,AR475,AW475,BB475,BG475,BL475)</f>
        <v>0</v>
      </c>
      <c r="BR475" s="11">
        <f>SUM(J475,O475,T475,Y475,AD475,AI475,AN475,AS475,AX475,BC475,BH475,BM475)</f>
        <v>0</v>
      </c>
      <c r="BS475" s="37">
        <f t="shared" si="366"/>
        <v>39</v>
      </c>
    </row>
    <row r="476" spans="2:71" s="97" customFormat="1" x14ac:dyDescent="0.3">
      <c r="B476" s="254"/>
      <c r="C476" s="204"/>
      <c r="D476" s="202"/>
      <c r="E476" s="203"/>
      <c r="F476" s="113" t="s">
        <v>54</v>
      </c>
      <c r="G476" s="98">
        <f>SUM(G431:G475)</f>
        <v>14334</v>
      </c>
      <c r="H476" s="99">
        <f>SUM(H431:H475)</f>
        <v>0</v>
      </c>
      <c r="I476" s="99">
        <f>SUM(I431:I475)</f>
        <v>0</v>
      </c>
      <c r="J476" s="100">
        <f>SUM(J431:J475)</f>
        <v>0</v>
      </c>
      <c r="K476" s="101">
        <f t="shared" si="367"/>
        <v>14334</v>
      </c>
      <c r="L476" s="98">
        <f>SUM(L431:L475)</f>
        <v>19122</v>
      </c>
      <c r="M476" s="99">
        <f>SUM(M431:M475)</f>
        <v>0</v>
      </c>
      <c r="N476" s="99">
        <f>SUM(N431:N475)</f>
        <v>0</v>
      </c>
      <c r="O476" s="100">
        <f>SUM(O431:O475)</f>
        <v>0</v>
      </c>
      <c r="P476" s="101">
        <f t="shared" ref="P476:P484" si="369">SUM(L476:O476)</f>
        <v>19122</v>
      </c>
      <c r="Q476" s="98">
        <f>SUM(Q431:Q475)</f>
        <v>17479</v>
      </c>
      <c r="R476" s="99">
        <f>SUM(R431:R475)</f>
        <v>0</v>
      </c>
      <c r="S476" s="99">
        <f>SUM(S431:S475)</f>
        <v>0</v>
      </c>
      <c r="T476" s="100">
        <f>SUM(T431:T475)</f>
        <v>0</v>
      </c>
      <c r="U476" s="101">
        <f t="shared" ref="U476:U484" si="370">SUM(Q476:T476)</f>
        <v>17479</v>
      </c>
      <c r="V476" s="98">
        <f>SUM(V431:V475)</f>
        <v>34175</v>
      </c>
      <c r="W476" s="99">
        <f>SUM(W431:W475)</f>
        <v>0</v>
      </c>
      <c r="X476" s="99">
        <f>SUM(X431:X475)</f>
        <v>0</v>
      </c>
      <c r="Y476" s="100">
        <f>SUM(Y431:Y475)</f>
        <v>0</v>
      </c>
      <c r="Z476" s="101">
        <f t="shared" ref="Z476:Z484" si="371">SUM(V476:Y476)</f>
        <v>34175</v>
      </c>
      <c r="AA476" s="98">
        <f>SUM(AA431:AA475)</f>
        <v>34515</v>
      </c>
      <c r="AB476" s="99">
        <f>SUM(AB431:AB475)</f>
        <v>0</v>
      </c>
      <c r="AC476" s="99">
        <f>SUM(AC431:AC475)</f>
        <v>0</v>
      </c>
      <c r="AD476" s="100">
        <f>SUM(AD431:AD475)</f>
        <v>0</v>
      </c>
      <c r="AE476" s="101">
        <f t="shared" ref="AE476:AE484" si="372">SUM(AA476:AD476)</f>
        <v>34515</v>
      </c>
      <c r="AF476" s="98">
        <f>SUM(AF431:AF475)</f>
        <v>30286</v>
      </c>
      <c r="AG476" s="99">
        <f>SUM(AG431:AG475)</f>
        <v>0</v>
      </c>
      <c r="AH476" s="99">
        <f>SUM(AH431:AH475)</f>
        <v>0</v>
      </c>
      <c r="AI476" s="100">
        <f>SUM(AI431:AI475)</f>
        <v>0</v>
      </c>
      <c r="AJ476" s="101">
        <f t="shared" ref="AJ476:AJ484" si="373">SUM(AF476:AI476)</f>
        <v>30286</v>
      </c>
      <c r="AK476" s="98">
        <f>SUM(AK431:AK475)</f>
        <v>11375</v>
      </c>
      <c r="AL476" s="99">
        <f>SUM(AL431:AL475)</f>
        <v>0</v>
      </c>
      <c r="AM476" s="99">
        <f>SUM(AM431:AM475)</f>
        <v>0</v>
      </c>
      <c r="AN476" s="100">
        <f>SUM(AN431:AN475)</f>
        <v>0</v>
      </c>
      <c r="AO476" s="101">
        <f t="shared" ref="AO476:AO484" si="374">SUM(AK476:AN476)</f>
        <v>11375</v>
      </c>
      <c r="AP476" s="98">
        <f>SUM(AP431:AP475)</f>
        <v>15564</v>
      </c>
      <c r="AQ476" s="99">
        <f>SUM(AQ431:AQ475)</f>
        <v>0</v>
      </c>
      <c r="AR476" s="99">
        <f>SUM(AR431:AR475)</f>
        <v>0</v>
      </c>
      <c r="AS476" s="100">
        <f>SUM(AS431:AS475)</f>
        <v>0</v>
      </c>
      <c r="AT476" s="101">
        <f t="shared" ref="AT476:AT484" si="375">SUM(AP476:AS476)</f>
        <v>15564</v>
      </c>
      <c r="AU476" s="98">
        <f>SUM(AU431:AU475)</f>
        <v>29825</v>
      </c>
      <c r="AV476" s="99">
        <f>SUM(AV431:AV475)</f>
        <v>0</v>
      </c>
      <c r="AW476" s="99">
        <f>SUM(AW431:AW475)</f>
        <v>0</v>
      </c>
      <c r="AX476" s="100">
        <f>SUM(AX431:AX475)</f>
        <v>0</v>
      </c>
      <c r="AY476" s="101">
        <f t="shared" ref="AY476:AY484" si="376">SUM(AU476:AX476)</f>
        <v>29825</v>
      </c>
      <c r="AZ476" s="98">
        <f>SUM(AZ431:AZ475)</f>
        <v>49021</v>
      </c>
      <c r="BA476" s="99">
        <f>SUM(BA431:BA475)</f>
        <v>0</v>
      </c>
      <c r="BB476" s="99">
        <f>SUM(BB431:BB475)</f>
        <v>0</v>
      </c>
      <c r="BC476" s="100">
        <f>SUM(BC431:BC475)</f>
        <v>0</v>
      </c>
      <c r="BD476" s="101">
        <f t="shared" ref="BD476:BD484" si="377">SUM(AZ476:BC476)</f>
        <v>49021</v>
      </c>
      <c r="BE476" s="98">
        <f>SUM(BE431:BE475)</f>
        <v>26119</v>
      </c>
      <c r="BF476" s="99">
        <f>SUM(BF431:BF475)</f>
        <v>0</v>
      </c>
      <c r="BG476" s="99">
        <f>SUM(BG431:BG475)</f>
        <v>0</v>
      </c>
      <c r="BH476" s="100">
        <f>SUM(BH431:BH475)</f>
        <v>0</v>
      </c>
      <c r="BI476" s="101">
        <f t="shared" ref="BI476:BI484" si="378">SUM(BE476:BH476)</f>
        <v>26119</v>
      </c>
      <c r="BJ476" s="98">
        <f>SUM(BJ431:BJ475)</f>
        <v>8909</v>
      </c>
      <c r="BK476" s="99">
        <f>SUM(BK431:BK475)</f>
        <v>0</v>
      </c>
      <c r="BL476" s="99">
        <f>SUM(BL431:BL475)</f>
        <v>0</v>
      </c>
      <c r="BM476" s="100">
        <f>SUM(BM431:BM475)</f>
        <v>0</v>
      </c>
      <c r="BN476" s="101">
        <f t="shared" si="368"/>
        <v>8909</v>
      </c>
      <c r="BO476" s="103">
        <f>SUM(BO431:BO475)</f>
        <v>290724</v>
      </c>
      <c r="BP476" s="99">
        <f>SUM(BP431:BP475)</f>
        <v>0</v>
      </c>
      <c r="BQ476" s="99">
        <f>SUM(BQ431:BQ475)</f>
        <v>0</v>
      </c>
      <c r="BR476" s="100">
        <f>SUM(BR431:BR475)</f>
        <v>0</v>
      </c>
      <c r="BS476" s="102">
        <f t="shared" si="366"/>
        <v>290724</v>
      </c>
    </row>
    <row r="477" spans="2:71" x14ac:dyDescent="0.3">
      <c r="B477" s="254"/>
      <c r="C477" s="206"/>
      <c r="D477" s="96"/>
      <c r="E477" s="96"/>
      <c r="F477" s="118"/>
      <c r="G477" s="42">
        <f>SUM(G430,G476)</f>
        <v>16569</v>
      </c>
      <c r="H477" s="25">
        <f>SUM(H430,H476)</f>
        <v>0</v>
      </c>
      <c r="I477" s="25">
        <f>SUM(I430,I476)</f>
        <v>0</v>
      </c>
      <c r="J477" s="26">
        <f>SUM(J430,J476)</f>
        <v>0</v>
      </c>
      <c r="K477" s="27">
        <f t="shared" si="367"/>
        <v>16569</v>
      </c>
      <c r="L477" s="42">
        <f>SUM(L430,L476)</f>
        <v>22382</v>
      </c>
      <c r="M477" s="25">
        <f>SUM(M430,M476)</f>
        <v>0</v>
      </c>
      <c r="N477" s="25">
        <f>SUM(N430,N476)</f>
        <v>0</v>
      </c>
      <c r="O477" s="26">
        <f>SUM(O430,O476)</f>
        <v>0</v>
      </c>
      <c r="P477" s="27">
        <f t="shared" si="369"/>
        <v>22382</v>
      </c>
      <c r="Q477" s="42">
        <f>SUM(Q430,Q476)</f>
        <v>19511</v>
      </c>
      <c r="R477" s="25">
        <f>SUM(R430,R476)</f>
        <v>0</v>
      </c>
      <c r="S477" s="25">
        <f>SUM(S430,S476)</f>
        <v>0</v>
      </c>
      <c r="T477" s="26">
        <f>SUM(T430,T476)</f>
        <v>0</v>
      </c>
      <c r="U477" s="27">
        <f t="shared" si="370"/>
        <v>19511</v>
      </c>
      <c r="V477" s="42">
        <f>SUM(V430,V476)</f>
        <v>42247</v>
      </c>
      <c r="W477" s="25">
        <f>SUM(W430,W476)</f>
        <v>0</v>
      </c>
      <c r="X477" s="25">
        <f>SUM(X430,X476)</f>
        <v>0</v>
      </c>
      <c r="Y477" s="26">
        <f>SUM(Y430,Y476)</f>
        <v>0</v>
      </c>
      <c r="Z477" s="27">
        <f t="shared" si="371"/>
        <v>42247</v>
      </c>
      <c r="AA477" s="42">
        <f>SUM(AA430,AA476)</f>
        <v>39241</v>
      </c>
      <c r="AB477" s="25">
        <f>SUM(AB430,AB476)</f>
        <v>0</v>
      </c>
      <c r="AC477" s="25">
        <f>SUM(AC430,AC476)</f>
        <v>0</v>
      </c>
      <c r="AD477" s="26">
        <f>SUM(AD430,AD476)</f>
        <v>0</v>
      </c>
      <c r="AE477" s="27">
        <f t="shared" si="372"/>
        <v>39241</v>
      </c>
      <c r="AF477" s="42">
        <f>SUM(AF430,AF476)</f>
        <v>35349</v>
      </c>
      <c r="AG477" s="25">
        <f>SUM(AG430,AG476)</f>
        <v>0</v>
      </c>
      <c r="AH477" s="25">
        <f>SUM(AH430,AH476)</f>
        <v>2</v>
      </c>
      <c r="AI477" s="26">
        <f>SUM(AI430,AI476)</f>
        <v>0</v>
      </c>
      <c r="AJ477" s="27">
        <f t="shared" si="373"/>
        <v>35351</v>
      </c>
      <c r="AK477" s="42">
        <f>SUM(AK430,AK476)</f>
        <v>12823</v>
      </c>
      <c r="AL477" s="25">
        <f>SUM(AL430,AL476)</f>
        <v>0</v>
      </c>
      <c r="AM477" s="25">
        <f>SUM(AM430,AM476)</f>
        <v>0</v>
      </c>
      <c r="AN477" s="26">
        <f>SUM(AN430,AN476)</f>
        <v>0</v>
      </c>
      <c r="AO477" s="27">
        <f t="shared" si="374"/>
        <v>12823</v>
      </c>
      <c r="AP477" s="42">
        <f>SUM(AP430,AP476)</f>
        <v>18158</v>
      </c>
      <c r="AQ477" s="25">
        <f>SUM(AQ430,AQ476)</f>
        <v>0</v>
      </c>
      <c r="AR477" s="25">
        <f>SUM(AR430,AR476)</f>
        <v>0</v>
      </c>
      <c r="AS477" s="26">
        <f>SUM(AS430,AS476)</f>
        <v>0</v>
      </c>
      <c r="AT477" s="27">
        <f t="shared" si="375"/>
        <v>18158</v>
      </c>
      <c r="AU477" s="42">
        <f>SUM(AU430,AU476)</f>
        <v>34729</v>
      </c>
      <c r="AV477" s="25">
        <f>SUM(AV430,AV476)</f>
        <v>0</v>
      </c>
      <c r="AW477" s="25">
        <f>SUM(AW430,AW476)</f>
        <v>0</v>
      </c>
      <c r="AX477" s="26">
        <f>SUM(AX430,AX476)</f>
        <v>0</v>
      </c>
      <c r="AY477" s="27">
        <f t="shared" si="376"/>
        <v>34729</v>
      </c>
      <c r="AZ477" s="42">
        <f>SUM(AZ430,AZ476)</f>
        <v>55472</v>
      </c>
      <c r="BA477" s="25">
        <f>SUM(BA430,BA476)</f>
        <v>0</v>
      </c>
      <c r="BB477" s="25">
        <f>SUM(BB430,BB476)</f>
        <v>0</v>
      </c>
      <c r="BC477" s="26">
        <f>SUM(BC430,BC476)</f>
        <v>0</v>
      </c>
      <c r="BD477" s="27">
        <f t="shared" si="377"/>
        <v>55472</v>
      </c>
      <c r="BE477" s="42">
        <f>SUM(BE430,BE476)</f>
        <v>30560</v>
      </c>
      <c r="BF477" s="25">
        <f>SUM(BF430,BF476)</f>
        <v>0</v>
      </c>
      <c r="BG477" s="25">
        <f>SUM(BG430,BG476)</f>
        <v>0</v>
      </c>
      <c r="BH477" s="26">
        <f>SUM(BH430,BH476)</f>
        <v>0</v>
      </c>
      <c r="BI477" s="27">
        <f t="shared" si="378"/>
        <v>30560</v>
      </c>
      <c r="BJ477" s="42">
        <f>SUM(BJ430,BJ476)</f>
        <v>10397</v>
      </c>
      <c r="BK477" s="25">
        <f>SUM(BK430,BK476)</f>
        <v>0</v>
      </c>
      <c r="BL477" s="25">
        <f>SUM(BL430,BL476)</f>
        <v>0</v>
      </c>
      <c r="BM477" s="26">
        <f>SUM(BM430,BM476)</f>
        <v>0</v>
      </c>
      <c r="BN477" s="27">
        <f t="shared" si="368"/>
        <v>10397</v>
      </c>
      <c r="BO477" s="74">
        <f>SUM(BO430,BO476)</f>
        <v>337438</v>
      </c>
      <c r="BP477" s="25">
        <f>SUM(BP430,BP476)</f>
        <v>0</v>
      </c>
      <c r="BQ477" s="25">
        <f>SUM(BQ430,BQ476)</f>
        <v>2</v>
      </c>
      <c r="BR477" s="26">
        <f>SUM(BR430,BR476)</f>
        <v>0</v>
      </c>
      <c r="BS477" s="43">
        <f t="shared" si="366"/>
        <v>337440</v>
      </c>
    </row>
    <row r="478" spans="2:71" x14ac:dyDescent="0.3">
      <c r="B478" s="254"/>
      <c r="C478" s="204" t="s">
        <v>199</v>
      </c>
      <c r="D478" s="205"/>
      <c r="E478" s="205"/>
      <c r="F478" s="123" t="s">
        <v>107</v>
      </c>
      <c r="G478" s="34">
        <v>10</v>
      </c>
      <c r="H478" s="16"/>
      <c r="I478" s="16"/>
      <c r="J478" s="17"/>
      <c r="K478" s="18">
        <f t="shared" ref="K478" si="379">SUM(G478:J478)</f>
        <v>10</v>
      </c>
      <c r="L478" s="34">
        <v>20</v>
      </c>
      <c r="M478" s="16"/>
      <c r="N478" s="16"/>
      <c r="O478" s="17"/>
      <c r="P478" s="18">
        <f t="shared" si="369"/>
        <v>20</v>
      </c>
      <c r="Q478" s="34">
        <v>10</v>
      </c>
      <c r="R478" s="16"/>
      <c r="S478" s="16"/>
      <c r="T478" s="17"/>
      <c r="U478" s="18">
        <f t="shared" si="370"/>
        <v>10</v>
      </c>
      <c r="V478" s="34"/>
      <c r="W478" s="16"/>
      <c r="X478" s="16"/>
      <c r="Y478" s="17"/>
      <c r="Z478" s="18">
        <f t="shared" si="371"/>
        <v>0</v>
      </c>
      <c r="AA478" s="34"/>
      <c r="AB478" s="16"/>
      <c r="AC478" s="16"/>
      <c r="AD478" s="17"/>
      <c r="AE478" s="18">
        <f t="shared" si="372"/>
        <v>0</v>
      </c>
      <c r="AF478" s="34"/>
      <c r="AG478" s="16"/>
      <c r="AH478" s="16"/>
      <c r="AI478" s="17"/>
      <c r="AJ478" s="18">
        <f t="shared" si="373"/>
        <v>0</v>
      </c>
      <c r="AK478" s="34"/>
      <c r="AL478" s="16"/>
      <c r="AM478" s="16"/>
      <c r="AN478" s="17"/>
      <c r="AO478" s="18">
        <f t="shared" si="374"/>
        <v>0</v>
      </c>
      <c r="AP478" s="34"/>
      <c r="AQ478" s="16"/>
      <c r="AR478" s="16"/>
      <c r="AS478" s="17"/>
      <c r="AT478" s="18">
        <f t="shared" si="375"/>
        <v>0</v>
      </c>
      <c r="AU478" s="34"/>
      <c r="AV478" s="16"/>
      <c r="AW478" s="16"/>
      <c r="AX478" s="17"/>
      <c r="AY478" s="18">
        <f t="shared" si="376"/>
        <v>0</v>
      </c>
      <c r="AZ478" s="34"/>
      <c r="BA478" s="16"/>
      <c r="BB478" s="16"/>
      <c r="BC478" s="17"/>
      <c r="BD478" s="18">
        <f t="shared" si="377"/>
        <v>0</v>
      </c>
      <c r="BE478" s="34"/>
      <c r="BF478" s="16"/>
      <c r="BG478" s="16"/>
      <c r="BH478" s="17"/>
      <c r="BI478" s="18">
        <f t="shared" si="378"/>
        <v>0</v>
      </c>
      <c r="BJ478" s="34"/>
      <c r="BK478" s="16"/>
      <c r="BL478" s="16"/>
      <c r="BM478" s="17"/>
      <c r="BN478" s="18">
        <f t="shared" si="368"/>
        <v>0</v>
      </c>
      <c r="BO478" s="70">
        <f>SUM(G478,L478,Q478,V478,AA478,AF478,AK478,AP478,AU478,AZ478,BE478,BJ478)</f>
        <v>40</v>
      </c>
      <c r="BP478" s="16">
        <f>SUM(H478,M478,R478,W478,AB478,AG478,AL478,AQ478,AV478,BA478,BF478,BK478)</f>
        <v>0</v>
      </c>
      <c r="BQ478" s="16">
        <f>SUM(I478,N478,S478,X478,AC478,AH478,AM478,AR478,AW478,BB478,BG478,BL478)</f>
        <v>0</v>
      </c>
      <c r="BR478" s="17">
        <f>SUM(J478,O478,T478,Y478,AD478,AI478,AN478,AS478,AX478,BC478,BH478,BM478)</f>
        <v>0</v>
      </c>
      <c r="BS478" s="35">
        <f t="shared" si="366"/>
        <v>40</v>
      </c>
    </row>
    <row r="479" spans="2:71" x14ac:dyDescent="0.3">
      <c r="B479" s="254"/>
      <c r="C479" s="204"/>
      <c r="D479" s="205"/>
      <c r="E479" s="205"/>
      <c r="F479" s="124" t="s">
        <v>619</v>
      </c>
      <c r="G479" s="36"/>
      <c r="H479" s="10"/>
      <c r="I479" s="10"/>
      <c r="J479" s="11"/>
      <c r="K479" s="12">
        <f t="shared" ref="K479" si="380">SUM(G479:J479)</f>
        <v>0</v>
      </c>
      <c r="L479" s="36"/>
      <c r="M479" s="10"/>
      <c r="N479" s="10"/>
      <c r="O479" s="11"/>
      <c r="P479" s="12">
        <f t="shared" si="369"/>
        <v>0</v>
      </c>
      <c r="Q479" s="36">
        <v>37</v>
      </c>
      <c r="R479" s="10"/>
      <c r="S479" s="10"/>
      <c r="T479" s="11"/>
      <c r="U479" s="12">
        <f t="shared" si="370"/>
        <v>37</v>
      </c>
      <c r="V479" s="36">
        <v>106</v>
      </c>
      <c r="W479" s="10"/>
      <c r="X479" s="10"/>
      <c r="Y479" s="11"/>
      <c r="Z479" s="12">
        <f t="shared" si="371"/>
        <v>106</v>
      </c>
      <c r="AA479" s="36">
        <v>105</v>
      </c>
      <c r="AB479" s="10"/>
      <c r="AC479" s="10"/>
      <c r="AD479" s="11"/>
      <c r="AE479" s="12">
        <f t="shared" si="372"/>
        <v>105</v>
      </c>
      <c r="AF479" s="36">
        <v>50</v>
      </c>
      <c r="AG479" s="10"/>
      <c r="AH479" s="10"/>
      <c r="AI479" s="11"/>
      <c r="AJ479" s="12">
        <f t="shared" si="373"/>
        <v>50</v>
      </c>
      <c r="AK479" s="36">
        <v>108</v>
      </c>
      <c r="AL479" s="10"/>
      <c r="AM479" s="10"/>
      <c r="AN479" s="11"/>
      <c r="AO479" s="12">
        <f t="shared" si="374"/>
        <v>108</v>
      </c>
      <c r="AP479" s="36">
        <v>10</v>
      </c>
      <c r="AQ479" s="10"/>
      <c r="AR479" s="10"/>
      <c r="AS479" s="11"/>
      <c r="AT479" s="12">
        <f t="shared" si="375"/>
        <v>10</v>
      </c>
      <c r="AU479" s="36">
        <v>200</v>
      </c>
      <c r="AV479" s="10"/>
      <c r="AW479" s="10"/>
      <c r="AX479" s="11"/>
      <c r="AY479" s="12">
        <f t="shared" si="376"/>
        <v>200</v>
      </c>
      <c r="AZ479" s="36">
        <v>52</v>
      </c>
      <c r="BA479" s="10"/>
      <c r="BB479" s="10"/>
      <c r="BC479" s="11"/>
      <c r="BD479" s="12">
        <f t="shared" si="377"/>
        <v>52</v>
      </c>
      <c r="BE479" s="36">
        <v>138</v>
      </c>
      <c r="BF479" s="10"/>
      <c r="BG479" s="10"/>
      <c r="BH479" s="11"/>
      <c r="BI479" s="12">
        <f t="shared" si="378"/>
        <v>138</v>
      </c>
      <c r="BJ479" s="36"/>
      <c r="BK479" s="10"/>
      <c r="BL479" s="10"/>
      <c r="BM479" s="11"/>
      <c r="BN479" s="12">
        <f t="shared" si="368"/>
        <v>0</v>
      </c>
      <c r="BO479" s="71">
        <f>SUM(G479,L479,Q479,V479,AA479,AF479,AK479,AP479,AU479,AZ479,BE479,BJ479)</f>
        <v>806</v>
      </c>
      <c r="BP479" s="10">
        <f>SUM(H479,M479,R479,W479,AB479,AG479,AL479,AQ479,AV479,BA479,BF479,BK479)</f>
        <v>0</v>
      </c>
      <c r="BQ479" s="10">
        <f>SUM(I479,N479,S479,X479,AC479,AH479,AM479,AR479,AW479,BB479,BG479,BL479)</f>
        <v>0</v>
      </c>
      <c r="BR479" s="11">
        <f>SUM(J479,O479,T479,Y479,AD479,AI479,AN479,AS479,AX479,BC479,BH479,BM479)</f>
        <v>0</v>
      </c>
      <c r="BS479" s="37">
        <f t="shared" si="366"/>
        <v>806</v>
      </c>
    </row>
    <row r="480" spans="2:71" x14ac:dyDescent="0.3">
      <c r="B480" s="254"/>
      <c r="C480" s="206"/>
      <c r="D480" s="207"/>
      <c r="E480" s="207"/>
      <c r="F480" s="117"/>
      <c r="G480" s="42">
        <f>SUM(G478:G479)</f>
        <v>10</v>
      </c>
      <c r="H480" s="25">
        <f>SUM(H478:H479)</f>
        <v>0</v>
      </c>
      <c r="I480" s="25">
        <f>SUM(I478:I479)</f>
        <v>0</v>
      </c>
      <c r="J480" s="26">
        <f>SUM(J478:J479)</f>
        <v>0</v>
      </c>
      <c r="K480" s="27">
        <f t="shared" si="367"/>
        <v>10</v>
      </c>
      <c r="L480" s="42">
        <f>SUM(L478:L479)</f>
        <v>20</v>
      </c>
      <c r="M480" s="25">
        <f>SUM(M478:M479)</f>
        <v>0</v>
      </c>
      <c r="N480" s="25">
        <f>SUM(N478:N479)</f>
        <v>0</v>
      </c>
      <c r="O480" s="26">
        <f>SUM(O478:O479)</f>
        <v>0</v>
      </c>
      <c r="P480" s="27">
        <f t="shared" si="369"/>
        <v>20</v>
      </c>
      <c r="Q480" s="42">
        <f>SUM(Q478:Q479)</f>
        <v>47</v>
      </c>
      <c r="R480" s="25">
        <f>SUM(R478:R479)</f>
        <v>0</v>
      </c>
      <c r="S480" s="25">
        <f>SUM(S478:S479)</f>
        <v>0</v>
      </c>
      <c r="T480" s="26">
        <f>SUM(T478:T479)</f>
        <v>0</v>
      </c>
      <c r="U480" s="27">
        <f t="shared" si="370"/>
        <v>47</v>
      </c>
      <c r="V480" s="42">
        <f>SUM(V478:V479)</f>
        <v>106</v>
      </c>
      <c r="W480" s="25">
        <f>SUM(W478:W479)</f>
        <v>0</v>
      </c>
      <c r="X480" s="25">
        <f>SUM(X478:X479)</f>
        <v>0</v>
      </c>
      <c r="Y480" s="26">
        <f>SUM(Y478:Y479)</f>
        <v>0</v>
      </c>
      <c r="Z480" s="27">
        <f t="shared" si="371"/>
        <v>106</v>
      </c>
      <c r="AA480" s="42">
        <f>SUM(AA478:AA479)</f>
        <v>105</v>
      </c>
      <c r="AB480" s="25">
        <f>SUM(AB478:AB479)</f>
        <v>0</v>
      </c>
      <c r="AC480" s="25">
        <f>SUM(AC478:AC479)</f>
        <v>0</v>
      </c>
      <c r="AD480" s="26">
        <f>SUM(AD478:AD479)</f>
        <v>0</v>
      </c>
      <c r="AE480" s="27">
        <f t="shared" si="372"/>
        <v>105</v>
      </c>
      <c r="AF480" s="42">
        <f>SUM(AF478:AF479)</f>
        <v>50</v>
      </c>
      <c r="AG480" s="25">
        <f>SUM(AG478:AG479)</f>
        <v>0</v>
      </c>
      <c r="AH480" s="25">
        <f>SUM(AH478:AH479)</f>
        <v>0</v>
      </c>
      <c r="AI480" s="26">
        <f>SUM(AI478:AI479)</f>
        <v>0</v>
      </c>
      <c r="AJ480" s="27">
        <f t="shared" si="373"/>
        <v>50</v>
      </c>
      <c r="AK480" s="42">
        <f>SUM(AK478:AK479)</f>
        <v>108</v>
      </c>
      <c r="AL480" s="25">
        <f>SUM(AL478:AL479)</f>
        <v>0</v>
      </c>
      <c r="AM480" s="25">
        <f>SUM(AM478:AM479)</f>
        <v>0</v>
      </c>
      <c r="AN480" s="26">
        <f>SUM(AN478:AN479)</f>
        <v>0</v>
      </c>
      <c r="AO480" s="27">
        <f t="shared" si="374"/>
        <v>108</v>
      </c>
      <c r="AP480" s="42">
        <f>SUM(AP478:AP479)</f>
        <v>10</v>
      </c>
      <c r="AQ480" s="25">
        <f>SUM(AQ478:AQ479)</f>
        <v>0</v>
      </c>
      <c r="AR480" s="25">
        <f>SUM(AR478:AR479)</f>
        <v>0</v>
      </c>
      <c r="AS480" s="26">
        <f>SUM(AS478:AS479)</f>
        <v>0</v>
      </c>
      <c r="AT480" s="27">
        <f t="shared" si="375"/>
        <v>10</v>
      </c>
      <c r="AU480" s="42">
        <f>SUM(AU478:AU479)</f>
        <v>200</v>
      </c>
      <c r="AV480" s="25">
        <f>SUM(AV478:AV479)</f>
        <v>0</v>
      </c>
      <c r="AW480" s="25">
        <f>SUM(AW478:AW479)</f>
        <v>0</v>
      </c>
      <c r="AX480" s="26">
        <f>SUM(AX478:AX479)</f>
        <v>0</v>
      </c>
      <c r="AY480" s="27">
        <f t="shared" si="376"/>
        <v>200</v>
      </c>
      <c r="AZ480" s="42">
        <f>SUM(AZ478:AZ479)</f>
        <v>52</v>
      </c>
      <c r="BA480" s="25">
        <f>SUM(BA478:BA479)</f>
        <v>0</v>
      </c>
      <c r="BB480" s="25">
        <f>SUM(BB478:BB479)</f>
        <v>0</v>
      </c>
      <c r="BC480" s="26">
        <f>SUM(BC478:BC479)</f>
        <v>0</v>
      </c>
      <c r="BD480" s="27">
        <f t="shared" si="377"/>
        <v>52</v>
      </c>
      <c r="BE480" s="42">
        <f>SUM(BE478:BE479)</f>
        <v>138</v>
      </c>
      <c r="BF480" s="25">
        <f>SUM(BF478:BF479)</f>
        <v>0</v>
      </c>
      <c r="BG480" s="25">
        <f>SUM(BG478:BG479)</f>
        <v>0</v>
      </c>
      <c r="BH480" s="26">
        <f>SUM(BH478:BH479)</f>
        <v>0</v>
      </c>
      <c r="BI480" s="27">
        <f t="shared" si="378"/>
        <v>138</v>
      </c>
      <c r="BJ480" s="42">
        <f>SUM(BJ478:BJ479)</f>
        <v>0</v>
      </c>
      <c r="BK480" s="25">
        <f>SUM(BK478:BK479)</f>
        <v>0</v>
      </c>
      <c r="BL480" s="25">
        <f>SUM(BL478:BL479)</f>
        <v>0</v>
      </c>
      <c r="BM480" s="26">
        <f>SUM(BM478:BM479)</f>
        <v>0</v>
      </c>
      <c r="BN480" s="27">
        <f t="shared" si="368"/>
        <v>0</v>
      </c>
      <c r="BO480" s="74">
        <f>SUM(BO478:BO479)</f>
        <v>846</v>
      </c>
      <c r="BP480" s="25">
        <f>SUM(BP478:BP479)</f>
        <v>0</v>
      </c>
      <c r="BQ480" s="25">
        <f>SUM(BQ478:BQ479)</f>
        <v>0</v>
      </c>
      <c r="BR480" s="26">
        <f>SUM(BR478:BR479)</f>
        <v>0</v>
      </c>
      <c r="BS480" s="43">
        <f t="shared" si="366"/>
        <v>846</v>
      </c>
    </row>
    <row r="481" spans="2:71" x14ac:dyDescent="0.3">
      <c r="B481" s="254"/>
      <c r="C481" s="208" t="s">
        <v>5</v>
      </c>
      <c r="D481" s="209"/>
      <c r="E481" s="209"/>
      <c r="F481" s="146" t="s">
        <v>127</v>
      </c>
      <c r="G481" s="30">
        <v>48</v>
      </c>
      <c r="H481" s="7"/>
      <c r="I481" s="7"/>
      <c r="J481" s="8"/>
      <c r="K481" s="9">
        <f t="shared" si="367"/>
        <v>48</v>
      </c>
      <c r="L481" s="30"/>
      <c r="M481" s="7"/>
      <c r="N481" s="7"/>
      <c r="O481" s="8"/>
      <c r="P481" s="9">
        <f t="shared" si="369"/>
        <v>0</v>
      </c>
      <c r="Q481" s="30">
        <v>8</v>
      </c>
      <c r="R481" s="7"/>
      <c r="S481" s="7"/>
      <c r="T481" s="8"/>
      <c r="U481" s="9">
        <f t="shared" si="370"/>
        <v>8</v>
      </c>
      <c r="V481" s="30">
        <v>17</v>
      </c>
      <c r="W481" s="7"/>
      <c r="X481" s="7"/>
      <c r="Y481" s="8"/>
      <c r="Z481" s="9">
        <f t="shared" si="371"/>
        <v>17</v>
      </c>
      <c r="AA481" s="30"/>
      <c r="AB481" s="7"/>
      <c r="AC481" s="7"/>
      <c r="AD481" s="8"/>
      <c r="AE481" s="9">
        <f t="shared" si="372"/>
        <v>0</v>
      </c>
      <c r="AF481" s="30">
        <v>6</v>
      </c>
      <c r="AG481" s="7"/>
      <c r="AH481" s="7"/>
      <c r="AI481" s="8"/>
      <c r="AJ481" s="9">
        <f t="shared" si="373"/>
        <v>6</v>
      </c>
      <c r="AK481" s="30"/>
      <c r="AL481" s="7"/>
      <c r="AM481" s="7"/>
      <c r="AN481" s="8"/>
      <c r="AO481" s="9">
        <f t="shared" si="374"/>
        <v>0</v>
      </c>
      <c r="AP481" s="30">
        <v>18</v>
      </c>
      <c r="AQ481" s="7"/>
      <c r="AR481" s="7"/>
      <c r="AS481" s="8"/>
      <c r="AT481" s="9">
        <f t="shared" si="375"/>
        <v>18</v>
      </c>
      <c r="AU481" s="30">
        <v>12</v>
      </c>
      <c r="AV481" s="7"/>
      <c r="AW481" s="7"/>
      <c r="AX481" s="8"/>
      <c r="AY481" s="9">
        <f t="shared" si="376"/>
        <v>12</v>
      </c>
      <c r="AZ481" s="30">
        <v>8</v>
      </c>
      <c r="BA481" s="7"/>
      <c r="BB481" s="7"/>
      <c r="BC481" s="8"/>
      <c r="BD481" s="9">
        <f t="shared" si="377"/>
        <v>8</v>
      </c>
      <c r="BE481" s="30">
        <v>146</v>
      </c>
      <c r="BF481" s="7"/>
      <c r="BG481" s="7"/>
      <c r="BH481" s="8"/>
      <c r="BI481" s="9">
        <f t="shared" si="378"/>
        <v>146</v>
      </c>
      <c r="BJ481" s="30">
        <v>5</v>
      </c>
      <c r="BK481" s="7"/>
      <c r="BL481" s="7"/>
      <c r="BM481" s="8"/>
      <c r="BN481" s="9">
        <f t="shared" si="368"/>
        <v>5</v>
      </c>
      <c r="BO481" s="65">
        <f>SUM(G481,L481,Q481,V481,AA481,AF481,AK481,AP481,AU481,AZ481,BE481,BJ481)</f>
        <v>268</v>
      </c>
      <c r="BP481" s="7">
        <f>SUM(H481,M481,R481,W481,AB481,AG481,AL481,AQ481,AV481,BA481,BF481,BK481)</f>
        <v>0</v>
      </c>
      <c r="BQ481" s="7">
        <f>SUM(I481,N481,S481,X481,AC481,AH481,AM481,AR481,AW481,BB481,BG481,BL481)</f>
        <v>0</v>
      </c>
      <c r="BR481" s="8">
        <f>SUM(J481,O481,T481,Y481,AD481,AI481,AN481,AS481,AX481,BC481,BH481,BM481)</f>
        <v>0</v>
      </c>
      <c r="BS481" s="31">
        <f t="shared" si="366"/>
        <v>268</v>
      </c>
    </row>
    <row r="482" spans="2:71" x14ac:dyDescent="0.3">
      <c r="B482" s="254"/>
      <c r="C482" s="206"/>
      <c r="D482" s="207"/>
      <c r="E482" s="207"/>
      <c r="F482" s="118"/>
      <c r="G482" s="59">
        <f>SUM(G481:G481)</f>
        <v>48</v>
      </c>
      <c r="H482" s="60">
        <f>SUM(H481:H481)</f>
        <v>0</v>
      </c>
      <c r="I482" s="60">
        <f>SUM(I481:I481)</f>
        <v>0</v>
      </c>
      <c r="J482" s="61">
        <f>SUM(J481:J481)</f>
        <v>0</v>
      </c>
      <c r="K482" s="62">
        <f t="shared" si="367"/>
        <v>48</v>
      </c>
      <c r="L482" s="59">
        <f>SUM(L481:L481)</f>
        <v>0</v>
      </c>
      <c r="M482" s="60">
        <f>SUM(M481:M481)</f>
        <v>0</v>
      </c>
      <c r="N482" s="60">
        <f>SUM(N481:N481)</f>
        <v>0</v>
      </c>
      <c r="O482" s="61">
        <f>SUM(O481:O481)</f>
        <v>0</v>
      </c>
      <c r="P482" s="62">
        <f t="shared" si="369"/>
        <v>0</v>
      </c>
      <c r="Q482" s="59">
        <f>SUM(Q481:Q481)</f>
        <v>8</v>
      </c>
      <c r="R482" s="60">
        <f>SUM(R481:R481)</f>
        <v>0</v>
      </c>
      <c r="S482" s="60">
        <f>SUM(S481:S481)</f>
        <v>0</v>
      </c>
      <c r="T482" s="61">
        <f>SUM(T481:T481)</f>
        <v>0</v>
      </c>
      <c r="U482" s="62">
        <f t="shared" si="370"/>
        <v>8</v>
      </c>
      <c r="V482" s="59">
        <f>SUM(V481:V481)</f>
        <v>17</v>
      </c>
      <c r="W482" s="60">
        <f>SUM(W481:W481)</f>
        <v>0</v>
      </c>
      <c r="X482" s="60">
        <f>SUM(X481:X481)</f>
        <v>0</v>
      </c>
      <c r="Y482" s="61">
        <f>SUM(Y481:Y481)</f>
        <v>0</v>
      </c>
      <c r="Z482" s="62">
        <f t="shared" si="371"/>
        <v>17</v>
      </c>
      <c r="AA482" s="59">
        <f>SUM(AA481:AA481)</f>
        <v>0</v>
      </c>
      <c r="AB482" s="60">
        <f>SUM(AB481:AB481)</f>
        <v>0</v>
      </c>
      <c r="AC482" s="60">
        <f>SUM(AC481:AC481)</f>
        <v>0</v>
      </c>
      <c r="AD482" s="61">
        <f>SUM(AD481:AD481)</f>
        <v>0</v>
      </c>
      <c r="AE482" s="62">
        <f t="shared" si="372"/>
        <v>0</v>
      </c>
      <c r="AF482" s="59">
        <f>SUM(AF481:AF481)</f>
        <v>6</v>
      </c>
      <c r="AG482" s="60">
        <f>SUM(AG481:AG481)</f>
        <v>0</v>
      </c>
      <c r="AH482" s="60">
        <f>SUM(AH481:AH481)</f>
        <v>0</v>
      </c>
      <c r="AI482" s="61">
        <f>SUM(AI481:AI481)</f>
        <v>0</v>
      </c>
      <c r="AJ482" s="62">
        <f t="shared" si="373"/>
        <v>6</v>
      </c>
      <c r="AK482" s="59">
        <f>SUM(AK481:AK481)</f>
        <v>0</v>
      </c>
      <c r="AL482" s="60">
        <f>SUM(AL481:AL481)</f>
        <v>0</v>
      </c>
      <c r="AM482" s="60">
        <f>SUM(AM481:AM481)</f>
        <v>0</v>
      </c>
      <c r="AN482" s="61">
        <f>SUM(AN481:AN481)</f>
        <v>0</v>
      </c>
      <c r="AO482" s="62">
        <f t="shared" si="374"/>
        <v>0</v>
      </c>
      <c r="AP482" s="59">
        <f>SUM(AP481:AP481)</f>
        <v>18</v>
      </c>
      <c r="AQ482" s="60">
        <f>SUM(AQ481:AQ481)</f>
        <v>0</v>
      </c>
      <c r="AR482" s="60">
        <f>SUM(AR481:AR481)</f>
        <v>0</v>
      </c>
      <c r="AS482" s="61">
        <f>SUM(AS481:AS481)</f>
        <v>0</v>
      </c>
      <c r="AT482" s="62">
        <f t="shared" si="375"/>
        <v>18</v>
      </c>
      <c r="AU482" s="59">
        <f>SUM(AU481:AU481)</f>
        <v>12</v>
      </c>
      <c r="AV482" s="60">
        <f>SUM(AV481:AV481)</f>
        <v>0</v>
      </c>
      <c r="AW482" s="60">
        <f>SUM(AW481:AW481)</f>
        <v>0</v>
      </c>
      <c r="AX482" s="61">
        <f>SUM(AX481:AX481)</f>
        <v>0</v>
      </c>
      <c r="AY482" s="62">
        <f t="shared" si="376"/>
        <v>12</v>
      </c>
      <c r="AZ482" s="59">
        <f>SUM(AZ481:AZ481)</f>
        <v>8</v>
      </c>
      <c r="BA482" s="60">
        <f>SUM(BA481:BA481)</f>
        <v>0</v>
      </c>
      <c r="BB482" s="60">
        <f>SUM(BB481:BB481)</f>
        <v>0</v>
      </c>
      <c r="BC482" s="61">
        <f>SUM(BC481:BC481)</f>
        <v>0</v>
      </c>
      <c r="BD482" s="62">
        <f t="shared" si="377"/>
        <v>8</v>
      </c>
      <c r="BE482" s="59">
        <f>SUM(BE481:BE481)</f>
        <v>146</v>
      </c>
      <c r="BF482" s="60">
        <f>SUM(BF481:BF481)</f>
        <v>0</v>
      </c>
      <c r="BG482" s="60">
        <f>SUM(BG481:BG481)</f>
        <v>0</v>
      </c>
      <c r="BH482" s="61">
        <f>SUM(BH481:BH481)</f>
        <v>0</v>
      </c>
      <c r="BI482" s="62">
        <f t="shared" si="378"/>
        <v>146</v>
      </c>
      <c r="BJ482" s="59">
        <f>SUM(BJ481:BJ481)</f>
        <v>5</v>
      </c>
      <c r="BK482" s="60">
        <f>SUM(BK481:BK481)</f>
        <v>0</v>
      </c>
      <c r="BL482" s="60">
        <f>SUM(BL481:BL481)</f>
        <v>0</v>
      </c>
      <c r="BM482" s="61">
        <f>SUM(BM481:BM481)</f>
        <v>0</v>
      </c>
      <c r="BN482" s="62">
        <f t="shared" si="368"/>
        <v>5</v>
      </c>
      <c r="BO482" s="73">
        <f>SUM(BO481:BO481)</f>
        <v>268</v>
      </c>
      <c r="BP482" s="60">
        <f>SUM(BP481:BP481)</f>
        <v>0</v>
      </c>
      <c r="BQ482" s="60">
        <f>SUM(BQ481:BQ481)</f>
        <v>0</v>
      </c>
      <c r="BR482" s="61">
        <f>SUM(BR481:BR481)</f>
        <v>0</v>
      </c>
      <c r="BS482" s="63">
        <f t="shared" si="366"/>
        <v>268</v>
      </c>
    </row>
    <row r="483" spans="2:71" s="75" customFormat="1" ht="22.5" customHeight="1" thickBot="1" x14ac:dyDescent="0.35">
      <c r="B483" s="255"/>
      <c r="C483" s="266" t="s">
        <v>22</v>
      </c>
      <c r="D483" s="266"/>
      <c r="E483" s="266"/>
      <c r="F483" s="267"/>
      <c r="G483" s="86">
        <f>SUM(G399,G477,G480,G482)</f>
        <v>16645</v>
      </c>
      <c r="H483" s="87">
        <f>SUM(H399,H477,H480,H482)</f>
        <v>0</v>
      </c>
      <c r="I483" s="87">
        <f>SUM(I399,I477,I480,I482)</f>
        <v>0</v>
      </c>
      <c r="J483" s="88">
        <f>SUM(J399,J477,J480,J482)</f>
        <v>0</v>
      </c>
      <c r="K483" s="89">
        <f t="shared" si="367"/>
        <v>16645</v>
      </c>
      <c r="L483" s="86">
        <f>SUM(L399,L477,L480,L482)</f>
        <v>22423</v>
      </c>
      <c r="M483" s="87">
        <f>SUM(M399,M477,M480,M482)</f>
        <v>0</v>
      </c>
      <c r="N483" s="87">
        <f>SUM(N399,N477,N480,N482)</f>
        <v>0</v>
      </c>
      <c r="O483" s="88">
        <f>SUM(O399,O477,O480,O482)</f>
        <v>0</v>
      </c>
      <c r="P483" s="89">
        <f t="shared" si="369"/>
        <v>22423</v>
      </c>
      <c r="Q483" s="86">
        <f>SUM(Q399,Q477,Q480,Q482)</f>
        <v>19644</v>
      </c>
      <c r="R483" s="87">
        <f>SUM(R399,R477,R480,R482)</f>
        <v>0</v>
      </c>
      <c r="S483" s="87">
        <f>SUM(S399,S477,S480,S482)</f>
        <v>0</v>
      </c>
      <c r="T483" s="88">
        <f>SUM(T399,T477,T480,T482)</f>
        <v>0</v>
      </c>
      <c r="U483" s="89">
        <f t="shared" si="370"/>
        <v>19644</v>
      </c>
      <c r="V483" s="86">
        <f>SUM(V399,V477,V480,V482)</f>
        <v>43071</v>
      </c>
      <c r="W483" s="87">
        <f>SUM(W399,W477,W480,W482)</f>
        <v>0</v>
      </c>
      <c r="X483" s="87">
        <f>SUM(X399,X477,X480,X482)</f>
        <v>0</v>
      </c>
      <c r="Y483" s="88">
        <f>SUM(Y399,Y477,Y480,Y482)</f>
        <v>0</v>
      </c>
      <c r="Z483" s="89">
        <f t="shared" si="371"/>
        <v>43071</v>
      </c>
      <c r="AA483" s="86">
        <f>SUM(AA399,AA477,AA480,AA482)</f>
        <v>40645</v>
      </c>
      <c r="AB483" s="87">
        <f>SUM(AB399,AB477,AB480,AB482)</f>
        <v>0</v>
      </c>
      <c r="AC483" s="87">
        <f>SUM(AC399,AC477,AC480,AC482)</f>
        <v>0</v>
      </c>
      <c r="AD483" s="88">
        <f>SUM(AD399,AD477,AD480,AD482)</f>
        <v>0</v>
      </c>
      <c r="AE483" s="89">
        <f t="shared" si="372"/>
        <v>40645</v>
      </c>
      <c r="AF483" s="86">
        <f>SUM(AF399,AF477,AF480,AF482)</f>
        <v>57709</v>
      </c>
      <c r="AG483" s="87">
        <f>SUM(AG399,AG477,AG480,AG482)</f>
        <v>0</v>
      </c>
      <c r="AH483" s="87">
        <f>SUM(AH399,AH477,AH480,AH482)</f>
        <v>2</v>
      </c>
      <c r="AI483" s="88">
        <f>SUM(AI399,AI477,AI480,AI482)</f>
        <v>0</v>
      </c>
      <c r="AJ483" s="89">
        <f t="shared" si="373"/>
        <v>57711</v>
      </c>
      <c r="AK483" s="86">
        <f>SUM(AK399,AK477,AK480,AK482)</f>
        <v>12947</v>
      </c>
      <c r="AL483" s="87">
        <f>SUM(AL399,AL477,AL480,AL482)</f>
        <v>0</v>
      </c>
      <c r="AM483" s="87">
        <f>SUM(AM399,AM477,AM480,AM482)</f>
        <v>0</v>
      </c>
      <c r="AN483" s="88">
        <f>SUM(AN399,AN477,AN480,AN482)</f>
        <v>0</v>
      </c>
      <c r="AO483" s="89">
        <f t="shared" si="374"/>
        <v>12947</v>
      </c>
      <c r="AP483" s="86">
        <f>SUM(AP399,AP477,AP480,AP482)</f>
        <v>21565</v>
      </c>
      <c r="AQ483" s="87">
        <f>SUM(AQ399,AQ477,AQ480,AQ482)</f>
        <v>0</v>
      </c>
      <c r="AR483" s="87">
        <f>SUM(AR399,AR477,AR480,AR482)</f>
        <v>0</v>
      </c>
      <c r="AS483" s="88">
        <f>SUM(AS399,AS477,AS480,AS482)</f>
        <v>0</v>
      </c>
      <c r="AT483" s="89">
        <f t="shared" si="375"/>
        <v>21565</v>
      </c>
      <c r="AU483" s="86">
        <f>SUM(AU399,AU477,AU480,AU482)</f>
        <v>40200</v>
      </c>
      <c r="AV483" s="87">
        <f>SUM(AV399,AV477,AV480,AV482)</f>
        <v>0</v>
      </c>
      <c r="AW483" s="87">
        <f>SUM(AW399,AW477,AW480,AW482)</f>
        <v>0</v>
      </c>
      <c r="AX483" s="88">
        <f>SUM(AX399,AX477,AX480,AX482)</f>
        <v>0</v>
      </c>
      <c r="AY483" s="89">
        <f t="shared" si="376"/>
        <v>40200</v>
      </c>
      <c r="AZ483" s="86">
        <f>SUM(AZ399,AZ477,AZ480,AZ482)</f>
        <v>69424</v>
      </c>
      <c r="BA483" s="87">
        <f>SUM(BA399,BA477,BA480,BA482)</f>
        <v>0</v>
      </c>
      <c r="BB483" s="87">
        <f>SUM(BB399,BB477,BB480,BB482)</f>
        <v>0</v>
      </c>
      <c r="BC483" s="88">
        <f>SUM(BC399,BC477,BC480,BC482)</f>
        <v>0</v>
      </c>
      <c r="BD483" s="89">
        <f t="shared" si="377"/>
        <v>69424</v>
      </c>
      <c r="BE483" s="86">
        <f>SUM(BE399,BE477,BE480,BE482)</f>
        <v>32620</v>
      </c>
      <c r="BF483" s="87">
        <f>SUM(BF399,BF477,BF480,BF482)</f>
        <v>0</v>
      </c>
      <c r="BG483" s="87">
        <f>SUM(BG399,BG477,BG480,BG482)</f>
        <v>0</v>
      </c>
      <c r="BH483" s="88">
        <f>SUM(BH399,BH477,BH480,BH482)</f>
        <v>0</v>
      </c>
      <c r="BI483" s="89">
        <f t="shared" si="378"/>
        <v>32620</v>
      </c>
      <c r="BJ483" s="86">
        <f>SUM(BJ399,BJ477,BJ480,BJ482)</f>
        <v>10402</v>
      </c>
      <c r="BK483" s="87">
        <f>SUM(BK399,BK477,BK480,BK482)</f>
        <v>0</v>
      </c>
      <c r="BL483" s="87">
        <f>SUM(BL399,BL477,BL480,BL482)</f>
        <v>0</v>
      </c>
      <c r="BM483" s="88">
        <f>SUM(BM399,BM477,BM480,BM482)</f>
        <v>0</v>
      </c>
      <c r="BN483" s="89">
        <f t="shared" si="368"/>
        <v>10402</v>
      </c>
      <c r="BO483" s="169">
        <f>SUM(BO399,BO477,BO480,BO482)</f>
        <v>387295</v>
      </c>
      <c r="BP483" s="87">
        <f>SUM(BP399,BP477,BP480,BP482)</f>
        <v>0</v>
      </c>
      <c r="BQ483" s="87">
        <f>SUM(BQ399,BQ477,BQ480,BQ482)</f>
        <v>2</v>
      </c>
      <c r="BR483" s="88">
        <f>SUM(BR399,BR477,BR480,BR482)</f>
        <v>0</v>
      </c>
      <c r="BS483" s="90">
        <f t="shared" si="366"/>
        <v>387297</v>
      </c>
    </row>
    <row r="484" spans="2:71" s="75" customFormat="1" ht="22.5" customHeight="1" thickBot="1" x14ac:dyDescent="0.35">
      <c r="B484" s="256" t="s">
        <v>25</v>
      </c>
      <c r="C484" s="257"/>
      <c r="D484" s="257"/>
      <c r="E484" s="257"/>
      <c r="F484" s="258"/>
      <c r="G484" s="91">
        <f>SUM(G330,G394,G483)</f>
        <v>44447</v>
      </c>
      <c r="H484" s="92">
        <f>SUM(H330,H394,H483)</f>
        <v>2024</v>
      </c>
      <c r="I484" s="92">
        <f>SUM(I330,I394,I483)</f>
        <v>7299</v>
      </c>
      <c r="J484" s="93">
        <f>SUM(J330,J394,J483)</f>
        <v>24514</v>
      </c>
      <c r="K484" s="94">
        <f t="shared" si="367"/>
        <v>78284</v>
      </c>
      <c r="L484" s="91">
        <f>SUM(L330,L394,L483)</f>
        <v>62711</v>
      </c>
      <c r="M484" s="92">
        <f>SUM(M330,M394,M483)</f>
        <v>2204</v>
      </c>
      <c r="N484" s="92">
        <f>SUM(N330,N394,N483)</f>
        <v>11200</v>
      </c>
      <c r="O484" s="93">
        <f>SUM(O330,O394,O483)</f>
        <v>15900</v>
      </c>
      <c r="P484" s="94">
        <f t="shared" si="369"/>
        <v>92015</v>
      </c>
      <c r="Q484" s="91">
        <f>SUM(Q330,Q394,Q483)</f>
        <v>55338</v>
      </c>
      <c r="R484" s="92">
        <f>SUM(R330,R394,R483)</f>
        <v>1988</v>
      </c>
      <c r="S484" s="92">
        <f>SUM(S330,S394,S483)</f>
        <v>10306</v>
      </c>
      <c r="T484" s="93">
        <f>SUM(T330,T394,T483)</f>
        <v>6332</v>
      </c>
      <c r="U484" s="94">
        <f t="shared" si="370"/>
        <v>73964</v>
      </c>
      <c r="V484" s="91">
        <f>SUM(V330,V394,V483)</f>
        <v>118472</v>
      </c>
      <c r="W484" s="92">
        <f>SUM(W330,W394,W483)</f>
        <v>12916</v>
      </c>
      <c r="X484" s="92">
        <f>SUM(X330,X394,X483)</f>
        <v>20566</v>
      </c>
      <c r="Y484" s="93">
        <f>SUM(Y330,Y394,Y483)</f>
        <v>17743</v>
      </c>
      <c r="Z484" s="94">
        <f t="shared" si="371"/>
        <v>169697</v>
      </c>
      <c r="AA484" s="91">
        <f>SUM(AA330,AA394,AA483)</f>
        <v>106128</v>
      </c>
      <c r="AB484" s="92">
        <f>SUM(AB330,AB394,AB483)</f>
        <v>38260</v>
      </c>
      <c r="AC484" s="92">
        <f>SUM(AC330,AC394,AC483)</f>
        <v>20285</v>
      </c>
      <c r="AD484" s="93">
        <f>SUM(AD330,AD394,AD483)</f>
        <v>16586</v>
      </c>
      <c r="AE484" s="94">
        <f t="shared" si="372"/>
        <v>181259</v>
      </c>
      <c r="AF484" s="91">
        <f>SUM(AF330,AF394,AF483)</f>
        <v>110023</v>
      </c>
      <c r="AG484" s="92">
        <f>SUM(AG330,AG394,AG483)</f>
        <v>4360</v>
      </c>
      <c r="AH484" s="92">
        <f>SUM(AH330,AH394,AH483)</f>
        <v>11936</v>
      </c>
      <c r="AI484" s="93">
        <f>SUM(AI330,AI394,AI483)</f>
        <v>7549</v>
      </c>
      <c r="AJ484" s="94">
        <f t="shared" si="373"/>
        <v>133868</v>
      </c>
      <c r="AK484" s="91">
        <f>SUM(AK330,AK394,AK483)</f>
        <v>54707</v>
      </c>
      <c r="AL484" s="92">
        <f>SUM(AL330,AL394,AL483)</f>
        <v>1012</v>
      </c>
      <c r="AM484" s="92">
        <f>SUM(AM330,AM394,AM483)</f>
        <v>5593</v>
      </c>
      <c r="AN484" s="93">
        <f>SUM(AN330,AN394,AN483)</f>
        <v>2765</v>
      </c>
      <c r="AO484" s="94">
        <f t="shared" si="374"/>
        <v>64077</v>
      </c>
      <c r="AP484" s="91">
        <f>SUM(AP330,AP394,AP483)</f>
        <v>58695</v>
      </c>
      <c r="AQ484" s="92">
        <f>SUM(AQ330,AQ394,AQ483)</f>
        <v>907</v>
      </c>
      <c r="AR484" s="92">
        <f>SUM(AR330,AR394,AR483)</f>
        <v>5129</v>
      </c>
      <c r="AS484" s="93">
        <f>SUM(AS330,AS394,AS483)</f>
        <v>3760</v>
      </c>
      <c r="AT484" s="94">
        <f t="shared" si="375"/>
        <v>68491</v>
      </c>
      <c r="AU484" s="91">
        <f>SUM(AU330,AU394,AU483)</f>
        <v>101152</v>
      </c>
      <c r="AV484" s="92">
        <f>SUM(AV330,AV394,AV483)</f>
        <v>9201</v>
      </c>
      <c r="AW484" s="92">
        <f>SUM(AW330,AW394,AW483)</f>
        <v>16614</v>
      </c>
      <c r="AX484" s="93">
        <f>SUM(AX330,AX394,AX483)</f>
        <v>11753</v>
      </c>
      <c r="AY484" s="94">
        <f t="shared" si="376"/>
        <v>138720</v>
      </c>
      <c r="AZ484" s="91">
        <f>SUM(AZ330,AZ394,AZ483)</f>
        <v>168658</v>
      </c>
      <c r="BA484" s="92">
        <f>SUM(BA330,BA394,BA483)</f>
        <v>36512</v>
      </c>
      <c r="BB484" s="92">
        <f>SUM(BB330,BB394,BB483)</f>
        <v>27262</v>
      </c>
      <c r="BC484" s="93">
        <f>SUM(BC330,BC394,BC483)</f>
        <v>30304</v>
      </c>
      <c r="BD484" s="94">
        <f t="shared" si="377"/>
        <v>262736</v>
      </c>
      <c r="BE484" s="91">
        <f>SUM(BE330,BE394,BE483)</f>
        <v>101290</v>
      </c>
      <c r="BF484" s="92">
        <f>SUM(BF330,BF394,BF483)</f>
        <v>5790</v>
      </c>
      <c r="BG484" s="92">
        <f>SUM(BG330,BG394,BG483)</f>
        <v>11459</v>
      </c>
      <c r="BH484" s="93">
        <f>SUM(BH330,BH394,BH483)</f>
        <v>15423</v>
      </c>
      <c r="BI484" s="94">
        <f t="shared" si="378"/>
        <v>133962</v>
      </c>
      <c r="BJ484" s="91">
        <f>SUM(BJ330,BJ394,BJ483)</f>
        <v>41363</v>
      </c>
      <c r="BK484" s="92">
        <f>SUM(BK330,BK394,BK483)</f>
        <v>2017</v>
      </c>
      <c r="BL484" s="92">
        <f>SUM(BL330,BL394,BL483)</f>
        <v>4160</v>
      </c>
      <c r="BM484" s="93">
        <f>SUM(BM330,BM394,BM483)</f>
        <v>5168</v>
      </c>
      <c r="BN484" s="94">
        <f t="shared" si="368"/>
        <v>52708</v>
      </c>
      <c r="BO484" s="106">
        <f>SUM(BO330,BO394,BO483)</f>
        <v>1022984</v>
      </c>
      <c r="BP484" s="92">
        <f>SUM(BP330,BP394,BP483)</f>
        <v>117191</v>
      </c>
      <c r="BQ484" s="92">
        <f>SUM(BQ330,BQ394,BQ483)</f>
        <v>151809</v>
      </c>
      <c r="BR484" s="93">
        <f>SUM(BR330,BR394,BR483)</f>
        <v>157797</v>
      </c>
      <c r="BS484" s="95">
        <f t="shared" si="366"/>
        <v>1449781</v>
      </c>
    </row>
    <row r="487" spans="2:71" x14ac:dyDescent="0.3">
      <c r="E487" s="290" t="s">
        <v>36</v>
      </c>
      <c r="F487" s="196" t="s">
        <v>421</v>
      </c>
      <c r="G487" s="197"/>
      <c r="H487" s="197"/>
      <c r="I487" s="197"/>
      <c r="J487" s="197"/>
      <c r="K487" s="197">
        <f>SUM(K256:K280)</f>
        <v>10949</v>
      </c>
      <c r="L487" s="197"/>
      <c r="M487" s="197"/>
      <c r="N487" s="197"/>
      <c r="O487" s="197"/>
      <c r="P487" s="197">
        <f>SUM(P256:P280)</f>
        <v>14473</v>
      </c>
      <c r="Q487" s="197"/>
      <c r="R487" s="197"/>
      <c r="S487" s="197"/>
      <c r="T487" s="197"/>
      <c r="U487" s="197">
        <f>SUM(U256:U280)</f>
        <v>15067</v>
      </c>
      <c r="V487" s="197"/>
      <c r="W487" s="197"/>
      <c r="X487" s="197"/>
      <c r="Y487" s="197"/>
      <c r="Z487" s="197">
        <f>SUM(Z256:Z280)</f>
        <v>40570</v>
      </c>
      <c r="AA487" s="197"/>
      <c r="AB487" s="197"/>
      <c r="AC487" s="197"/>
      <c r="AD487" s="197"/>
      <c r="AE487" s="197">
        <f>SUM(AE256:AE280)</f>
        <v>39252</v>
      </c>
      <c r="AF487" s="197"/>
      <c r="AG487" s="197"/>
      <c r="AH487" s="197"/>
      <c r="AI487" s="197"/>
      <c r="AJ487" s="197">
        <f>SUM(AJ256:AJ280)</f>
        <v>31520</v>
      </c>
      <c r="AK487" s="197"/>
      <c r="AL487" s="197"/>
      <c r="AM487" s="197"/>
      <c r="AN487" s="197"/>
      <c r="AO487" s="197">
        <f>SUM(AO256:AO280)</f>
        <v>15703</v>
      </c>
      <c r="AP487" s="197"/>
      <c r="AQ487" s="197"/>
      <c r="AR487" s="197"/>
      <c r="AS487" s="197"/>
      <c r="AT487" s="197">
        <f>SUM(AT256:AT280)</f>
        <v>19268</v>
      </c>
      <c r="AU487" s="197"/>
      <c r="AV487" s="197"/>
      <c r="AW487" s="197"/>
      <c r="AX487" s="197"/>
      <c r="AY487" s="197">
        <f>SUM(AY256:AY280)</f>
        <v>28940</v>
      </c>
      <c r="AZ487" s="197"/>
      <c r="BA487" s="197"/>
      <c r="BB487" s="197"/>
      <c r="BC487" s="197"/>
      <c r="BD487" s="197">
        <f>SUM(BD256:BD280)</f>
        <v>48205</v>
      </c>
      <c r="BE487" s="197"/>
      <c r="BF487" s="197"/>
      <c r="BG487" s="197"/>
      <c r="BH487" s="197"/>
      <c r="BI487" s="197">
        <f>SUM(BI256:BI280)</f>
        <v>32205</v>
      </c>
      <c r="BJ487" s="197"/>
      <c r="BK487" s="197"/>
      <c r="BL487" s="197"/>
      <c r="BM487" s="197"/>
      <c r="BN487" s="197">
        <f>SUM(BN256:BN280)</f>
        <v>12741</v>
      </c>
      <c r="BO487" s="197"/>
      <c r="BP487" s="197"/>
      <c r="BQ487" s="197"/>
      <c r="BR487" s="197"/>
      <c r="BS487" s="197">
        <f>SUM(BS256:BS280)</f>
        <v>308893</v>
      </c>
    </row>
    <row r="488" spans="2:71" x14ac:dyDescent="0.3">
      <c r="F488" s="196" t="s">
        <v>422</v>
      </c>
      <c r="G488" s="197"/>
      <c r="H488" s="197"/>
      <c r="I488" s="197"/>
      <c r="J488" s="197"/>
      <c r="K488" s="197">
        <f>SUM(K19:K22,K44:K51,K63:K66,K110:K113,K115:K119,K196:K198,K232,K247)</f>
        <v>1834</v>
      </c>
      <c r="L488" s="197"/>
      <c r="M488" s="197"/>
      <c r="N488" s="197"/>
      <c r="O488" s="197"/>
      <c r="P488" s="197">
        <f>SUM(P19:P22,P44:P51,P63:P66,P110:P113,P115:P119,P196:P198,P232,P247)</f>
        <v>2926</v>
      </c>
      <c r="Q488" s="197"/>
      <c r="R488" s="197"/>
      <c r="S488" s="197"/>
      <c r="T488" s="197"/>
      <c r="U488" s="197">
        <f>SUM(U19:U22,U44:U51,U63:U66,U110:U113,U115:U119,U196:U198,U232,U247)</f>
        <v>4700</v>
      </c>
      <c r="V488" s="197"/>
      <c r="W488" s="197"/>
      <c r="X488" s="197"/>
      <c r="Y488" s="197"/>
      <c r="Z488" s="197">
        <f>SUM(Z19:Z22,Z44:Z51,Z63:Z66,Z110:Z113,Z115:Z119,Z196:Z198,Z232,Z247)</f>
        <v>8312</v>
      </c>
      <c r="AA488" s="197"/>
      <c r="AB488" s="197"/>
      <c r="AC488" s="197"/>
      <c r="AD488" s="197"/>
      <c r="AE488" s="197">
        <f>SUM(AE19:AE22,AE44:AE51,AE63:AE66,AE110:AE113,AE115:AE119,AE196:AE198,AE232,AE247)</f>
        <v>5533</v>
      </c>
      <c r="AF488" s="197"/>
      <c r="AG488" s="197"/>
      <c r="AH488" s="197"/>
      <c r="AI488" s="197"/>
      <c r="AJ488" s="197">
        <f>SUM(AJ19:AJ22,AJ44:AJ51,AJ63:AJ66,AJ110:AJ113,AJ115:AJ119,AJ196:AJ198,AJ232,AJ247)</f>
        <v>2948</v>
      </c>
      <c r="AK488" s="197"/>
      <c r="AL488" s="197"/>
      <c r="AM488" s="197"/>
      <c r="AN488" s="197"/>
      <c r="AO488" s="197">
        <f>SUM(AO19:AO22,AO44:AO51,AO63:AO66,AO110:AO113,AO115:AO119,AO196:AO198,AO232,AO247)</f>
        <v>1456</v>
      </c>
      <c r="AP488" s="197"/>
      <c r="AQ488" s="197"/>
      <c r="AR488" s="197"/>
      <c r="AS488" s="197"/>
      <c r="AT488" s="197">
        <f>SUM(AT19:AT22,AT44:AT51,AT63:AT66,AT110:AT113,AT115:AT119,AT196:AT198,AT232,AT247)</f>
        <v>3952</v>
      </c>
      <c r="AU488" s="197"/>
      <c r="AV488" s="197"/>
      <c r="AW488" s="197"/>
      <c r="AX488" s="197"/>
      <c r="AY488" s="197">
        <f>SUM(AY19:AY22,AY44:AY51,AY63:AY66,AY110:AY113,AY115:AY119,AY196:AY198,AY232,AY247)</f>
        <v>4583</v>
      </c>
      <c r="AZ488" s="197"/>
      <c r="BA488" s="197"/>
      <c r="BB488" s="197"/>
      <c r="BC488" s="197"/>
      <c r="BD488" s="197">
        <f>SUM(BD19:BD22,BD44:BD51,BD63:BD66,BD110:BD113,BD115:BD119,BD196:BD198,BD232,BD247)</f>
        <v>16846</v>
      </c>
      <c r="BE488" s="197"/>
      <c r="BF488" s="197"/>
      <c r="BG488" s="197"/>
      <c r="BH488" s="197"/>
      <c r="BI488" s="197">
        <f>SUM(BI19:BI22,BI44:BI51,BI63:BI66,BI110:BI113,BI115:BI119,BI196:BI198,BI232,BI247)</f>
        <v>11884</v>
      </c>
      <c r="BJ488" s="197"/>
      <c r="BK488" s="197"/>
      <c r="BL488" s="197"/>
      <c r="BM488" s="197"/>
      <c r="BN488" s="197">
        <f>SUM(BN19:BN22,BN44:BN51,BN63:BN66,BN110:BN113,BN115:BN119,BN196:BN198,BN232,BN247)</f>
        <v>100</v>
      </c>
      <c r="BO488" s="197"/>
      <c r="BP488" s="197"/>
      <c r="BQ488" s="197"/>
      <c r="BR488" s="197"/>
      <c r="BS488" s="197">
        <f>SUM(BS19:BS22,BS44:BS51,BS63:BS66,BS110:BS113,BS115:BS119,BS196:BS198,BS232,BS247)</f>
        <v>65074</v>
      </c>
    </row>
    <row r="489" spans="2:71" x14ac:dyDescent="0.3">
      <c r="E489" s="290" t="s">
        <v>620</v>
      </c>
      <c r="F489" s="196" t="s">
        <v>421</v>
      </c>
      <c r="G489" s="197"/>
      <c r="H489" s="197"/>
      <c r="I489" s="197"/>
      <c r="J489" s="197"/>
      <c r="K489" s="197">
        <f>SUM(K302:K305,K312:K313,K324:K328)</f>
        <v>1649</v>
      </c>
      <c r="L489" s="197"/>
      <c r="M489" s="197"/>
      <c r="N489" s="197"/>
      <c r="O489" s="197"/>
      <c r="P489" s="197">
        <f>SUM(P302:P305,P312:P313,P324:P328)</f>
        <v>4554</v>
      </c>
      <c r="Q489" s="197"/>
      <c r="R489" s="197"/>
      <c r="S489" s="197"/>
      <c r="T489" s="197"/>
      <c r="U489" s="197">
        <f>SUM(U302:U305,U312:U313,U324:U328)</f>
        <v>5397</v>
      </c>
      <c r="V489" s="197"/>
      <c r="W489" s="197"/>
      <c r="X489" s="197"/>
      <c r="Y489" s="197"/>
      <c r="Z489" s="197">
        <f>SUM(Z302:Z305,Z312:Z313,Z324:Z328)</f>
        <v>5743</v>
      </c>
      <c r="AA489" s="197"/>
      <c r="AB489" s="197"/>
      <c r="AC489" s="197"/>
      <c r="AD489" s="197"/>
      <c r="AE489" s="197">
        <f>SUM(AE302:AE305,AE312:AE313,AE324:AE328)</f>
        <v>1503</v>
      </c>
      <c r="AF489" s="197"/>
      <c r="AG489" s="197"/>
      <c r="AH489" s="197"/>
      <c r="AI489" s="197"/>
      <c r="AJ489" s="197">
        <f>SUM(AJ302:AJ305,AJ312:AJ313,AJ324:AJ328)</f>
        <v>1770</v>
      </c>
      <c r="AK489" s="197"/>
      <c r="AL489" s="197"/>
      <c r="AM489" s="197"/>
      <c r="AN489" s="197"/>
      <c r="AO489" s="197">
        <f>SUM(AO302:AO305,AO312:AO313,AO324:AO328)</f>
        <v>1878</v>
      </c>
      <c r="AP489" s="197"/>
      <c r="AQ489" s="197"/>
      <c r="AR489" s="197"/>
      <c r="AS489" s="197"/>
      <c r="AT489" s="197">
        <f>SUM(AT302:AT305,AT312:AT313,AT324:AT328)</f>
        <v>147</v>
      </c>
      <c r="AU489" s="197"/>
      <c r="AV489" s="197"/>
      <c r="AW489" s="197"/>
      <c r="AX489" s="197"/>
      <c r="AY489" s="197">
        <f>SUM(AY302:AY305,AY312:AY313,AY324:AY328)</f>
        <v>948</v>
      </c>
      <c r="AZ489" s="197"/>
      <c r="BA489" s="197"/>
      <c r="BB489" s="197"/>
      <c r="BC489" s="197"/>
      <c r="BD489" s="197">
        <f>SUM(BD302:BD305,BD312:BD313,BD324:BD328)</f>
        <v>908</v>
      </c>
      <c r="BE489" s="197"/>
      <c r="BF489" s="197"/>
      <c r="BG489" s="197"/>
      <c r="BH489" s="197"/>
      <c r="BI489" s="197">
        <f>SUM(BI302:BI305,BI312:BI313,BI324:BI328)</f>
        <v>1407</v>
      </c>
      <c r="BJ489" s="197"/>
      <c r="BK489" s="197"/>
      <c r="BL489" s="197"/>
      <c r="BM489" s="197"/>
      <c r="BN489" s="197">
        <f>SUM(BN302:BN305,BN312:BN313,BN324:BN328)</f>
        <v>839</v>
      </c>
      <c r="BO489" s="197"/>
      <c r="BP489" s="197"/>
      <c r="BQ489" s="197"/>
      <c r="BR489" s="197"/>
      <c r="BS489" s="197">
        <f>SUM(BS302:BS305,BS312:BS313,BS324:BS328)</f>
        <v>26743</v>
      </c>
    </row>
    <row r="490" spans="2:71" x14ac:dyDescent="0.3">
      <c r="E490" s="290" t="s">
        <v>24</v>
      </c>
      <c r="F490" s="196" t="s">
        <v>421</v>
      </c>
      <c r="K490" s="273">
        <f>SUM(K400:K406,K414:K418,K421:K429,K476)</f>
        <v>16567</v>
      </c>
      <c r="P490" s="273">
        <f>SUM(P400:P406,P414:P418,P421:P429,P476)</f>
        <v>21682</v>
      </c>
      <c r="U490" s="273">
        <f>SUM(U400:U406,U414:U418,U421:U429,U476)</f>
        <v>19478</v>
      </c>
      <c r="Z490" s="273">
        <f>SUM(Z400:Z406,Z414:Z418,Z421:Z429,Z476)</f>
        <v>38010</v>
      </c>
      <c r="AE490" s="273">
        <f>SUM(AE400:AE406,AE414:AE418,AE421:AE429,AE476)</f>
        <v>38726</v>
      </c>
      <c r="AJ490" s="273">
        <f>SUM(AJ400:AJ406,AJ414:AJ418,AJ421:AJ429,AJ476)</f>
        <v>34740</v>
      </c>
      <c r="AO490" s="273">
        <f>SUM(AO400:AO406,AO414:AO418,AO421:AO429,AO476)</f>
        <v>12711</v>
      </c>
      <c r="AT490" s="273">
        <f>SUM(AT400:AT406,AT414:AT418,AT421:AT429,AT476)</f>
        <v>17558</v>
      </c>
      <c r="AY490" s="273">
        <f>SUM(AY400:AY406,AY414:AY418,AY421:AY429,AY476)</f>
        <v>32119</v>
      </c>
      <c r="BD490" s="273">
        <f>SUM(BD400:BD406,BD414:BD418,BD421:BD429,BD476)</f>
        <v>55165</v>
      </c>
      <c r="BI490" s="273">
        <f>SUM(BI400:BI406,BI414:BI418,BI421:BI429,BI476)</f>
        <v>30025</v>
      </c>
      <c r="BN490" s="273">
        <f>SUM(BN400:BN406,BN414:BN418,BN421:BN429,BN476)</f>
        <v>10288</v>
      </c>
      <c r="BS490" s="273">
        <f>SUM(BS400:BS406,BS414:BS418,BS421:BS429,BS476)</f>
        <v>327069</v>
      </c>
    </row>
    <row r="491" spans="2:71" x14ac:dyDescent="0.3">
      <c r="E491" s="291"/>
      <c r="F491" s="75" t="s">
        <v>14</v>
      </c>
      <c r="G491" s="292"/>
      <c r="H491" s="292"/>
      <c r="I491" s="292"/>
      <c r="J491" s="292"/>
      <c r="K491" s="293">
        <f>SUM(K487:K490)</f>
        <v>30999</v>
      </c>
      <c r="L491" s="292"/>
      <c r="M491" s="292"/>
      <c r="N491" s="292"/>
      <c r="O491" s="292"/>
      <c r="P491" s="293">
        <f>SUM(P487:P490)</f>
        <v>43635</v>
      </c>
      <c r="Q491" s="292"/>
      <c r="R491" s="292"/>
      <c r="S491" s="292"/>
      <c r="T491" s="292"/>
      <c r="U491" s="293">
        <f>SUM(U487:U490)</f>
        <v>44642</v>
      </c>
      <c r="V491" s="292"/>
      <c r="W491" s="292"/>
      <c r="X491" s="292"/>
      <c r="Y491" s="292"/>
      <c r="Z491" s="293">
        <f>SUM(Z487:Z490)</f>
        <v>92635</v>
      </c>
      <c r="AA491" s="292"/>
      <c r="AB491" s="292"/>
      <c r="AC491" s="292"/>
      <c r="AD491" s="292"/>
      <c r="AE491" s="293">
        <f>SUM(AE487:AE490)</f>
        <v>85014</v>
      </c>
      <c r="AF491" s="292"/>
      <c r="AG491" s="292"/>
      <c r="AH491" s="292"/>
      <c r="AI491" s="292"/>
      <c r="AJ491" s="293">
        <f>SUM(AJ487:AJ490)</f>
        <v>70978</v>
      </c>
      <c r="AK491" s="292"/>
      <c r="AL491" s="292"/>
      <c r="AM491" s="292"/>
      <c r="AN491" s="292"/>
      <c r="AO491" s="293">
        <f>SUM(AO487:AO490)</f>
        <v>31748</v>
      </c>
      <c r="AP491" s="292"/>
      <c r="AQ491" s="292"/>
      <c r="AR491" s="292"/>
      <c r="AS491" s="292"/>
      <c r="AT491" s="293">
        <f>SUM(AT487:AT490)</f>
        <v>40925</v>
      </c>
      <c r="AU491" s="292"/>
      <c r="AV491" s="292"/>
      <c r="AW491" s="292"/>
      <c r="AX491" s="292"/>
      <c r="AY491" s="293">
        <f>SUM(AY487:AY490)</f>
        <v>66590</v>
      </c>
      <c r="AZ491" s="292"/>
      <c r="BA491" s="292"/>
      <c r="BB491" s="292"/>
      <c r="BC491" s="292"/>
      <c r="BD491" s="293">
        <f>SUM(BD487:BD490)</f>
        <v>121124</v>
      </c>
      <c r="BE491" s="292"/>
      <c r="BF491" s="292"/>
      <c r="BG491" s="292"/>
      <c r="BH491" s="292"/>
      <c r="BI491" s="293">
        <f>SUM(BI487:BI490)</f>
        <v>75521</v>
      </c>
      <c r="BJ491" s="292"/>
      <c r="BK491" s="292"/>
      <c r="BL491" s="292"/>
      <c r="BM491" s="292"/>
      <c r="BN491" s="293">
        <f>SUM(BN487:BN490)</f>
        <v>23968</v>
      </c>
      <c r="BO491" s="292"/>
      <c r="BP491" s="292"/>
      <c r="BQ491" s="292"/>
      <c r="BR491" s="292"/>
      <c r="BS491" s="293">
        <f>SUM(BS487:BS490)</f>
        <v>727779</v>
      </c>
    </row>
  </sheetData>
  <mergeCells count="88">
    <mergeCell ref="B484:F484"/>
    <mergeCell ref="B395:B483"/>
    <mergeCell ref="C395:D399"/>
    <mergeCell ref="C400:C477"/>
    <mergeCell ref="D400:E430"/>
    <mergeCell ref="D431:E476"/>
    <mergeCell ref="C478:E480"/>
    <mergeCell ref="C481:E482"/>
    <mergeCell ref="C483:F483"/>
    <mergeCell ref="E367:E372"/>
    <mergeCell ref="E373:E376"/>
    <mergeCell ref="E377:E380"/>
    <mergeCell ref="E381:E384"/>
    <mergeCell ref="C386:E393"/>
    <mergeCell ref="C394:F394"/>
    <mergeCell ref="C330:F330"/>
    <mergeCell ref="B331:B394"/>
    <mergeCell ref="C331:E338"/>
    <mergeCell ref="C339:D356"/>
    <mergeCell ref="E339:E345"/>
    <mergeCell ref="E346:E354"/>
    <mergeCell ref="C357:D366"/>
    <mergeCell ref="E357:E361"/>
    <mergeCell ref="E362:E365"/>
    <mergeCell ref="C367:D385"/>
    <mergeCell ref="D255:F255"/>
    <mergeCell ref="C256:E283"/>
    <mergeCell ref="C284:D329"/>
    <mergeCell ref="E284:E318"/>
    <mergeCell ref="E319:E320"/>
    <mergeCell ref="E321:E323"/>
    <mergeCell ref="E324:E328"/>
    <mergeCell ref="E329:F329"/>
    <mergeCell ref="D167:F167"/>
    <mergeCell ref="C168:C255"/>
    <mergeCell ref="D168:D254"/>
    <mergeCell ref="E168:E211"/>
    <mergeCell ref="E212:E253"/>
    <mergeCell ref="E254:F254"/>
    <mergeCell ref="D126:F126"/>
    <mergeCell ref="C127:C167"/>
    <mergeCell ref="D127:D166"/>
    <mergeCell ref="E127:E137"/>
    <mergeCell ref="E138:E146"/>
    <mergeCell ref="E147:E165"/>
    <mergeCell ref="E166:F166"/>
    <mergeCell ref="E106:E124"/>
    <mergeCell ref="E125:F125"/>
    <mergeCell ref="E68:E74"/>
    <mergeCell ref="E75:E81"/>
    <mergeCell ref="E82:E88"/>
    <mergeCell ref="E89:E95"/>
    <mergeCell ref="E96:E100"/>
    <mergeCell ref="E101:E105"/>
    <mergeCell ref="BO4:BS4"/>
    <mergeCell ref="B6:B330"/>
    <mergeCell ref="C6:E10"/>
    <mergeCell ref="C11:C126"/>
    <mergeCell ref="D11:D125"/>
    <mergeCell ref="E11:E23"/>
    <mergeCell ref="E24:E52"/>
    <mergeCell ref="E53:E67"/>
    <mergeCell ref="BE4:BI4"/>
    <mergeCell ref="BJ4:BN4"/>
    <mergeCell ref="AU4:AY4"/>
    <mergeCell ref="AZ4:BD4"/>
    <mergeCell ref="AK4:AO4"/>
    <mergeCell ref="AP4:AT4"/>
    <mergeCell ref="AA4:AE4"/>
    <mergeCell ref="AF4:AJ4"/>
    <mergeCell ref="BJ3:BN3"/>
    <mergeCell ref="BO3:BS3"/>
    <mergeCell ref="G4:K4"/>
    <mergeCell ref="L4:P4"/>
    <mergeCell ref="Q4:U4"/>
    <mergeCell ref="AF3:AJ3"/>
    <mergeCell ref="AK3:AO3"/>
    <mergeCell ref="AP3:AT3"/>
    <mergeCell ref="AU3:AY3"/>
    <mergeCell ref="AZ3:BD3"/>
    <mergeCell ref="BE3:BI3"/>
    <mergeCell ref="B3:F5"/>
    <mergeCell ref="G3:K3"/>
    <mergeCell ref="L3:P3"/>
    <mergeCell ref="Q3:U3"/>
    <mergeCell ref="V3:Z3"/>
    <mergeCell ref="AA3:AE3"/>
    <mergeCell ref="V4:Z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0C5D-0BAE-4DF7-BE1B-1F3B3F3328B3}">
  <dimension ref="A1:BS517"/>
  <sheetViews>
    <sheetView tabSelected="1" zoomScale="90" zoomScaleNormal="90" workbookViewId="0">
      <pane xSplit="6" ySplit="5" topLeftCell="AW494" activePane="bottomRight" state="frozen"/>
      <selection pane="topRight" activeCell="E1" sqref="E1"/>
      <selection pane="bottomLeft" activeCell="A5" sqref="A5"/>
      <selection pane="bottomRight" activeCell="AY516" sqref="AY516"/>
    </sheetView>
  </sheetViews>
  <sheetFormatPr defaultRowHeight="16.5" x14ac:dyDescent="0.3"/>
  <cols>
    <col min="1" max="1" width="3.125" customWidth="1"/>
    <col min="3" max="4" width="6.375" style="1" bestFit="1" customWidth="1"/>
    <col min="5" max="5" width="6.375" style="1" customWidth="1"/>
    <col min="6" max="6" width="29.75" customWidth="1"/>
    <col min="7" max="70" width="8.125" style="2" customWidth="1"/>
    <col min="71" max="71" width="12.125" style="2" customWidth="1"/>
  </cols>
  <sheetData>
    <row r="1" spans="1:71" ht="20.25" x14ac:dyDescent="0.3">
      <c r="A1" s="3" t="s">
        <v>90</v>
      </c>
      <c r="G1" s="273"/>
      <c r="H1" s="197"/>
      <c r="I1" s="197"/>
      <c r="J1" s="197"/>
      <c r="K1" s="197"/>
      <c r="L1" s="273"/>
      <c r="M1" s="197"/>
      <c r="N1" s="197"/>
      <c r="O1" s="197"/>
      <c r="P1" s="197"/>
      <c r="Q1" s="273"/>
      <c r="R1" s="197"/>
      <c r="S1" s="197"/>
      <c r="T1" s="197"/>
      <c r="U1" s="197"/>
      <c r="V1" s="273"/>
      <c r="W1" s="197"/>
      <c r="X1" s="197"/>
      <c r="Y1" s="197"/>
      <c r="Z1" s="197"/>
      <c r="AA1" s="273"/>
      <c r="AB1" s="197"/>
      <c r="AC1" s="197"/>
      <c r="AD1" s="197"/>
      <c r="AE1" s="197"/>
      <c r="AF1" s="273"/>
      <c r="AG1" s="197"/>
      <c r="AH1" s="197"/>
      <c r="AI1" s="197"/>
      <c r="AJ1" s="197"/>
      <c r="AK1" s="273"/>
      <c r="AL1" s="197"/>
      <c r="AM1" s="197"/>
      <c r="AN1" s="197"/>
      <c r="AO1" s="197"/>
      <c r="AP1" s="273"/>
      <c r="AQ1" s="197"/>
      <c r="AR1" s="197"/>
      <c r="AS1" s="197"/>
      <c r="AT1" s="197"/>
      <c r="AU1" s="273"/>
      <c r="AV1" s="197"/>
      <c r="AW1" s="197"/>
      <c r="AX1" s="197"/>
      <c r="AY1" s="197"/>
      <c r="AZ1" s="273"/>
      <c r="BA1" s="197"/>
      <c r="BB1" s="197"/>
      <c r="BC1" s="197"/>
      <c r="BD1" s="197"/>
      <c r="BE1" s="273"/>
      <c r="BF1" s="197"/>
      <c r="BG1" s="197"/>
      <c r="BH1" s="197"/>
      <c r="BI1" s="197"/>
      <c r="BJ1" s="273"/>
      <c r="BK1" s="197"/>
      <c r="BL1" s="197"/>
      <c r="BM1" s="197"/>
      <c r="BN1" s="197"/>
    </row>
    <row r="2" spans="1:71" x14ac:dyDescent="0.3"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</row>
    <row r="3" spans="1:71" x14ac:dyDescent="0.3">
      <c r="B3" s="247" t="s">
        <v>3</v>
      </c>
      <c r="C3" s="247"/>
      <c r="D3" s="247"/>
      <c r="E3" s="248"/>
      <c r="F3" s="248"/>
      <c r="G3" s="245" t="s">
        <v>2</v>
      </c>
      <c r="H3" s="243"/>
      <c r="I3" s="243"/>
      <c r="J3" s="243"/>
      <c r="K3" s="243"/>
      <c r="L3" s="245" t="s">
        <v>20</v>
      </c>
      <c r="M3" s="243"/>
      <c r="N3" s="243"/>
      <c r="O3" s="243"/>
      <c r="P3" s="243"/>
      <c r="Q3" s="245" t="s">
        <v>6</v>
      </c>
      <c r="R3" s="243"/>
      <c r="S3" s="243"/>
      <c r="T3" s="243"/>
      <c r="U3" s="243"/>
      <c r="V3" s="245" t="s">
        <v>26</v>
      </c>
      <c r="W3" s="243"/>
      <c r="X3" s="243"/>
      <c r="Y3" s="243"/>
      <c r="Z3" s="243"/>
      <c r="AA3" s="245" t="s">
        <v>27</v>
      </c>
      <c r="AB3" s="243"/>
      <c r="AC3" s="243"/>
      <c r="AD3" s="243"/>
      <c r="AE3" s="243"/>
      <c r="AF3" s="245" t="s">
        <v>28</v>
      </c>
      <c r="AG3" s="243"/>
      <c r="AH3" s="243"/>
      <c r="AI3" s="243"/>
      <c r="AJ3" s="243"/>
      <c r="AK3" s="245" t="s">
        <v>29</v>
      </c>
      <c r="AL3" s="243"/>
      <c r="AM3" s="243"/>
      <c r="AN3" s="243"/>
      <c r="AO3" s="243"/>
      <c r="AP3" s="245" t="s">
        <v>30</v>
      </c>
      <c r="AQ3" s="243"/>
      <c r="AR3" s="243"/>
      <c r="AS3" s="243"/>
      <c r="AT3" s="243"/>
      <c r="AU3" s="245" t="s">
        <v>31</v>
      </c>
      <c r="AV3" s="243"/>
      <c r="AW3" s="243"/>
      <c r="AX3" s="243"/>
      <c r="AY3" s="243"/>
      <c r="AZ3" s="245" t="s">
        <v>32</v>
      </c>
      <c r="BA3" s="243"/>
      <c r="BB3" s="243"/>
      <c r="BC3" s="243"/>
      <c r="BD3" s="243"/>
      <c r="BE3" s="245" t="s">
        <v>33</v>
      </c>
      <c r="BF3" s="243"/>
      <c r="BG3" s="243"/>
      <c r="BH3" s="243"/>
      <c r="BI3" s="243"/>
      <c r="BJ3" s="245" t="s">
        <v>34</v>
      </c>
      <c r="BK3" s="243"/>
      <c r="BL3" s="243"/>
      <c r="BM3" s="243"/>
      <c r="BN3" s="243"/>
      <c r="BO3" s="242" t="s">
        <v>21</v>
      </c>
      <c r="BP3" s="243"/>
      <c r="BQ3" s="243"/>
      <c r="BR3" s="243"/>
      <c r="BS3" s="244"/>
    </row>
    <row r="4" spans="1:71" x14ac:dyDescent="0.3">
      <c r="B4" s="247"/>
      <c r="C4" s="247"/>
      <c r="D4" s="247"/>
      <c r="E4" s="248"/>
      <c r="F4" s="248"/>
      <c r="G4" s="245" t="s">
        <v>11</v>
      </c>
      <c r="H4" s="243"/>
      <c r="I4" s="243"/>
      <c r="J4" s="243"/>
      <c r="K4" s="246"/>
      <c r="L4" s="245" t="s">
        <v>11</v>
      </c>
      <c r="M4" s="243"/>
      <c r="N4" s="243"/>
      <c r="O4" s="243"/>
      <c r="P4" s="246"/>
      <c r="Q4" s="245" t="s">
        <v>11</v>
      </c>
      <c r="R4" s="243"/>
      <c r="S4" s="243"/>
      <c r="T4" s="243"/>
      <c r="U4" s="246"/>
      <c r="V4" s="245" t="s">
        <v>11</v>
      </c>
      <c r="W4" s="243"/>
      <c r="X4" s="243"/>
      <c r="Y4" s="243"/>
      <c r="Z4" s="246"/>
      <c r="AA4" s="245" t="s">
        <v>11</v>
      </c>
      <c r="AB4" s="243"/>
      <c r="AC4" s="243"/>
      <c r="AD4" s="243"/>
      <c r="AE4" s="246"/>
      <c r="AF4" s="245" t="s">
        <v>11</v>
      </c>
      <c r="AG4" s="243"/>
      <c r="AH4" s="243"/>
      <c r="AI4" s="243"/>
      <c r="AJ4" s="246"/>
      <c r="AK4" s="245" t="s">
        <v>11</v>
      </c>
      <c r="AL4" s="243"/>
      <c r="AM4" s="243"/>
      <c r="AN4" s="243"/>
      <c r="AO4" s="246"/>
      <c r="AP4" s="245" t="s">
        <v>11</v>
      </c>
      <c r="AQ4" s="243"/>
      <c r="AR4" s="243"/>
      <c r="AS4" s="243"/>
      <c r="AT4" s="246"/>
      <c r="AU4" s="245" t="s">
        <v>11</v>
      </c>
      <c r="AV4" s="243"/>
      <c r="AW4" s="243"/>
      <c r="AX4" s="243"/>
      <c r="AY4" s="246"/>
      <c r="AZ4" s="245" t="s">
        <v>11</v>
      </c>
      <c r="BA4" s="243"/>
      <c r="BB4" s="243"/>
      <c r="BC4" s="243"/>
      <c r="BD4" s="246"/>
      <c r="BE4" s="245" t="s">
        <v>11</v>
      </c>
      <c r="BF4" s="243"/>
      <c r="BG4" s="243"/>
      <c r="BH4" s="243"/>
      <c r="BI4" s="246"/>
      <c r="BJ4" s="245" t="s">
        <v>11</v>
      </c>
      <c r="BK4" s="243"/>
      <c r="BL4" s="243"/>
      <c r="BM4" s="243"/>
      <c r="BN4" s="246"/>
      <c r="BO4" s="242" t="s">
        <v>11</v>
      </c>
      <c r="BP4" s="243"/>
      <c r="BQ4" s="243"/>
      <c r="BR4" s="243"/>
      <c r="BS4" s="244"/>
    </row>
    <row r="5" spans="1:71" x14ac:dyDescent="0.3">
      <c r="B5" s="247"/>
      <c r="C5" s="247"/>
      <c r="D5" s="247"/>
      <c r="E5" s="248"/>
      <c r="F5" s="248"/>
      <c r="G5" s="28" t="s">
        <v>7</v>
      </c>
      <c r="H5" s="5" t="s">
        <v>8</v>
      </c>
      <c r="I5" s="5" t="s">
        <v>9</v>
      </c>
      <c r="J5" s="6" t="s">
        <v>10</v>
      </c>
      <c r="K5" s="4" t="s">
        <v>14</v>
      </c>
      <c r="L5" s="28" t="s">
        <v>7</v>
      </c>
      <c r="M5" s="5" t="s">
        <v>8</v>
      </c>
      <c r="N5" s="5" t="s">
        <v>9</v>
      </c>
      <c r="O5" s="6" t="s">
        <v>10</v>
      </c>
      <c r="P5" s="4" t="s">
        <v>14</v>
      </c>
      <c r="Q5" s="28" t="s">
        <v>7</v>
      </c>
      <c r="R5" s="5" t="s">
        <v>8</v>
      </c>
      <c r="S5" s="5" t="s">
        <v>9</v>
      </c>
      <c r="T5" s="6" t="s">
        <v>10</v>
      </c>
      <c r="U5" s="4" t="s">
        <v>14</v>
      </c>
      <c r="V5" s="28" t="s">
        <v>7</v>
      </c>
      <c r="W5" s="5" t="s">
        <v>8</v>
      </c>
      <c r="X5" s="5" t="s">
        <v>9</v>
      </c>
      <c r="Y5" s="6" t="s">
        <v>10</v>
      </c>
      <c r="Z5" s="4" t="s">
        <v>14</v>
      </c>
      <c r="AA5" s="28" t="s">
        <v>7</v>
      </c>
      <c r="AB5" s="5" t="s">
        <v>8</v>
      </c>
      <c r="AC5" s="5" t="s">
        <v>9</v>
      </c>
      <c r="AD5" s="6" t="s">
        <v>10</v>
      </c>
      <c r="AE5" s="4" t="s">
        <v>14</v>
      </c>
      <c r="AF5" s="28" t="s">
        <v>7</v>
      </c>
      <c r="AG5" s="5" t="s">
        <v>8</v>
      </c>
      <c r="AH5" s="5" t="s">
        <v>9</v>
      </c>
      <c r="AI5" s="6" t="s">
        <v>10</v>
      </c>
      <c r="AJ5" s="4" t="s">
        <v>14</v>
      </c>
      <c r="AK5" s="28" t="s">
        <v>7</v>
      </c>
      <c r="AL5" s="5" t="s">
        <v>8</v>
      </c>
      <c r="AM5" s="5" t="s">
        <v>9</v>
      </c>
      <c r="AN5" s="6" t="s">
        <v>10</v>
      </c>
      <c r="AO5" s="4" t="s">
        <v>14</v>
      </c>
      <c r="AP5" s="28" t="s">
        <v>7</v>
      </c>
      <c r="AQ5" s="5" t="s">
        <v>8</v>
      </c>
      <c r="AR5" s="5" t="s">
        <v>9</v>
      </c>
      <c r="AS5" s="6" t="s">
        <v>10</v>
      </c>
      <c r="AT5" s="4" t="s">
        <v>14</v>
      </c>
      <c r="AU5" s="28" t="s">
        <v>7</v>
      </c>
      <c r="AV5" s="5" t="s">
        <v>8</v>
      </c>
      <c r="AW5" s="5" t="s">
        <v>9</v>
      </c>
      <c r="AX5" s="6" t="s">
        <v>10</v>
      </c>
      <c r="AY5" s="4" t="s">
        <v>14</v>
      </c>
      <c r="AZ5" s="28" t="s">
        <v>7</v>
      </c>
      <c r="BA5" s="5" t="s">
        <v>8</v>
      </c>
      <c r="BB5" s="5" t="s">
        <v>9</v>
      </c>
      <c r="BC5" s="6" t="s">
        <v>10</v>
      </c>
      <c r="BD5" s="4" t="s">
        <v>14</v>
      </c>
      <c r="BE5" s="28" t="s">
        <v>7</v>
      </c>
      <c r="BF5" s="5" t="s">
        <v>8</v>
      </c>
      <c r="BG5" s="5" t="s">
        <v>9</v>
      </c>
      <c r="BH5" s="6" t="s">
        <v>10</v>
      </c>
      <c r="BI5" s="4" t="s">
        <v>14</v>
      </c>
      <c r="BJ5" s="28" t="s">
        <v>7</v>
      </c>
      <c r="BK5" s="5" t="s">
        <v>8</v>
      </c>
      <c r="BL5" s="5" t="s">
        <v>9</v>
      </c>
      <c r="BM5" s="6" t="s">
        <v>10</v>
      </c>
      <c r="BN5" s="4" t="s">
        <v>14</v>
      </c>
      <c r="BO5" s="64" t="s">
        <v>7</v>
      </c>
      <c r="BP5" s="5" t="s">
        <v>8</v>
      </c>
      <c r="BQ5" s="5" t="s">
        <v>9</v>
      </c>
      <c r="BR5" s="6" t="s">
        <v>10</v>
      </c>
      <c r="BS5" s="29" t="s">
        <v>14</v>
      </c>
    </row>
    <row r="6" spans="1:71" x14ac:dyDescent="0.3">
      <c r="B6" s="268" t="s">
        <v>36</v>
      </c>
      <c r="C6" s="229" t="s">
        <v>35</v>
      </c>
      <c r="D6" s="249"/>
      <c r="E6" s="249"/>
      <c r="F6" s="120" t="s">
        <v>39</v>
      </c>
      <c r="G6" s="32">
        <v>101</v>
      </c>
      <c r="H6" s="13">
        <v>11</v>
      </c>
      <c r="I6" s="13">
        <v>72</v>
      </c>
      <c r="J6" s="14"/>
      <c r="K6" s="15">
        <f t="shared" ref="K6:K147" si="0">SUM(G6:J6)</f>
        <v>184</v>
      </c>
      <c r="L6" s="32">
        <v>72</v>
      </c>
      <c r="M6" s="13">
        <v>4</v>
      </c>
      <c r="N6" s="13">
        <v>49</v>
      </c>
      <c r="O6" s="14"/>
      <c r="P6" s="15">
        <f t="shared" ref="P6:P69" si="1">SUM(L6:O6)</f>
        <v>125</v>
      </c>
      <c r="Q6" s="32">
        <v>82</v>
      </c>
      <c r="R6" s="13">
        <v>10</v>
      </c>
      <c r="S6" s="13">
        <v>75</v>
      </c>
      <c r="T6" s="14"/>
      <c r="U6" s="15">
        <f t="shared" ref="U6:U69" si="2">SUM(Q6:T6)</f>
        <v>167</v>
      </c>
      <c r="V6" s="32">
        <v>100</v>
      </c>
      <c r="W6" s="13">
        <v>5</v>
      </c>
      <c r="X6" s="13">
        <v>51</v>
      </c>
      <c r="Y6" s="14"/>
      <c r="Z6" s="15">
        <f t="shared" ref="Z6:Z69" si="3">SUM(V6:Y6)</f>
        <v>156</v>
      </c>
      <c r="AA6" s="32">
        <v>192</v>
      </c>
      <c r="AB6" s="13">
        <v>9</v>
      </c>
      <c r="AC6" s="13">
        <v>174</v>
      </c>
      <c r="AD6" s="14"/>
      <c r="AE6" s="15">
        <f t="shared" ref="AE6:AE69" si="4">SUM(AA6:AD6)</f>
        <v>375</v>
      </c>
      <c r="AF6" s="32">
        <v>86</v>
      </c>
      <c r="AG6" s="13">
        <v>4</v>
      </c>
      <c r="AH6" s="13">
        <v>66</v>
      </c>
      <c r="AI6" s="14"/>
      <c r="AJ6" s="15">
        <f t="shared" ref="AJ6:AJ69" si="5">SUM(AF6:AI6)</f>
        <v>156</v>
      </c>
      <c r="AK6" s="32">
        <v>40</v>
      </c>
      <c r="AL6" s="13">
        <v>7</v>
      </c>
      <c r="AM6" s="13">
        <v>21</v>
      </c>
      <c r="AN6" s="14"/>
      <c r="AO6" s="15">
        <f t="shared" ref="AO6:AO52" si="6">SUM(AK6:AN6)</f>
        <v>68</v>
      </c>
      <c r="AP6" s="32">
        <v>73</v>
      </c>
      <c r="AQ6" s="13">
        <v>8</v>
      </c>
      <c r="AR6" s="13">
        <v>64</v>
      </c>
      <c r="AS6" s="14"/>
      <c r="AT6" s="15">
        <f t="shared" ref="AT6:AT52" si="7">SUM(AP6:AS6)</f>
        <v>145</v>
      </c>
      <c r="AU6" s="32">
        <v>40</v>
      </c>
      <c r="AV6" s="13">
        <v>1</v>
      </c>
      <c r="AW6" s="13">
        <v>24</v>
      </c>
      <c r="AX6" s="14"/>
      <c r="AY6" s="15">
        <f t="shared" ref="AY6:AY52" si="8">SUM(AU6:AX6)</f>
        <v>65</v>
      </c>
      <c r="AZ6" s="32">
        <v>134</v>
      </c>
      <c r="BA6" s="13">
        <v>12</v>
      </c>
      <c r="BB6" s="13">
        <v>113</v>
      </c>
      <c r="BC6" s="14"/>
      <c r="BD6" s="15">
        <f t="shared" ref="BD6:BD52" si="9">SUM(AZ6:BC6)</f>
        <v>259</v>
      </c>
      <c r="BE6" s="32">
        <v>123</v>
      </c>
      <c r="BF6" s="13">
        <v>11</v>
      </c>
      <c r="BG6" s="13">
        <v>77</v>
      </c>
      <c r="BH6" s="14"/>
      <c r="BI6" s="15">
        <f t="shared" ref="BI6:BI52" si="10">SUM(BE6:BH6)</f>
        <v>211</v>
      </c>
      <c r="BJ6" s="32">
        <v>49</v>
      </c>
      <c r="BK6" s="13">
        <v>2</v>
      </c>
      <c r="BL6" s="13">
        <v>27</v>
      </c>
      <c r="BM6" s="14"/>
      <c r="BN6" s="15">
        <f t="shared" ref="BN6:BN52" si="11">SUM(BJ6:BM6)</f>
        <v>78</v>
      </c>
      <c r="BO6" s="66">
        <f>SUM(G6,L6,Q6,V6,AA6,AF6,AK6,AP6,AU6,AZ6,BE6,BJ6)</f>
        <v>1092</v>
      </c>
      <c r="BP6" s="13">
        <f>SUM(H6,M6,R6,W6,AB6,AG6,AL6,AQ6,AV6,BA6,BF6,BK6)</f>
        <v>84</v>
      </c>
      <c r="BQ6" s="13">
        <f>SUM(I6,N6,S6,X6,AC6,AH6,AM6,AR6,AW6,BB6,BG6,BL6)</f>
        <v>813</v>
      </c>
      <c r="BR6" s="14">
        <f>SUM(J6,O6,T6,Y6,AD6,AI6,AN6,AS6,AX6,BC6,BH6,BM6)</f>
        <v>0</v>
      </c>
      <c r="BS6" s="33">
        <f t="shared" ref="BS6:BS147" si="12">SUM(BO6:BR6)</f>
        <v>1989</v>
      </c>
    </row>
    <row r="7" spans="1:71" x14ac:dyDescent="0.3">
      <c r="B7" s="269"/>
      <c r="C7" s="230"/>
      <c r="D7" s="250"/>
      <c r="E7" s="250"/>
      <c r="F7" s="121" t="s">
        <v>40</v>
      </c>
      <c r="G7" s="32">
        <v>13</v>
      </c>
      <c r="H7" s="13">
        <v>1</v>
      </c>
      <c r="I7" s="13">
        <v>9</v>
      </c>
      <c r="J7" s="14"/>
      <c r="K7" s="15">
        <f t="shared" si="0"/>
        <v>23</v>
      </c>
      <c r="L7" s="32">
        <v>8</v>
      </c>
      <c r="M7" s="13">
        <v>2</v>
      </c>
      <c r="N7" s="13">
        <v>5</v>
      </c>
      <c r="O7" s="14"/>
      <c r="P7" s="15">
        <f t="shared" si="1"/>
        <v>15</v>
      </c>
      <c r="Q7" s="32">
        <v>20</v>
      </c>
      <c r="R7" s="13"/>
      <c r="S7" s="13">
        <v>12</v>
      </c>
      <c r="T7" s="14"/>
      <c r="U7" s="15">
        <f t="shared" si="2"/>
        <v>32</v>
      </c>
      <c r="V7" s="32">
        <v>46</v>
      </c>
      <c r="W7" s="13">
        <v>6</v>
      </c>
      <c r="X7" s="13">
        <v>10</v>
      </c>
      <c r="Y7" s="14"/>
      <c r="Z7" s="15">
        <f t="shared" si="3"/>
        <v>62</v>
      </c>
      <c r="AA7" s="32">
        <v>51</v>
      </c>
      <c r="AB7" s="13"/>
      <c r="AC7" s="13">
        <v>37</v>
      </c>
      <c r="AD7" s="14"/>
      <c r="AE7" s="15">
        <f t="shared" si="4"/>
        <v>88</v>
      </c>
      <c r="AF7" s="32">
        <v>24</v>
      </c>
      <c r="AG7" s="13">
        <v>1</v>
      </c>
      <c r="AH7" s="13">
        <v>13</v>
      </c>
      <c r="AI7" s="14"/>
      <c r="AJ7" s="15">
        <f t="shared" si="5"/>
        <v>38</v>
      </c>
      <c r="AK7" s="32">
        <v>21</v>
      </c>
      <c r="AL7" s="13">
        <v>2</v>
      </c>
      <c r="AM7" s="13">
        <v>10</v>
      </c>
      <c r="AN7" s="14"/>
      <c r="AO7" s="15">
        <f t="shared" si="6"/>
        <v>33</v>
      </c>
      <c r="AP7" s="32">
        <v>10</v>
      </c>
      <c r="AQ7" s="13">
        <v>1</v>
      </c>
      <c r="AR7" s="13">
        <v>8</v>
      </c>
      <c r="AS7" s="14"/>
      <c r="AT7" s="15">
        <f t="shared" si="7"/>
        <v>19</v>
      </c>
      <c r="AU7" s="32">
        <v>15</v>
      </c>
      <c r="AV7" s="13"/>
      <c r="AW7" s="13">
        <v>2</v>
      </c>
      <c r="AX7" s="14"/>
      <c r="AY7" s="15">
        <f t="shared" si="8"/>
        <v>17</v>
      </c>
      <c r="AZ7" s="32">
        <v>55</v>
      </c>
      <c r="BA7" s="13"/>
      <c r="BB7" s="13">
        <v>32</v>
      </c>
      <c r="BC7" s="14"/>
      <c r="BD7" s="15">
        <f t="shared" si="9"/>
        <v>87</v>
      </c>
      <c r="BE7" s="32">
        <v>35</v>
      </c>
      <c r="BF7" s="13">
        <v>2</v>
      </c>
      <c r="BG7" s="13">
        <v>15</v>
      </c>
      <c r="BH7" s="14"/>
      <c r="BI7" s="15">
        <f t="shared" si="10"/>
        <v>52</v>
      </c>
      <c r="BJ7" s="32">
        <v>21</v>
      </c>
      <c r="BK7" s="13">
        <v>1</v>
      </c>
      <c r="BL7" s="13">
        <v>4</v>
      </c>
      <c r="BM7" s="14"/>
      <c r="BN7" s="15">
        <f t="shared" si="11"/>
        <v>26</v>
      </c>
      <c r="BO7" s="66">
        <f>SUM(G7,L7,Q7,V7,AA7,AF7,AK7,AP7,AU7,AZ7,BE7,BJ7)</f>
        <v>319</v>
      </c>
      <c r="BP7" s="13">
        <f>SUM(H7,M7,R7,W7,AB7,AG7,AL7,AQ7,AV7,BA7,BF7,BK7)</f>
        <v>16</v>
      </c>
      <c r="BQ7" s="13">
        <f>SUM(I7,N7,S7,X7,AC7,AH7,AM7,AR7,AW7,BB7,BG7,BL7)</f>
        <v>157</v>
      </c>
      <c r="BR7" s="14">
        <f>SUM(J7,O7,T7,Y7,AD7,AI7,AN7,AS7,AX7,BC7,BH7,BM7)</f>
        <v>0</v>
      </c>
      <c r="BS7" s="33">
        <f t="shared" si="12"/>
        <v>492</v>
      </c>
    </row>
    <row r="8" spans="1:71" x14ac:dyDescent="0.3">
      <c r="B8" s="269"/>
      <c r="C8" s="231"/>
      <c r="D8" s="251"/>
      <c r="E8" s="251"/>
      <c r="F8" s="114" t="s">
        <v>4</v>
      </c>
      <c r="G8" s="40">
        <f>SUM(G6:G7)</f>
        <v>114</v>
      </c>
      <c r="H8" s="22">
        <f>SUM(H6:H7)</f>
        <v>12</v>
      </c>
      <c r="I8" s="22">
        <f>SUM(I6:I7)</f>
        <v>81</v>
      </c>
      <c r="J8" s="23">
        <f>SUM(J6:J7)</f>
        <v>0</v>
      </c>
      <c r="K8" s="24">
        <f t="shared" si="0"/>
        <v>207</v>
      </c>
      <c r="L8" s="40">
        <f>SUM(L6:L7)</f>
        <v>80</v>
      </c>
      <c r="M8" s="22">
        <f>SUM(M6:M7)</f>
        <v>6</v>
      </c>
      <c r="N8" s="22">
        <f>SUM(N6:N7)</f>
        <v>54</v>
      </c>
      <c r="O8" s="23">
        <f>SUM(O6:O7)</f>
        <v>0</v>
      </c>
      <c r="P8" s="24">
        <f t="shared" si="1"/>
        <v>140</v>
      </c>
      <c r="Q8" s="40">
        <f>SUM(Q6:Q7)</f>
        <v>102</v>
      </c>
      <c r="R8" s="22">
        <f>SUM(R6:R7)</f>
        <v>10</v>
      </c>
      <c r="S8" s="22">
        <f>SUM(S6:S7)</f>
        <v>87</v>
      </c>
      <c r="T8" s="23">
        <f>SUM(T6:T7)</f>
        <v>0</v>
      </c>
      <c r="U8" s="24">
        <f t="shared" si="2"/>
        <v>199</v>
      </c>
      <c r="V8" s="40">
        <f>SUM(V6:V7)</f>
        <v>146</v>
      </c>
      <c r="W8" s="22">
        <f>SUM(W6:W7)</f>
        <v>11</v>
      </c>
      <c r="X8" s="22">
        <f>SUM(X6:X7)</f>
        <v>61</v>
      </c>
      <c r="Y8" s="23">
        <f>SUM(Y6:Y7)</f>
        <v>0</v>
      </c>
      <c r="Z8" s="24">
        <f t="shared" si="3"/>
        <v>218</v>
      </c>
      <c r="AA8" s="40">
        <f>SUM(AA6:AA7)</f>
        <v>243</v>
      </c>
      <c r="AB8" s="22">
        <f>SUM(AB6:AB7)</f>
        <v>9</v>
      </c>
      <c r="AC8" s="22">
        <f>SUM(AC6:AC7)</f>
        <v>211</v>
      </c>
      <c r="AD8" s="23">
        <f>SUM(AD6:AD7)</f>
        <v>0</v>
      </c>
      <c r="AE8" s="24">
        <f t="shared" si="4"/>
        <v>463</v>
      </c>
      <c r="AF8" s="40">
        <f>SUM(AF6:AF7)</f>
        <v>110</v>
      </c>
      <c r="AG8" s="22">
        <f>SUM(AG6:AG7)</f>
        <v>5</v>
      </c>
      <c r="AH8" s="22">
        <f>SUM(AH6:AH7)</f>
        <v>79</v>
      </c>
      <c r="AI8" s="23">
        <f>SUM(AI6:AI7)</f>
        <v>0</v>
      </c>
      <c r="AJ8" s="24">
        <f t="shared" si="5"/>
        <v>194</v>
      </c>
      <c r="AK8" s="40">
        <f>SUM(AK6:AK7)</f>
        <v>61</v>
      </c>
      <c r="AL8" s="22">
        <f>SUM(AL6:AL7)</f>
        <v>9</v>
      </c>
      <c r="AM8" s="22">
        <f>SUM(AM6:AM7)</f>
        <v>31</v>
      </c>
      <c r="AN8" s="23">
        <f>SUM(AN6:AN7)</f>
        <v>0</v>
      </c>
      <c r="AO8" s="24">
        <f t="shared" si="6"/>
        <v>101</v>
      </c>
      <c r="AP8" s="40">
        <f>SUM(AP6:AP7)</f>
        <v>83</v>
      </c>
      <c r="AQ8" s="22">
        <f>SUM(AQ6:AQ7)</f>
        <v>9</v>
      </c>
      <c r="AR8" s="22">
        <f>SUM(AR6:AR7)</f>
        <v>72</v>
      </c>
      <c r="AS8" s="23">
        <f>SUM(AS6:AS7)</f>
        <v>0</v>
      </c>
      <c r="AT8" s="24">
        <f t="shared" si="7"/>
        <v>164</v>
      </c>
      <c r="AU8" s="40">
        <f>SUM(AU6:AU7)</f>
        <v>55</v>
      </c>
      <c r="AV8" s="22">
        <f>SUM(AV6:AV7)</f>
        <v>1</v>
      </c>
      <c r="AW8" s="22">
        <f>SUM(AW6:AW7)</f>
        <v>26</v>
      </c>
      <c r="AX8" s="23">
        <f>SUM(AX6:AX7)</f>
        <v>0</v>
      </c>
      <c r="AY8" s="24">
        <f t="shared" si="8"/>
        <v>82</v>
      </c>
      <c r="AZ8" s="40">
        <f>SUM(AZ6:AZ7)</f>
        <v>189</v>
      </c>
      <c r="BA8" s="22">
        <f>SUM(BA6:BA7)</f>
        <v>12</v>
      </c>
      <c r="BB8" s="22">
        <f>SUM(BB6:BB7)</f>
        <v>145</v>
      </c>
      <c r="BC8" s="23">
        <f>SUM(BC6:BC7)</f>
        <v>0</v>
      </c>
      <c r="BD8" s="24">
        <f t="shared" si="9"/>
        <v>346</v>
      </c>
      <c r="BE8" s="40">
        <f>SUM(BE6:BE7)</f>
        <v>158</v>
      </c>
      <c r="BF8" s="22">
        <f>SUM(BF6:BF7)</f>
        <v>13</v>
      </c>
      <c r="BG8" s="22">
        <f>SUM(BG6:BG7)</f>
        <v>92</v>
      </c>
      <c r="BH8" s="23">
        <f>SUM(BH6:BH7)</f>
        <v>0</v>
      </c>
      <c r="BI8" s="24">
        <f t="shared" si="10"/>
        <v>263</v>
      </c>
      <c r="BJ8" s="40">
        <f>SUM(BJ6:BJ7)</f>
        <v>70</v>
      </c>
      <c r="BK8" s="22">
        <f>SUM(BK6:BK7)</f>
        <v>3</v>
      </c>
      <c r="BL8" s="22">
        <f>SUM(BL6:BL7)</f>
        <v>31</v>
      </c>
      <c r="BM8" s="23">
        <f>SUM(BM6:BM7)</f>
        <v>0</v>
      </c>
      <c r="BN8" s="24">
        <f t="shared" si="11"/>
        <v>104</v>
      </c>
      <c r="BO8" s="68">
        <f>SUM(BO6:BO7)</f>
        <v>1411</v>
      </c>
      <c r="BP8" s="22">
        <f>SUM(BP6:BP7)</f>
        <v>100</v>
      </c>
      <c r="BQ8" s="22">
        <f>SUM(BQ6:BQ7)</f>
        <v>970</v>
      </c>
      <c r="BR8" s="23">
        <f>SUM(BR6:BR7)</f>
        <v>0</v>
      </c>
      <c r="BS8" s="41">
        <f t="shared" si="12"/>
        <v>2481</v>
      </c>
    </row>
    <row r="9" spans="1:71" x14ac:dyDescent="0.3">
      <c r="B9" s="269"/>
      <c r="C9" s="230"/>
      <c r="D9" s="233"/>
      <c r="E9" s="239" t="s">
        <v>41</v>
      </c>
      <c r="F9" s="121" t="s">
        <v>49</v>
      </c>
      <c r="G9" s="32">
        <v>74</v>
      </c>
      <c r="H9" s="13"/>
      <c r="I9" s="13"/>
      <c r="J9" s="14"/>
      <c r="K9" s="15">
        <f t="shared" si="0"/>
        <v>74</v>
      </c>
      <c r="L9" s="32"/>
      <c r="M9" s="13"/>
      <c r="N9" s="13"/>
      <c r="O9" s="14"/>
      <c r="P9" s="15">
        <f t="shared" si="1"/>
        <v>0</v>
      </c>
      <c r="Q9" s="32"/>
      <c r="R9" s="13"/>
      <c r="S9" s="13"/>
      <c r="T9" s="14"/>
      <c r="U9" s="15">
        <f t="shared" si="2"/>
        <v>0</v>
      </c>
      <c r="V9" s="32"/>
      <c r="W9" s="13"/>
      <c r="X9" s="13"/>
      <c r="Y9" s="14"/>
      <c r="Z9" s="15">
        <f t="shared" si="3"/>
        <v>0</v>
      </c>
      <c r="AA9" s="32">
        <v>110</v>
      </c>
      <c r="AB9" s="13"/>
      <c r="AC9" s="13"/>
      <c r="AD9" s="14"/>
      <c r="AE9" s="15">
        <f t="shared" si="4"/>
        <v>110</v>
      </c>
      <c r="AF9" s="32"/>
      <c r="AG9" s="13"/>
      <c r="AH9" s="13"/>
      <c r="AI9" s="14"/>
      <c r="AJ9" s="15">
        <f t="shared" si="5"/>
        <v>0</v>
      </c>
      <c r="AK9" s="32"/>
      <c r="AL9" s="13"/>
      <c r="AM9" s="13"/>
      <c r="AN9" s="14"/>
      <c r="AO9" s="15">
        <f t="shared" si="6"/>
        <v>0</v>
      </c>
      <c r="AP9" s="32"/>
      <c r="AQ9" s="13"/>
      <c r="AR9" s="13"/>
      <c r="AS9" s="14"/>
      <c r="AT9" s="15">
        <f t="shared" si="7"/>
        <v>0</v>
      </c>
      <c r="AU9" s="32">
        <v>93</v>
      </c>
      <c r="AV9" s="13"/>
      <c r="AW9" s="13"/>
      <c r="AX9" s="14"/>
      <c r="AY9" s="15">
        <f t="shared" si="8"/>
        <v>93</v>
      </c>
      <c r="AZ9" s="32"/>
      <c r="BA9" s="13"/>
      <c r="BB9" s="13"/>
      <c r="BC9" s="14"/>
      <c r="BD9" s="15">
        <f t="shared" si="9"/>
        <v>0</v>
      </c>
      <c r="BE9" s="32"/>
      <c r="BF9" s="13"/>
      <c r="BG9" s="13"/>
      <c r="BH9" s="14"/>
      <c r="BI9" s="15">
        <f t="shared" si="10"/>
        <v>0</v>
      </c>
      <c r="BJ9" s="32">
        <v>18</v>
      </c>
      <c r="BK9" s="13"/>
      <c r="BL9" s="13"/>
      <c r="BM9" s="14"/>
      <c r="BN9" s="15">
        <f t="shared" si="11"/>
        <v>18</v>
      </c>
      <c r="BO9" s="66">
        <f>SUM(G9,L9,Q9,V9,AA9,AF9,AK9,AP9,AU9,AZ9,BE9,BJ9)</f>
        <v>295</v>
      </c>
      <c r="BP9" s="13">
        <f>SUM(H9,M9,R9,W9,AB9,AG9,AL9,AQ9,AV9,BA9,BF9,BK9)</f>
        <v>0</v>
      </c>
      <c r="BQ9" s="13">
        <f>SUM(I9,N9,S9,X9,AC9,AH9,AM9,AR9,AW9,BB9,BG9,BL9)</f>
        <v>0</v>
      </c>
      <c r="BR9" s="14">
        <f>SUM(J9,O9,T9,Y9,AD9,AI9,AN9,AS9,AX9,BC9,BH9,BM9)</f>
        <v>0</v>
      </c>
      <c r="BS9" s="33">
        <f t="shared" si="12"/>
        <v>295</v>
      </c>
    </row>
    <row r="10" spans="1:71" x14ac:dyDescent="0.3">
      <c r="B10" s="269"/>
      <c r="C10" s="230"/>
      <c r="D10" s="233"/>
      <c r="E10" s="239"/>
      <c r="F10" s="121" t="s">
        <v>50</v>
      </c>
      <c r="G10" s="32">
        <v>9</v>
      </c>
      <c r="H10" s="13"/>
      <c r="I10" s="13"/>
      <c r="J10" s="14"/>
      <c r="K10" s="15">
        <f t="shared" si="0"/>
        <v>9</v>
      </c>
      <c r="L10" s="32"/>
      <c r="M10" s="13"/>
      <c r="N10" s="13"/>
      <c r="O10" s="14"/>
      <c r="P10" s="15">
        <f t="shared" si="1"/>
        <v>0</v>
      </c>
      <c r="Q10" s="32"/>
      <c r="R10" s="13"/>
      <c r="S10" s="13"/>
      <c r="T10" s="14"/>
      <c r="U10" s="15">
        <f t="shared" si="2"/>
        <v>0</v>
      </c>
      <c r="V10" s="32"/>
      <c r="W10" s="13"/>
      <c r="X10" s="13"/>
      <c r="Y10" s="14"/>
      <c r="Z10" s="15">
        <f t="shared" si="3"/>
        <v>0</v>
      </c>
      <c r="AA10" s="32">
        <v>14</v>
      </c>
      <c r="AB10" s="13"/>
      <c r="AC10" s="13"/>
      <c r="AD10" s="14"/>
      <c r="AE10" s="15">
        <f t="shared" si="4"/>
        <v>14</v>
      </c>
      <c r="AF10" s="32"/>
      <c r="AG10" s="13"/>
      <c r="AH10" s="13"/>
      <c r="AI10" s="14"/>
      <c r="AJ10" s="15">
        <f t="shared" si="5"/>
        <v>0</v>
      </c>
      <c r="AK10" s="32"/>
      <c r="AL10" s="13"/>
      <c r="AM10" s="13"/>
      <c r="AN10" s="14"/>
      <c r="AO10" s="15">
        <f t="shared" si="6"/>
        <v>0</v>
      </c>
      <c r="AP10" s="32"/>
      <c r="AQ10" s="13"/>
      <c r="AR10" s="13"/>
      <c r="AS10" s="14"/>
      <c r="AT10" s="15">
        <f t="shared" si="7"/>
        <v>0</v>
      </c>
      <c r="AU10" s="32">
        <v>26</v>
      </c>
      <c r="AV10" s="13"/>
      <c r="AW10" s="13"/>
      <c r="AX10" s="14"/>
      <c r="AY10" s="15">
        <f t="shared" si="8"/>
        <v>26</v>
      </c>
      <c r="AZ10" s="32"/>
      <c r="BA10" s="13"/>
      <c r="BB10" s="13"/>
      <c r="BC10" s="14"/>
      <c r="BD10" s="15">
        <f t="shared" si="9"/>
        <v>0</v>
      </c>
      <c r="BE10" s="32"/>
      <c r="BF10" s="13"/>
      <c r="BG10" s="13"/>
      <c r="BH10" s="14"/>
      <c r="BI10" s="15">
        <f t="shared" si="10"/>
        <v>0</v>
      </c>
      <c r="BJ10" s="32">
        <v>9</v>
      </c>
      <c r="BK10" s="13"/>
      <c r="BL10" s="13"/>
      <c r="BM10" s="14"/>
      <c r="BN10" s="15">
        <f t="shared" si="11"/>
        <v>9</v>
      </c>
      <c r="BO10" s="66">
        <f>SUM(G10,L10,Q10,V10,AA10,AF10,AK10,AP10,AU10,AZ10,BE10,BJ10)</f>
        <v>58</v>
      </c>
      <c r="BP10" s="13">
        <f>SUM(H10,M10,R10,W10,AB10,AG10,AL10,AQ10,AV10,BA10,BF10,BK10)</f>
        <v>0</v>
      </c>
      <c r="BQ10" s="13">
        <f>SUM(I10,N10,S10,X10,AC10,AH10,AM10,AR10,AW10,BB10,BG10,BL10)</f>
        <v>0</v>
      </c>
      <c r="BR10" s="14">
        <f>SUM(J10,O10,T10,Y10,AD10,AI10,AN10,AS10,AX10,BC10,BH10,BM10)</f>
        <v>0</v>
      </c>
      <c r="BS10" s="33">
        <f t="shared" si="12"/>
        <v>58</v>
      </c>
    </row>
    <row r="11" spans="1:71" x14ac:dyDescent="0.3">
      <c r="B11" s="269"/>
      <c r="C11" s="230"/>
      <c r="D11" s="233"/>
      <c r="E11" s="239"/>
      <c r="F11" s="121" t="s">
        <v>621</v>
      </c>
      <c r="G11" s="32">
        <v>121</v>
      </c>
      <c r="H11" s="13"/>
      <c r="I11" s="13"/>
      <c r="J11" s="14"/>
      <c r="K11" s="15">
        <f t="shared" si="0"/>
        <v>121</v>
      </c>
      <c r="L11" s="32">
        <v>218</v>
      </c>
      <c r="M11" s="13"/>
      <c r="N11" s="13"/>
      <c r="O11" s="14"/>
      <c r="P11" s="15">
        <f t="shared" si="1"/>
        <v>218</v>
      </c>
      <c r="Q11" s="32">
        <v>379</v>
      </c>
      <c r="R11" s="13"/>
      <c r="S11" s="13"/>
      <c r="T11" s="14"/>
      <c r="U11" s="15">
        <f t="shared" si="2"/>
        <v>379</v>
      </c>
      <c r="V11" s="32">
        <v>285</v>
      </c>
      <c r="W11" s="13"/>
      <c r="X11" s="13"/>
      <c r="Y11" s="14"/>
      <c r="Z11" s="15">
        <f t="shared" si="3"/>
        <v>285</v>
      </c>
      <c r="AA11" s="32">
        <v>285</v>
      </c>
      <c r="AB11" s="13"/>
      <c r="AC11" s="13"/>
      <c r="AD11" s="14"/>
      <c r="AE11" s="15">
        <f t="shared" si="4"/>
        <v>285</v>
      </c>
      <c r="AF11" s="32"/>
      <c r="AG11" s="13"/>
      <c r="AH11" s="13"/>
      <c r="AI11" s="14"/>
      <c r="AJ11" s="15">
        <f t="shared" si="5"/>
        <v>0</v>
      </c>
      <c r="AK11" s="32"/>
      <c r="AL11" s="13"/>
      <c r="AM11" s="13"/>
      <c r="AN11" s="14"/>
      <c r="AO11" s="15">
        <f t="shared" si="6"/>
        <v>0</v>
      </c>
      <c r="AP11" s="32"/>
      <c r="AQ11" s="13"/>
      <c r="AR11" s="13"/>
      <c r="AS11" s="14"/>
      <c r="AT11" s="15">
        <f t="shared" si="7"/>
        <v>0</v>
      </c>
      <c r="AU11" s="32"/>
      <c r="AV11" s="13"/>
      <c r="AW11" s="13"/>
      <c r="AX11" s="14"/>
      <c r="AY11" s="15">
        <f t="shared" si="8"/>
        <v>0</v>
      </c>
      <c r="AZ11" s="32">
        <v>284</v>
      </c>
      <c r="BA11" s="13"/>
      <c r="BB11" s="13"/>
      <c r="BC11" s="14"/>
      <c r="BD11" s="15">
        <f t="shared" si="9"/>
        <v>284</v>
      </c>
      <c r="BE11" s="32">
        <v>115</v>
      </c>
      <c r="BF11" s="13"/>
      <c r="BG11" s="13"/>
      <c r="BH11" s="14"/>
      <c r="BI11" s="15">
        <f t="shared" si="10"/>
        <v>115</v>
      </c>
      <c r="BJ11" s="32"/>
      <c r="BK11" s="13"/>
      <c r="BL11" s="13"/>
      <c r="BM11" s="14"/>
      <c r="BN11" s="15">
        <f t="shared" si="11"/>
        <v>0</v>
      </c>
      <c r="BO11" s="66">
        <f>SUM(G11,L11,Q11,V11,AA11,AF11,AK11,AP11,AU11,AZ11,BE11,BJ11)</f>
        <v>1687</v>
      </c>
      <c r="BP11" s="13">
        <f>SUM(H11,M11,R11,W11,AB11,AG11,AL11,AQ11,AV11,BA11,BF11,BK11)</f>
        <v>0</v>
      </c>
      <c r="BQ11" s="13">
        <f>SUM(I11,N11,S11,X11,AC11,AH11,AM11,AR11,AW11,BB11,BG11,BL11)</f>
        <v>0</v>
      </c>
      <c r="BR11" s="14">
        <f>SUM(J11,O11,T11,Y11,AD11,AI11,AN11,AS11,AX11,BC11,BH11,BM11)</f>
        <v>0</v>
      </c>
      <c r="BS11" s="33">
        <f t="shared" si="12"/>
        <v>1687</v>
      </c>
    </row>
    <row r="12" spans="1:71" x14ac:dyDescent="0.3">
      <c r="B12" s="269"/>
      <c r="C12" s="230"/>
      <c r="D12" s="233"/>
      <c r="E12" s="239"/>
      <c r="F12" s="121" t="s">
        <v>622</v>
      </c>
      <c r="G12" s="32">
        <v>4</v>
      </c>
      <c r="H12" s="13"/>
      <c r="I12" s="13"/>
      <c r="J12" s="14"/>
      <c r="K12" s="15">
        <f t="shared" si="0"/>
        <v>4</v>
      </c>
      <c r="L12" s="32">
        <v>17</v>
      </c>
      <c r="M12" s="13"/>
      <c r="N12" s="13"/>
      <c r="O12" s="14"/>
      <c r="P12" s="15">
        <f t="shared" si="1"/>
        <v>17</v>
      </c>
      <c r="Q12" s="32">
        <v>41</v>
      </c>
      <c r="R12" s="13"/>
      <c r="S12" s="13"/>
      <c r="T12" s="14"/>
      <c r="U12" s="15">
        <f t="shared" si="2"/>
        <v>41</v>
      </c>
      <c r="V12" s="32">
        <v>73</v>
      </c>
      <c r="W12" s="13"/>
      <c r="X12" s="13"/>
      <c r="Y12" s="14"/>
      <c r="Z12" s="15">
        <f t="shared" si="3"/>
        <v>73</v>
      </c>
      <c r="AA12" s="32">
        <v>50</v>
      </c>
      <c r="AB12" s="13"/>
      <c r="AC12" s="13"/>
      <c r="AD12" s="14"/>
      <c r="AE12" s="15">
        <f t="shared" si="4"/>
        <v>50</v>
      </c>
      <c r="AF12" s="32"/>
      <c r="AG12" s="13"/>
      <c r="AH12" s="13"/>
      <c r="AI12" s="14"/>
      <c r="AJ12" s="15">
        <f t="shared" si="5"/>
        <v>0</v>
      </c>
      <c r="AK12" s="32"/>
      <c r="AL12" s="13"/>
      <c r="AM12" s="13"/>
      <c r="AN12" s="14"/>
      <c r="AO12" s="15">
        <f t="shared" si="6"/>
        <v>0</v>
      </c>
      <c r="AP12" s="32"/>
      <c r="AQ12" s="13"/>
      <c r="AR12" s="13"/>
      <c r="AS12" s="14"/>
      <c r="AT12" s="15">
        <f t="shared" si="7"/>
        <v>0</v>
      </c>
      <c r="AU12" s="32"/>
      <c r="AV12" s="13"/>
      <c r="AW12" s="13"/>
      <c r="AX12" s="14"/>
      <c r="AY12" s="15">
        <f t="shared" si="8"/>
        <v>0</v>
      </c>
      <c r="AZ12" s="32">
        <v>73</v>
      </c>
      <c r="BA12" s="13"/>
      <c r="BB12" s="13"/>
      <c r="BC12" s="14"/>
      <c r="BD12" s="15">
        <f t="shared" si="9"/>
        <v>73</v>
      </c>
      <c r="BE12" s="32">
        <v>30</v>
      </c>
      <c r="BF12" s="13"/>
      <c r="BG12" s="13"/>
      <c r="BH12" s="14"/>
      <c r="BI12" s="15">
        <f t="shared" si="10"/>
        <v>30</v>
      </c>
      <c r="BJ12" s="32"/>
      <c r="BK12" s="13"/>
      <c r="BL12" s="13"/>
      <c r="BM12" s="14"/>
      <c r="BN12" s="15">
        <f t="shared" si="11"/>
        <v>0</v>
      </c>
      <c r="BO12" s="66">
        <f>SUM(G12,L12,Q12,V12,AA12,AF12,AK12,AP12,AU12,AZ12,BE12,BJ12)</f>
        <v>288</v>
      </c>
      <c r="BP12" s="13">
        <f>SUM(H12,M12,R12,W12,AB12,AG12,AL12,AQ12,AV12,BA12,BF12,BK12)</f>
        <v>0</v>
      </c>
      <c r="BQ12" s="13">
        <f>SUM(I12,N12,S12,X12,AC12,AH12,AM12,AR12,AW12,BB12,BG12,BL12)</f>
        <v>0</v>
      </c>
      <c r="BR12" s="14">
        <f>SUM(J12,O12,T12,Y12,AD12,AI12,AN12,AS12,AX12,BC12,BH12,BM12)</f>
        <v>0</v>
      </c>
      <c r="BS12" s="33">
        <f t="shared" si="12"/>
        <v>288</v>
      </c>
    </row>
    <row r="13" spans="1:71" x14ac:dyDescent="0.3">
      <c r="B13" s="269"/>
      <c r="C13" s="230"/>
      <c r="D13" s="233"/>
      <c r="E13" s="239"/>
      <c r="F13" s="121" t="s">
        <v>623</v>
      </c>
      <c r="G13" s="32">
        <v>78</v>
      </c>
      <c r="H13" s="13"/>
      <c r="I13" s="13"/>
      <c r="J13" s="14"/>
      <c r="K13" s="15">
        <f t="shared" ref="K13:K30" si="13">SUM(G13:J13)</f>
        <v>78</v>
      </c>
      <c r="L13" s="32">
        <v>141</v>
      </c>
      <c r="M13" s="13"/>
      <c r="N13" s="13"/>
      <c r="O13" s="14"/>
      <c r="P13" s="15">
        <f t="shared" si="1"/>
        <v>141</v>
      </c>
      <c r="Q13" s="32">
        <v>286</v>
      </c>
      <c r="R13" s="13"/>
      <c r="S13" s="13"/>
      <c r="T13" s="14"/>
      <c r="U13" s="15">
        <f t="shared" si="2"/>
        <v>286</v>
      </c>
      <c r="V13" s="32">
        <v>200</v>
      </c>
      <c r="W13" s="13"/>
      <c r="X13" s="13"/>
      <c r="Y13" s="14"/>
      <c r="Z13" s="15">
        <f t="shared" si="3"/>
        <v>200</v>
      </c>
      <c r="AA13" s="32">
        <v>198</v>
      </c>
      <c r="AB13" s="13"/>
      <c r="AC13" s="13"/>
      <c r="AD13" s="14"/>
      <c r="AE13" s="15">
        <f t="shared" si="4"/>
        <v>198</v>
      </c>
      <c r="AF13" s="32"/>
      <c r="AG13" s="13"/>
      <c r="AH13" s="13"/>
      <c r="AI13" s="14"/>
      <c r="AJ13" s="15">
        <f t="shared" si="5"/>
        <v>0</v>
      </c>
      <c r="AK13" s="32"/>
      <c r="AL13" s="13"/>
      <c r="AM13" s="13"/>
      <c r="AN13" s="14"/>
      <c r="AO13" s="15">
        <f t="shared" si="6"/>
        <v>0</v>
      </c>
      <c r="AP13" s="32"/>
      <c r="AQ13" s="13"/>
      <c r="AR13" s="13"/>
      <c r="AS13" s="14"/>
      <c r="AT13" s="15">
        <f t="shared" si="7"/>
        <v>0</v>
      </c>
      <c r="AU13" s="32"/>
      <c r="AV13" s="13"/>
      <c r="AW13" s="13"/>
      <c r="AX13" s="14"/>
      <c r="AY13" s="15">
        <f t="shared" si="8"/>
        <v>0</v>
      </c>
      <c r="AZ13" s="32">
        <v>187</v>
      </c>
      <c r="BA13" s="13"/>
      <c r="BB13" s="13"/>
      <c r="BC13" s="14"/>
      <c r="BD13" s="15">
        <f t="shared" si="9"/>
        <v>187</v>
      </c>
      <c r="BE13" s="32">
        <v>59</v>
      </c>
      <c r="BF13" s="13"/>
      <c r="BG13" s="13"/>
      <c r="BH13" s="14"/>
      <c r="BI13" s="15">
        <f t="shared" si="10"/>
        <v>59</v>
      </c>
      <c r="BJ13" s="32"/>
      <c r="BK13" s="13"/>
      <c r="BL13" s="13"/>
      <c r="BM13" s="14"/>
      <c r="BN13" s="15">
        <f t="shared" si="11"/>
        <v>0</v>
      </c>
      <c r="BO13" s="66">
        <f>SUM(G13,L13,Q13,V13,AA13,AF13,AK13,AP13,AU13,AZ13,BE13,BJ13)</f>
        <v>1149</v>
      </c>
      <c r="BP13" s="13">
        <f>SUM(H13,M13,R13,W13,AB13,AG13,AL13,AQ13,AV13,BA13,BF13,BK13)</f>
        <v>0</v>
      </c>
      <c r="BQ13" s="13">
        <f>SUM(I13,N13,S13,X13,AC13,AH13,AM13,AR13,AW13,BB13,BG13,BL13)</f>
        <v>0</v>
      </c>
      <c r="BR13" s="14">
        <f>SUM(J13,O13,T13,Y13,AD13,AI13,AN13,AS13,AX13,BC13,BH13,BM13)</f>
        <v>0</v>
      </c>
      <c r="BS13" s="33">
        <f t="shared" si="12"/>
        <v>1149</v>
      </c>
    </row>
    <row r="14" spans="1:71" x14ac:dyDescent="0.3">
      <c r="B14" s="269"/>
      <c r="C14" s="230"/>
      <c r="D14" s="233"/>
      <c r="E14" s="239"/>
      <c r="F14" s="121" t="s">
        <v>624</v>
      </c>
      <c r="G14" s="32">
        <v>3</v>
      </c>
      <c r="H14" s="13"/>
      <c r="I14" s="13"/>
      <c r="J14" s="14"/>
      <c r="K14" s="15">
        <f t="shared" si="13"/>
        <v>3</v>
      </c>
      <c r="L14" s="32">
        <v>12</v>
      </c>
      <c r="M14" s="13"/>
      <c r="N14" s="13"/>
      <c r="O14" s="14"/>
      <c r="P14" s="15">
        <f t="shared" si="1"/>
        <v>12</v>
      </c>
      <c r="Q14" s="32">
        <v>33</v>
      </c>
      <c r="R14" s="13"/>
      <c r="S14" s="13"/>
      <c r="T14" s="14"/>
      <c r="U14" s="15">
        <f t="shared" si="2"/>
        <v>33</v>
      </c>
      <c r="V14" s="32">
        <v>55</v>
      </c>
      <c r="W14" s="13"/>
      <c r="X14" s="13"/>
      <c r="Y14" s="14"/>
      <c r="Z14" s="15">
        <f t="shared" si="3"/>
        <v>55</v>
      </c>
      <c r="AA14" s="32">
        <v>39</v>
      </c>
      <c r="AB14" s="13"/>
      <c r="AC14" s="13"/>
      <c r="AD14" s="14"/>
      <c r="AE14" s="15">
        <f t="shared" si="4"/>
        <v>39</v>
      </c>
      <c r="AF14" s="32"/>
      <c r="AG14" s="13"/>
      <c r="AH14" s="13"/>
      <c r="AI14" s="14"/>
      <c r="AJ14" s="15">
        <f t="shared" si="5"/>
        <v>0</v>
      </c>
      <c r="AK14" s="32"/>
      <c r="AL14" s="13"/>
      <c r="AM14" s="13"/>
      <c r="AN14" s="14"/>
      <c r="AO14" s="15">
        <f t="shared" si="6"/>
        <v>0</v>
      </c>
      <c r="AP14" s="32"/>
      <c r="AQ14" s="13"/>
      <c r="AR14" s="13"/>
      <c r="AS14" s="14"/>
      <c r="AT14" s="15">
        <f t="shared" si="7"/>
        <v>0</v>
      </c>
      <c r="AU14" s="32"/>
      <c r="AV14" s="13"/>
      <c r="AW14" s="13"/>
      <c r="AX14" s="14"/>
      <c r="AY14" s="15">
        <f t="shared" si="8"/>
        <v>0</v>
      </c>
      <c r="AZ14" s="32">
        <v>50</v>
      </c>
      <c r="BA14" s="13"/>
      <c r="BB14" s="13"/>
      <c r="BC14" s="14"/>
      <c r="BD14" s="15">
        <f t="shared" si="9"/>
        <v>50</v>
      </c>
      <c r="BE14" s="32">
        <v>21</v>
      </c>
      <c r="BF14" s="13"/>
      <c r="BG14" s="13"/>
      <c r="BH14" s="14"/>
      <c r="BI14" s="15">
        <f t="shared" si="10"/>
        <v>21</v>
      </c>
      <c r="BJ14" s="32"/>
      <c r="BK14" s="13"/>
      <c r="BL14" s="13"/>
      <c r="BM14" s="14"/>
      <c r="BN14" s="15">
        <f t="shared" si="11"/>
        <v>0</v>
      </c>
      <c r="BO14" s="66">
        <f>SUM(G14,L14,Q14,V14,AA14,AF14,AK14,AP14,AU14,AZ14,BE14,BJ14)</f>
        <v>213</v>
      </c>
      <c r="BP14" s="13">
        <f>SUM(H14,M14,R14,W14,AB14,AG14,AL14,AQ14,AV14,BA14,BF14,BK14)</f>
        <v>0</v>
      </c>
      <c r="BQ14" s="13">
        <f>SUM(I14,N14,S14,X14,AC14,AH14,AM14,AR14,AW14,BB14,BG14,BL14)</f>
        <v>0</v>
      </c>
      <c r="BR14" s="14">
        <f>SUM(J14,O14,T14,Y14,AD14,AI14,AN14,AS14,AX14,BC14,BH14,BM14)</f>
        <v>0</v>
      </c>
      <c r="BS14" s="33">
        <f t="shared" si="12"/>
        <v>213</v>
      </c>
    </row>
    <row r="15" spans="1:71" x14ac:dyDescent="0.3">
      <c r="B15" s="269"/>
      <c r="C15" s="230"/>
      <c r="D15" s="233"/>
      <c r="E15" s="239"/>
      <c r="F15" s="123" t="s">
        <v>625</v>
      </c>
      <c r="G15" s="34"/>
      <c r="H15" s="16"/>
      <c r="I15" s="16"/>
      <c r="J15" s="17"/>
      <c r="K15" s="18">
        <f t="shared" si="13"/>
        <v>0</v>
      </c>
      <c r="L15" s="34"/>
      <c r="M15" s="16"/>
      <c r="N15" s="16"/>
      <c r="O15" s="17"/>
      <c r="P15" s="18">
        <f t="shared" si="1"/>
        <v>0</v>
      </c>
      <c r="Q15" s="34">
        <v>453</v>
      </c>
      <c r="R15" s="16"/>
      <c r="S15" s="16"/>
      <c r="T15" s="17"/>
      <c r="U15" s="18">
        <f t="shared" si="2"/>
        <v>453</v>
      </c>
      <c r="V15" s="34">
        <v>279</v>
      </c>
      <c r="W15" s="16"/>
      <c r="X15" s="16"/>
      <c r="Y15" s="17"/>
      <c r="Z15" s="18">
        <f t="shared" si="3"/>
        <v>279</v>
      </c>
      <c r="AA15" s="34">
        <v>299</v>
      </c>
      <c r="AB15" s="16"/>
      <c r="AC15" s="16"/>
      <c r="AD15" s="17"/>
      <c r="AE15" s="18">
        <f t="shared" si="4"/>
        <v>299</v>
      </c>
      <c r="AF15" s="34"/>
      <c r="AG15" s="16"/>
      <c r="AH15" s="16"/>
      <c r="AI15" s="17"/>
      <c r="AJ15" s="18">
        <f t="shared" si="5"/>
        <v>0</v>
      </c>
      <c r="AK15" s="34"/>
      <c r="AL15" s="16"/>
      <c r="AM15" s="16"/>
      <c r="AN15" s="17"/>
      <c r="AO15" s="18">
        <f t="shared" si="6"/>
        <v>0</v>
      </c>
      <c r="AP15" s="34"/>
      <c r="AQ15" s="16"/>
      <c r="AR15" s="16"/>
      <c r="AS15" s="17"/>
      <c r="AT15" s="18">
        <f t="shared" si="7"/>
        <v>0</v>
      </c>
      <c r="AU15" s="34"/>
      <c r="AV15" s="16"/>
      <c r="AW15" s="16"/>
      <c r="AX15" s="17"/>
      <c r="AY15" s="18">
        <f t="shared" si="8"/>
        <v>0</v>
      </c>
      <c r="AZ15" s="34"/>
      <c r="BA15" s="16"/>
      <c r="BB15" s="16"/>
      <c r="BC15" s="17"/>
      <c r="BD15" s="18">
        <f t="shared" si="9"/>
        <v>0</v>
      </c>
      <c r="BE15" s="34"/>
      <c r="BF15" s="16"/>
      <c r="BG15" s="16"/>
      <c r="BH15" s="17"/>
      <c r="BI15" s="18">
        <f t="shared" si="10"/>
        <v>0</v>
      </c>
      <c r="BJ15" s="34"/>
      <c r="BK15" s="16"/>
      <c r="BL15" s="16"/>
      <c r="BM15" s="17"/>
      <c r="BN15" s="18">
        <f t="shared" si="11"/>
        <v>0</v>
      </c>
      <c r="BO15" s="70">
        <f>SUM(G15,L15,Q15,V15,AA15,AF15,AK15,AP15,AU15,AZ15,BE15,BJ15)</f>
        <v>1031</v>
      </c>
      <c r="BP15" s="16">
        <f>SUM(H15,M15,R15,W15,AB15,AG15,AL15,AQ15,AV15,BA15,BF15,BK15)</f>
        <v>0</v>
      </c>
      <c r="BQ15" s="16">
        <f>SUM(I15,N15,S15,X15,AC15,AH15,AM15,AR15,AW15,BB15,BG15,BL15)</f>
        <v>0</v>
      </c>
      <c r="BR15" s="17">
        <f>SUM(J15,O15,T15,Y15,AD15,AI15,AN15,AS15,AX15,BC15,BH15,BM15)</f>
        <v>0</v>
      </c>
      <c r="BS15" s="35">
        <f t="shared" si="12"/>
        <v>1031</v>
      </c>
    </row>
    <row r="16" spans="1:71" x14ac:dyDescent="0.3">
      <c r="B16" s="269"/>
      <c r="C16" s="230"/>
      <c r="D16" s="233"/>
      <c r="E16" s="239"/>
      <c r="F16" s="121" t="s">
        <v>626</v>
      </c>
      <c r="G16" s="32"/>
      <c r="H16" s="13"/>
      <c r="I16" s="13"/>
      <c r="J16" s="14"/>
      <c r="K16" s="15">
        <f t="shared" si="13"/>
        <v>0</v>
      </c>
      <c r="L16" s="32"/>
      <c r="M16" s="13"/>
      <c r="N16" s="13"/>
      <c r="O16" s="14"/>
      <c r="P16" s="15">
        <f t="shared" si="1"/>
        <v>0</v>
      </c>
      <c r="Q16" s="32">
        <v>90</v>
      </c>
      <c r="R16" s="13"/>
      <c r="S16" s="13"/>
      <c r="T16" s="14"/>
      <c r="U16" s="15">
        <f t="shared" si="2"/>
        <v>90</v>
      </c>
      <c r="V16" s="32">
        <v>94</v>
      </c>
      <c r="W16" s="13"/>
      <c r="X16" s="13"/>
      <c r="Y16" s="14"/>
      <c r="Z16" s="15">
        <f t="shared" si="3"/>
        <v>94</v>
      </c>
      <c r="AA16" s="32">
        <v>60</v>
      </c>
      <c r="AB16" s="13"/>
      <c r="AC16" s="13"/>
      <c r="AD16" s="14"/>
      <c r="AE16" s="15">
        <f t="shared" si="4"/>
        <v>60</v>
      </c>
      <c r="AF16" s="32"/>
      <c r="AG16" s="13"/>
      <c r="AH16" s="13"/>
      <c r="AI16" s="14"/>
      <c r="AJ16" s="15">
        <f t="shared" si="5"/>
        <v>0</v>
      </c>
      <c r="AK16" s="32"/>
      <c r="AL16" s="13"/>
      <c r="AM16" s="13"/>
      <c r="AN16" s="14"/>
      <c r="AO16" s="15">
        <f t="shared" si="6"/>
        <v>0</v>
      </c>
      <c r="AP16" s="32"/>
      <c r="AQ16" s="13"/>
      <c r="AR16" s="13"/>
      <c r="AS16" s="14"/>
      <c r="AT16" s="15">
        <f t="shared" si="7"/>
        <v>0</v>
      </c>
      <c r="AU16" s="32"/>
      <c r="AV16" s="13"/>
      <c r="AW16" s="13"/>
      <c r="AX16" s="14"/>
      <c r="AY16" s="15">
        <f t="shared" si="8"/>
        <v>0</v>
      </c>
      <c r="AZ16" s="32"/>
      <c r="BA16" s="13"/>
      <c r="BB16" s="13"/>
      <c r="BC16" s="14"/>
      <c r="BD16" s="15">
        <f t="shared" si="9"/>
        <v>0</v>
      </c>
      <c r="BE16" s="32"/>
      <c r="BF16" s="13"/>
      <c r="BG16" s="13"/>
      <c r="BH16" s="14"/>
      <c r="BI16" s="15">
        <f t="shared" si="10"/>
        <v>0</v>
      </c>
      <c r="BJ16" s="32"/>
      <c r="BK16" s="13"/>
      <c r="BL16" s="13"/>
      <c r="BM16" s="14"/>
      <c r="BN16" s="15">
        <f t="shared" si="11"/>
        <v>0</v>
      </c>
      <c r="BO16" s="66">
        <f>SUM(G16,L16,Q16,V16,AA16,AF16,AK16,AP16,AU16,AZ16,BE16,BJ16)</f>
        <v>244</v>
      </c>
      <c r="BP16" s="13">
        <f>SUM(H16,M16,R16,W16,AB16,AG16,AL16,AQ16,AV16,BA16,BF16,BK16)</f>
        <v>0</v>
      </c>
      <c r="BQ16" s="13">
        <f>SUM(I16,N16,S16,X16,AC16,AH16,AM16,AR16,AW16,BB16,BG16,BL16)</f>
        <v>0</v>
      </c>
      <c r="BR16" s="14">
        <f>SUM(J16,O16,T16,Y16,AD16,AI16,AN16,AS16,AX16,BC16,BH16,BM16)</f>
        <v>0</v>
      </c>
      <c r="BS16" s="33">
        <f t="shared" si="12"/>
        <v>244</v>
      </c>
    </row>
    <row r="17" spans="2:71" x14ac:dyDescent="0.3">
      <c r="B17" s="269"/>
      <c r="C17" s="230"/>
      <c r="D17" s="233"/>
      <c r="E17" s="239"/>
      <c r="F17" s="123" t="s">
        <v>627</v>
      </c>
      <c r="G17" s="34"/>
      <c r="H17" s="16"/>
      <c r="I17" s="16"/>
      <c r="J17" s="17"/>
      <c r="K17" s="18">
        <f t="shared" si="13"/>
        <v>0</v>
      </c>
      <c r="L17" s="34"/>
      <c r="M17" s="16"/>
      <c r="N17" s="16"/>
      <c r="O17" s="17"/>
      <c r="P17" s="18">
        <f t="shared" si="1"/>
        <v>0</v>
      </c>
      <c r="Q17" s="34">
        <v>313</v>
      </c>
      <c r="R17" s="16"/>
      <c r="S17" s="16"/>
      <c r="T17" s="17"/>
      <c r="U17" s="18">
        <f t="shared" si="2"/>
        <v>313</v>
      </c>
      <c r="V17" s="34">
        <v>173</v>
      </c>
      <c r="W17" s="16"/>
      <c r="X17" s="16"/>
      <c r="Y17" s="17"/>
      <c r="Z17" s="18">
        <f t="shared" si="3"/>
        <v>173</v>
      </c>
      <c r="AA17" s="34">
        <v>198</v>
      </c>
      <c r="AB17" s="16"/>
      <c r="AC17" s="16"/>
      <c r="AD17" s="17"/>
      <c r="AE17" s="18">
        <f t="shared" si="4"/>
        <v>198</v>
      </c>
      <c r="AF17" s="34"/>
      <c r="AG17" s="16"/>
      <c r="AH17" s="16"/>
      <c r="AI17" s="17"/>
      <c r="AJ17" s="18">
        <f t="shared" si="5"/>
        <v>0</v>
      </c>
      <c r="AK17" s="34"/>
      <c r="AL17" s="16"/>
      <c r="AM17" s="16"/>
      <c r="AN17" s="17"/>
      <c r="AO17" s="18">
        <f t="shared" si="6"/>
        <v>0</v>
      </c>
      <c r="AP17" s="34"/>
      <c r="AQ17" s="16"/>
      <c r="AR17" s="16"/>
      <c r="AS17" s="17"/>
      <c r="AT17" s="18">
        <f t="shared" si="7"/>
        <v>0</v>
      </c>
      <c r="AU17" s="34"/>
      <c r="AV17" s="16"/>
      <c r="AW17" s="16"/>
      <c r="AX17" s="17"/>
      <c r="AY17" s="18">
        <f t="shared" si="8"/>
        <v>0</v>
      </c>
      <c r="AZ17" s="34"/>
      <c r="BA17" s="16"/>
      <c r="BB17" s="16"/>
      <c r="BC17" s="17"/>
      <c r="BD17" s="18">
        <f t="shared" si="9"/>
        <v>0</v>
      </c>
      <c r="BE17" s="34"/>
      <c r="BF17" s="16"/>
      <c r="BG17" s="16"/>
      <c r="BH17" s="17"/>
      <c r="BI17" s="18">
        <f t="shared" si="10"/>
        <v>0</v>
      </c>
      <c r="BJ17" s="34"/>
      <c r="BK17" s="16"/>
      <c r="BL17" s="16"/>
      <c r="BM17" s="17"/>
      <c r="BN17" s="18">
        <f t="shared" si="11"/>
        <v>0</v>
      </c>
      <c r="BO17" s="70">
        <f>SUM(G17,L17,Q17,V17,AA17,AF17,AK17,AP17,AU17,AZ17,BE17,BJ17)</f>
        <v>684</v>
      </c>
      <c r="BP17" s="16">
        <f>SUM(H17,M17,R17,W17,AB17,AG17,AL17,AQ17,AV17,BA17,BF17,BK17)</f>
        <v>0</v>
      </c>
      <c r="BQ17" s="16">
        <f>SUM(I17,N17,S17,X17,AC17,AH17,AM17,AR17,AW17,BB17,BG17,BL17)</f>
        <v>0</v>
      </c>
      <c r="BR17" s="17">
        <f>SUM(J17,O17,T17,Y17,AD17,AI17,AN17,AS17,AX17,BC17,BH17,BM17)</f>
        <v>0</v>
      </c>
      <c r="BS17" s="35">
        <f t="shared" si="12"/>
        <v>684</v>
      </c>
    </row>
    <row r="18" spans="2:71" x14ac:dyDescent="0.3">
      <c r="B18" s="269"/>
      <c r="C18" s="230"/>
      <c r="D18" s="233"/>
      <c r="E18" s="239"/>
      <c r="F18" s="121" t="s">
        <v>628</v>
      </c>
      <c r="G18" s="32"/>
      <c r="H18" s="13"/>
      <c r="I18" s="13"/>
      <c r="J18" s="14"/>
      <c r="K18" s="15">
        <f t="shared" si="13"/>
        <v>0</v>
      </c>
      <c r="L18" s="32"/>
      <c r="M18" s="13"/>
      <c r="N18" s="13"/>
      <c r="O18" s="14"/>
      <c r="P18" s="15">
        <f t="shared" si="1"/>
        <v>0</v>
      </c>
      <c r="Q18" s="32">
        <v>64</v>
      </c>
      <c r="R18" s="13"/>
      <c r="S18" s="13"/>
      <c r="T18" s="14"/>
      <c r="U18" s="15">
        <f t="shared" si="2"/>
        <v>64</v>
      </c>
      <c r="V18" s="32">
        <v>60</v>
      </c>
      <c r="W18" s="13"/>
      <c r="X18" s="13"/>
      <c r="Y18" s="14"/>
      <c r="Z18" s="15">
        <f t="shared" si="3"/>
        <v>60</v>
      </c>
      <c r="AA18" s="32">
        <v>42</v>
      </c>
      <c r="AB18" s="13"/>
      <c r="AC18" s="13"/>
      <c r="AD18" s="14"/>
      <c r="AE18" s="15">
        <f t="shared" si="4"/>
        <v>42</v>
      </c>
      <c r="AF18" s="32"/>
      <c r="AG18" s="13"/>
      <c r="AH18" s="13"/>
      <c r="AI18" s="14"/>
      <c r="AJ18" s="15">
        <f t="shared" si="5"/>
        <v>0</v>
      </c>
      <c r="AK18" s="32"/>
      <c r="AL18" s="13"/>
      <c r="AM18" s="13"/>
      <c r="AN18" s="14"/>
      <c r="AO18" s="15">
        <f t="shared" si="6"/>
        <v>0</v>
      </c>
      <c r="AP18" s="32"/>
      <c r="AQ18" s="13"/>
      <c r="AR18" s="13"/>
      <c r="AS18" s="14"/>
      <c r="AT18" s="15">
        <f t="shared" si="7"/>
        <v>0</v>
      </c>
      <c r="AU18" s="32"/>
      <c r="AV18" s="13"/>
      <c r="AW18" s="13"/>
      <c r="AX18" s="14"/>
      <c r="AY18" s="15">
        <f t="shared" si="8"/>
        <v>0</v>
      </c>
      <c r="AZ18" s="32"/>
      <c r="BA18" s="13"/>
      <c r="BB18" s="13"/>
      <c r="BC18" s="14"/>
      <c r="BD18" s="15">
        <f t="shared" si="9"/>
        <v>0</v>
      </c>
      <c r="BE18" s="32"/>
      <c r="BF18" s="13"/>
      <c r="BG18" s="13"/>
      <c r="BH18" s="14"/>
      <c r="BI18" s="15">
        <f t="shared" si="10"/>
        <v>0</v>
      </c>
      <c r="BJ18" s="32"/>
      <c r="BK18" s="13"/>
      <c r="BL18" s="13"/>
      <c r="BM18" s="14"/>
      <c r="BN18" s="15">
        <f t="shared" si="11"/>
        <v>0</v>
      </c>
      <c r="BO18" s="66">
        <f>SUM(G18,L18,Q18,V18,AA18,AF18,AK18,AP18,AU18,AZ18,BE18,BJ18)</f>
        <v>166</v>
      </c>
      <c r="BP18" s="13">
        <f>SUM(H18,M18,R18,W18,AB18,AG18,AL18,AQ18,AV18,BA18,BF18,BK18)</f>
        <v>0</v>
      </c>
      <c r="BQ18" s="13">
        <f>SUM(I18,N18,S18,X18,AC18,AH18,AM18,AR18,AW18,BB18,BG18,BL18)</f>
        <v>0</v>
      </c>
      <c r="BR18" s="14">
        <f>SUM(J18,O18,T18,Y18,AD18,AI18,AN18,AS18,AX18,BC18,BH18,BM18)</f>
        <v>0</v>
      </c>
      <c r="BS18" s="33">
        <f t="shared" si="12"/>
        <v>166</v>
      </c>
    </row>
    <row r="19" spans="2:71" x14ac:dyDescent="0.3">
      <c r="B19" s="269"/>
      <c r="C19" s="230"/>
      <c r="D19" s="233"/>
      <c r="E19" s="239"/>
      <c r="F19" s="123" t="s">
        <v>629</v>
      </c>
      <c r="G19" s="34"/>
      <c r="H19" s="16"/>
      <c r="I19" s="16"/>
      <c r="J19" s="17"/>
      <c r="K19" s="18">
        <f t="shared" si="13"/>
        <v>0</v>
      </c>
      <c r="L19" s="34"/>
      <c r="M19" s="16"/>
      <c r="N19" s="16"/>
      <c r="O19" s="17"/>
      <c r="P19" s="18">
        <f t="shared" si="1"/>
        <v>0</v>
      </c>
      <c r="Q19" s="34"/>
      <c r="R19" s="16"/>
      <c r="S19" s="16"/>
      <c r="T19" s="17"/>
      <c r="U19" s="18">
        <f t="shared" si="2"/>
        <v>0</v>
      </c>
      <c r="V19" s="34"/>
      <c r="W19" s="16"/>
      <c r="X19" s="16"/>
      <c r="Y19" s="17"/>
      <c r="Z19" s="18">
        <f t="shared" si="3"/>
        <v>0</v>
      </c>
      <c r="AA19" s="34">
        <v>129</v>
      </c>
      <c r="AB19" s="16"/>
      <c r="AC19" s="16"/>
      <c r="AD19" s="17"/>
      <c r="AE19" s="18">
        <f t="shared" si="4"/>
        <v>129</v>
      </c>
      <c r="AF19" s="34">
        <v>1514</v>
      </c>
      <c r="AG19" s="16"/>
      <c r="AH19" s="16"/>
      <c r="AI19" s="17"/>
      <c r="AJ19" s="18">
        <f t="shared" si="5"/>
        <v>1514</v>
      </c>
      <c r="AK19" s="34">
        <v>596</v>
      </c>
      <c r="AL19" s="16"/>
      <c r="AM19" s="16"/>
      <c r="AN19" s="17"/>
      <c r="AO19" s="18">
        <f t="shared" si="6"/>
        <v>596</v>
      </c>
      <c r="AP19" s="34">
        <v>1242</v>
      </c>
      <c r="AQ19" s="16"/>
      <c r="AR19" s="16"/>
      <c r="AS19" s="17"/>
      <c r="AT19" s="18">
        <f t="shared" si="7"/>
        <v>1242</v>
      </c>
      <c r="AU19" s="34"/>
      <c r="AV19" s="16"/>
      <c r="AW19" s="16"/>
      <c r="AX19" s="17"/>
      <c r="AY19" s="18">
        <f t="shared" si="8"/>
        <v>0</v>
      </c>
      <c r="AZ19" s="34"/>
      <c r="BA19" s="16"/>
      <c r="BB19" s="16"/>
      <c r="BC19" s="17"/>
      <c r="BD19" s="18">
        <f t="shared" si="9"/>
        <v>0</v>
      </c>
      <c r="BE19" s="34"/>
      <c r="BF19" s="16"/>
      <c r="BG19" s="16"/>
      <c r="BH19" s="17"/>
      <c r="BI19" s="18">
        <f t="shared" si="10"/>
        <v>0</v>
      </c>
      <c r="BJ19" s="34"/>
      <c r="BK19" s="16"/>
      <c r="BL19" s="16"/>
      <c r="BM19" s="17"/>
      <c r="BN19" s="18">
        <f t="shared" si="11"/>
        <v>0</v>
      </c>
      <c r="BO19" s="70">
        <f>SUM(G19,L19,Q19,V19,AA19,AF19,AK19,AP19,AU19,AZ19,BE19,BJ19)</f>
        <v>3481</v>
      </c>
      <c r="BP19" s="16">
        <f>SUM(H19,M19,R19,W19,AB19,AG19,AL19,AQ19,AV19,BA19,BF19,BK19)</f>
        <v>0</v>
      </c>
      <c r="BQ19" s="16">
        <f>SUM(I19,N19,S19,X19,AC19,AH19,AM19,AR19,AW19,BB19,BG19,BL19)</f>
        <v>0</v>
      </c>
      <c r="BR19" s="17">
        <f>SUM(J19,O19,T19,Y19,AD19,AI19,AN19,AS19,AX19,BC19,BH19,BM19)</f>
        <v>0</v>
      </c>
      <c r="BS19" s="35">
        <f t="shared" si="12"/>
        <v>3481</v>
      </c>
    </row>
    <row r="20" spans="2:71" x14ac:dyDescent="0.3">
      <c r="B20" s="269"/>
      <c r="C20" s="230"/>
      <c r="D20" s="233"/>
      <c r="E20" s="239"/>
      <c r="F20" s="121" t="s">
        <v>630</v>
      </c>
      <c r="G20" s="32"/>
      <c r="H20" s="13"/>
      <c r="I20" s="13"/>
      <c r="J20" s="14"/>
      <c r="K20" s="15">
        <f t="shared" si="13"/>
        <v>0</v>
      </c>
      <c r="L20" s="32"/>
      <c r="M20" s="13"/>
      <c r="N20" s="13"/>
      <c r="O20" s="14"/>
      <c r="P20" s="15">
        <f t="shared" si="1"/>
        <v>0</v>
      </c>
      <c r="Q20" s="32"/>
      <c r="R20" s="13"/>
      <c r="S20" s="13"/>
      <c r="T20" s="14"/>
      <c r="U20" s="15">
        <f t="shared" si="2"/>
        <v>0</v>
      </c>
      <c r="V20" s="32"/>
      <c r="W20" s="13"/>
      <c r="X20" s="13"/>
      <c r="Y20" s="14"/>
      <c r="Z20" s="15">
        <f t="shared" si="3"/>
        <v>0</v>
      </c>
      <c r="AA20" s="32">
        <v>70</v>
      </c>
      <c r="AB20" s="13"/>
      <c r="AC20" s="13"/>
      <c r="AD20" s="14"/>
      <c r="AE20" s="15">
        <f t="shared" si="4"/>
        <v>70</v>
      </c>
      <c r="AF20" s="32">
        <v>441</v>
      </c>
      <c r="AG20" s="13"/>
      <c r="AH20" s="13"/>
      <c r="AI20" s="14"/>
      <c r="AJ20" s="15">
        <f t="shared" si="5"/>
        <v>441</v>
      </c>
      <c r="AK20" s="32">
        <v>216</v>
      </c>
      <c r="AL20" s="13"/>
      <c r="AM20" s="13"/>
      <c r="AN20" s="14"/>
      <c r="AO20" s="15">
        <f t="shared" si="6"/>
        <v>216</v>
      </c>
      <c r="AP20" s="32">
        <v>584</v>
      </c>
      <c r="AQ20" s="13"/>
      <c r="AR20" s="13"/>
      <c r="AS20" s="14"/>
      <c r="AT20" s="15">
        <f t="shared" si="7"/>
        <v>584</v>
      </c>
      <c r="AU20" s="32"/>
      <c r="AV20" s="13"/>
      <c r="AW20" s="13"/>
      <c r="AX20" s="14"/>
      <c r="AY20" s="15">
        <f t="shared" si="8"/>
        <v>0</v>
      </c>
      <c r="AZ20" s="32"/>
      <c r="BA20" s="13"/>
      <c r="BB20" s="13"/>
      <c r="BC20" s="14"/>
      <c r="BD20" s="15">
        <f t="shared" si="9"/>
        <v>0</v>
      </c>
      <c r="BE20" s="32"/>
      <c r="BF20" s="13"/>
      <c r="BG20" s="13"/>
      <c r="BH20" s="14"/>
      <c r="BI20" s="15">
        <f t="shared" si="10"/>
        <v>0</v>
      </c>
      <c r="BJ20" s="32"/>
      <c r="BK20" s="13"/>
      <c r="BL20" s="13"/>
      <c r="BM20" s="14"/>
      <c r="BN20" s="15">
        <f t="shared" si="11"/>
        <v>0</v>
      </c>
      <c r="BO20" s="66">
        <f>SUM(G20,L20,Q20,V20,AA20,AF20,AK20,AP20,AU20,AZ20,BE20,BJ20)</f>
        <v>1311</v>
      </c>
      <c r="BP20" s="13">
        <f>SUM(H20,M20,R20,W20,AB20,AG20,AL20,AQ20,AV20,BA20,BF20,BK20)</f>
        <v>0</v>
      </c>
      <c r="BQ20" s="13">
        <f>SUM(I20,N20,S20,X20,AC20,AH20,AM20,AR20,AW20,BB20,BG20,BL20)</f>
        <v>0</v>
      </c>
      <c r="BR20" s="14">
        <f>SUM(J20,O20,T20,Y20,AD20,AI20,AN20,AS20,AX20,BC20,BH20,BM20)</f>
        <v>0</v>
      </c>
      <c r="BS20" s="33">
        <f t="shared" si="12"/>
        <v>1311</v>
      </c>
    </row>
    <row r="21" spans="2:71" x14ac:dyDescent="0.3">
      <c r="B21" s="269"/>
      <c r="C21" s="230"/>
      <c r="D21" s="233"/>
      <c r="E21" s="239"/>
      <c r="F21" s="123" t="s">
        <v>631</v>
      </c>
      <c r="G21" s="34"/>
      <c r="H21" s="16"/>
      <c r="I21" s="16"/>
      <c r="J21" s="17"/>
      <c r="K21" s="18">
        <f t="shared" si="13"/>
        <v>0</v>
      </c>
      <c r="L21" s="34"/>
      <c r="M21" s="16"/>
      <c r="N21" s="16"/>
      <c r="O21" s="17"/>
      <c r="P21" s="18">
        <f t="shared" si="1"/>
        <v>0</v>
      </c>
      <c r="Q21" s="34"/>
      <c r="R21" s="16"/>
      <c r="S21" s="16"/>
      <c r="T21" s="17"/>
      <c r="U21" s="18">
        <f t="shared" si="2"/>
        <v>0</v>
      </c>
      <c r="V21" s="34"/>
      <c r="W21" s="16"/>
      <c r="X21" s="16"/>
      <c r="Y21" s="17"/>
      <c r="Z21" s="18">
        <f t="shared" si="3"/>
        <v>0</v>
      </c>
      <c r="AA21" s="34">
        <v>97</v>
      </c>
      <c r="AB21" s="16"/>
      <c r="AC21" s="16"/>
      <c r="AD21" s="17"/>
      <c r="AE21" s="18">
        <f t="shared" si="4"/>
        <v>97</v>
      </c>
      <c r="AF21" s="34">
        <v>1190</v>
      </c>
      <c r="AG21" s="16"/>
      <c r="AH21" s="16"/>
      <c r="AI21" s="17"/>
      <c r="AJ21" s="18">
        <f t="shared" si="5"/>
        <v>1190</v>
      </c>
      <c r="AK21" s="34">
        <v>463</v>
      </c>
      <c r="AL21" s="16"/>
      <c r="AM21" s="16"/>
      <c r="AN21" s="17"/>
      <c r="AO21" s="18">
        <f t="shared" si="6"/>
        <v>463</v>
      </c>
      <c r="AP21" s="34">
        <v>995</v>
      </c>
      <c r="AQ21" s="16"/>
      <c r="AR21" s="16"/>
      <c r="AS21" s="17"/>
      <c r="AT21" s="18">
        <f t="shared" si="7"/>
        <v>995</v>
      </c>
      <c r="AU21" s="34"/>
      <c r="AV21" s="16"/>
      <c r="AW21" s="16"/>
      <c r="AX21" s="17"/>
      <c r="AY21" s="18">
        <f t="shared" si="8"/>
        <v>0</v>
      </c>
      <c r="AZ21" s="34"/>
      <c r="BA21" s="16"/>
      <c r="BB21" s="16"/>
      <c r="BC21" s="17"/>
      <c r="BD21" s="18">
        <f t="shared" si="9"/>
        <v>0</v>
      </c>
      <c r="BE21" s="34"/>
      <c r="BF21" s="16"/>
      <c r="BG21" s="16"/>
      <c r="BH21" s="17"/>
      <c r="BI21" s="18">
        <f t="shared" si="10"/>
        <v>0</v>
      </c>
      <c r="BJ21" s="34"/>
      <c r="BK21" s="16"/>
      <c r="BL21" s="16"/>
      <c r="BM21" s="17"/>
      <c r="BN21" s="18">
        <f t="shared" si="11"/>
        <v>0</v>
      </c>
      <c r="BO21" s="70">
        <f>SUM(G21,L21,Q21,V21,AA21,AF21,AK21,AP21,AU21,AZ21,BE21,BJ21)</f>
        <v>2745</v>
      </c>
      <c r="BP21" s="16">
        <f>SUM(H21,M21,R21,W21,AB21,AG21,AL21,AQ21,AV21,BA21,BF21,BK21)</f>
        <v>0</v>
      </c>
      <c r="BQ21" s="16">
        <f>SUM(I21,N21,S21,X21,AC21,AH21,AM21,AR21,AW21,BB21,BG21,BL21)</f>
        <v>0</v>
      </c>
      <c r="BR21" s="17">
        <f>SUM(J21,O21,T21,Y21,AD21,AI21,AN21,AS21,AX21,BC21,BH21,BM21)</f>
        <v>0</v>
      </c>
      <c r="BS21" s="35">
        <f t="shared" si="12"/>
        <v>2745</v>
      </c>
    </row>
    <row r="22" spans="2:71" x14ac:dyDescent="0.3">
      <c r="B22" s="269"/>
      <c r="C22" s="230"/>
      <c r="D22" s="233"/>
      <c r="E22" s="239"/>
      <c r="F22" s="121" t="s">
        <v>632</v>
      </c>
      <c r="G22" s="32"/>
      <c r="H22" s="13"/>
      <c r="I22" s="13"/>
      <c r="J22" s="14"/>
      <c r="K22" s="15">
        <f t="shared" si="13"/>
        <v>0</v>
      </c>
      <c r="L22" s="32"/>
      <c r="M22" s="13"/>
      <c r="N22" s="13"/>
      <c r="O22" s="14"/>
      <c r="P22" s="15">
        <f t="shared" si="1"/>
        <v>0</v>
      </c>
      <c r="Q22" s="32"/>
      <c r="R22" s="13"/>
      <c r="S22" s="13"/>
      <c r="T22" s="14"/>
      <c r="U22" s="15">
        <f t="shared" si="2"/>
        <v>0</v>
      </c>
      <c r="V22" s="32"/>
      <c r="W22" s="13"/>
      <c r="X22" s="13"/>
      <c r="Y22" s="14"/>
      <c r="Z22" s="15">
        <f t="shared" si="3"/>
        <v>0</v>
      </c>
      <c r="AA22" s="32">
        <v>58</v>
      </c>
      <c r="AB22" s="13"/>
      <c r="AC22" s="13"/>
      <c r="AD22" s="14"/>
      <c r="AE22" s="15">
        <f t="shared" si="4"/>
        <v>58</v>
      </c>
      <c r="AF22" s="32">
        <v>367</v>
      </c>
      <c r="AG22" s="13"/>
      <c r="AH22" s="13"/>
      <c r="AI22" s="14"/>
      <c r="AJ22" s="15">
        <f t="shared" si="5"/>
        <v>367</v>
      </c>
      <c r="AK22" s="32">
        <v>185</v>
      </c>
      <c r="AL22" s="13"/>
      <c r="AM22" s="13"/>
      <c r="AN22" s="14"/>
      <c r="AO22" s="15">
        <f t="shared" si="6"/>
        <v>185</v>
      </c>
      <c r="AP22" s="32">
        <v>505</v>
      </c>
      <c r="AQ22" s="13"/>
      <c r="AR22" s="13"/>
      <c r="AS22" s="14"/>
      <c r="AT22" s="15">
        <f t="shared" si="7"/>
        <v>505</v>
      </c>
      <c r="AU22" s="32"/>
      <c r="AV22" s="13"/>
      <c r="AW22" s="13"/>
      <c r="AX22" s="14"/>
      <c r="AY22" s="15">
        <f t="shared" si="8"/>
        <v>0</v>
      </c>
      <c r="AZ22" s="32"/>
      <c r="BA22" s="13"/>
      <c r="BB22" s="13"/>
      <c r="BC22" s="14"/>
      <c r="BD22" s="15">
        <f t="shared" si="9"/>
        <v>0</v>
      </c>
      <c r="BE22" s="32"/>
      <c r="BF22" s="13"/>
      <c r="BG22" s="13"/>
      <c r="BH22" s="14"/>
      <c r="BI22" s="15">
        <f t="shared" si="10"/>
        <v>0</v>
      </c>
      <c r="BJ22" s="32"/>
      <c r="BK22" s="13"/>
      <c r="BL22" s="13"/>
      <c r="BM22" s="14"/>
      <c r="BN22" s="15">
        <f t="shared" si="11"/>
        <v>0</v>
      </c>
      <c r="BO22" s="66">
        <f>SUM(G22,L22,Q22,V22,AA22,AF22,AK22,AP22,AU22,AZ22,BE22,BJ22)</f>
        <v>1115</v>
      </c>
      <c r="BP22" s="13">
        <f>SUM(H22,M22,R22,W22,AB22,AG22,AL22,AQ22,AV22,BA22,BF22,BK22)</f>
        <v>0</v>
      </c>
      <c r="BQ22" s="13">
        <f>SUM(I22,N22,S22,X22,AC22,AH22,AM22,AR22,AW22,BB22,BG22,BL22)</f>
        <v>0</v>
      </c>
      <c r="BR22" s="14">
        <f>SUM(J22,O22,T22,Y22,AD22,AI22,AN22,AS22,AX22,BC22,BH22,BM22)</f>
        <v>0</v>
      </c>
      <c r="BS22" s="33">
        <f t="shared" si="12"/>
        <v>1115</v>
      </c>
    </row>
    <row r="23" spans="2:71" x14ac:dyDescent="0.3">
      <c r="B23" s="269"/>
      <c r="C23" s="230"/>
      <c r="D23" s="233"/>
      <c r="E23" s="239"/>
      <c r="F23" s="171" t="s">
        <v>276</v>
      </c>
      <c r="G23" s="172"/>
      <c r="H23" s="173"/>
      <c r="I23" s="173"/>
      <c r="J23" s="174"/>
      <c r="K23" s="175">
        <f t="shared" si="13"/>
        <v>0</v>
      </c>
      <c r="L23" s="172"/>
      <c r="M23" s="173"/>
      <c r="N23" s="173"/>
      <c r="O23" s="174"/>
      <c r="P23" s="175">
        <f t="shared" si="1"/>
        <v>0</v>
      </c>
      <c r="Q23" s="172">
        <v>150</v>
      </c>
      <c r="R23" s="173"/>
      <c r="S23" s="173"/>
      <c r="T23" s="174"/>
      <c r="U23" s="175">
        <f t="shared" si="2"/>
        <v>150</v>
      </c>
      <c r="V23" s="172">
        <v>78</v>
      </c>
      <c r="W23" s="173"/>
      <c r="X23" s="173"/>
      <c r="Y23" s="174"/>
      <c r="Z23" s="175">
        <f t="shared" si="3"/>
        <v>78</v>
      </c>
      <c r="AA23" s="172">
        <v>161</v>
      </c>
      <c r="AB23" s="173"/>
      <c r="AC23" s="173"/>
      <c r="AD23" s="174"/>
      <c r="AE23" s="175">
        <f t="shared" si="4"/>
        <v>161</v>
      </c>
      <c r="AF23" s="172"/>
      <c r="AG23" s="173"/>
      <c r="AH23" s="173"/>
      <c r="AI23" s="174"/>
      <c r="AJ23" s="175">
        <f t="shared" si="5"/>
        <v>0</v>
      </c>
      <c r="AK23" s="172"/>
      <c r="AL23" s="173"/>
      <c r="AM23" s="173"/>
      <c r="AN23" s="174"/>
      <c r="AO23" s="175">
        <f t="shared" si="6"/>
        <v>0</v>
      </c>
      <c r="AP23" s="172"/>
      <c r="AQ23" s="173"/>
      <c r="AR23" s="173"/>
      <c r="AS23" s="174"/>
      <c r="AT23" s="175">
        <f t="shared" si="7"/>
        <v>0</v>
      </c>
      <c r="AU23" s="172"/>
      <c r="AV23" s="173"/>
      <c r="AW23" s="173"/>
      <c r="AX23" s="174"/>
      <c r="AY23" s="175">
        <f t="shared" si="8"/>
        <v>0</v>
      </c>
      <c r="AZ23" s="172"/>
      <c r="BA23" s="173"/>
      <c r="BB23" s="173"/>
      <c r="BC23" s="174"/>
      <c r="BD23" s="175">
        <f t="shared" si="9"/>
        <v>0</v>
      </c>
      <c r="BE23" s="172"/>
      <c r="BF23" s="173"/>
      <c r="BG23" s="173"/>
      <c r="BH23" s="174"/>
      <c r="BI23" s="175">
        <f t="shared" si="10"/>
        <v>0</v>
      </c>
      <c r="BJ23" s="172"/>
      <c r="BK23" s="173"/>
      <c r="BL23" s="173"/>
      <c r="BM23" s="174"/>
      <c r="BN23" s="175">
        <f t="shared" si="11"/>
        <v>0</v>
      </c>
      <c r="BO23" s="177">
        <f>SUM(G23,L23,Q23,V23,AA23,AF23,AK23,AP23,AU23,AZ23,BE23,BJ23)</f>
        <v>389</v>
      </c>
      <c r="BP23" s="173">
        <f>SUM(H23,M23,R23,W23,AB23,AG23,AL23,AQ23,AV23,BA23,BF23,BK23)</f>
        <v>0</v>
      </c>
      <c r="BQ23" s="173">
        <f>SUM(I23,N23,S23,X23,AC23,AH23,AM23,AR23,AW23,BB23,BG23,BL23)</f>
        <v>0</v>
      </c>
      <c r="BR23" s="174">
        <f>SUM(J23,O23,T23,Y23,AD23,AI23,AN23,AS23,AX23,BC23,BH23,BM23)</f>
        <v>0</v>
      </c>
      <c r="BS23" s="176">
        <f t="shared" si="12"/>
        <v>389</v>
      </c>
    </row>
    <row r="24" spans="2:71" x14ac:dyDescent="0.3">
      <c r="B24" s="269"/>
      <c r="C24" s="230"/>
      <c r="D24" s="233"/>
      <c r="E24" s="239"/>
      <c r="F24" s="171" t="s">
        <v>277</v>
      </c>
      <c r="G24" s="179"/>
      <c r="H24" s="180"/>
      <c r="I24" s="180"/>
      <c r="J24" s="181"/>
      <c r="K24" s="182">
        <f t="shared" si="13"/>
        <v>0</v>
      </c>
      <c r="L24" s="179"/>
      <c r="M24" s="180"/>
      <c r="N24" s="180"/>
      <c r="O24" s="181"/>
      <c r="P24" s="182">
        <f t="shared" si="1"/>
        <v>0</v>
      </c>
      <c r="Q24" s="179">
        <v>11</v>
      </c>
      <c r="R24" s="180"/>
      <c r="S24" s="180"/>
      <c r="T24" s="181"/>
      <c r="U24" s="182">
        <f t="shared" si="2"/>
        <v>11</v>
      </c>
      <c r="V24" s="179">
        <v>8</v>
      </c>
      <c r="W24" s="180"/>
      <c r="X24" s="180"/>
      <c r="Y24" s="181"/>
      <c r="Z24" s="182">
        <f t="shared" si="3"/>
        <v>8</v>
      </c>
      <c r="AA24" s="179">
        <v>8</v>
      </c>
      <c r="AB24" s="180"/>
      <c r="AC24" s="180"/>
      <c r="AD24" s="181"/>
      <c r="AE24" s="182">
        <f t="shared" si="4"/>
        <v>8</v>
      </c>
      <c r="AF24" s="179"/>
      <c r="AG24" s="180"/>
      <c r="AH24" s="180"/>
      <c r="AI24" s="181"/>
      <c r="AJ24" s="182">
        <f t="shared" si="5"/>
        <v>0</v>
      </c>
      <c r="AK24" s="179"/>
      <c r="AL24" s="180"/>
      <c r="AM24" s="180"/>
      <c r="AN24" s="181"/>
      <c r="AO24" s="182">
        <f t="shared" si="6"/>
        <v>0</v>
      </c>
      <c r="AP24" s="179"/>
      <c r="AQ24" s="180"/>
      <c r="AR24" s="180"/>
      <c r="AS24" s="181"/>
      <c r="AT24" s="182">
        <f t="shared" si="7"/>
        <v>0</v>
      </c>
      <c r="AU24" s="179"/>
      <c r="AV24" s="180"/>
      <c r="AW24" s="180"/>
      <c r="AX24" s="181"/>
      <c r="AY24" s="182">
        <f t="shared" si="8"/>
        <v>0</v>
      </c>
      <c r="AZ24" s="179"/>
      <c r="BA24" s="180"/>
      <c r="BB24" s="180"/>
      <c r="BC24" s="181"/>
      <c r="BD24" s="182">
        <f t="shared" si="9"/>
        <v>0</v>
      </c>
      <c r="BE24" s="179"/>
      <c r="BF24" s="180"/>
      <c r="BG24" s="180"/>
      <c r="BH24" s="181"/>
      <c r="BI24" s="182">
        <f t="shared" si="10"/>
        <v>0</v>
      </c>
      <c r="BJ24" s="179"/>
      <c r="BK24" s="180"/>
      <c r="BL24" s="180"/>
      <c r="BM24" s="181"/>
      <c r="BN24" s="182">
        <f t="shared" si="11"/>
        <v>0</v>
      </c>
      <c r="BO24" s="184">
        <f>SUM(G24,L24,Q24,V24,AA24,AF24,AK24,AP24,AU24,AZ24,BE24,BJ24)</f>
        <v>27</v>
      </c>
      <c r="BP24" s="180">
        <f>SUM(H24,M24,R24,W24,AB24,AG24,AL24,AQ24,AV24,BA24,BF24,BK24)</f>
        <v>0</v>
      </c>
      <c r="BQ24" s="180">
        <f>SUM(I24,N24,S24,X24,AC24,AH24,AM24,AR24,AW24,BB24,BG24,BL24)</f>
        <v>0</v>
      </c>
      <c r="BR24" s="181">
        <f>SUM(J24,O24,T24,Y24,AD24,AI24,AN24,AS24,AX24,BC24,BH24,BM24)</f>
        <v>0</v>
      </c>
      <c r="BS24" s="183">
        <f t="shared" si="12"/>
        <v>27</v>
      </c>
    </row>
    <row r="25" spans="2:71" x14ac:dyDescent="0.3">
      <c r="B25" s="269"/>
      <c r="C25" s="230"/>
      <c r="D25" s="233"/>
      <c r="E25" s="239"/>
      <c r="F25" s="171" t="s">
        <v>278</v>
      </c>
      <c r="G25" s="172"/>
      <c r="H25" s="173"/>
      <c r="I25" s="173"/>
      <c r="J25" s="174"/>
      <c r="K25" s="175">
        <f t="shared" si="13"/>
        <v>0</v>
      </c>
      <c r="L25" s="172"/>
      <c r="M25" s="173"/>
      <c r="N25" s="173"/>
      <c r="O25" s="174"/>
      <c r="P25" s="175">
        <f t="shared" si="1"/>
        <v>0</v>
      </c>
      <c r="Q25" s="172">
        <v>103</v>
      </c>
      <c r="R25" s="173"/>
      <c r="S25" s="173"/>
      <c r="T25" s="174"/>
      <c r="U25" s="175">
        <f t="shared" si="2"/>
        <v>103</v>
      </c>
      <c r="V25" s="172">
        <v>61</v>
      </c>
      <c r="W25" s="173"/>
      <c r="X25" s="173"/>
      <c r="Y25" s="174"/>
      <c r="Z25" s="175">
        <f t="shared" si="3"/>
        <v>61</v>
      </c>
      <c r="AA25" s="172">
        <v>107</v>
      </c>
      <c r="AB25" s="173"/>
      <c r="AC25" s="173"/>
      <c r="AD25" s="174"/>
      <c r="AE25" s="175">
        <f t="shared" si="4"/>
        <v>107</v>
      </c>
      <c r="AF25" s="172"/>
      <c r="AG25" s="173"/>
      <c r="AH25" s="173"/>
      <c r="AI25" s="174"/>
      <c r="AJ25" s="175">
        <f t="shared" si="5"/>
        <v>0</v>
      </c>
      <c r="AK25" s="172"/>
      <c r="AL25" s="173"/>
      <c r="AM25" s="173"/>
      <c r="AN25" s="174"/>
      <c r="AO25" s="175">
        <f t="shared" si="6"/>
        <v>0</v>
      </c>
      <c r="AP25" s="172"/>
      <c r="AQ25" s="173"/>
      <c r="AR25" s="173"/>
      <c r="AS25" s="174"/>
      <c r="AT25" s="175">
        <f t="shared" si="7"/>
        <v>0</v>
      </c>
      <c r="AU25" s="172"/>
      <c r="AV25" s="173"/>
      <c r="AW25" s="173"/>
      <c r="AX25" s="174"/>
      <c r="AY25" s="175">
        <f t="shared" si="8"/>
        <v>0</v>
      </c>
      <c r="AZ25" s="172"/>
      <c r="BA25" s="173"/>
      <c r="BB25" s="173"/>
      <c r="BC25" s="174"/>
      <c r="BD25" s="175">
        <f t="shared" si="9"/>
        <v>0</v>
      </c>
      <c r="BE25" s="172"/>
      <c r="BF25" s="173"/>
      <c r="BG25" s="173"/>
      <c r="BH25" s="174"/>
      <c r="BI25" s="175">
        <f t="shared" si="10"/>
        <v>0</v>
      </c>
      <c r="BJ25" s="172"/>
      <c r="BK25" s="173"/>
      <c r="BL25" s="173"/>
      <c r="BM25" s="174"/>
      <c r="BN25" s="175">
        <f t="shared" si="11"/>
        <v>0</v>
      </c>
      <c r="BO25" s="177">
        <f>SUM(G25,L25,Q25,V25,AA25,AF25,AK25,AP25,AU25,AZ25,BE25,BJ25)</f>
        <v>271</v>
      </c>
      <c r="BP25" s="173">
        <f>SUM(H25,M25,R25,W25,AB25,AG25,AL25,AQ25,AV25,BA25,BF25,BK25)</f>
        <v>0</v>
      </c>
      <c r="BQ25" s="173">
        <f>SUM(I25,N25,S25,X25,AC25,AH25,AM25,AR25,AW25,BB25,BG25,BL25)</f>
        <v>0</v>
      </c>
      <c r="BR25" s="174">
        <f>SUM(J25,O25,T25,Y25,AD25,AI25,AN25,AS25,AX25,BC25,BH25,BM25)</f>
        <v>0</v>
      </c>
      <c r="BS25" s="176">
        <f t="shared" si="12"/>
        <v>271</v>
      </c>
    </row>
    <row r="26" spans="2:71" x14ac:dyDescent="0.3">
      <c r="B26" s="269"/>
      <c r="C26" s="230"/>
      <c r="D26" s="233"/>
      <c r="E26" s="239"/>
      <c r="F26" s="171" t="s">
        <v>279</v>
      </c>
      <c r="G26" s="179"/>
      <c r="H26" s="180"/>
      <c r="I26" s="180"/>
      <c r="J26" s="181"/>
      <c r="K26" s="182">
        <f t="shared" si="13"/>
        <v>0</v>
      </c>
      <c r="L26" s="179"/>
      <c r="M26" s="180"/>
      <c r="N26" s="180"/>
      <c r="O26" s="181"/>
      <c r="P26" s="182">
        <f t="shared" si="1"/>
        <v>0</v>
      </c>
      <c r="Q26" s="179">
        <v>9</v>
      </c>
      <c r="R26" s="180"/>
      <c r="S26" s="180"/>
      <c r="T26" s="181"/>
      <c r="U26" s="182">
        <f t="shared" si="2"/>
        <v>9</v>
      </c>
      <c r="V26" s="179">
        <v>6</v>
      </c>
      <c r="W26" s="180"/>
      <c r="X26" s="180"/>
      <c r="Y26" s="181"/>
      <c r="Z26" s="182">
        <f t="shared" si="3"/>
        <v>6</v>
      </c>
      <c r="AA26" s="179">
        <v>7</v>
      </c>
      <c r="AB26" s="180"/>
      <c r="AC26" s="180"/>
      <c r="AD26" s="181"/>
      <c r="AE26" s="182">
        <f t="shared" si="4"/>
        <v>7</v>
      </c>
      <c r="AF26" s="179"/>
      <c r="AG26" s="180"/>
      <c r="AH26" s="180"/>
      <c r="AI26" s="181"/>
      <c r="AJ26" s="182">
        <f t="shared" si="5"/>
        <v>0</v>
      </c>
      <c r="AK26" s="179"/>
      <c r="AL26" s="180"/>
      <c r="AM26" s="180"/>
      <c r="AN26" s="181"/>
      <c r="AO26" s="182">
        <f t="shared" si="6"/>
        <v>0</v>
      </c>
      <c r="AP26" s="179"/>
      <c r="AQ26" s="180"/>
      <c r="AR26" s="180"/>
      <c r="AS26" s="181"/>
      <c r="AT26" s="182">
        <f t="shared" si="7"/>
        <v>0</v>
      </c>
      <c r="AU26" s="179"/>
      <c r="AV26" s="180"/>
      <c r="AW26" s="180"/>
      <c r="AX26" s="181"/>
      <c r="AY26" s="182">
        <f t="shared" si="8"/>
        <v>0</v>
      </c>
      <c r="AZ26" s="179"/>
      <c r="BA26" s="180"/>
      <c r="BB26" s="180"/>
      <c r="BC26" s="181"/>
      <c r="BD26" s="182">
        <f t="shared" si="9"/>
        <v>0</v>
      </c>
      <c r="BE26" s="179"/>
      <c r="BF26" s="180"/>
      <c r="BG26" s="180"/>
      <c r="BH26" s="181"/>
      <c r="BI26" s="182">
        <f t="shared" si="10"/>
        <v>0</v>
      </c>
      <c r="BJ26" s="179"/>
      <c r="BK26" s="180"/>
      <c r="BL26" s="180"/>
      <c r="BM26" s="181"/>
      <c r="BN26" s="182">
        <f t="shared" si="11"/>
        <v>0</v>
      </c>
      <c r="BO26" s="184">
        <f>SUM(G26,L26,Q26,V26,AA26,AF26,AK26,AP26,AU26,AZ26,BE26,BJ26)</f>
        <v>22</v>
      </c>
      <c r="BP26" s="180">
        <f>SUM(H26,M26,R26,W26,AB26,AG26,AL26,AQ26,AV26,BA26,BF26,BK26)</f>
        <v>0</v>
      </c>
      <c r="BQ26" s="180">
        <f>SUM(I26,N26,S26,X26,AC26,AH26,AM26,AR26,AW26,BB26,BG26,BL26)</f>
        <v>0</v>
      </c>
      <c r="BR26" s="181">
        <f>SUM(J26,O26,T26,Y26,AD26,AI26,AN26,AS26,AX26,BC26,BH26,BM26)</f>
        <v>0</v>
      </c>
      <c r="BS26" s="183">
        <f t="shared" si="12"/>
        <v>22</v>
      </c>
    </row>
    <row r="27" spans="2:71" x14ac:dyDescent="0.3">
      <c r="B27" s="269"/>
      <c r="C27" s="230"/>
      <c r="D27" s="233"/>
      <c r="E27" s="239"/>
      <c r="F27" s="171" t="s">
        <v>633</v>
      </c>
      <c r="G27" s="172"/>
      <c r="H27" s="173"/>
      <c r="I27" s="173"/>
      <c r="J27" s="174"/>
      <c r="K27" s="175">
        <f t="shared" si="13"/>
        <v>0</v>
      </c>
      <c r="L27" s="172"/>
      <c r="M27" s="173"/>
      <c r="N27" s="173"/>
      <c r="O27" s="174"/>
      <c r="P27" s="175">
        <f t="shared" si="1"/>
        <v>0</v>
      </c>
      <c r="Q27" s="172"/>
      <c r="R27" s="173"/>
      <c r="S27" s="173"/>
      <c r="T27" s="174"/>
      <c r="U27" s="175">
        <f t="shared" si="2"/>
        <v>0</v>
      </c>
      <c r="V27" s="172"/>
      <c r="W27" s="173"/>
      <c r="X27" s="173"/>
      <c r="Y27" s="174"/>
      <c r="Z27" s="175">
        <f t="shared" si="3"/>
        <v>0</v>
      </c>
      <c r="AA27" s="172">
        <v>93</v>
      </c>
      <c r="AB27" s="173"/>
      <c r="AC27" s="173"/>
      <c r="AD27" s="174"/>
      <c r="AE27" s="175">
        <f t="shared" si="4"/>
        <v>93</v>
      </c>
      <c r="AF27" s="172">
        <v>976</v>
      </c>
      <c r="AG27" s="173"/>
      <c r="AH27" s="173"/>
      <c r="AI27" s="174"/>
      <c r="AJ27" s="175">
        <f t="shared" si="5"/>
        <v>976</v>
      </c>
      <c r="AK27" s="172">
        <v>425</v>
      </c>
      <c r="AL27" s="173"/>
      <c r="AM27" s="173"/>
      <c r="AN27" s="174"/>
      <c r="AO27" s="175">
        <f t="shared" si="6"/>
        <v>425</v>
      </c>
      <c r="AP27" s="172">
        <v>824</v>
      </c>
      <c r="AQ27" s="173"/>
      <c r="AR27" s="173"/>
      <c r="AS27" s="174"/>
      <c r="AT27" s="175">
        <f t="shared" si="7"/>
        <v>824</v>
      </c>
      <c r="AU27" s="172"/>
      <c r="AV27" s="173"/>
      <c r="AW27" s="173"/>
      <c r="AX27" s="174"/>
      <c r="AY27" s="175">
        <f t="shared" si="8"/>
        <v>0</v>
      </c>
      <c r="AZ27" s="172"/>
      <c r="BA27" s="173"/>
      <c r="BB27" s="173"/>
      <c r="BC27" s="174"/>
      <c r="BD27" s="175">
        <f t="shared" si="9"/>
        <v>0</v>
      </c>
      <c r="BE27" s="172"/>
      <c r="BF27" s="173"/>
      <c r="BG27" s="173"/>
      <c r="BH27" s="174"/>
      <c r="BI27" s="175">
        <f t="shared" si="10"/>
        <v>0</v>
      </c>
      <c r="BJ27" s="172"/>
      <c r="BK27" s="173"/>
      <c r="BL27" s="173"/>
      <c r="BM27" s="174"/>
      <c r="BN27" s="175">
        <f t="shared" si="11"/>
        <v>0</v>
      </c>
      <c r="BO27" s="177">
        <f>SUM(G27,L27,Q27,V27,AA27,AF27,AK27,AP27,AU27,AZ27,BE27,BJ27)</f>
        <v>2318</v>
      </c>
      <c r="BP27" s="173">
        <f>SUM(H27,M27,R27,W27,AB27,AG27,AL27,AQ27,AV27,BA27,BF27,BK27)</f>
        <v>0</v>
      </c>
      <c r="BQ27" s="173">
        <f>SUM(I27,N27,S27,X27,AC27,AH27,AM27,AR27,AW27,BB27,BG27,BL27)</f>
        <v>0</v>
      </c>
      <c r="BR27" s="174">
        <f>SUM(J27,O27,T27,Y27,AD27,AI27,AN27,AS27,AX27,BC27,BH27,BM27)</f>
        <v>0</v>
      </c>
      <c r="BS27" s="176">
        <f t="shared" si="12"/>
        <v>2318</v>
      </c>
    </row>
    <row r="28" spans="2:71" x14ac:dyDescent="0.3">
      <c r="B28" s="269"/>
      <c r="C28" s="230"/>
      <c r="D28" s="233"/>
      <c r="E28" s="239"/>
      <c r="F28" s="171" t="s">
        <v>634</v>
      </c>
      <c r="G28" s="179"/>
      <c r="H28" s="180"/>
      <c r="I28" s="180"/>
      <c r="J28" s="181"/>
      <c r="K28" s="182">
        <f t="shared" si="13"/>
        <v>0</v>
      </c>
      <c r="L28" s="179"/>
      <c r="M28" s="180"/>
      <c r="N28" s="180"/>
      <c r="O28" s="181"/>
      <c r="P28" s="182">
        <f t="shared" si="1"/>
        <v>0</v>
      </c>
      <c r="Q28" s="179"/>
      <c r="R28" s="180"/>
      <c r="S28" s="180"/>
      <c r="T28" s="181"/>
      <c r="U28" s="182">
        <f t="shared" si="2"/>
        <v>0</v>
      </c>
      <c r="V28" s="179"/>
      <c r="W28" s="180"/>
      <c r="X28" s="180"/>
      <c r="Y28" s="181"/>
      <c r="Z28" s="182">
        <f t="shared" si="3"/>
        <v>0</v>
      </c>
      <c r="AA28" s="179">
        <v>14</v>
      </c>
      <c r="AB28" s="180"/>
      <c r="AC28" s="180"/>
      <c r="AD28" s="181"/>
      <c r="AE28" s="182">
        <f t="shared" si="4"/>
        <v>14</v>
      </c>
      <c r="AF28" s="179">
        <v>188</v>
      </c>
      <c r="AG28" s="180"/>
      <c r="AH28" s="180"/>
      <c r="AI28" s="181"/>
      <c r="AJ28" s="182">
        <f t="shared" si="5"/>
        <v>188</v>
      </c>
      <c r="AK28" s="179">
        <v>105</v>
      </c>
      <c r="AL28" s="180"/>
      <c r="AM28" s="180"/>
      <c r="AN28" s="181"/>
      <c r="AO28" s="182">
        <f t="shared" si="6"/>
        <v>105</v>
      </c>
      <c r="AP28" s="179">
        <v>258</v>
      </c>
      <c r="AQ28" s="180"/>
      <c r="AR28" s="180"/>
      <c r="AS28" s="181"/>
      <c r="AT28" s="182">
        <f t="shared" si="7"/>
        <v>258</v>
      </c>
      <c r="AU28" s="179"/>
      <c r="AV28" s="180"/>
      <c r="AW28" s="180"/>
      <c r="AX28" s="181"/>
      <c r="AY28" s="182">
        <f t="shared" si="8"/>
        <v>0</v>
      </c>
      <c r="AZ28" s="179"/>
      <c r="BA28" s="180"/>
      <c r="BB28" s="180"/>
      <c r="BC28" s="181"/>
      <c r="BD28" s="182">
        <f t="shared" si="9"/>
        <v>0</v>
      </c>
      <c r="BE28" s="179"/>
      <c r="BF28" s="180"/>
      <c r="BG28" s="180"/>
      <c r="BH28" s="181"/>
      <c r="BI28" s="182">
        <f t="shared" si="10"/>
        <v>0</v>
      </c>
      <c r="BJ28" s="179"/>
      <c r="BK28" s="180"/>
      <c r="BL28" s="180"/>
      <c r="BM28" s="181"/>
      <c r="BN28" s="182">
        <f t="shared" si="11"/>
        <v>0</v>
      </c>
      <c r="BO28" s="184">
        <f>SUM(G28,L28,Q28,V28,AA28,AF28,AK28,AP28,AU28,AZ28,BE28,BJ28)</f>
        <v>565</v>
      </c>
      <c r="BP28" s="180">
        <f>SUM(H28,M28,R28,W28,AB28,AG28,AL28,AQ28,AV28,BA28,BF28,BK28)</f>
        <v>0</v>
      </c>
      <c r="BQ28" s="180">
        <f>SUM(I28,N28,S28,X28,AC28,AH28,AM28,AR28,AW28,BB28,BG28,BL28)</f>
        <v>0</v>
      </c>
      <c r="BR28" s="181">
        <f>SUM(J28,O28,T28,Y28,AD28,AI28,AN28,AS28,AX28,BC28,BH28,BM28)</f>
        <v>0</v>
      </c>
      <c r="BS28" s="183">
        <f t="shared" si="12"/>
        <v>565</v>
      </c>
    </row>
    <row r="29" spans="2:71" x14ac:dyDescent="0.3">
      <c r="B29" s="269"/>
      <c r="C29" s="230"/>
      <c r="D29" s="233"/>
      <c r="E29" s="239"/>
      <c r="F29" s="171" t="s">
        <v>635</v>
      </c>
      <c r="G29" s="172"/>
      <c r="H29" s="173"/>
      <c r="I29" s="173"/>
      <c r="J29" s="174"/>
      <c r="K29" s="175">
        <f t="shared" si="13"/>
        <v>0</v>
      </c>
      <c r="L29" s="172"/>
      <c r="M29" s="173"/>
      <c r="N29" s="173"/>
      <c r="O29" s="174"/>
      <c r="P29" s="175">
        <f t="shared" si="1"/>
        <v>0</v>
      </c>
      <c r="Q29" s="172"/>
      <c r="R29" s="173"/>
      <c r="S29" s="173"/>
      <c r="T29" s="174"/>
      <c r="U29" s="175">
        <f t="shared" si="2"/>
        <v>0</v>
      </c>
      <c r="V29" s="172"/>
      <c r="W29" s="173"/>
      <c r="X29" s="173"/>
      <c r="Y29" s="174"/>
      <c r="Z29" s="175">
        <f t="shared" si="3"/>
        <v>0</v>
      </c>
      <c r="AA29" s="172">
        <v>83</v>
      </c>
      <c r="AB29" s="173"/>
      <c r="AC29" s="173"/>
      <c r="AD29" s="174"/>
      <c r="AE29" s="175">
        <f t="shared" si="4"/>
        <v>83</v>
      </c>
      <c r="AF29" s="172">
        <v>787</v>
      </c>
      <c r="AG29" s="173"/>
      <c r="AH29" s="173"/>
      <c r="AI29" s="174"/>
      <c r="AJ29" s="175">
        <f t="shared" si="5"/>
        <v>787</v>
      </c>
      <c r="AK29" s="172">
        <v>340</v>
      </c>
      <c r="AL29" s="173"/>
      <c r="AM29" s="173"/>
      <c r="AN29" s="174"/>
      <c r="AO29" s="175">
        <f t="shared" si="6"/>
        <v>340</v>
      </c>
      <c r="AP29" s="172">
        <v>626</v>
      </c>
      <c r="AQ29" s="173"/>
      <c r="AR29" s="173"/>
      <c r="AS29" s="174"/>
      <c r="AT29" s="175">
        <f t="shared" si="7"/>
        <v>626</v>
      </c>
      <c r="AU29" s="172"/>
      <c r="AV29" s="173"/>
      <c r="AW29" s="173"/>
      <c r="AX29" s="174"/>
      <c r="AY29" s="175">
        <f t="shared" si="8"/>
        <v>0</v>
      </c>
      <c r="AZ29" s="172"/>
      <c r="BA29" s="173"/>
      <c r="BB29" s="173"/>
      <c r="BC29" s="174"/>
      <c r="BD29" s="175">
        <f t="shared" si="9"/>
        <v>0</v>
      </c>
      <c r="BE29" s="172"/>
      <c r="BF29" s="173"/>
      <c r="BG29" s="173"/>
      <c r="BH29" s="174"/>
      <c r="BI29" s="175">
        <f t="shared" si="10"/>
        <v>0</v>
      </c>
      <c r="BJ29" s="172"/>
      <c r="BK29" s="173"/>
      <c r="BL29" s="173"/>
      <c r="BM29" s="174"/>
      <c r="BN29" s="175">
        <f t="shared" si="11"/>
        <v>0</v>
      </c>
      <c r="BO29" s="177">
        <f>SUM(G29,L29,Q29,V29,AA29,AF29,AK29,AP29,AU29,AZ29,BE29,BJ29)</f>
        <v>1836</v>
      </c>
      <c r="BP29" s="173">
        <f>SUM(H29,M29,R29,W29,AB29,AG29,AL29,AQ29,AV29,BA29,BF29,BK29)</f>
        <v>0</v>
      </c>
      <c r="BQ29" s="173">
        <f>SUM(I29,N29,S29,X29,AC29,AH29,AM29,AR29,AW29,BB29,BG29,BL29)</f>
        <v>0</v>
      </c>
      <c r="BR29" s="174">
        <f>SUM(J29,O29,T29,Y29,AD29,AI29,AN29,AS29,AX29,BC29,BH29,BM29)</f>
        <v>0</v>
      </c>
      <c r="BS29" s="176">
        <f t="shared" si="12"/>
        <v>1836</v>
      </c>
    </row>
    <row r="30" spans="2:71" x14ac:dyDescent="0.3">
      <c r="B30" s="269"/>
      <c r="C30" s="230"/>
      <c r="D30" s="233"/>
      <c r="E30" s="239"/>
      <c r="F30" s="185" t="s">
        <v>636</v>
      </c>
      <c r="G30" s="186"/>
      <c r="H30" s="187"/>
      <c r="I30" s="187"/>
      <c r="J30" s="188"/>
      <c r="K30" s="189">
        <f t="shared" si="13"/>
        <v>0</v>
      </c>
      <c r="L30" s="186"/>
      <c r="M30" s="187"/>
      <c r="N30" s="187"/>
      <c r="O30" s="188"/>
      <c r="P30" s="189">
        <f t="shared" si="1"/>
        <v>0</v>
      </c>
      <c r="Q30" s="186"/>
      <c r="R30" s="187"/>
      <c r="S30" s="187"/>
      <c r="T30" s="188"/>
      <c r="U30" s="189">
        <f t="shared" si="2"/>
        <v>0</v>
      </c>
      <c r="V30" s="186"/>
      <c r="W30" s="187"/>
      <c r="X30" s="187"/>
      <c r="Y30" s="188"/>
      <c r="Z30" s="189">
        <f t="shared" si="3"/>
        <v>0</v>
      </c>
      <c r="AA30" s="186">
        <v>15</v>
      </c>
      <c r="AB30" s="187"/>
      <c r="AC30" s="187"/>
      <c r="AD30" s="188"/>
      <c r="AE30" s="189">
        <f t="shared" si="4"/>
        <v>15</v>
      </c>
      <c r="AF30" s="186">
        <v>163</v>
      </c>
      <c r="AG30" s="187"/>
      <c r="AH30" s="187"/>
      <c r="AI30" s="188"/>
      <c r="AJ30" s="189">
        <f t="shared" si="5"/>
        <v>163</v>
      </c>
      <c r="AK30" s="186">
        <v>89</v>
      </c>
      <c r="AL30" s="187"/>
      <c r="AM30" s="187"/>
      <c r="AN30" s="188"/>
      <c r="AO30" s="189">
        <f t="shared" si="6"/>
        <v>89</v>
      </c>
      <c r="AP30" s="186">
        <v>220</v>
      </c>
      <c r="AQ30" s="187"/>
      <c r="AR30" s="187"/>
      <c r="AS30" s="188"/>
      <c r="AT30" s="189">
        <f t="shared" si="7"/>
        <v>220</v>
      </c>
      <c r="AU30" s="186"/>
      <c r="AV30" s="187"/>
      <c r="AW30" s="187"/>
      <c r="AX30" s="188"/>
      <c r="AY30" s="189">
        <f t="shared" si="8"/>
        <v>0</v>
      </c>
      <c r="AZ30" s="186"/>
      <c r="BA30" s="187"/>
      <c r="BB30" s="187"/>
      <c r="BC30" s="188"/>
      <c r="BD30" s="189">
        <f t="shared" si="9"/>
        <v>0</v>
      </c>
      <c r="BE30" s="186"/>
      <c r="BF30" s="187"/>
      <c r="BG30" s="187"/>
      <c r="BH30" s="188"/>
      <c r="BI30" s="189">
        <f t="shared" si="10"/>
        <v>0</v>
      </c>
      <c r="BJ30" s="186"/>
      <c r="BK30" s="187"/>
      <c r="BL30" s="187"/>
      <c r="BM30" s="188"/>
      <c r="BN30" s="189">
        <f t="shared" si="11"/>
        <v>0</v>
      </c>
      <c r="BO30" s="191">
        <f>SUM(G30,L30,Q30,V30,AA30,AF30,AK30,AP30,AU30,AZ30,BE30,BJ30)</f>
        <v>487</v>
      </c>
      <c r="BP30" s="187">
        <f>SUM(H30,M30,R30,W30,AB30,AG30,AL30,AQ30,AV30,BA30,BF30,BK30)</f>
        <v>0</v>
      </c>
      <c r="BQ30" s="187">
        <f>SUM(I30,N30,S30,X30,AC30,AH30,AM30,AR30,AW30,BB30,BG30,BL30)</f>
        <v>0</v>
      </c>
      <c r="BR30" s="188">
        <f>SUM(J30,O30,T30,Y30,AD30,AI30,AN30,AS30,AX30,BC30,BH30,BM30)</f>
        <v>0</v>
      </c>
      <c r="BS30" s="190">
        <f t="shared" si="12"/>
        <v>487</v>
      </c>
    </row>
    <row r="31" spans="2:71" x14ac:dyDescent="0.3">
      <c r="B31" s="269"/>
      <c r="C31" s="230"/>
      <c r="D31" s="233"/>
      <c r="E31" s="240"/>
      <c r="F31" s="125" t="s">
        <v>54</v>
      </c>
      <c r="G31" s="126">
        <f>SUM(G9:G30)</f>
        <v>289</v>
      </c>
      <c r="H31" s="127">
        <f>SUM(H9:H30)</f>
        <v>0</v>
      </c>
      <c r="I31" s="127">
        <f>SUM(I9:I30)</f>
        <v>0</v>
      </c>
      <c r="J31" s="128">
        <f>SUM(J9:J30)</f>
        <v>0</v>
      </c>
      <c r="K31" s="129">
        <f t="shared" si="0"/>
        <v>289</v>
      </c>
      <c r="L31" s="126">
        <f>SUM(L9:L30)</f>
        <v>388</v>
      </c>
      <c r="M31" s="127">
        <f>SUM(M9:M30)</f>
        <v>0</v>
      </c>
      <c r="N31" s="127">
        <f>SUM(N9:N30)</f>
        <v>0</v>
      </c>
      <c r="O31" s="128">
        <f>SUM(O9:O30)</f>
        <v>0</v>
      </c>
      <c r="P31" s="129">
        <f t="shared" si="1"/>
        <v>388</v>
      </c>
      <c r="Q31" s="126">
        <f>SUM(Q9:Q30)</f>
        <v>1932</v>
      </c>
      <c r="R31" s="127">
        <f>SUM(R9:R30)</f>
        <v>0</v>
      </c>
      <c r="S31" s="127">
        <f>SUM(S9:S30)</f>
        <v>0</v>
      </c>
      <c r="T31" s="128">
        <f>SUM(T9:T30)</f>
        <v>0</v>
      </c>
      <c r="U31" s="129">
        <f t="shared" si="2"/>
        <v>1932</v>
      </c>
      <c r="V31" s="126">
        <f>SUM(V9:V30)</f>
        <v>1372</v>
      </c>
      <c r="W31" s="127">
        <f>SUM(W9:W30)</f>
        <v>0</v>
      </c>
      <c r="X31" s="127">
        <f>SUM(X9:X30)</f>
        <v>0</v>
      </c>
      <c r="Y31" s="128">
        <f>SUM(Y9:Y30)</f>
        <v>0</v>
      </c>
      <c r="Z31" s="129">
        <f t="shared" si="3"/>
        <v>1372</v>
      </c>
      <c r="AA31" s="126">
        <f>SUM(AA9:AA30)</f>
        <v>2137</v>
      </c>
      <c r="AB31" s="127">
        <f>SUM(AB9:AB30)</f>
        <v>0</v>
      </c>
      <c r="AC31" s="127">
        <f>SUM(AC9:AC30)</f>
        <v>0</v>
      </c>
      <c r="AD31" s="128">
        <f>SUM(AD9:AD30)</f>
        <v>0</v>
      </c>
      <c r="AE31" s="129">
        <f t="shared" si="4"/>
        <v>2137</v>
      </c>
      <c r="AF31" s="126">
        <f>SUM(AF9:AF30)</f>
        <v>5626</v>
      </c>
      <c r="AG31" s="127">
        <f>SUM(AG9:AG30)</f>
        <v>0</v>
      </c>
      <c r="AH31" s="127">
        <f>SUM(AH9:AH30)</f>
        <v>0</v>
      </c>
      <c r="AI31" s="128">
        <f>SUM(AI9:AI30)</f>
        <v>0</v>
      </c>
      <c r="AJ31" s="129">
        <f t="shared" si="5"/>
        <v>5626</v>
      </c>
      <c r="AK31" s="126">
        <f>SUM(AK9:AK30)</f>
        <v>2419</v>
      </c>
      <c r="AL31" s="127">
        <f>SUM(AL9:AL30)</f>
        <v>0</v>
      </c>
      <c r="AM31" s="127">
        <f>SUM(AM9:AM30)</f>
        <v>0</v>
      </c>
      <c r="AN31" s="128">
        <f>SUM(AN9:AN30)</f>
        <v>0</v>
      </c>
      <c r="AO31" s="129">
        <f t="shared" si="6"/>
        <v>2419</v>
      </c>
      <c r="AP31" s="126">
        <f>SUM(AP9:AP30)</f>
        <v>5254</v>
      </c>
      <c r="AQ31" s="127">
        <f>SUM(AQ9:AQ30)</f>
        <v>0</v>
      </c>
      <c r="AR31" s="127">
        <f>SUM(AR9:AR30)</f>
        <v>0</v>
      </c>
      <c r="AS31" s="128">
        <f>SUM(AS9:AS30)</f>
        <v>0</v>
      </c>
      <c r="AT31" s="129">
        <f t="shared" si="7"/>
        <v>5254</v>
      </c>
      <c r="AU31" s="126">
        <f>SUM(AU9:AU30)</f>
        <v>119</v>
      </c>
      <c r="AV31" s="127">
        <f>SUM(AV9:AV30)</f>
        <v>0</v>
      </c>
      <c r="AW31" s="127">
        <f>SUM(AW9:AW30)</f>
        <v>0</v>
      </c>
      <c r="AX31" s="128">
        <f>SUM(AX9:AX30)</f>
        <v>0</v>
      </c>
      <c r="AY31" s="129">
        <f t="shared" si="8"/>
        <v>119</v>
      </c>
      <c r="AZ31" s="126">
        <f>SUM(AZ9:AZ30)</f>
        <v>594</v>
      </c>
      <c r="BA31" s="127">
        <f>SUM(BA9:BA30)</f>
        <v>0</v>
      </c>
      <c r="BB31" s="127">
        <f>SUM(BB9:BB30)</f>
        <v>0</v>
      </c>
      <c r="BC31" s="128">
        <f>SUM(BC9:BC30)</f>
        <v>0</v>
      </c>
      <c r="BD31" s="129">
        <f t="shared" si="9"/>
        <v>594</v>
      </c>
      <c r="BE31" s="126">
        <f>SUM(BE9:BE30)</f>
        <v>225</v>
      </c>
      <c r="BF31" s="127">
        <f>SUM(BF9:BF30)</f>
        <v>0</v>
      </c>
      <c r="BG31" s="127">
        <f>SUM(BG9:BG30)</f>
        <v>0</v>
      </c>
      <c r="BH31" s="128">
        <f>SUM(BH9:BH30)</f>
        <v>0</v>
      </c>
      <c r="BI31" s="129">
        <f t="shared" si="10"/>
        <v>225</v>
      </c>
      <c r="BJ31" s="126">
        <f>SUM(BJ9:BJ30)</f>
        <v>27</v>
      </c>
      <c r="BK31" s="127">
        <f>SUM(BK9:BK30)</f>
        <v>0</v>
      </c>
      <c r="BL31" s="127">
        <f>SUM(BL9:BL30)</f>
        <v>0</v>
      </c>
      <c r="BM31" s="128">
        <f>SUM(BM9:BM30)</f>
        <v>0</v>
      </c>
      <c r="BN31" s="129">
        <f t="shared" si="11"/>
        <v>27</v>
      </c>
      <c r="BO31" s="131">
        <f>SUM(BO9:BO30)</f>
        <v>20382</v>
      </c>
      <c r="BP31" s="127">
        <f>SUM(BP9:BP30)</f>
        <v>0</v>
      </c>
      <c r="BQ31" s="127">
        <f>SUM(BQ9:BQ30)</f>
        <v>0</v>
      </c>
      <c r="BR31" s="128">
        <f>SUM(BR9:BR30)</f>
        <v>0</v>
      </c>
      <c r="BS31" s="130">
        <f t="shared" si="12"/>
        <v>20382</v>
      </c>
    </row>
    <row r="32" spans="2:71" x14ac:dyDescent="0.3">
      <c r="B32" s="269"/>
      <c r="C32" s="230"/>
      <c r="D32" s="233"/>
      <c r="E32" s="241" t="s">
        <v>42</v>
      </c>
      <c r="F32" s="120" t="s">
        <v>49</v>
      </c>
      <c r="G32" s="30">
        <v>225</v>
      </c>
      <c r="H32" s="7"/>
      <c r="I32" s="7"/>
      <c r="J32" s="8"/>
      <c r="K32" s="9">
        <f t="shared" si="0"/>
        <v>225</v>
      </c>
      <c r="L32" s="30"/>
      <c r="M32" s="7"/>
      <c r="N32" s="7"/>
      <c r="O32" s="8"/>
      <c r="P32" s="9">
        <f t="shared" si="1"/>
        <v>0</v>
      </c>
      <c r="Q32" s="30"/>
      <c r="R32" s="7"/>
      <c r="S32" s="7"/>
      <c r="T32" s="8"/>
      <c r="U32" s="9">
        <f t="shared" si="2"/>
        <v>0</v>
      </c>
      <c r="V32" s="30"/>
      <c r="W32" s="7"/>
      <c r="X32" s="7"/>
      <c r="Y32" s="8"/>
      <c r="Z32" s="9">
        <f t="shared" si="3"/>
        <v>0</v>
      </c>
      <c r="AA32" s="30"/>
      <c r="AB32" s="7"/>
      <c r="AC32" s="7"/>
      <c r="AD32" s="8"/>
      <c r="AE32" s="9">
        <f t="shared" si="4"/>
        <v>0</v>
      </c>
      <c r="AF32" s="30"/>
      <c r="AG32" s="7"/>
      <c r="AH32" s="7"/>
      <c r="AI32" s="8"/>
      <c r="AJ32" s="9">
        <f t="shared" si="5"/>
        <v>0</v>
      </c>
      <c r="AK32" s="30"/>
      <c r="AL32" s="7"/>
      <c r="AM32" s="7"/>
      <c r="AN32" s="8"/>
      <c r="AO32" s="9">
        <f t="shared" si="6"/>
        <v>0</v>
      </c>
      <c r="AP32" s="30"/>
      <c r="AQ32" s="7"/>
      <c r="AR32" s="7"/>
      <c r="AS32" s="8"/>
      <c r="AT32" s="9">
        <f t="shared" si="7"/>
        <v>0</v>
      </c>
      <c r="AU32" s="30">
        <v>195</v>
      </c>
      <c r="AV32" s="7"/>
      <c r="AW32" s="7"/>
      <c r="AX32" s="8"/>
      <c r="AY32" s="9">
        <f t="shared" si="8"/>
        <v>195</v>
      </c>
      <c r="AZ32" s="30"/>
      <c r="BA32" s="7"/>
      <c r="BB32" s="7"/>
      <c r="BC32" s="8"/>
      <c r="BD32" s="9">
        <f t="shared" si="9"/>
        <v>0</v>
      </c>
      <c r="BE32" s="30"/>
      <c r="BF32" s="7"/>
      <c r="BG32" s="7"/>
      <c r="BH32" s="8"/>
      <c r="BI32" s="9">
        <f t="shared" si="10"/>
        <v>0</v>
      </c>
      <c r="BJ32" s="30"/>
      <c r="BK32" s="7"/>
      <c r="BL32" s="7"/>
      <c r="BM32" s="8"/>
      <c r="BN32" s="9">
        <f t="shared" si="11"/>
        <v>0</v>
      </c>
      <c r="BO32" s="65">
        <f>SUM(G32,L32,Q32,V32,AA32,AF32,AK32,AP32,AU32,AZ32,BE32,BJ32)</f>
        <v>420</v>
      </c>
      <c r="BP32" s="7">
        <f>SUM(H32,M32,R32,W32,AB32,AG32,AL32,AQ32,AV32,BA32,BF32,BK32)</f>
        <v>0</v>
      </c>
      <c r="BQ32" s="7">
        <f>SUM(I32,N32,S32,X32,AC32,AH32,AM32,AR32,AW32,BB32,BG32,BL32)</f>
        <v>0</v>
      </c>
      <c r="BR32" s="8">
        <f>SUM(J32,O32,T32,Y32,AD32,AI32,AN32,AS32,AX32,BC32,BH32,BM32)</f>
        <v>0</v>
      </c>
      <c r="BS32" s="31">
        <f t="shared" si="12"/>
        <v>420</v>
      </c>
    </row>
    <row r="33" spans="2:71" x14ac:dyDescent="0.3">
      <c r="B33" s="269"/>
      <c r="C33" s="230"/>
      <c r="D33" s="233"/>
      <c r="E33" s="239"/>
      <c r="F33" s="121" t="s">
        <v>50</v>
      </c>
      <c r="G33" s="32">
        <v>14</v>
      </c>
      <c r="H33" s="13"/>
      <c r="I33" s="13"/>
      <c r="J33" s="14"/>
      <c r="K33" s="15">
        <f t="shared" si="0"/>
        <v>14</v>
      </c>
      <c r="L33" s="32"/>
      <c r="M33" s="13"/>
      <c r="N33" s="13"/>
      <c r="O33" s="14"/>
      <c r="P33" s="15">
        <f t="shared" si="1"/>
        <v>0</v>
      </c>
      <c r="Q33" s="32"/>
      <c r="R33" s="13"/>
      <c r="S33" s="13"/>
      <c r="T33" s="14"/>
      <c r="U33" s="15">
        <f t="shared" si="2"/>
        <v>0</v>
      </c>
      <c r="V33" s="32"/>
      <c r="W33" s="13"/>
      <c r="X33" s="13"/>
      <c r="Y33" s="14"/>
      <c r="Z33" s="15">
        <f t="shared" si="3"/>
        <v>0</v>
      </c>
      <c r="AA33" s="32"/>
      <c r="AB33" s="13"/>
      <c r="AC33" s="13"/>
      <c r="AD33" s="14"/>
      <c r="AE33" s="15">
        <f t="shared" si="4"/>
        <v>0</v>
      </c>
      <c r="AF33" s="32"/>
      <c r="AG33" s="13"/>
      <c r="AH33" s="13"/>
      <c r="AI33" s="14"/>
      <c r="AJ33" s="15">
        <f t="shared" si="5"/>
        <v>0</v>
      </c>
      <c r="AK33" s="32"/>
      <c r="AL33" s="13"/>
      <c r="AM33" s="13"/>
      <c r="AN33" s="14"/>
      <c r="AO33" s="15">
        <f t="shared" si="6"/>
        <v>0</v>
      </c>
      <c r="AP33" s="32"/>
      <c r="AQ33" s="13"/>
      <c r="AR33" s="13"/>
      <c r="AS33" s="14"/>
      <c r="AT33" s="15">
        <f t="shared" si="7"/>
        <v>0</v>
      </c>
      <c r="AU33" s="32">
        <v>62</v>
      </c>
      <c r="AV33" s="13"/>
      <c r="AW33" s="13"/>
      <c r="AX33" s="14"/>
      <c r="AY33" s="15">
        <f t="shared" si="8"/>
        <v>62</v>
      </c>
      <c r="AZ33" s="32"/>
      <c r="BA33" s="13"/>
      <c r="BB33" s="13"/>
      <c r="BC33" s="14"/>
      <c r="BD33" s="15">
        <f t="shared" si="9"/>
        <v>0</v>
      </c>
      <c r="BE33" s="32"/>
      <c r="BF33" s="13"/>
      <c r="BG33" s="13"/>
      <c r="BH33" s="14"/>
      <c r="BI33" s="15">
        <f t="shared" si="10"/>
        <v>0</v>
      </c>
      <c r="BJ33" s="32"/>
      <c r="BK33" s="13"/>
      <c r="BL33" s="13"/>
      <c r="BM33" s="14"/>
      <c r="BN33" s="15">
        <f t="shared" si="11"/>
        <v>0</v>
      </c>
      <c r="BO33" s="66">
        <f>SUM(G33,L33,Q33,V33,AA33,AF33,AK33,AP33,AU33,AZ33,BE33,BJ33)</f>
        <v>76</v>
      </c>
      <c r="BP33" s="13">
        <f>SUM(H33,M33,R33,W33,AB33,AG33,AL33,AQ33,AV33,BA33,BF33,BK33)</f>
        <v>0</v>
      </c>
      <c r="BQ33" s="13">
        <f>SUM(I33,N33,S33,X33,AC33,AH33,AM33,AR33,AW33,BB33,BG33,BL33)</f>
        <v>0</v>
      </c>
      <c r="BR33" s="14">
        <f>SUM(J33,O33,T33,Y33,AD33,AI33,AN33,AS33,AX33,BC33,BH33,BM33)</f>
        <v>0</v>
      </c>
      <c r="BS33" s="33">
        <f t="shared" si="12"/>
        <v>76</v>
      </c>
    </row>
    <row r="34" spans="2:71" x14ac:dyDescent="0.3">
      <c r="B34" s="269"/>
      <c r="C34" s="230"/>
      <c r="D34" s="233"/>
      <c r="E34" s="239"/>
      <c r="F34" s="121" t="s">
        <v>637</v>
      </c>
      <c r="G34" s="32">
        <v>281</v>
      </c>
      <c r="H34" s="13"/>
      <c r="I34" s="13"/>
      <c r="J34" s="14"/>
      <c r="K34" s="15">
        <f t="shared" si="0"/>
        <v>281</v>
      </c>
      <c r="L34" s="32">
        <v>515</v>
      </c>
      <c r="M34" s="13"/>
      <c r="N34" s="13"/>
      <c r="O34" s="14"/>
      <c r="P34" s="15">
        <f t="shared" si="1"/>
        <v>515</v>
      </c>
      <c r="Q34" s="32">
        <v>736</v>
      </c>
      <c r="R34" s="13"/>
      <c r="S34" s="13"/>
      <c r="T34" s="14"/>
      <c r="U34" s="15">
        <f t="shared" si="2"/>
        <v>736</v>
      </c>
      <c r="V34" s="32"/>
      <c r="W34" s="13"/>
      <c r="X34" s="13"/>
      <c r="Y34" s="14"/>
      <c r="Z34" s="15">
        <f t="shared" si="3"/>
        <v>0</v>
      </c>
      <c r="AA34" s="32"/>
      <c r="AB34" s="13"/>
      <c r="AC34" s="13"/>
      <c r="AD34" s="14"/>
      <c r="AE34" s="15">
        <f t="shared" si="4"/>
        <v>0</v>
      </c>
      <c r="AF34" s="32"/>
      <c r="AG34" s="13"/>
      <c r="AH34" s="13"/>
      <c r="AI34" s="14"/>
      <c r="AJ34" s="15">
        <f t="shared" si="5"/>
        <v>0</v>
      </c>
      <c r="AK34" s="32">
        <v>207</v>
      </c>
      <c r="AL34" s="13"/>
      <c r="AM34" s="13"/>
      <c r="AN34" s="14"/>
      <c r="AO34" s="15">
        <f t="shared" si="6"/>
        <v>207</v>
      </c>
      <c r="AP34" s="32">
        <v>408</v>
      </c>
      <c r="AQ34" s="13"/>
      <c r="AR34" s="13"/>
      <c r="AS34" s="14"/>
      <c r="AT34" s="15">
        <f t="shared" si="7"/>
        <v>408</v>
      </c>
      <c r="AU34" s="32"/>
      <c r="AV34" s="13"/>
      <c r="AW34" s="13"/>
      <c r="AX34" s="14"/>
      <c r="AY34" s="15">
        <f t="shared" si="8"/>
        <v>0</v>
      </c>
      <c r="AZ34" s="32">
        <v>889</v>
      </c>
      <c r="BA34" s="13"/>
      <c r="BB34" s="13"/>
      <c r="BC34" s="14"/>
      <c r="BD34" s="15">
        <f t="shared" si="9"/>
        <v>889</v>
      </c>
      <c r="BE34" s="32"/>
      <c r="BF34" s="13"/>
      <c r="BG34" s="13"/>
      <c r="BH34" s="14"/>
      <c r="BI34" s="15">
        <f t="shared" si="10"/>
        <v>0</v>
      </c>
      <c r="BJ34" s="32"/>
      <c r="BK34" s="13"/>
      <c r="BL34" s="13"/>
      <c r="BM34" s="14"/>
      <c r="BN34" s="15">
        <f t="shared" si="11"/>
        <v>0</v>
      </c>
      <c r="BO34" s="66">
        <f>SUM(G34,L34,Q34,V34,AA34,AF34,AK34,AP34,AU34,AZ34,BE34,BJ34)</f>
        <v>3036</v>
      </c>
      <c r="BP34" s="13">
        <f>SUM(H34,M34,R34,W34,AB34,AG34,AL34,AQ34,AV34,BA34,BF34,BK34)</f>
        <v>0</v>
      </c>
      <c r="BQ34" s="13">
        <f>SUM(I34,N34,S34,X34,AC34,AH34,AM34,AR34,AW34,BB34,BG34,BL34)</f>
        <v>0</v>
      </c>
      <c r="BR34" s="14">
        <f>SUM(J34,O34,T34,Y34,AD34,AI34,AN34,AS34,AX34,BC34,BH34,BM34)</f>
        <v>0</v>
      </c>
      <c r="BS34" s="33">
        <f t="shared" si="12"/>
        <v>3036</v>
      </c>
    </row>
    <row r="35" spans="2:71" x14ac:dyDescent="0.3">
      <c r="B35" s="269"/>
      <c r="C35" s="230"/>
      <c r="D35" s="233"/>
      <c r="E35" s="239"/>
      <c r="F35" s="121" t="s">
        <v>638</v>
      </c>
      <c r="G35" s="32">
        <v>22</v>
      </c>
      <c r="H35" s="13"/>
      <c r="I35" s="13"/>
      <c r="J35" s="14"/>
      <c r="K35" s="15">
        <f t="shared" si="0"/>
        <v>22</v>
      </c>
      <c r="L35" s="32">
        <v>45</v>
      </c>
      <c r="M35" s="13"/>
      <c r="N35" s="13"/>
      <c r="O35" s="14"/>
      <c r="P35" s="15">
        <f t="shared" si="1"/>
        <v>45</v>
      </c>
      <c r="Q35" s="32">
        <v>136</v>
      </c>
      <c r="R35" s="13"/>
      <c r="S35" s="13"/>
      <c r="T35" s="14"/>
      <c r="U35" s="15">
        <f t="shared" si="2"/>
        <v>136</v>
      </c>
      <c r="V35" s="32"/>
      <c r="W35" s="13"/>
      <c r="X35" s="13"/>
      <c r="Y35" s="14"/>
      <c r="Z35" s="15">
        <f t="shared" si="3"/>
        <v>0</v>
      </c>
      <c r="AA35" s="32"/>
      <c r="AB35" s="13"/>
      <c r="AC35" s="13"/>
      <c r="AD35" s="14"/>
      <c r="AE35" s="15">
        <f t="shared" si="4"/>
        <v>0</v>
      </c>
      <c r="AF35" s="32"/>
      <c r="AG35" s="13"/>
      <c r="AH35" s="13"/>
      <c r="AI35" s="14"/>
      <c r="AJ35" s="15">
        <f t="shared" si="5"/>
        <v>0</v>
      </c>
      <c r="AK35" s="32">
        <v>84</v>
      </c>
      <c r="AL35" s="13"/>
      <c r="AM35" s="13"/>
      <c r="AN35" s="14"/>
      <c r="AO35" s="15">
        <f t="shared" si="6"/>
        <v>84</v>
      </c>
      <c r="AP35" s="32">
        <v>164</v>
      </c>
      <c r="AQ35" s="13"/>
      <c r="AR35" s="13"/>
      <c r="AS35" s="14"/>
      <c r="AT35" s="15">
        <f t="shared" si="7"/>
        <v>164</v>
      </c>
      <c r="AU35" s="32"/>
      <c r="AV35" s="13"/>
      <c r="AW35" s="13"/>
      <c r="AX35" s="14"/>
      <c r="AY35" s="15">
        <f t="shared" si="8"/>
        <v>0</v>
      </c>
      <c r="AZ35" s="32">
        <v>233</v>
      </c>
      <c r="BA35" s="13"/>
      <c r="BB35" s="13"/>
      <c r="BC35" s="14"/>
      <c r="BD35" s="15">
        <f t="shared" si="9"/>
        <v>233</v>
      </c>
      <c r="BE35" s="32"/>
      <c r="BF35" s="13"/>
      <c r="BG35" s="13"/>
      <c r="BH35" s="14"/>
      <c r="BI35" s="15">
        <f t="shared" si="10"/>
        <v>0</v>
      </c>
      <c r="BJ35" s="32"/>
      <c r="BK35" s="13"/>
      <c r="BL35" s="13"/>
      <c r="BM35" s="14"/>
      <c r="BN35" s="15">
        <f t="shared" si="11"/>
        <v>0</v>
      </c>
      <c r="BO35" s="66">
        <f>SUM(G35,L35,Q35,V35,AA35,AF35,AK35,AP35,AU35,AZ35,BE35,BJ35)</f>
        <v>684</v>
      </c>
      <c r="BP35" s="13">
        <f>SUM(H35,M35,R35,W35,AB35,AG35,AL35,AQ35,AV35,BA35,BF35,BK35)</f>
        <v>0</v>
      </c>
      <c r="BQ35" s="13">
        <f>SUM(I35,N35,S35,X35,AC35,AH35,AM35,AR35,AW35,BB35,BG35,BL35)</f>
        <v>0</v>
      </c>
      <c r="BR35" s="14">
        <f>SUM(J35,O35,T35,Y35,AD35,AI35,AN35,AS35,AX35,BC35,BH35,BM35)</f>
        <v>0</v>
      </c>
      <c r="BS35" s="33">
        <f t="shared" si="12"/>
        <v>684</v>
      </c>
    </row>
    <row r="36" spans="2:71" x14ac:dyDescent="0.3">
      <c r="B36" s="269"/>
      <c r="C36" s="230"/>
      <c r="D36" s="233"/>
      <c r="E36" s="239"/>
      <c r="F36" s="121" t="s">
        <v>51</v>
      </c>
      <c r="G36" s="32">
        <v>187</v>
      </c>
      <c r="H36" s="13"/>
      <c r="I36" s="13"/>
      <c r="J36" s="14"/>
      <c r="K36" s="15">
        <f t="shared" ref="K36:K43" si="14">SUM(G36:J36)</f>
        <v>187</v>
      </c>
      <c r="L36" s="32">
        <v>337</v>
      </c>
      <c r="M36" s="13"/>
      <c r="N36" s="13"/>
      <c r="O36" s="14"/>
      <c r="P36" s="15">
        <f t="shared" si="1"/>
        <v>337</v>
      </c>
      <c r="Q36" s="32">
        <v>564</v>
      </c>
      <c r="R36" s="13"/>
      <c r="S36" s="13"/>
      <c r="T36" s="14"/>
      <c r="U36" s="15">
        <f t="shared" si="2"/>
        <v>564</v>
      </c>
      <c r="V36" s="32"/>
      <c r="W36" s="13"/>
      <c r="X36" s="13"/>
      <c r="Y36" s="14"/>
      <c r="Z36" s="15">
        <f t="shared" si="3"/>
        <v>0</v>
      </c>
      <c r="AA36" s="32"/>
      <c r="AB36" s="13"/>
      <c r="AC36" s="13"/>
      <c r="AD36" s="14"/>
      <c r="AE36" s="15">
        <f t="shared" si="4"/>
        <v>0</v>
      </c>
      <c r="AF36" s="32"/>
      <c r="AG36" s="13"/>
      <c r="AH36" s="13"/>
      <c r="AI36" s="14"/>
      <c r="AJ36" s="15">
        <f t="shared" si="5"/>
        <v>0</v>
      </c>
      <c r="AK36" s="32">
        <v>141</v>
      </c>
      <c r="AL36" s="13"/>
      <c r="AM36" s="13"/>
      <c r="AN36" s="14"/>
      <c r="AO36" s="15">
        <f t="shared" si="6"/>
        <v>141</v>
      </c>
      <c r="AP36" s="32">
        <v>273</v>
      </c>
      <c r="AQ36" s="13"/>
      <c r="AR36" s="13"/>
      <c r="AS36" s="14"/>
      <c r="AT36" s="15">
        <f t="shared" si="7"/>
        <v>273</v>
      </c>
      <c r="AU36" s="32"/>
      <c r="AV36" s="13"/>
      <c r="AW36" s="13"/>
      <c r="AX36" s="14"/>
      <c r="AY36" s="15">
        <f t="shared" si="8"/>
        <v>0</v>
      </c>
      <c r="AZ36" s="32">
        <v>598</v>
      </c>
      <c r="BA36" s="13"/>
      <c r="BB36" s="13"/>
      <c r="BC36" s="14"/>
      <c r="BD36" s="15">
        <f t="shared" si="9"/>
        <v>598</v>
      </c>
      <c r="BE36" s="32"/>
      <c r="BF36" s="13"/>
      <c r="BG36" s="13"/>
      <c r="BH36" s="14"/>
      <c r="BI36" s="15">
        <f t="shared" si="10"/>
        <v>0</v>
      </c>
      <c r="BJ36" s="32"/>
      <c r="BK36" s="13"/>
      <c r="BL36" s="13"/>
      <c r="BM36" s="14"/>
      <c r="BN36" s="15">
        <f t="shared" si="11"/>
        <v>0</v>
      </c>
      <c r="BO36" s="66">
        <f>SUM(G36,L36,Q36,V36,AA36,AF36,AK36,AP36,AU36,AZ36,BE36,BJ36)</f>
        <v>2100</v>
      </c>
      <c r="BP36" s="13">
        <f>SUM(H36,M36,R36,W36,AB36,AG36,AL36,AQ36,AV36,BA36,BF36,BK36)</f>
        <v>0</v>
      </c>
      <c r="BQ36" s="13">
        <f>SUM(I36,N36,S36,X36,AC36,AH36,AM36,AR36,AW36,BB36,BG36,BL36)</f>
        <v>0</v>
      </c>
      <c r="BR36" s="14">
        <f>SUM(J36,O36,T36,Y36,AD36,AI36,AN36,AS36,AX36,BC36,BH36,BM36)</f>
        <v>0</v>
      </c>
      <c r="BS36" s="33">
        <f t="shared" si="12"/>
        <v>2100</v>
      </c>
    </row>
    <row r="37" spans="2:71" x14ac:dyDescent="0.3">
      <c r="B37" s="269"/>
      <c r="C37" s="230"/>
      <c r="D37" s="233"/>
      <c r="E37" s="239"/>
      <c r="F37" s="121" t="s">
        <v>52</v>
      </c>
      <c r="G37" s="32">
        <v>17</v>
      </c>
      <c r="H37" s="13"/>
      <c r="I37" s="13"/>
      <c r="J37" s="14"/>
      <c r="K37" s="15">
        <f t="shared" si="14"/>
        <v>17</v>
      </c>
      <c r="L37" s="32">
        <v>36</v>
      </c>
      <c r="M37" s="13"/>
      <c r="N37" s="13"/>
      <c r="O37" s="14"/>
      <c r="P37" s="15">
        <f t="shared" si="1"/>
        <v>36</v>
      </c>
      <c r="Q37" s="32">
        <v>103</v>
      </c>
      <c r="R37" s="13"/>
      <c r="S37" s="13"/>
      <c r="T37" s="14"/>
      <c r="U37" s="15">
        <f t="shared" si="2"/>
        <v>103</v>
      </c>
      <c r="V37" s="32"/>
      <c r="W37" s="13"/>
      <c r="X37" s="13"/>
      <c r="Y37" s="14"/>
      <c r="Z37" s="15">
        <f t="shared" si="3"/>
        <v>0</v>
      </c>
      <c r="AA37" s="32"/>
      <c r="AB37" s="13"/>
      <c r="AC37" s="13"/>
      <c r="AD37" s="14"/>
      <c r="AE37" s="15">
        <f t="shared" si="4"/>
        <v>0</v>
      </c>
      <c r="AF37" s="32"/>
      <c r="AG37" s="13"/>
      <c r="AH37" s="13"/>
      <c r="AI37" s="14"/>
      <c r="AJ37" s="15">
        <f t="shared" si="5"/>
        <v>0</v>
      </c>
      <c r="AK37" s="32">
        <v>59</v>
      </c>
      <c r="AL37" s="13"/>
      <c r="AM37" s="13"/>
      <c r="AN37" s="14"/>
      <c r="AO37" s="15">
        <f t="shared" si="6"/>
        <v>59</v>
      </c>
      <c r="AP37" s="32">
        <v>107</v>
      </c>
      <c r="AQ37" s="13"/>
      <c r="AR37" s="13"/>
      <c r="AS37" s="14"/>
      <c r="AT37" s="15">
        <f t="shared" si="7"/>
        <v>107</v>
      </c>
      <c r="AU37" s="32"/>
      <c r="AV37" s="13"/>
      <c r="AW37" s="13"/>
      <c r="AX37" s="14"/>
      <c r="AY37" s="15">
        <f t="shared" si="8"/>
        <v>0</v>
      </c>
      <c r="AZ37" s="32">
        <v>179</v>
      </c>
      <c r="BA37" s="13"/>
      <c r="BB37" s="13"/>
      <c r="BC37" s="14"/>
      <c r="BD37" s="15">
        <f t="shared" si="9"/>
        <v>179</v>
      </c>
      <c r="BE37" s="32"/>
      <c r="BF37" s="13"/>
      <c r="BG37" s="13"/>
      <c r="BH37" s="14"/>
      <c r="BI37" s="15">
        <f t="shared" si="10"/>
        <v>0</v>
      </c>
      <c r="BJ37" s="32"/>
      <c r="BK37" s="13"/>
      <c r="BL37" s="13"/>
      <c r="BM37" s="14"/>
      <c r="BN37" s="15">
        <f t="shared" si="11"/>
        <v>0</v>
      </c>
      <c r="BO37" s="66">
        <f>SUM(G37,L37,Q37,V37,AA37,AF37,AK37,AP37,AU37,AZ37,BE37,BJ37)</f>
        <v>501</v>
      </c>
      <c r="BP37" s="13">
        <f>SUM(H37,M37,R37,W37,AB37,AG37,AL37,AQ37,AV37,BA37,BF37,BK37)</f>
        <v>0</v>
      </c>
      <c r="BQ37" s="13">
        <f>SUM(I37,N37,S37,X37,AC37,AH37,AM37,AR37,AW37,BB37,BG37,BL37)</f>
        <v>0</v>
      </c>
      <c r="BR37" s="14">
        <f>SUM(J37,O37,T37,Y37,AD37,AI37,AN37,AS37,AX37,BC37,BH37,BM37)</f>
        <v>0</v>
      </c>
      <c r="BS37" s="33">
        <f t="shared" si="12"/>
        <v>501</v>
      </c>
    </row>
    <row r="38" spans="2:71" x14ac:dyDescent="0.3">
      <c r="B38" s="269"/>
      <c r="C38" s="230"/>
      <c r="D38" s="233"/>
      <c r="E38" s="239"/>
      <c r="F38" s="123" t="s">
        <v>625</v>
      </c>
      <c r="G38" s="32"/>
      <c r="H38" s="13"/>
      <c r="I38" s="13"/>
      <c r="J38" s="14"/>
      <c r="K38" s="15">
        <f t="shared" si="14"/>
        <v>0</v>
      </c>
      <c r="L38" s="32"/>
      <c r="M38" s="13"/>
      <c r="N38" s="13"/>
      <c r="O38" s="14"/>
      <c r="P38" s="15">
        <f t="shared" si="1"/>
        <v>0</v>
      </c>
      <c r="Q38" s="32"/>
      <c r="R38" s="13"/>
      <c r="S38" s="13"/>
      <c r="T38" s="14"/>
      <c r="U38" s="15">
        <f t="shared" si="2"/>
        <v>0</v>
      </c>
      <c r="V38" s="32">
        <v>851</v>
      </c>
      <c r="W38" s="13"/>
      <c r="X38" s="13"/>
      <c r="Y38" s="14"/>
      <c r="Z38" s="15">
        <f t="shared" si="3"/>
        <v>851</v>
      </c>
      <c r="AA38" s="32">
        <v>1771</v>
      </c>
      <c r="AB38" s="13"/>
      <c r="AC38" s="13"/>
      <c r="AD38" s="14"/>
      <c r="AE38" s="15">
        <f t="shared" si="4"/>
        <v>1771</v>
      </c>
      <c r="AF38" s="32">
        <f>936</f>
        <v>936</v>
      </c>
      <c r="AG38" s="13"/>
      <c r="AH38" s="13"/>
      <c r="AI38" s="14"/>
      <c r="AJ38" s="15">
        <f t="shared" si="5"/>
        <v>936</v>
      </c>
      <c r="AK38" s="32"/>
      <c r="AL38" s="13"/>
      <c r="AM38" s="13"/>
      <c r="AN38" s="14"/>
      <c r="AO38" s="15">
        <f t="shared" si="6"/>
        <v>0</v>
      </c>
      <c r="AP38" s="32"/>
      <c r="AQ38" s="13"/>
      <c r="AR38" s="13"/>
      <c r="AS38" s="14"/>
      <c r="AT38" s="15">
        <f t="shared" si="7"/>
        <v>0</v>
      </c>
      <c r="AU38" s="32"/>
      <c r="AV38" s="13"/>
      <c r="AW38" s="13"/>
      <c r="AX38" s="14"/>
      <c r="AY38" s="15">
        <f t="shared" si="8"/>
        <v>0</v>
      </c>
      <c r="AZ38" s="32"/>
      <c r="BA38" s="13"/>
      <c r="BB38" s="13"/>
      <c r="BC38" s="14"/>
      <c r="BD38" s="15">
        <f t="shared" si="9"/>
        <v>0</v>
      </c>
      <c r="BE38" s="32">
        <v>2382</v>
      </c>
      <c r="BF38" s="13"/>
      <c r="BG38" s="13"/>
      <c r="BH38" s="14"/>
      <c r="BI38" s="15">
        <f t="shared" si="10"/>
        <v>2382</v>
      </c>
      <c r="BJ38" s="32">
        <v>936</v>
      </c>
      <c r="BK38" s="13"/>
      <c r="BL38" s="13"/>
      <c r="BM38" s="14"/>
      <c r="BN38" s="15">
        <f t="shared" si="11"/>
        <v>936</v>
      </c>
      <c r="BO38" s="66">
        <f>SUM(G38,L38,Q38,V38,AA38,AF38,AK38,AP38,AU38,AZ38,BE38,BJ38)</f>
        <v>6876</v>
      </c>
      <c r="BP38" s="13">
        <f>SUM(H38,M38,R38,W38,AB38,AG38,AL38,AQ38,AV38,BA38,BF38,BK38)</f>
        <v>0</v>
      </c>
      <c r="BQ38" s="13">
        <f>SUM(I38,N38,S38,X38,AC38,AH38,AM38,AR38,AW38,BB38,BG38,BL38)</f>
        <v>0</v>
      </c>
      <c r="BR38" s="14">
        <f>SUM(J38,O38,T38,Y38,AD38,AI38,AN38,AS38,AX38,BC38,BH38,BM38)</f>
        <v>0</v>
      </c>
      <c r="BS38" s="33">
        <f t="shared" si="12"/>
        <v>6876</v>
      </c>
    </row>
    <row r="39" spans="2:71" x14ac:dyDescent="0.3">
      <c r="B39" s="269"/>
      <c r="C39" s="230"/>
      <c r="D39" s="233"/>
      <c r="E39" s="239"/>
      <c r="F39" s="121" t="s">
        <v>626</v>
      </c>
      <c r="G39" s="32"/>
      <c r="H39" s="13"/>
      <c r="I39" s="13"/>
      <c r="J39" s="14"/>
      <c r="K39" s="15">
        <f t="shared" si="14"/>
        <v>0</v>
      </c>
      <c r="L39" s="32"/>
      <c r="M39" s="13"/>
      <c r="N39" s="13"/>
      <c r="O39" s="14"/>
      <c r="P39" s="15">
        <f t="shared" si="1"/>
        <v>0</v>
      </c>
      <c r="Q39" s="32"/>
      <c r="R39" s="13"/>
      <c r="S39" s="13"/>
      <c r="T39" s="14"/>
      <c r="U39" s="15">
        <f t="shared" si="2"/>
        <v>0</v>
      </c>
      <c r="V39" s="32">
        <v>209</v>
      </c>
      <c r="W39" s="13"/>
      <c r="X39" s="13"/>
      <c r="Y39" s="14"/>
      <c r="Z39" s="15">
        <f t="shared" si="3"/>
        <v>209</v>
      </c>
      <c r="AA39" s="32">
        <v>370</v>
      </c>
      <c r="AB39" s="13"/>
      <c r="AC39" s="13"/>
      <c r="AD39" s="14"/>
      <c r="AE39" s="15">
        <f t="shared" si="4"/>
        <v>370</v>
      </c>
      <c r="AF39" s="195">
        <f>83+131</f>
        <v>214</v>
      </c>
      <c r="AG39" s="13"/>
      <c r="AH39" s="13"/>
      <c r="AI39" s="14"/>
      <c r="AJ39" s="15">
        <f t="shared" si="5"/>
        <v>214</v>
      </c>
      <c r="AK39" s="32"/>
      <c r="AL39" s="13"/>
      <c r="AM39" s="13"/>
      <c r="AN39" s="14"/>
      <c r="AO39" s="15">
        <f t="shared" si="6"/>
        <v>0</v>
      </c>
      <c r="AP39" s="32"/>
      <c r="AQ39" s="13"/>
      <c r="AR39" s="13"/>
      <c r="AS39" s="14"/>
      <c r="AT39" s="15">
        <f t="shared" si="7"/>
        <v>0</v>
      </c>
      <c r="AU39" s="32"/>
      <c r="AV39" s="13"/>
      <c r="AW39" s="13"/>
      <c r="AX39" s="14"/>
      <c r="AY39" s="15">
        <f t="shared" si="8"/>
        <v>0</v>
      </c>
      <c r="AZ39" s="32"/>
      <c r="BA39" s="13"/>
      <c r="BB39" s="13"/>
      <c r="BC39" s="14"/>
      <c r="BD39" s="15">
        <f t="shared" si="9"/>
        <v>0</v>
      </c>
      <c r="BE39" s="32">
        <v>690</v>
      </c>
      <c r="BF39" s="13"/>
      <c r="BG39" s="13"/>
      <c r="BH39" s="14"/>
      <c r="BI39" s="15">
        <f t="shared" si="10"/>
        <v>690</v>
      </c>
      <c r="BJ39" s="32">
        <v>235</v>
      </c>
      <c r="BK39" s="13"/>
      <c r="BL39" s="13"/>
      <c r="BM39" s="14"/>
      <c r="BN39" s="15">
        <f t="shared" si="11"/>
        <v>235</v>
      </c>
      <c r="BO39" s="66">
        <f>SUM(G39,L39,Q39,V39,AA39,AF39,AK39,AP39,AU39,AZ39,BE39,BJ39)</f>
        <v>1718</v>
      </c>
      <c r="BP39" s="13">
        <f>SUM(H39,M39,R39,W39,AB39,AG39,AL39,AQ39,AV39,BA39,BF39,BK39)</f>
        <v>0</v>
      </c>
      <c r="BQ39" s="13">
        <f>SUM(I39,N39,S39,X39,AC39,AH39,AM39,AR39,AW39,BB39,BG39,BL39)</f>
        <v>0</v>
      </c>
      <c r="BR39" s="14">
        <f>SUM(J39,O39,T39,Y39,AD39,AI39,AN39,AS39,AX39,BC39,BH39,BM39)</f>
        <v>0</v>
      </c>
      <c r="BS39" s="33">
        <f t="shared" si="12"/>
        <v>1718</v>
      </c>
    </row>
    <row r="40" spans="2:71" x14ac:dyDescent="0.3">
      <c r="B40" s="269"/>
      <c r="C40" s="230"/>
      <c r="D40" s="233"/>
      <c r="E40" s="239"/>
      <c r="F40" s="123" t="s">
        <v>627</v>
      </c>
      <c r="G40" s="32"/>
      <c r="H40" s="13"/>
      <c r="I40" s="13"/>
      <c r="J40" s="14"/>
      <c r="K40" s="15">
        <f t="shared" ref="K40:K41" si="15">SUM(G40:J40)</f>
        <v>0</v>
      </c>
      <c r="L40" s="32"/>
      <c r="M40" s="13"/>
      <c r="N40" s="13"/>
      <c r="O40" s="14"/>
      <c r="P40" s="15">
        <f t="shared" si="1"/>
        <v>0</v>
      </c>
      <c r="Q40" s="32"/>
      <c r="R40" s="13"/>
      <c r="S40" s="13"/>
      <c r="T40" s="14"/>
      <c r="U40" s="15">
        <f t="shared" si="2"/>
        <v>0</v>
      </c>
      <c r="V40" s="32">
        <v>592</v>
      </c>
      <c r="W40" s="13"/>
      <c r="X40" s="13"/>
      <c r="Y40" s="14"/>
      <c r="Z40" s="15">
        <f t="shared" si="3"/>
        <v>592</v>
      </c>
      <c r="AA40" s="32">
        <v>1290</v>
      </c>
      <c r="AB40" s="13"/>
      <c r="AC40" s="13"/>
      <c r="AD40" s="14"/>
      <c r="AE40" s="15">
        <f t="shared" si="4"/>
        <v>1290</v>
      </c>
      <c r="AF40" s="32">
        <v>633</v>
      </c>
      <c r="AG40" s="13"/>
      <c r="AH40" s="13"/>
      <c r="AI40" s="14"/>
      <c r="AJ40" s="15">
        <f t="shared" si="5"/>
        <v>633</v>
      </c>
      <c r="AK40" s="32"/>
      <c r="AL40" s="13"/>
      <c r="AM40" s="13"/>
      <c r="AN40" s="14"/>
      <c r="AO40" s="15">
        <f t="shared" si="6"/>
        <v>0</v>
      </c>
      <c r="AP40" s="32"/>
      <c r="AQ40" s="13"/>
      <c r="AR40" s="13"/>
      <c r="AS40" s="14"/>
      <c r="AT40" s="15">
        <f t="shared" si="7"/>
        <v>0</v>
      </c>
      <c r="AU40" s="32"/>
      <c r="AV40" s="13"/>
      <c r="AW40" s="13"/>
      <c r="AX40" s="14"/>
      <c r="AY40" s="15">
        <f t="shared" si="8"/>
        <v>0</v>
      </c>
      <c r="AZ40" s="32"/>
      <c r="BA40" s="13"/>
      <c r="BB40" s="13"/>
      <c r="BC40" s="14"/>
      <c r="BD40" s="15">
        <f t="shared" si="9"/>
        <v>0</v>
      </c>
      <c r="BE40" s="32">
        <v>1787</v>
      </c>
      <c r="BF40" s="13"/>
      <c r="BG40" s="13"/>
      <c r="BH40" s="14"/>
      <c r="BI40" s="15">
        <f t="shared" si="10"/>
        <v>1787</v>
      </c>
      <c r="BJ40" s="32">
        <v>708</v>
      </c>
      <c r="BK40" s="13"/>
      <c r="BL40" s="13"/>
      <c r="BM40" s="14"/>
      <c r="BN40" s="15">
        <f t="shared" si="11"/>
        <v>708</v>
      </c>
      <c r="BO40" s="66">
        <f>SUM(G40,L40,Q40,V40,AA40,AF40,AK40,AP40,AU40,AZ40,BE40,BJ40)</f>
        <v>5010</v>
      </c>
      <c r="BP40" s="13">
        <f>SUM(H40,M40,R40,W40,AB40,AG40,AL40,AQ40,AV40,BA40,BF40,BK40)</f>
        <v>0</v>
      </c>
      <c r="BQ40" s="13">
        <f>SUM(I40,N40,S40,X40,AC40,AH40,AM40,AR40,AW40,BB40,BG40,BL40)</f>
        <v>0</v>
      </c>
      <c r="BR40" s="14">
        <f>SUM(J40,O40,T40,Y40,AD40,AI40,AN40,AS40,AX40,BC40,BH40,BM40)</f>
        <v>0</v>
      </c>
      <c r="BS40" s="33">
        <f t="shared" si="12"/>
        <v>5010</v>
      </c>
    </row>
    <row r="41" spans="2:71" x14ac:dyDescent="0.3">
      <c r="B41" s="269"/>
      <c r="C41" s="230"/>
      <c r="D41" s="233"/>
      <c r="E41" s="239"/>
      <c r="F41" s="121" t="s">
        <v>628</v>
      </c>
      <c r="G41" s="32"/>
      <c r="H41" s="13"/>
      <c r="I41" s="13"/>
      <c r="J41" s="14"/>
      <c r="K41" s="15">
        <f t="shared" si="15"/>
        <v>0</v>
      </c>
      <c r="L41" s="32"/>
      <c r="M41" s="13"/>
      <c r="N41" s="13"/>
      <c r="O41" s="14"/>
      <c r="P41" s="15">
        <f t="shared" si="1"/>
        <v>0</v>
      </c>
      <c r="Q41" s="32"/>
      <c r="R41" s="13"/>
      <c r="S41" s="13"/>
      <c r="T41" s="14"/>
      <c r="U41" s="15">
        <f t="shared" si="2"/>
        <v>0</v>
      </c>
      <c r="V41" s="32">
        <v>151</v>
      </c>
      <c r="W41" s="13"/>
      <c r="X41" s="13"/>
      <c r="Y41" s="14"/>
      <c r="Z41" s="15">
        <f t="shared" si="3"/>
        <v>151</v>
      </c>
      <c r="AA41" s="32">
        <v>261</v>
      </c>
      <c r="AB41" s="13"/>
      <c r="AC41" s="13"/>
      <c r="AD41" s="14"/>
      <c r="AE41" s="15">
        <f t="shared" si="4"/>
        <v>261</v>
      </c>
      <c r="AF41" s="195">
        <f>65+91</f>
        <v>156</v>
      </c>
      <c r="AG41" s="13"/>
      <c r="AH41" s="13"/>
      <c r="AI41" s="14"/>
      <c r="AJ41" s="15">
        <f t="shared" si="5"/>
        <v>156</v>
      </c>
      <c r="AK41" s="32"/>
      <c r="AL41" s="13"/>
      <c r="AM41" s="13"/>
      <c r="AN41" s="14"/>
      <c r="AO41" s="15">
        <f t="shared" si="6"/>
        <v>0</v>
      </c>
      <c r="AP41" s="32"/>
      <c r="AQ41" s="13"/>
      <c r="AR41" s="13"/>
      <c r="AS41" s="14"/>
      <c r="AT41" s="15">
        <f t="shared" si="7"/>
        <v>0</v>
      </c>
      <c r="AU41" s="32"/>
      <c r="AV41" s="13"/>
      <c r="AW41" s="13"/>
      <c r="AX41" s="14"/>
      <c r="AY41" s="15">
        <f t="shared" si="8"/>
        <v>0</v>
      </c>
      <c r="AZ41" s="32"/>
      <c r="BA41" s="13"/>
      <c r="BB41" s="13"/>
      <c r="BC41" s="14"/>
      <c r="BD41" s="15">
        <f t="shared" si="9"/>
        <v>0</v>
      </c>
      <c r="BE41" s="32">
        <v>571</v>
      </c>
      <c r="BF41" s="13"/>
      <c r="BG41" s="13"/>
      <c r="BH41" s="14"/>
      <c r="BI41" s="15">
        <f t="shared" si="10"/>
        <v>571</v>
      </c>
      <c r="BJ41" s="32">
        <v>186</v>
      </c>
      <c r="BK41" s="13"/>
      <c r="BL41" s="13"/>
      <c r="BM41" s="14"/>
      <c r="BN41" s="15">
        <f t="shared" si="11"/>
        <v>186</v>
      </c>
      <c r="BO41" s="66">
        <f>SUM(G41,L41,Q41,V41,AA41,AF41,AK41,AP41,AU41,AZ41,BE41,BJ41)</f>
        <v>1325</v>
      </c>
      <c r="BP41" s="13">
        <f>SUM(H41,M41,R41,W41,AB41,AG41,AL41,AQ41,AV41,BA41,BF41,BK41)</f>
        <v>0</v>
      </c>
      <c r="BQ41" s="13">
        <f>SUM(I41,N41,S41,X41,AC41,AH41,AM41,AR41,AW41,BB41,BG41,BL41)</f>
        <v>0</v>
      </c>
      <c r="BR41" s="14">
        <f>SUM(J41,O41,T41,Y41,AD41,AI41,AN41,AS41,AX41,BC41,BH41,BM41)</f>
        <v>0</v>
      </c>
      <c r="BS41" s="33">
        <f t="shared" si="12"/>
        <v>1325</v>
      </c>
    </row>
    <row r="42" spans="2:71" x14ac:dyDescent="0.3">
      <c r="B42" s="269"/>
      <c r="C42" s="230"/>
      <c r="D42" s="233"/>
      <c r="E42" s="239"/>
      <c r="F42" s="171" t="s">
        <v>276</v>
      </c>
      <c r="G42" s="179"/>
      <c r="H42" s="180"/>
      <c r="I42" s="180"/>
      <c r="J42" s="181"/>
      <c r="K42" s="182">
        <f t="shared" si="14"/>
        <v>0</v>
      </c>
      <c r="L42" s="179"/>
      <c r="M42" s="180"/>
      <c r="N42" s="180"/>
      <c r="O42" s="181"/>
      <c r="P42" s="182">
        <f t="shared" ref="P42:P43" si="16">SUM(L42:O42)</f>
        <v>0</v>
      </c>
      <c r="Q42" s="179"/>
      <c r="R42" s="180"/>
      <c r="S42" s="180"/>
      <c r="T42" s="181"/>
      <c r="U42" s="182">
        <f t="shared" ref="U42:U43" si="17">SUM(Q42:T42)</f>
        <v>0</v>
      </c>
      <c r="V42" s="179">
        <v>302</v>
      </c>
      <c r="W42" s="180"/>
      <c r="X42" s="180"/>
      <c r="Y42" s="181"/>
      <c r="Z42" s="182">
        <f t="shared" ref="Z42:Z43" si="18">SUM(V42:Y42)</f>
        <v>302</v>
      </c>
      <c r="AA42" s="179">
        <v>640</v>
      </c>
      <c r="AB42" s="180"/>
      <c r="AC42" s="180"/>
      <c r="AD42" s="181"/>
      <c r="AE42" s="182">
        <f t="shared" ref="AE42:AE43" si="19">SUM(AA42:AD42)</f>
        <v>640</v>
      </c>
      <c r="AF42" s="179">
        <f>247</f>
        <v>247</v>
      </c>
      <c r="AG42" s="180"/>
      <c r="AH42" s="180"/>
      <c r="AI42" s="181"/>
      <c r="AJ42" s="182">
        <f t="shared" ref="AJ42:AJ43" si="20">SUM(AF42:AI42)</f>
        <v>247</v>
      </c>
      <c r="AK42" s="179"/>
      <c r="AL42" s="180"/>
      <c r="AM42" s="180"/>
      <c r="AN42" s="181"/>
      <c r="AO42" s="182">
        <f t="shared" ref="AO42:AO43" si="21">SUM(AK42:AN42)</f>
        <v>0</v>
      </c>
      <c r="AP42" s="179"/>
      <c r="AQ42" s="180"/>
      <c r="AR42" s="180"/>
      <c r="AS42" s="181"/>
      <c r="AT42" s="182">
        <f t="shared" ref="AT42:AT43" si="22">SUM(AP42:AS42)</f>
        <v>0</v>
      </c>
      <c r="AU42" s="179"/>
      <c r="AV42" s="180"/>
      <c r="AW42" s="180"/>
      <c r="AX42" s="181"/>
      <c r="AY42" s="182">
        <f t="shared" ref="AY42:AY43" si="23">SUM(AU42:AX42)</f>
        <v>0</v>
      </c>
      <c r="AZ42" s="179"/>
      <c r="BA42" s="180"/>
      <c r="BB42" s="180"/>
      <c r="BC42" s="181"/>
      <c r="BD42" s="182">
        <f t="shared" ref="BD42:BD43" si="24">SUM(AZ42:BC42)</f>
        <v>0</v>
      </c>
      <c r="BE42" s="179">
        <v>1670</v>
      </c>
      <c r="BF42" s="180"/>
      <c r="BG42" s="180"/>
      <c r="BH42" s="181"/>
      <c r="BI42" s="182">
        <f t="shared" ref="BI42:BI43" si="25">SUM(BE42:BH42)</f>
        <v>1670</v>
      </c>
      <c r="BJ42" s="179">
        <v>871</v>
      </c>
      <c r="BK42" s="180"/>
      <c r="BL42" s="180"/>
      <c r="BM42" s="181"/>
      <c r="BN42" s="182">
        <f t="shared" ref="BN42:BN43" si="26">SUM(BJ42:BM42)</f>
        <v>871</v>
      </c>
      <c r="BO42" s="184">
        <f>SUM(G42,L42,Q42,V42,AA42,AF42,AK42,AP42,AU42,AZ42,BE42,BJ42)</f>
        <v>3730</v>
      </c>
      <c r="BP42" s="180">
        <f>SUM(H42,M42,R42,W42,AB42,AG42,AL42,AQ42,AV42,BA42,BF42,BK42)</f>
        <v>0</v>
      </c>
      <c r="BQ42" s="180">
        <f>SUM(I42,N42,S42,X42,AC42,AH42,AM42,AR42,AW42,BB42,BG42,BL42)</f>
        <v>0</v>
      </c>
      <c r="BR42" s="181">
        <f>SUM(J42,O42,T42,Y42,AD42,AI42,AN42,AS42,AX42,BC42,BH42,BM42)</f>
        <v>0</v>
      </c>
      <c r="BS42" s="183">
        <f t="shared" si="12"/>
        <v>3730</v>
      </c>
    </row>
    <row r="43" spans="2:71" x14ac:dyDescent="0.3">
      <c r="B43" s="269"/>
      <c r="C43" s="230"/>
      <c r="D43" s="233"/>
      <c r="E43" s="239"/>
      <c r="F43" s="171" t="s">
        <v>277</v>
      </c>
      <c r="G43" s="179"/>
      <c r="H43" s="180"/>
      <c r="I43" s="180"/>
      <c r="J43" s="181"/>
      <c r="K43" s="182">
        <f t="shared" si="14"/>
        <v>0</v>
      </c>
      <c r="L43" s="179"/>
      <c r="M43" s="180"/>
      <c r="N43" s="180"/>
      <c r="O43" s="181"/>
      <c r="P43" s="182">
        <f t="shared" si="16"/>
        <v>0</v>
      </c>
      <c r="Q43" s="179"/>
      <c r="R43" s="180"/>
      <c r="S43" s="180"/>
      <c r="T43" s="181"/>
      <c r="U43" s="182">
        <f t="shared" si="17"/>
        <v>0</v>
      </c>
      <c r="V43" s="179">
        <v>20</v>
      </c>
      <c r="W43" s="180"/>
      <c r="X43" s="180"/>
      <c r="Y43" s="181"/>
      <c r="Z43" s="182">
        <f t="shared" si="18"/>
        <v>20</v>
      </c>
      <c r="AA43" s="179">
        <v>54</v>
      </c>
      <c r="AB43" s="180"/>
      <c r="AC43" s="180"/>
      <c r="AD43" s="181"/>
      <c r="AE43" s="182">
        <f t="shared" si="19"/>
        <v>54</v>
      </c>
      <c r="AF43" s="195">
        <f>13+13</f>
        <v>26</v>
      </c>
      <c r="AG43" s="180"/>
      <c r="AH43" s="180"/>
      <c r="AI43" s="181"/>
      <c r="AJ43" s="182">
        <f t="shared" si="20"/>
        <v>26</v>
      </c>
      <c r="AK43" s="179"/>
      <c r="AL43" s="180"/>
      <c r="AM43" s="180"/>
      <c r="AN43" s="181"/>
      <c r="AO43" s="182">
        <f t="shared" si="21"/>
        <v>0</v>
      </c>
      <c r="AP43" s="179"/>
      <c r="AQ43" s="180"/>
      <c r="AR43" s="180"/>
      <c r="AS43" s="181"/>
      <c r="AT43" s="182">
        <f t="shared" si="22"/>
        <v>0</v>
      </c>
      <c r="AU43" s="179"/>
      <c r="AV43" s="180"/>
      <c r="AW43" s="180"/>
      <c r="AX43" s="181"/>
      <c r="AY43" s="182">
        <f t="shared" si="23"/>
        <v>0</v>
      </c>
      <c r="AZ43" s="179"/>
      <c r="BA43" s="180"/>
      <c r="BB43" s="180"/>
      <c r="BC43" s="181"/>
      <c r="BD43" s="182">
        <f t="shared" si="24"/>
        <v>0</v>
      </c>
      <c r="BE43" s="179">
        <v>274</v>
      </c>
      <c r="BF43" s="180"/>
      <c r="BG43" s="180"/>
      <c r="BH43" s="181"/>
      <c r="BI43" s="182">
        <f t="shared" si="25"/>
        <v>274</v>
      </c>
      <c r="BJ43" s="179">
        <v>157</v>
      </c>
      <c r="BK43" s="180"/>
      <c r="BL43" s="180"/>
      <c r="BM43" s="181"/>
      <c r="BN43" s="182">
        <f t="shared" si="26"/>
        <v>157</v>
      </c>
      <c r="BO43" s="184">
        <f>SUM(G43,L43,Q43,V43,AA43,AF43,AK43,AP43,AU43,AZ43,BE43,BJ43)</f>
        <v>531</v>
      </c>
      <c r="BP43" s="180">
        <f>SUM(H43,M43,R43,W43,AB43,AG43,AL43,AQ43,AV43,BA43,BF43,BK43)</f>
        <v>0</v>
      </c>
      <c r="BQ43" s="180">
        <f>SUM(I43,N43,S43,X43,AC43,AH43,AM43,AR43,AW43,BB43,BG43,BL43)</f>
        <v>0</v>
      </c>
      <c r="BR43" s="181">
        <f>SUM(J43,O43,T43,Y43,AD43,AI43,AN43,AS43,AX43,BC43,BH43,BM43)</f>
        <v>0</v>
      </c>
      <c r="BS43" s="183">
        <f t="shared" si="12"/>
        <v>531</v>
      </c>
    </row>
    <row r="44" spans="2:71" x14ac:dyDescent="0.3">
      <c r="B44" s="269"/>
      <c r="C44" s="230"/>
      <c r="D44" s="233"/>
      <c r="E44" s="239"/>
      <c r="F44" s="171" t="s">
        <v>278</v>
      </c>
      <c r="G44" s="179"/>
      <c r="H44" s="180"/>
      <c r="I44" s="180"/>
      <c r="J44" s="181"/>
      <c r="K44" s="182">
        <f t="shared" ref="K44:K52" si="27">SUM(G44:J44)</f>
        <v>0</v>
      </c>
      <c r="L44" s="179"/>
      <c r="M44" s="180"/>
      <c r="N44" s="180"/>
      <c r="O44" s="181"/>
      <c r="P44" s="182">
        <f t="shared" si="1"/>
        <v>0</v>
      </c>
      <c r="Q44" s="179"/>
      <c r="R44" s="180"/>
      <c r="S44" s="180"/>
      <c r="T44" s="181"/>
      <c r="U44" s="182">
        <f t="shared" si="2"/>
        <v>0</v>
      </c>
      <c r="V44" s="179">
        <v>192</v>
      </c>
      <c r="W44" s="180"/>
      <c r="X44" s="180"/>
      <c r="Y44" s="181"/>
      <c r="Z44" s="182">
        <f t="shared" si="3"/>
        <v>192</v>
      </c>
      <c r="AA44" s="179">
        <v>400</v>
      </c>
      <c r="AB44" s="180"/>
      <c r="AC44" s="180"/>
      <c r="AD44" s="181"/>
      <c r="AE44" s="182">
        <f t="shared" si="4"/>
        <v>400</v>
      </c>
      <c r="AF44" s="179">
        <f>150</f>
        <v>150</v>
      </c>
      <c r="AG44" s="180"/>
      <c r="AH44" s="180"/>
      <c r="AI44" s="181"/>
      <c r="AJ44" s="182">
        <f t="shared" si="5"/>
        <v>150</v>
      </c>
      <c r="AK44" s="179"/>
      <c r="AL44" s="180"/>
      <c r="AM44" s="180"/>
      <c r="AN44" s="181"/>
      <c r="AO44" s="182">
        <f t="shared" si="6"/>
        <v>0</v>
      </c>
      <c r="AP44" s="179"/>
      <c r="AQ44" s="180"/>
      <c r="AR44" s="180"/>
      <c r="AS44" s="181"/>
      <c r="AT44" s="182">
        <f t="shared" si="7"/>
        <v>0</v>
      </c>
      <c r="AU44" s="179"/>
      <c r="AV44" s="180"/>
      <c r="AW44" s="180"/>
      <c r="AX44" s="181"/>
      <c r="AY44" s="182">
        <f t="shared" si="8"/>
        <v>0</v>
      </c>
      <c r="AZ44" s="179"/>
      <c r="BA44" s="180"/>
      <c r="BB44" s="180"/>
      <c r="BC44" s="181"/>
      <c r="BD44" s="182">
        <f t="shared" si="9"/>
        <v>0</v>
      </c>
      <c r="BE44" s="179">
        <v>1243</v>
      </c>
      <c r="BF44" s="180"/>
      <c r="BG44" s="180"/>
      <c r="BH44" s="181"/>
      <c r="BI44" s="182">
        <f t="shared" si="10"/>
        <v>1243</v>
      </c>
      <c r="BJ44" s="179">
        <v>627</v>
      </c>
      <c r="BK44" s="180"/>
      <c r="BL44" s="180"/>
      <c r="BM44" s="181"/>
      <c r="BN44" s="182">
        <f t="shared" si="11"/>
        <v>627</v>
      </c>
      <c r="BO44" s="184">
        <f>SUM(G44,L44,Q44,V44,AA44,AF44,AK44,AP44,AU44,AZ44,BE44,BJ44)</f>
        <v>2612</v>
      </c>
      <c r="BP44" s="180">
        <f>SUM(H44,M44,R44,W44,AB44,AG44,AL44,AQ44,AV44,BA44,BF44,BK44)</f>
        <v>0</v>
      </c>
      <c r="BQ44" s="180">
        <f>SUM(I44,N44,S44,X44,AC44,AH44,AM44,AR44,AW44,BB44,BG44,BL44)</f>
        <v>0</v>
      </c>
      <c r="BR44" s="181">
        <f>SUM(J44,O44,T44,Y44,AD44,AI44,AN44,AS44,AX44,BC44,BH44,BM44)</f>
        <v>0</v>
      </c>
      <c r="BS44" s="183">
        <f t="shared" si="12"/>
        <v>2612</v>
      </c>
    </row>
    <row r="45" spans="2:71" x14ac:dyDescent="0.3">
      <c r="B45" s="269"/>
      <c r="C45" s="230"/>
      <c r="D45" s="233"/>
      <c r="E45" s="239"/>
      <c r="F45" s="171" t="s">
        <v>279</v>
      </c>
      <c r="G45" s="179"/>
      <c r="H45" s="180"/>
      <c r="I45" s="180"/>
      <c r="J45" s="181"/>
      <c r="K45" s="182">
        <f t="shared" si="27"/>
        <v>0</v>
      </c>
      <c r="L45" s="179"/>
      <c r="M45" s="180"/>
      <c r="N45" s="180"/>
      <c r="O45" s="181"/>
      <c r="P45" s="182">
        <f t="shared" si="1"/>
        <v>0</v>
      </c>
      <c r="Q45" s="179"/>
      <c r="R45" s="180"/>
      <c r="S45" s="180"/>
      <c r="T45" s="181"/>
      <c r="U45" s="182">
        <f t="shared" si="2"/>
        <v>0</v>
      </c>
      <c r="V45" s="179">
        <v>17</v>
      </c>
      <c r="W45" s="180"/>
      <c r="X45" s="180"/>
      <c r="Y45" s="181"/>
      <c r="Z45" s="182">
        <f t="shared" si="3"/>
        <v>17</v>
      </c>
      <c r="AA45" s="179">
        <v>37</v>
      </c>
      <c r="AB45" s="180"/>
      <c r="AC45" s="180"/>
      <c r="AD45" s="181"/>
      <c r="AE45" s="182">
        <f t="shared" si="4"/>
        <v>37</v>
      </c>
      <c r="AF45" s="195">
        <f>10+7</f>
        <v>17</v>
      </c>
      <c r="AG45" s="180"/>
      <c r="AH45" s="180"/>
      <c r="AI45" s="181"/>
      <c r="AJ45" s="182">
        <f t="shared" si="5"/>
        <v>17</v>
      </c>
      <c r="AK45" s="179"/>
      <c r="AL45" s="180"/>
      <c r="AM45" s="180"/>
      <c r="AN45" s="181"/>
      <c r="AO45" s="182">
        <f t="shared" si="6"/>
        <v>0</v>
      </c>
      <c r="AP45" s="179"/>
      <c r="AQ45" s="180"/>
      <c r="AR45" s="180"/>
      <c r="AS45" s="181"/>
      <c r="AT45" s="182">
        <f t="shared" si="7"/>
        <v>0</v>
      </c>
      <c r="AU45" s="179"/>
      <c r="AV45" s="180"/>
      <c r="AW45" s="180"/>
      <c r="AX45" s="181"/>
      <c r="AY45" s="182">
        <f t="shared" si="8"/>
        <v>0</v>
      </c>
      <c r="AZ45" s="179"/>
      <c r="BA45" s="180"/>
      <c r="BB45" s="180"/>
      <c r="BC45" s="181"/>
      <c r="BD45" s="182">
        <f t="shared" si="9"/>
        <v>0</v>
      </c>
      <c r="BE45" s="179">
        <v>232</v>
      </c>
      <c r="BF45" s="180"/>
      <c r="BG45" s="180"/>
      <c r="BH45" s="181"/>
      <c r="BI45" s="182">
        <f t="shared" si="10"/>
        <v>232</v>
      </c>
      <c r="BJ45" s="179">
        <v>135</v>
      </c>
      <c r="BK45" s="180"/>
      <c r="BL45" s="180"/>
      <c r="BM45" s="181"/>
      <c r="BN45" s="182">
        <f t="shared" si="11"/>
        <v>135</v>
      </c>
      <c r="BO45" s="184">
        <f>SUM(G45,L45,Q45,V45,AA45,AF45,AK45,AP45,AU45,AZ45,BE45,BJ45)</f>
        <v>438</v>
      </c>
      <c r="BP45" s="180">
        <f>SUM(H45,M45,R45,W45,AB45,AG45,AL45,AQ45,AV45,BA45,BF45,BK45)</f>
        <v>0</v>
      </c>
      <c r="BQ45" s="180">
        <f>SUM(I45,N45,S45,X45,AC45,AH45,AM45,AR45,AW45,BB45,BG45,BL45)</f>
        <v>0</v>
      </c>
      <c r="BR45" s="181">
        <f>SUM(J45,O45,T45,Y45,AD45,AI45,AN45,AS45,AX45,BC45,BH45,BM45)</f>
        <v>0</v>
      </c>
      <c r="BS45" s="183">
        <f t="shared" si="12"/>
        <v>438</v>
      </c>
    </row>
    <row r="46" spans="2:71" x14ac:dyDescent="0.3">
      <c r="B46" s="269"/>
      <c r="C46" s="230"/>
      <c r="D46" s="233"/>
      <c r="E46" s="239"/>
      <c r="F46" s="171" t="s">
        <v>639</v>
      </c>
      <c r="G46" s="179"/>
      <c r="H46" s="180"/>
      <c r="I46" s="180"/>
      <c r="J46" s="181"/>
      <c r="K46" s="182">
        <f t="shared" ref="K46:K49" si="28">SUM(G46:J46)</f>
        <v>0</v>
      </c>
      <c r="L46" s="179"/>
      <c r="M46" s="180"/>
      <c r="N46" s="180"/>
      <c r="O46" s="181"/>
      <c r="P46" s="182">
        <f t="shared" ref="P46:P49" si="29">SUM(L46:O46)</f>
        <v>0</v>
      </c>
      <c r="Q46" s="179"/>
      <c r="R46" s="180"/>
      <c r="S46" s="180"/>
      <c r="T46" s="181"/>
      <c r="U46" s="182">
        <f t="shared" ref="U46:U49" si="30">SUM(Q46:T46)</f>
        <v>0</v>
      </c>
      <c r="V46" s="179">
        <v>3191</v>
      </c>
      <c r="W46" s="180"/>
      <c r="X46" s="180"/>
      <c r="Y46" s="181"/>
      <c r="Z46" s="182">
        <f t="shared" ref="Z46:Z49" si="31">SUM(V46:Y46)</f>
        <v>3191</v>
      </c>
      <c r="AA46" s="179">
        <v>6711</v>
      </c>
      <c r="AB46" s="180"/>
      <c r="AC46" s="180"/>
      <c r="AD46" s="181"/>
      <c r="AE46" s="182">
        <f t="shared" ref="AE46:AE49" si="32">SUM(AA46:AD46)</f>
        <v>6711</v>
      </c>
      <c r="AF46" s="179">
        <f>2491</f>
        <v>2491</v>
      </c>
      <c r="AG46" s="180"/>
      <c r="AH46" s="180"/>
      <c r="AI46" s="181"/>
      <c r="AJ46" s="182">
        <f t="shared" ref="AJ46:AJ49" si="33">SUM(AF46:AI46)</f>
        <v>2491</v>
      </c>
      <c r="AK46" s="179"/>
      <c r="AL46" s="180"/>
      <c r="AM46" s="180"/>
      <c r="AN46" s="181"/>
      <c r="AO46" s="182">
        <f t="shared" ref="AO46:AO49" si="34">SUM(AK46:AN46)</f>
        <v>0</v>
      </c>
      <c r="AP46" s="179"/>
      <c r="AQ46" s="180"/>
      <c r="AR46" s="180"/>
      <c r="AS46" s="181"/>
      <c r="AT46" s="182">
        <f t="shared" ref="AT46:AT49" si="35">SUM(AP46:AS46)</f>
        <v>0</v>
      </c>
      <c r="AU46" s="179"/>
      <c r="AV46" s="180"/>
      <c r="AW46" s="180"/>
      <c r="AX46" s="181"/>
      <c r="AY46" s="182">
        <f t="shared" ref="AY46:AY49" si="36">SUM(AU46:AX46)</f>
        <v>0</v>
      </c>
      <c r="AZ46" s="179"/>
      <c r="BA46" s="180"/>
      <c r="BB46" s="180"/>
      <c r="BC46" s="181"/>
      <c r="BD46" s="182">
        <f t="shared" ref="BD46:BD49" si="37">SUM(AZ46:BC46)</f>
        <v>0</v>
      </c>
      <c r="BE46" s="179"/>
      <c r="BF46" s="180"/>
      <c r="BG46" s="180"/>
      <c r="BH46" s="181"/>
      <c r="BI46" s="182">
        <f t="shared" ref="BI46:BI49" si="38">SUM(BE46:BH46)</f>
        <v>0</v>
      </c>
      <c r="BJ46" s="179"/>
      <c r="BK46" s="180"/>
      <c r="BL46" s="180"/>
      <c r="BM46" s="181"/>
      <c r="BN46" s="182">
        <f t="shared" ref="BN46:BN49" si="39">SUM(BJ46:BM46)</f>
        <v>0</v>
      </c>
      <c r="BO46" s="184">
        <f>SUM(G46,L46,Q46,V46,AA46,AF46,AK46,AP46,AU46,AZ46,BE46,BJ46)</f>
        <v>12393</v>
      </c>
      <c r="BP46" s="180">
        <f>SUM(H46,M46,R46,W46,AB46,AG46,AL46,AQ46,AV46,BA46,BF46,BK46)</f>
        <v>0</v>
      </c>
      <c r="BQ46" s="180">
        <f>SUM(I46,N46,S46,X46,AC46,AH46,AM46,AR46,AW46,BB46,BG46,BL46)</f>
        <v>0</v>
      </c>
      <c r="BR46" s="181">
        <f>SUM(J46,O46,T46,Y46,AD46,AI46,AN46,AS46,AX46,BC46,BH46,BM46)</f>
        <v>0</v>
      </c>
      <c r="BS46" s="183">
        <f t="shared" si="12"/>
        <v>12393</v>
      </c>
    </row>
    <row r="47" spans="2:71" x14ac:dyDescent="0.3">
      <c r="B47" s="269"/>
      <c r="C47" s="230"/>
      <c r="D47" s="233"/>
      <c r="E47" s="239"/>
      <c r="F47" s="171" t="s">
        <v>640</v>
      </c>
      <c r="G47" s="179"/>
      <c r="H47" s="180"/>
      <c r="I47" s="180"/>
      <c r="J47" s="181"/>
      <c r="K47" s="182">
        <f t="shared" si="28"/>
        <v>0</v>
      </c>
      <c r="L47" s="179"/>
      <c r="M47" s="180"/>
      <c r="N47" s="180"/>
      <c r="O47" s="181"/>
      <c r="P47" s="182">
        <f t="shared" si="29"/>
        <v>0</v>
      </c>
      <c r="Q47" s="179"/>
      <c r="R47" s="180"/>
      <c r="S47" s="180"/>
      <c r="T47" s="181"/>
      <c r="U47" s="182">
        <f t="shared" si="30"/>
        <v>0</v>
      </c>
      <c r="V47" s="179">
        <v>214</v>
      </c>
      <c r="W47" s="180"/>
      <c r="X47" s="180"/>
      <c r="Y47" s="181"/>
      <c r="Z47" s="182">
        <f t="shared" si="31"/>
        <v>214</v>
      </c>
      <c r="AA47" s="179">
        <v>398</v>
      </c>
      <c r="AB47" s="180"/>
      <c r="AC47" s="180"/>
      <c r="AD47" s="181"/>
      <c r="AE47" s="182">
        <f t="shared" si="32"/>
        <v>398</v>
      </c>
      <c r="AF47" s="195">
        <f>142+167</f>
        <v>309</v>
      </c>
      <c r="AG47" s="180"/>
      <c r="AH47" s="180"/>
      <c r="AI47" s="181"/>
      <c r="AJ47" s="182">
        <f t="shared" si="33"/>
        <v>309</v>
      </c>
      <c r="AK47" s="179"/>
      <c r="AL47" s="180"/>
      <c r="AM47" s="180"/>
      <c r="AN47" s="181"/>
      <c r="AO47" s="182">
        <f t="shared" si="34"/>
        <v>0</v>
      </c>
      <c r="AP47" s="179"/>
      <c r="AQ47" s="180"/>
      <c r="AR47" s="180"/>
      <c r="AS47" s="181"/>
      <c r="AT47" s="182">
        <f t="shared" si="35"/>
        <v>0</v>
      </c>
      <c r="AU47" s="179"/>
      <c r="AV47" s="180"/>
      <c r="AW47" s="180"/>
      <c r="AX47" s="181"/>
      <c r="AY47" s="182">
        <f t="shared" si="36"/>
        <v>0</v>
      </c>
      <c r="AZ47" s="179"/>
      <c r="BA47" s="180"/>
      <c r="BB47" s="180"/>
      <c r="BC47" s="181"/>
      <c r="BD47" s="182">
        <f t="shared" si="37"/>
        <v>0</v>
      </c>
      <c r="BE47" s="179"/>
      <c r="BF47" s="180"/>
      <c r="BG47" s="180"/>
      <c r="BH47" s="181"/>
      <c r="BI47" s="182">
        <f t="shared" si="38"/>
        <v>0</v>
      </c>
      <c r="BJ47" s="179"/>
      <c r="BK47" s="180"/>
      <c r="BL47" s="180"/>
      <c r="BM47" s="181"/>
      <c r="BN47" s="182">
        <f t="shared" si="39"/>
        <v>0</v>
      </c>
      <c r="BO47" s="184">
        <f>SUM(G47,L47,Q47,V47,AA47,AF47,AK47,AP47,AU47,AZ47,BE47,BJ47)</f>
        <v>921</v>
      </c>
      <c r="BP47" s="180">
        <f>SUM(H47,M47,R47,W47,AB47,AG47,AL47,AQ47,AV47,BA47,BF47,BK47)</f>
        <v>0</v>
      </c>
      <c r="BQ47" s="180">
        <f>SUM(I47,N47,S47,X47,AC47,AH47,AM47,AR47,AW47,BB47,BG47,BL47)</f>
        <v>0</v>
      </c>
      <c r="BR47" s="181">
        <f>SUM(J47,O47,T47,Y47,AD47,AI47,AN47,AS47,AX47,BC47,BH47,BM47)</f>
        <v>0</v>
      </c>
      <c r="BS47" s="183">
        <f t="shared" si="12"/>
        <v>921</v>
      </c>
    </row>
    <row r="48" spans="2:71" x14ac:dyDescent="0.3">
      <c r="B48" s="269"/>
      <c r="C48" s="230"/>
      <c r="D48" s="233"/>
      <c r="E48" s="239"/>
      <c r="F48" s="171" t="s">
        <v>641</v>
      </c>
      <c r="G48" s="179"/>
      <c r="H48" s="180"/>
      <c r="I48" s="180"/>
      <c r="J48" s="181"/>
      <c r="K48" s="182">
        <f t="shared" si="28"/>
        <v>0</v>
      </c>
      <c r="L48" s="179"/>
      <c r="M48" s="180"/>
      <c r="N48" s="180"/>
      <c r="O48" s="181"/>
      <c r="P48" s="182">
        <f t="shared" si="29"/>
        <v>0</v>
      </c>
      <c r="Q48" s="179"/>
      <c r="R48" s="180"/>
      <c r="S48" s="180"/>
      <c r="T48" s="181"/>
      <c r="U48" s="182">
        <f t="shared" si="30"/>
        <v>0</v>
      </c>
      <c r="V48" s="179">
        <v>2663</v>
      </c>
      <c r="W48" s="180"/>
      <c r="X48" s="180"/>
      <c r="Y48" s="181"/>
      <c r="Z48" s="182">
        <f t="shared" si="31"/>
        <v>2663</v>
      </c>
      <c r="AA48" s="179">
        <v>5582</v>
      </c>
      <c r="AB48" s="180"/>
      <c r="AC48" s="180"/>
      <c r="AD48" s="181"/>
      <c r="AE48" s="182">
        <f t="shared" si="32"/>
        <v>5582</v>
      </c>
      <c r="AF48" s="179">
        <v>2087</v>
      </c>
      <c r="AG48" s="180"/>
      <c r="AH48" s="180"/>
      <c r="AI48" s="181"/>
      <c r="AJ48" s="182">
        <f t="shared" si="33"/>
        <v>2087</v>
      </c>
      <c r="AK48" s="179"/>
      <c r="AL48" s="180"/>
      <c r="AM48" s="180"/>
      <c r="AN48" s="181"/>
      <c r="AO48" s="182">
        <f t="shared" si="34"/>
        <v>0</v>
      </c>
      <c r="AP48" s="179"/>
      <c r="AQ48" s="180"/>
      <c r="AR48" s="180"/>
      <c r="AS48" s="181"/>
      <c r="AT48" s="182">
        <f t="shared" si="35"/>
        <v>0</v>
      </c>
      <c r="AU48" s="179"/>
      <c r="AV48" s="180"/>
      <c r="AW48" s="180"/>
      <c r="AX48" s="181"/>
      <c r="AY48" s="182">
        <f t="shared" si="36"/>
        <v>0</v>
      </c>
      <c r="AZ48" s="179"/>
      <c r="BA48" s="180"/>
      <c r="BB48" s="180"/>
      <c r="BC48" s="181"/>
      <c r="BD48" s="182">
        <f t="shared" si="37"/>
        <v>0</v>
      </c>
      <c r="BE48" s="179"/>
      <c r="BF48" s="180"/>
      <c r="BG48" s="180"/>
      <c r="BH48" s="181"/>
      <c r="BI48" s="182">
        <f t="shared" si="38"/>
        <v>0</v>
      </c>
      <c r="BJ48" s="179"/>
      <c r="BK48" s="180"/>
      <c r="BL48" s="180"/>
      <c r="BM48" s="181"/>
      <c r="BN48" s="182">
        <f t="shared" si="39"/>
        <v>0</v>
      </c>
      <c r="BO48" s="184">
        <f>SUM(G48,L48,Q48,V48,AA48,AF48,AK48,AP48,AU48,AZ48,BE48,BJ48)</f>
        <v>10332</v>
      </c>
      <c r="BP48" s="180">
        <f>SUM(H48,M48,R48,W48,AB48,AG48,AL48,AQ48,AV48,BA48,BF48,BK48)</f>
        <v>0</v>
      </c>
      <c r="BQ48" s="180">
        <f>SUM(I48,N48,S48,X48,AC48,AH48,AM48,AR48,AW48,BB48,BG48,BL48)</f>
        <v>0</v>
      </c>
      <c r="BR48" s="181">
        <f>SUM(J48,O48,T48,Y48,AD48,AI48,AN48,AS48,AX48,BC48,BH48,BM48)</f>
        <v>0</v>
      </c>
      <c r="BS48" s="183">
        <f t="shared" si="12"/>
        <v>10332</v>
      </c>
    </row>
    <row r="49" spans="2:71" x14ac:dyDescent="0.3">
      <c r="B49" s="269"/>
      <c r="C49" s="230"/>
      <c r="D49" s="233"/>
      <c r="E49" s="239"/>
      <c r="F49" s="171" t="s">
        <v>642</v>
      </c>
      <c r="G49" s="179"/>
      <c r="H49" s="180"/>
      <c r="I49" s="180"/>
      <c r="J49" s="181"/>
      <c r="K49" s="182">
        <f t="shared" si="28"/>
        <v>0</v>
      </c>
      <c r="L49" s="179"/>
      <c r="M49" s="180"/>
      <c r="N49" s="180"/>
      <c r="O49" s="181"/>
      <c r="P49" s="182">
        <f t="shared" si="29"/>
        <v>0</v>
      </c>
      <c r="Q49" s="179"/>
      <c r="R49" s="180"/>
      <c r="S49" s="180"/>
      <c r="T49" s="181"/>
      <c r="U49" s="182">
        <f t="shared" si="30"/>
        <v>0</v>
      </c>
      <c r="V49" s="179">
        <v>180</v>
      </c>
      <c r="W49" s="180"/>
      <c r="X49" s="180"/>
      <c r="Y49" s="181"/>
      <c r="Z49" s="182">
        <f t="shared" si="31"/>
        <v>180</v>
      </c>
      <c r="AA49" s="179">
        <v>345</v>
      </c>
      <c r="AB49" s="180"/>
      <c r="AC49" s="180"/>
      <c r="AD49" s="181"/>
      <c r="AE49" s="182">
        <f t="shared" si="32"/>
        <v>345</v>
      </c>
      <c r="AF49" s="195">
        <f>117+145</f>
        <v>262</v>
      </c>
      <c r="AG49" s="180"/>
      <c r="AH49" s="180"/>
      <c r="AI49" s="181"/>
      <c r="AJ49" s="182">
        <f t="shared" si="33"/>
        <v>262</v>
      </c>
      <c r="AK49" s="179"/>
      <c r="AL49" s="180"/>
      <c r="AM49" s="180"/>
      <c r="AN49" s="181"/>
      <c r="AO49" s="182">
        <f t="shared" si="34"/>
        <v>0</v>
      </c>
      <c r="AP49" s="179"/>
      <c r="AQ49" s="180"/>
      <c r="AR49" s="180"/>
      <c r="AS49" s="181"/>
      <c r="AT49" s="182">
        <f t="shared" si="35"/>
        <v>0</v>
      </c>
      <c r="AU49" s="179"/>
      <c r="AV49" s="180"/>
      <c r="AW49" s="180"/>
      <c r="AX49" s="181"/>
      <c r="AY49" s="182">
        <f t="shared" si="36"/>
        <v>0</v>
      </c>
      <c r="AZ49" s="179"/>
      <c r="BA49" s="180"/>
      <c r="BB49" s="180"/>
      <c r="BC49" s="181"/>
      <c r="BD49" s="182">
        <f t="shared" si="37"/>
        <v>0</v>
      </c>
      <c r="BE49" s="179"/>
      <c r="BF49" s="180"/>
      <c r="BG49" s="180"/>
      <c r="BH49" s="181"/>
      <c r="BI49" s="182">
        <f t="shared" si="38"/>
        <v>0</v>
      </c>
      <c r="BJ49" s="179"/>
      <c r="BK49" s="180"/>
      <c r="BL49" s="180"/>
      <c r="BM49" s="181"/>
      <c r="BN49" s="182">
        <f t="shared" si="39"/>
        <v>0</v>
      </c>
      <c r="BO49" s="184">
        <f>SUM(G49,L49,Q49,V49,AA49,AF49,AK49,AP49,AU49,AZ49,BE49,BJ49)</f>
        <v>787</v>
      </c>
      <c r="BP49" s="180">
        <f>SUM(H49,M49,R49,W49,AB49,AG49,AL49,AQ49,AV49,BA49,BF49,BK49)</f>
        <v>0</v>
      </c>
      <c r="BQ49" s="180">
        <f>SUM(I49,N49,S49,X49,AC49,AH49,AM49,AR49,AW49,BB49,BG49,BL49)</f>
        <v>0</v>
      </c>
      <c r="BR49" s="181">
        <f>SUM(J49,O49,T49,Y49,AD49,AI49,AN49,AS49,AX49,BC49,BH49,BM49)</f>
        <v>0</v>
      </c>
      <c r="BS49" s="183">
        <f t="shared" si="12"/>
        <v>787</v>
      </c>
    </row>
    <row r="50" spans="2:71" x14ac:dyDescent="0.3">
      <c r="B50" s="269"/>
      <c r="C50" s="230"/>
      <c r="D50" s="233"/>
      <c r="E50" s="239"/>
      <c r="F50" s="123" t="s">
        <v>643</v>
      </c>
      <c r="G50" s="32"/>
      <c r="H50" s="13"/>
      <c r="I50" s="13"/>
      <c r="J50" s="14"/>
      <c r="K50" s="15">
        <f t="shared" si="27"/>
        <v>0</v>
      </c>
      <c r="L50" s="32"/>
      <c r="M50" s="13"/>
      <c r="N50" s="13"/>
      <c r="O50" s="14"/>
      <c r="P50" s="15">
        <f t="shared" si="1"/>
        <v>0</v>
      </c>
      <c r="Q50" s="32"/>
      <c r="R50" s="13"/>
      <c r="S50" s="13"/>
      <c r="T50" s="14"/>
      <c r="U50" s="15">
        <f t="shared" si="2"/>
        <v>0</v>
      </c>
      <c r="V50" s="32">
        <v>1855</v>
      </c>
      <c r="W50" s="13"/>
      <c r="X50" s="13"/>
      <c r="Y50" s="14"/>
      <c r="Z50" s="15">
        <f t="shared" si="3"/>
        <v>1855</v>
      </c>
      <c r="AA50" s="32">
        <v>2654</v>
      </c>
      <c r="AB50" s="13"/>
      <c r="AC50" s="13"/>
      <c r="AD50" s="14"/>
      <c r="AE50" s="15">
        <f t="shared" si="4"/>
        <v>2654</v>
      </c>
      <c r="AF50" s="32">
        <v>1438</v>
      </c>
      <c r="AG50" s="13"/>
      <c r="AH50" s="13"/>
      <c r="AI50" s="14"/>
      <c r="AJ50" s="15">
        <f t="shared" si="5"/>
        <v>1438</v>
      </c>
      <c r="AK50" s="32"/>
      <c r="AL50" s="13"/>
      <c r="AM50" s="13"/>
      <c r="AN50" s="14"/>
      <c r="AO50" s="15">
        <f t="shared" si="6"/>
        <v>0</v>
      </c>
      <c r="AP50" s="32"/>
      <c r="AQ50" s="13"/>
      <c r="AR50" s="13"/>
      <c r="AS50" s="14"/>
      <c r="AT50" s="15">
        <f t="shared" si="7"/>
        <v>0</v>
      </c>
      <c r="AU50" s="32"/>
      <c r="AV50" s="13"/>
      <c r="AW50" s="13"/>
      <c r="AX50" s="14"/>
      <c r="AY50" s="15">
        <f t="shared" si="8"/>
        <v>0</v>
      </c>
      <c r="AZ50" s="32"/>
      <c r="BA50" s="13"/>
      <c r="BB50" s="13"/>
      <c r="BC50" s="14"/>
      <c r="BD50" s="15">
        <f t="shared" si="9"/>
        <v>0</v>
      </c>
      <c r="BE50" s="32"/>
      <c r="BF50" s="13"/>
      <c r="BG50" s="13"/>
      <c r="BH50" s="14"/>
      <c r="BI50" s="15">
        <f t="shared" si="10"/>
        <v>0</v>
      </c>
      <c r="BJ50" s="32"/>
      <c r="BK50" s="13"/>
      <c r="BL50" s="13"/>
      <c r="BM50" s="14"/>
      <c r="BN50" s="15">
        <f t="shared" si="11"/>
        <v>0</v>
      </c>
      <c r="BO50" s="66">
        <f>SUM(G50,L50,Q50,V50,AA50,AF50,AK50,AP50,AU50,AZ50,BE50,BJ50)</f>
        <v>5947</v>
      </c>
      <c r="BP50" s="13">
        <f>SUM(H50,M50,R50,W50,AB50,AG50,AL50,AQ50,AV50,BA50,BF50,BK50)</f>
        <v>0</v>
      </c>
      <c r="BQ50" s="13">
        <f>SUM(I50,N50,S50,X50,AC50,AH50,AM50,AR50,AW50,BB50,BG50,BL50)</f>
        <v>0</v>
      </c>
      <c r="BR50" s="14">
        <f>SUM(J50,O50,T50,Y50,AD50,AI50,AN50,AS50,AX50,BC50,BH50,BM50)</f>
        <v>0</v>
      </c>
      <c r="BS50" s="33">
        <f t="shared" si="12"/>
        <v>5947</v>
      </c>
    </row>
    <row r="51" spans="2:71" x14ac:dyDescent="0.3">
      <c r="B51" s="269"/>
      <c r="C51" s="230"/>
      <c r="D51" s="233"/>
      <c r="E51" s="239"/>
      <c r="F51" s="121" t="s">
        <v>644</v>
      </c>
      <c r="G51" s="32"/>
      <c r="H51" s="13"/>
      <c r="I51" s="13"/>
      <c r="J51" s="14"/>
      <c r="K51" s="15">
        <f t="shared" ref="K51" si="40">SUM(G51:J51)</f>
        <v>0</v>
      </c>
      <c r="L51" s="32"/>
      <c r="M51" s="13"/>
      <c r="N51" s="13"/>
      <c r="O51" s="14"/>
      <c r="P51" s="15">
        <f t="shared" ref="P51" si="41">SUM(L51:O51)</f>
        <v>0</v>
      </c>
      <c r="Q51" s="32"/>
      <c r="R51" s="13"/>
      <c r="S51" s="13"/>
      <c r="T51" s="14"/>
      <c r="U51" s="15">
        <f t="shared" ref="U51" si="42">SUM(Q51:T51)</f>
        <v>0</v>
      </c>
      <c r="V51" s="32">
        <v>438</v>
      </c>
      <c r="W51" s="13"/>
      <c r="X51" s="13"/>
      <c r="Y51" s="14"/>
      <c r="Z51" s="15">
        <f t="shared" ref="Z51" si="43">SUM(V51:Y51)</f>
        <v>438</v>
      </c>
      <c r="AA51" s="32">
        <v>591</v>
      </c>
      <c r="AB51" s="13"/>
      <c r="AC51" s="13"/>
      <c r="AD51" s="14"/>
      <c r="AE51" s="15">
        <f t="shared" ref="AE51" si="44">SUM(AA51:AD51)</f>
        <v>591</v>
      </c>
      <c r="AF51" s="195">
        <f>232+216</f>
        <v>448</v>
      </c>
      <c r="AG51" s="13"/>
      <c r="AH51" s="13"/>
      <c r="AI51" s="14"/>
      <c r="AJ51" s="15">
        <f t="shared" ref="AJ51" si="45">SUM(AF51:AI51)</f>
        <v>448</v>
      </c>
      <c r="AK51" s="32"/>
      <c r="AL51" s="13"/>
      <c r="AM51" s="13"/>
      <c r="AN51" s="14"/>
      <c r="AO51" s="15">
        <f t="shared" ref="AO51" si="46">SUM(AK51:AN51)</f>
        <v>0</v>
      </c>
      <c r="AP51" s="32"/>
      <c r="AQ51" s="13"/>
      <c r="AR51" s="13"/>
      <c r="AS51" s="14"/>
      <c r="AT51" s="15">
        <f t="shared" ref="AT51" si="47">SUM(AP51:AS51)</f>
        <v>0</v>
      </c>
      <c r="AU51" s="32"/>
      <c r="AV51" s="13"/>
      <c r="AW51" s="13"/>
      <c r="AX51" s="14"/>
      <c r="AY51" s="15">
        <f t="shared" ref="AY51" si="48">SUM(AU51:AX51)</f>
        <v>0</v>
      </c>
      <c r="AZ51" s="32"/>
      <c r="BA51" s="13"/>
      <c r="BB51" s="13"/>
      <c r="BC51" s="14"/>
      <c r="BD51" s="15">
        <f t="shared" ref="BD51" si="49">SUM(AZ51:BC51)</f>
        <v>0</v>
      </c>
      <c r="BE51" s="32"/>
      <c r="BF51" s="13"/>
      <c r="BG51" s="13"/>
      <c r="BH51" s="14"/>
      <c r="BI51" s="15">
        <f t="shared" ref="BI51" si="50">SUM(BE51:BH51)</f>
        <v>0</v>
      </c>
      <c r="BJ51" s="32"/>
      <c r="BK51" s="13"/>
      <c r="BL51" s="13"/>
      <c r="BM51" s="14"/>
      <c r="BN51" s="15">
        <f t="shared" ref="BN51" si="51">SUM(BJ51:BM51)</f>
        <v>0</v>
      </c>
      <c r="BO51" s="66">
        <f>SUM(G51,L51,Q51,V51,AA51,AF51,AK51,AP51,AU51,AZ51,BE51,BJ51)</f>
        <v>1477</v>
      </c>
      <c r="BP51" s="13">
        <f>SUM(H51,M51,R51,W51,AB51,AG51,AL51,AQ51,AV51,BA51,BF51,BK51)</f>
        <v>0</v>
      </c>
      <c r="BQ51" s="13">
        <f>SUM(I51,N51,S51,X51,AC51,AH51,AM51,AR51,AW51,BB51,BG51,BL51)</f>
        <v>0</v>
      </c>
      <c r="BR51" s="14">
        <f>SUM(J51,O51,T51,Y51,AD51,AI51,AN51,AS51,AX51,BC51,BH51,BM51)</f>
        <v>0</v>
      </c>
      <c r="BS51" s="33">
        <f t="shared" si="12"/>
        <v>1477</v>
      </c>
    </row>
    <row r="52" spans="2:71" x14ac:dyDescent="0.3">
      <c r="B52" s="269"/>
      <c r="C52" s="230"/>
      <c r="D52" s="233"/>
      <c r="E52" s="239"/>
      <c r="F52" s="123" t="s">
        <v>645</v>
      </c>
      <c r="G52" s="32"/>
      <c r="H52" s="13"/>
      <c r="I52" s="13"/>
      <c r="J52" s="14"/>
      <c r="K52" s="15">
        <f t="shared" si="27"/>
        <v>0</v>
      </c>
      <c r="L52" s="32"/>
      <c r="M52" s="13"/>
      <c r="N52" s="13"/>
      <c r="O52" s="14"/>
      <c r="P52" s="15">
        <f t="shared" si="1"/>
        <v>0</v>
      </c>
      <c r="Q52" s="32"/>
      <c r="R52" s="13"/>
      <c r="S52" s="13"/>
      <c r="T52" s="14"/>
      <c r="U52" s="15">
        <f t="shared" si="2"/>
        <v>0</v>
      </c>
      <c r="V52" s="32">
        <v>1595</v>
      </c>
      <c r="W52" s="13"/>
      <c r="X52" s="13"/>
      <c r="Y52" s="14"/>
      <c r="Z52" s="15">
        <f t="shared" si="3"/>
        <v>1595</v>
      </c>
      <c r="AA52" s="32">
        <v>2259</v>
      </c>
      <c r="AB52" s="13"/>
      <c r="AC52" s="13"/>
      <c r="AD52" s="14"/>
      <c r="AE52" s="15">
        <f t="shared" si="4"/>
        <v>2259</v>
      </c>
      <c r="AF52" s="32">
        <f>1154</f>
        <v>1154</v>
      </c>
      <c r="AG52" s="13"/>
      <c r="AH52" s="13"/>
      <c r="AI52" s="14"/>
      <c r="AJ52" s="15">
        <f t="shared" si="5"/>
        <v>1154</v>
      </c>
      <c r="AK52" s="32"/>
      <c r="AL52" s="13"/>
      <c r="AM52" s="13"/>
      <c r="AN52" s="14"/>
      <c r="AO52" s="15">
        <f t="shared" si="6"/>
        <v>0</v>
      </c>
      <c r="AP52" s="32"/>
      <c r="AQ52" s="13"/>
      <c r="AR52" s="13"/>
      <c r="AS52" s="14"/>
      <c r="AT52" s="15">
        <f t="shared" si="7"/>
        <v>0</v>
      </c>
      <c r="AU52" s="32"/>
      <c r="AV52" s="13"/>
      <c r="AW52" s="13"/>
      <c r="AX52" s="14"/>
      <c r="AY52" s="15">
        <f t="shared" si="8"/>
        <v>0</v>
      </c>
      <c r="AZ52" s="32"/>
      <c r="BA52" s="13"/>
      <c r="BB52" s="13"/>
      <c r="BC52" s="14"/>
      <c r="BD52" s="15">
        <f t="shared" si="9"/>
        <v>0</v>
      </c>
      <c r="BE52" s="32"/>
      <c r="BF52" s="13"/>
      <c r="BG52" s="13"/>
      <c r="BH52" s="14"/>
      <c r="BI52" s="15">
        <f t="shared" si="10"/>
        <v>0</v>
      </c>
      <c r="BJ52" s="32"/>
      <c r="BK52" s="13"/>
      <c r="BL52" s="13"/>
      <c r="BM52" s="14"/>
      <c r="BN52" s="15">
        <f t="shared" si="11"/>
        <v>0</v>
      </c>
      <c r="BO52" s="66">
        <f>SUM(G52,L52,Q52,V52,AA52,AF52,AK52,AP52,AU52,AZ52,BE52,BJ52)</f>
        <v>5008</v>
      </c>
      <c r="BP52" s="13">
        <f>SUM(H52,M52,R52,W52,AB52,AG52,AL52,AQ52,AV52,BA52,BF52,BK52)</f>
        <v>0</v>
      </c>
      <c r="BQ52" s="13">
        <f>SUM(I52,N52,S52,X52,AC52,AH52,AM52,AR52,AW52,BB52,BG52,BL52)</f>
        <v>0</v>
      </c>
      <c r="BR52" s="14">
        <f>SUM(J52,O52,T52,Y52,AD52,AI52,AN52,AS52,AX52,BC52,BH52,BM52)</f>
        <v>0</v>
      </c>
      <c r="BS52" s="33">
        <f t="shared" si="12"/>
        <v>5008</v>
      </c>
    </row>
    <row r="53" spans="2:71" x14ac:dyDescent="0.3">
      <c r="B53" s="269"/>
      <c r="C53" s="230"/>
      <c r="D53" s="233"/>
      <c r="E53" s="239"/>
      <c r="F53" s="132" t="s">
        <v>646</v>
      </c>
      <c r="G53" s="44"/>
      <c r="H53" s="45"/>
      <c r="I53" s="45"/>
      <c r="J53" s="46"/>
      <c r="K53" s="47">
        <f t="shared" ref="K53" si="52">SUM(G53:J53)</f>
        <v>0</v>
      </c>
      <c r="L53" s="44"/>
      <c r="M53" s="45"/>
      <c r="N53" s="45"/>
      <c r="O53" s="46"/>
      <c r="P53" s="47">
        <f t="shared" si="1"/>
        <v>0</v>
      </c>
      <c r="Q53" s="44"/>
      <c r="R53" s="45"/>
      <c r="S53" s="45"/>
      <c r="T53" s="46"/>
      <c r="U53" s="47">
        <f t="shared" si="2"/>
        <v>0</v>
      </c>
      <c r="V53" s="44">
        <v>371</v>
      </c>
      <c r="W53" s="45"/>
      <c r="X53" s="45"/>
      <c r="Y53" s="46"/>
      <c r="Z53" s="47">
        <f t="shared" si="3"/>
        <v>371</v>
      </c>
      <c r="AA53" s="44">
        <v>484</v>
      </c>
      <c r="AB53" s="45"/>
      <c r="AC53" s="45"/>
      <c r="AD53" s="46"/>
      <c r="AE53" s="47">
        <f t="shared" si="4"/>
        <v>484</v>
      </c>
      <c r="AF53" s="294">
        <f>180+183</f>
        <v>363</v>
      </c>
      <c r="AG53" s="45"/>
      <c r="AH53" s="45"/>
      <c r="AI53" s="46"/>
      <c r="AJ53" s="47">
        <f t="shared" si="5"/>
        <v>363</v>
      </c>
      <c r="AK53" s="44"/>
      <c r="AL53" s="45"/>
      <c r="AM53" s="45"/>
      <c r="AN53" s="46"/>
      <c r="AO53" s="47">
        <f t="shared" ref="AO53" si="53">SUM(AK53:AN53)</f>
        <v>0</v>
      </c>
      <c r="AP53" s="44"/>
      <c r="AQ53" s="45"/>
      <c r="AR53" s="45"/>
      <c r="AS53" s="46"/>
      <c r="AT53" s="47">
        <f t="shared" ref="AT53" si="54">SUM(AP53:AS53)</f>
        <v>0</v>
      </c>
      <c r="AU53" s="44"/>
      <c r="AV53" s="45"/>
      <c r="AW53" s="45"/>
      <c r="AX53" s="46"/>
      <c r="AY53" s="47">
        <f t="shared" ref="AY53" si="55">SUM(AU53:AX53)</f>
        <v>0</v>
      </c>
      <c r="AZ53" s="44"/>
      <c r="BA53" s="45"/>
      <c r="BB53" s="45"/>
      <c r="BC53" s="46"/>
      <c r="BD53" s="47">
        <f t="shared" ref="BD53" si="56">SUM(AZ53:BC53)</f>
        <v>0</v>
      </c>
      <c r="BE53" s="44"/>
      <c r="BF53" s="45"/>
      <c r="BG53" s="45"/>
      <c r="BH53" s="46"/>
      <c r="BI53" s="47">
        <f t="shared" ref="BI53" si="57">SUM(BE53:BH53)</f>
        <v>0</v>
      </c>
      <c r="BJ53" s="44"/>
      <c r="BK53" s="45"/>
      <c r="BL53" s="45"/>
      <c r="BM53" s="46"/>
      <c r="BN53" s="47">
        <f t="shared" ref="BN53" si="58">SUM(BJ53:BM53)</f>
        <v>0</v>
      </c>
      <c r="BO53" s="67">
        <f>SUM(G53,L53,Q53,V53,AA53,AF53,AK53,AP53,AU53,AZ53,BE53,BJ53)</f>
        <v>1218</v>
      </c>
      <c r="BP53" s="45">
        <f>SUM(H53,M53,R53,W53,AB53,AG53,AL53,AQ53,AV53,BA53,BF53,BK53)</f>
        <v>0</v>
      </c>
      <c r="BQ53" s="45">
        <f>SUM(I53,N53,S53,X53,AC53,AH53,AM53,AR53,AW53,BB53,BG53,BL53)</f>
        <v>0</v>
      </c>
      <c r="BR53" s="46">
        <f>SUM(J53,O53,T53,Y53,AD53,AI53,AN53,AS53,AX53,BC53,BH53,BM53)</f>
        <v>0</v>
      </c>
      <c r="BS53" s="48">
        <f t="shared" si="12"/>
        <v>1218</v>
      </c>
    </row>
    <row r="54" spans="2:71" x14ac:dyDescent="0.3">
      <c r="B54" s="269"/>
      <c r="C54" s="230"/>
      <c r="D54" s="233"/>
      <c r="E54" s="240"/>
      <c r="F54" s="279" t="s">
        <v>54</v>
      </c>
      <c r="G54" s="280">
        <f>SUM(G32:G53)</f>
        <v>746</v>
      </c>
      <c r="H54" s="281">
        <f>SUM(H32:H53)</f>
        <v>0</v>
      </c>
      <c r="I54" s="281">
        <f>SUM(I32:I53)</f>
        <v>0</v>
      </c>
      <c r="J54" s="282">
        <f>SUM(J32:J53)</f>
        <v>0</v>
      </c>
      <c r="K54" s="283">
        <f t="shared" si="0"/>
        <v>746</v>
      </c>
      <c r="L54" s="280">
        <f>SUM(L32:L53)</f>
        <v>933</v>
      </c>
      <c r="M54" s="281">
        <f>SUM(M32:M53)</f>
        <v>0</v>
      </c>
      <c r="N54" s="281">
        <f>SUM(N32:N53)</f>
        <v>0</v>
      </c>
      <c r="O54" s="282">
        <f>SUM(O32:O53)</f>
        <v>0</v>
      </c>
      <c r="P54" s="283">
        <f t="shared" si="1"/>
        <v>933</v>
      </c>
      <c r="Q54" s="280">
        <f>SUM(Q32:Q53)</f>
        <v>1539</v>
      </c>
      <c r="R54" s="281">
        <f>SUM(R32:R53)</f>
        <v>0</v>
      </c>
      <c r="S54" s="281">
        <f>SUM(S32:S53)</f>
        <v>0</v>
      </c>
      <c r="T54" s="282">
        <f>SUM(T32:T53)</f>
        <v>0</v>
      </c>
      <c r="U54" s="283">
        <f t="shared" si="2"/>
        <v>1539</v>
      </c>
      <c r="V54" s="280">
        <f>SUM(V32:V53)</f>
        <v>12841</v>
      </c>
      <c r="W54" s="281">
        <f>SUM(W32:W53)</f>
        <v>0</v>
      </c>
      <c r="X54" s="281">
        <f>SUM(X32:X53)</f>
        <v>0</v>
      </c>
      <c r="Y54" s="282">
        <f>SUM(Y32:Y53)</f>
        <v>0</v>
      </c>
      <c r="Z54" s="283">
        <f t="shared" si="3"/>
        <v>12841</v>
      </c>
      <c r="AA54" s="280">
        <f>SUM(AA32:AA53)</f>
        <v>23847</v>
      </c>
      <c r="AB54" s="281">
        <f>SUM(AB32:AB53)</f>
        <v>0</v>
      </c>
      <c r="AC54" s="281">
        <f>SUM(AC32:AC53)</f>
        <v>0</v>
      </c>
      <c r="AD54" s="282">
        <f>SUM(AD32:AD53)</f>
        <v>0</v>
      </c>
      <c r="AE54" s="283">
        <f t="shared" si="4"/>
        <v>23847</v>
      </c>
      <c r="AF54" s="280">
        <f>SUM(AF32:AF53)</f>
        <v>10931</v>
      </c>
      <c r="AG54" s="281">
        <f>SUM(AG32:AG53)</f>
        <v>0</v>
      </c>
      <c r="AH54" s="281">
        <f>SUM(AH32:AH53)</f>
        <v>0</v>
      </c>
      <c r="AI54" s="282">
        <f>SUM(AI32:AI53)</f>
        <v>0</v>
      </c>
      <c r="AJ54" s="283">
        <f t="shared" si="5"/>
        <v>10931</v>
      </c>
      <c r="AK54" s="280">
        <f>SUM(AK32:AK53)</f>
        <v>491</v>
      </c>
      <c r="AL54" s="281">
        <f>SUM(AL32:AL53)</f>
        <v>0</v>
      </c>
      <c r="AM54" s="281">
        <f>SUM(AM32:AM53)</f>
        <v>0</v>
      </c>
      <c r="AN54" s="282">
        <f>SUM(AN32:AN53)</f>
        <v>0</v>
      </c>
      <c r="AO54" s="283">
        <f t="shared" ref="AO54:AO117" si="59">SUM(AK54:AN54)</f>
        <v>491</v>
      </c>
      <c r="AP54" s="280">
        <f>SUM(AP32:AP53)</f>
        <v>952</v>
      </c>
      <c r="AQ54" s="281">
        <f>SUM(AQ32:AQ53)</f>
        <v>0</v>
      </c>
      <c r="AR54" s="281">
        <f>SUM(AR32:AR53)</f>
        <v>0</v>
      </c>
      <c r="AS54" s="282">
        <f>SUM(AS32:AS53)</f>
        <v>0</v>
      </c>
      <c r="AT54" s="283">
        <f t="shared" ref="AT54:AT117" si="60">SUM(AP54:AS54)</f>
        <v>952</v>
      </c>
      <c r="AU54" s="280">
        <f>SUM(AU32:AU53)</f>
        <v>257</v>
      </c>
      <c r="AV54" s="281">
        <f>SUM(AV32:AV53)</f>
        <v>0</v>
      </c>
      <c r="AW54" s="281">
        <f>SUM(AW32:AW53)</f>
        <v>0</v>
      </c>
      <c r="AX54" s="282">
        <f>SUM(AX32:AX53)</f>
        <v>0</v>
      </c>
      <c r="AY54" s="283">
        <f t="shared" ref="AY54:AY117" si="61">SUM(AU54:AX54)</f>
        <v>257</v>
      </c>
      <c r="AZ54" s="280">
        <f>SUM(AZ32:AZ53)</f>
        <v>1899</v>
      </c>
      <c r="BA54" s="281">
        <f>SUM(BA32:BA53)</f>
        <v>0</v>
      </c>
      <c r="BB54" s="281">
        <f>SUM(BB32:BB53)</f>
        <v>0</v>
      </c>
      <c r="BC54" s="282">
        <f>SUM(BC32:BC53)</f>
        <v>0</v>
      </c>
      <c r="BD54" s="283">
        <f t="shared" ref="BD54:BD117" si="62">SUM(AZ54:BC54)</f>
        <v>1899</v>
      </c>
      <c r="BE54" s="280">
        <f>SUM(BE32:BE53)</f>
        <v>8849</v>
      </c>
      <c r="BF54" s="281">
        <f>SUM(BF32:BF53)</f>
        <v>0</v>
      </c>
      <c r="BG54" s="281">
        <f>SUM(BG32:BG53)</f>
        <v>0</v>
      </c>
      <c r="BH54" s="282">
        <f>SUM(BH32:BH53)</f>
        <v>0</v>
      </c>
      <c r="BI54" s="283">
        <f t="shared" ref="BI54:BI117" si="63">SUM(BE54:BH54)</f>
        <v>8849</v>
      </c>
      <c r="BJ54" s="280">
        <f>SUM(BJ32:BJ53)</f>
        <v>3855</v>
      </c>
      <c r="BK54" s="281">
        <f>SUM(BK32:BK53)</f>
        <v>0</v>
      </c>
      <c r="BL54" s="281">
        <f>SUM(BL32:BL53)</f>
        <v>0</v>
      </c>
      <c r="BM54" s="282">
        <f>SUM(BM32:BM53)</f>
        <v>0</v>
      </c>
      <c r="BN54" s="283">
        <f t="shared" ref="BN54:BN117" si="64">SUM(BJ54:BM54)</f>
        <v>3855</v>
      </c>
      <c r="BO54" s="285">
        <f>SUM(BO32:BO53)</f>
        <v>67140</v>
      </c>
      <c r="BP54" s="281">
        <f>SUM(BP32:BP53)</f>
        <v>0</v>
      </c>
      <c r="BQ54" s="281">
        <f>SUM(BQ32:BQ53)</f>
        <v>0</v>
      </c>
      <c r="BR54" s="282">
        <f>SUM(BR32:BR53)</f>
        <v>0</v>
      </c>
      <c r="BS54" s="284">
        <f t="shared" si="12"/>
        <v>67140</v>
      </c>
    </row>
    <row r="55" spans="2:71" x14ac:dyDescent="0.3">
      <c r="B55" s="269"/>
      <c r="C55" s="230"/>
      <c r="D55" s="233"/>
      <c r="E55" s="241" t="s">
        <v>43</v>
      </c>
      <c r="F55" s="120" t="s">
        <v>647</v>
      </c>
      <c r="G55" s="30">
        <v>98</v>
      </c>
      <c r="H55" s="7"/>
      <c r="I55" s="7"/>
      <c r="J55" s="8"/>
      <c r="K55" s="9">
        <f t="shared" si="0"/>
        <v>98</v>
      </c>
      <c r="L55" s="30"/>
      <c r="M55" s="7"/>
      <c r="N55" s="7"/>
      <c r="O55" s="8"/>
      <c r="P55" s="9">
        <f t="shared" si="1"/>
        <v>0</v>
      </c>
      <c r="Q55" s="30"/>
      <c r="R55" s="7"/>
      <c r="S55" s="7"/>
      <c r="T55" s="8"/>
      <c r="U55" s="9">
        <f t="shared" si="2"/>
        <v>0</v>
      </c>
      <c r="V55" s="30"/>
      <c r="W55" s="7"/>
      <c r="X55" s="7"/>
      <c r="Y55" s="8"/>
      <c r="Z55" s="9">
        <f t="shared" si="3"/>
        <v>0</v>
      </c>
      <c r="AA55" s="30">
        <v>160</v>
      </c>
      <c r="AB55" s="7"/>
      <c r="AC55" s="7"/>
      <c r="AD55" s="8"/>
      <c r="AE55" s="9">
        <f t="shared" si="4"/>
        <v>160</v>
      </c>
      <c r="AF55" s="30"/>
      <c r="AG55" s="7"/>
      <c r="AH55" s="7"/>
      <c r="AI55" s="8"/>
      <c r="AJ55" s="9">
        <f t="shared" si="5"/>
        <v>0</v>
      </c>
      <c r="AK55" s="30"/>
      <c r="AL55" s="7"/>
      <c r="AM55" s="7"/>
      <c r="AN55" s="8"/>
      <c r="AO55" s="9">
        <f t="shared" si="59"/>
        <v>0</v>
      </c>
      <c r="AP55" s="30"/>
      <c r="AQ55" s="7"/>
      <c r="AR55" s="7"/>
      <c r="AS55" s="8"/>
      <c r="AT55" s="9">
        <f t="shared" si="60"/>
        <v>0</v>
      </c>
      <c r="AU55" s="30"/>
      <c r="AV55" s="7"/>
      <c r="AW55" s="7"/>
      <c r="AX55" s="8"/>
      <c r="AY55" s="9">
        <f t="shared" si="61"/>
        <v>0</v>
      </c>
      <c r="AZ55" s="30"/>
      <c r="BA55" s="7"/>
      <c r="BB55" s="7"/>
      <c r="BC55" s="8"/>
      <c r="BD55" s="9">
        <f t="shared" si="62"/>
        <v>0</v>
      </c>
      <c r="BE55" s="30"/>
      <c r="BF55" s="7"/>
      <c r="BG55" s="7"/>
      <c r="BH55" s="8"/>
      <c r="BI55" s="9">
        <f t="shared" si="63"/>
        <v>0</v>
      </c>
      <c r="BJ55" s="30">
        <v>43</v>
      </c>
      <c r="BK55" s="7"/>
      <c r="BL55" s="7"/>
      <c r="BM55" s="8"/>
      <c r="BN55" s="9">
        <f t="shared" si="64"/>
        <v>43</v>
      </c>
      <c r="BO55" s="65">
        <f>SUM(G55,L55,Q55,V55,AA55,AF55,AK55,AP55,AU55,AZ55,BE55,BJ55)</f>
        <v>301</v>
      </c>
      <c r="BP55" s="7">
        <f>SUM(H55,M55,R55,W55,AB55,AG55,AL55,AQ55,AV55,BA55,BF55,BK55)</f>
        <v>0</v>
      </c>
      <c r="BQ55" s="7">
        <f>SUM(I55,N55,S55,X55,AC55,AH55,AM55,AR55,AW55,BB55,BG55,BL55)</f>
        <v>0</v>
      </c>
      <c r="BR55" s="8">
        <f>SUM(J55,O55,T55,Y55,AD55,AI55,AN55,AS55,AX55,BC55,BH55,BM55)</f>
        <v>0</v>
      </c>
      <c r="BS55" s="31">
        <f t="shared" si="12"/>
        <v>301</v>
      </c>
    </row>
    <row r="56" spans="2:71" x14ac:dyDescent="0.3">
      <c r="B56" s="269"/>
      <c r="C56" s="230"/>
      <c r="D56" s="233"/>
      <c r="E56" s="239"/>
      <c r="F56" s="121" t="s">
        <v>648</v>
      </c>
      <c r="G56" s="32">
        <v>6</v>
      </c>
      <c r="H56" s="13"/>
      <c r="I56" s="13"/>
      <c r="J56" s="14"/>
      <c r="K56" s="15">
        <f t="shared" si="0"/>
        <v>6</v>
      </c>
      <c r="L56" s="32"/>
      <c r="M56" s="13"/>
      <c r="N56" s="13"/>
      <c r="O56" s="14"/>
      <c r="P56" s="15">
        <f t="shared" si="1"/>
        <v>0</v>
      </c>
      <c r="Q56" s="32"/>
      <c r="R56" s="13"/>
      <c r="S56" s="13"/>
      <c r="T56" s="14"/>
      <c r="U56" s="15">
        <f t="shared" si="2"/>
        <v>0</v>
      </c>
      <c r="V56" s="32"/>
      <c r="W56" s="13"/>
      <c r="X56" s="13"/>
      <c r="Y56" s="14"/>
      <c r="Z56" s="15">
        <f t="shared" si="3"/>
        <v>0</v>
      </c>
      <c r="AA56" s="32">
        <v>28</v>
      </c>
      <c r="AB56" s="13"/>
      <c r="AC56" s="13"/>
      <c r="AD56" s="14"/>
      <c r="AE56" s="15">
        <f t="shared" si="4"/>
        <v>28</v>
      </c>
      <c r="AF56" s="32"/>
      <c r="AG56" s="13"/>
      <c r="AH56" s="13"/>
      <c r="AI56" s="14"/>
      <c r="AJ56" s="15">
        <f t="shared" si="5"/>
        <v>0</v>
      </c>
      <c r="AK56" s="32"/>
      <c r="AL56" s="13"/>
      <c r="AM56" s="13"/>
      <c r="AN56" s="14"/>
      <c r="AO56" s="15">
        <f t="shared" si="59"/>
        <v>0</v>
      </c>
      <c r="AP56" s="32"/>
      <c r="AQ56" s="13"/>
      <c r="AR56" s="13"/>
      <c r="AS56" s="14"/>
      <c r="AT56" s="15">
        <f t="shared" si="60"/>
        <v>0</v>
      </c>
      <c r="AU56" s="32"/>
      <c r="AV56" s="13"/>
      <c r="AW56" s="13"/>
      <c r="AX56" s="14"/>
      <c r="AY56" s="15">
        <f t="shared" si="61"/>
        <v>0</v>
      </c>
      <c r="AZ56" s="32"/>
      <c r="BA56" s="13"/>
      <c r="BB56" s="13"/>
      <c r="BC56" s="14"/>
      <c r="BD56" s="15">
        <f t="shared" si="62"/>
        <v>0</v>
      </c>
      <c r="BE56" s="32"/>
      <c r="BF56" s="13"/>
      <c r="BG56" s="13"/>
      <c r="BH56" s="14"/>
      <c r="BI56" s="15">
        <f t="shared" si="63"/>
        <v>0</v>
      </c>
      <c r="BJ56" s="32">
        <v>10</v>
      </c>
      <c r="BK56" s="13"/>
      <c r="BL56" s="13"/>
      <c r="BM56" s="14"/>
      <c r="BN56" s="15">
        <f t="shared" si="64"/>
        <v>10</v>
      </c>
      <c r="BO56" s="66">
        <f>SUM(G56,L56,Q56,V56,AA56,AF56,AK56,AP56,AU56,AZ56,BE56,BJ56)</f>
        <v>44</v>
      </c>
      <c r="BP56" s="13">
        <f>SUM(H56,M56,R56,W56,AB56,AG56,AL56,AQ56,AV56,BA56,BF56,BK56)</f>
        <v>0</v>
      </c>
      <c r="BQ56" s="13">
        <f>SUM(I56,N56,S56,X56,AC56,AH56,AM56,AR56,AW56,BB56,BG56,BL56)</f>
        <v>0</v>
      </c>
      <c r="BR56" s="14">
        <f>SUM(J56,O56,T56,Y56,AD56,AI56,AN56,AS56,AX56,BC56,BH56,BM56)</f>
        <v>0</v>
      </c>
      <c r="BS56" s="33">
        <f t="shared" si="12"/>
        <v>44</v>
      </c>
    </row>
    <row r="57" spans="2:71" x14ac:dyDescent="0.3">
      <c r="B57" s="269"/>
      <c r="C57" s="230"/>
      <c r="D57" s="233"/>
      <c r="E57" s="239"/>
      <c r="F57" s="121" t="s">
        <v>621</v>
      </c>
      <c r="G57" s="32">
        <v>145</v>
      </c>
      <c r="H57" s="13"/>
      <c r="I57" s="13"/>
      <c r="J57" s="14"/>
      <c r="K57" s="15">
        <f t="shared" si="0"/>
        <v>145</v>
      </c>
      <c r="L57" s="32">
        <v>301</v>
      </c>
      <c r="M57" s="13"/>
      <c r="N57" s="13"/>
      <c r="O57" s="14"/>
      <c r="P57" s="15">
        <f t="shared" si="1"/>
        <v>301</v>
      </c>
      <c r="Q57" s="32">
        <v>620</v>
      </c>
      <c r="R57" s="13"/>
      <c r="S57" s="13"/>
      <c r="T57" s="14"/>
      <c r="U57" s="15">
        <f t="shared" si="2"/>
        <v>620</v>
      </c>
      <c r="V57" s="32">
        <v>499</v>
      </c>
      <c r="W57" s="13"/>
      <c r="X57" s="13"/>
      <c r="Y57" s="14"/>
      <c r="Z57" s="15">
        <f t="shared" si="3"/>
        <v>499</v>
      </c>
      <c r="AA57" s="32">
        <v>493</v>
      </c>
      <c r="AB57" s="13"/>
      <c r="AC57" s="13"/>
      <c r="AD57" s="14"/>
      <c r="AE57" s="15">
        <f t="shared" si="4"/>
        <v>493</v>
      </c>
      <c r="AF57" s="32">
        <v>349</v>
      </c>
      <c r="AG57" s="13"/>
      <c r="AH57" s="13"/>
      <c r="AI57" s="14"/>
      <c r="AJ57" s="15">
        <f t="shared" si="5"/>
        <v>349</v>
      </c>
      <c r="AK57" s="32">
        <v>138</v>
      </c>
      <c r="AL57" s="13"/>
      <c r="AM57" s="13"/>
      <c r="AN57" s="14"/>
      <c r="AO57" s="15">
        <f t="shared" si="59"/>
        <v>138</v>
      </c>
      <c r="AP57" s="32">
        <v>238</v>
      </c>
      <c r="AQ57" s="13"/>
      <c r="AR57" s="13"/>
      <c r="AS57" s="14"/>
      <c r="AT57" s="15">
        <f t="shared" si="60"/>
        <v>238</v>
      </c>
      <c r="AU57" s="32"/>
      <c r="AV57" s="13"/>
      <c r="AW57" s="13"/>
      <c r="AX57" s="14"/>
      <c r="AY57" s="15">
        <f t="shared" si="61"/>
        <v>0</v>
      </c>
      <c r="AZ57" s="32"/>
      <c r="BA57" s="13"/>
      <c r="BB57" s="13"/>
      <c r="BC57" s="14"/>
      <c r="BD57" s="15">
        <f t="shared" si="62"/>
        <v>0</v>
      </c>
      <c r="BE57" s="32">
        <v>147</v>
      </c>
      <c r="BF57" s="13"/>
      <c r="BG57" s="13"/>
      <c r="BH57" s="14"/>
      <c r="BI57" s="15">
        <f t="shared" si="63"/>
        <v>147</v>
      </c>
      <c r="BJ57" s="32"/>
      <c r="BK57" s="13"/>
      <c r="BL57" s="13"/>
      <c r="BM57" s="14"/>
      <c r="BN57" s="15">
        <f t="shared" si="64"/>
        <v>0</v>
      </c>
      <c r="BO57" s="66">
        <f>SUM(G57,L57,Q57,V57,AA57,AF57,AK57,AP57,AU57,AZ57,BE57,BJ57)</f>
        <v>2930</v>
      </c>
      <c r="BP57" s="13">
        <f>SUM(H57,M57,R57,W57,AB57,AG57,AL57,AQ57,AV57,BA57,BF57,BK57)</f>
        <v>0</v>
      </c>
      <c r="BQ57" s="13">
        <f>SUM(I57,N57,S57,X57,AC57,AH57,AM57,AR57,AW57,BB57,BG57,BL57)</f>
        <v>0</v>
      </c>
      <c r="BR57" s="14">
        <f>SUM(J57,O57,T57,Y57,AD57,AI57,AN57,AS57,AX57,BC57,BH57,BM57)</f>
        <v>0</v>
      </c>
      <c r="BS57" s="33">
        <f t="shared" si="12"/>
        <v>2930</v>
      </c>
    </row>
    <row r="58" spans="2:71" x14ac:dyDescent="0.3">
      <c r="B58" s="269"/>
      <c r="C58" s="230"/>
      <c r="D58" s="233"/>
      <c r="E58" s="239"/>
      <c r="F58" s="132" t="s">
        <v>622</v>
      </c>
      <c r="G58" s="32">
        <v>7</v>
      </c>
      <c r="H58" s="13"/>
      <c r="I58" s="13"/>
      <c r="J58" s="14"/>
      <c r="K58" s="15">
        <f t="shared" si="0"/>
        <v>7</v>
      </c>
      <c r="L58" s="32">
        <v>23</v>
      </c>
      <c r="M58" s="13"/>
      <c r="N58" s="13"/>
      <c r="O58" s="14"/>
      <c r="P58" s="15">
        <f t="shared" si="1"/>
        <v>23</v>
      </c>
      <c r="Q58" s="32">
        <v>87</v>
      </c>
      <c r="R58" s="13"/>
      <c r="S58" s="13"/>
      <c r="T58" s="14"/>
      <c r="U58" s="15">
        <f t="shared" si="2"/>
        <v>87</v>
      </c>
      <c r="V58" s="32">
        <v>117</v>
      </c>
      <c r="W58" s="13"/>
      <c r="X58" s="13"/>
      <c r="Y58" s="14"/>
      <c r="Z58" s="15">
        <f t="shared" si="3"/>
        <v>117</v>
      </c>
      <c r="AA58" s="32">
        <v>101</v>
      </c>
      <c r="AB58" s="13"/>
      <c r="AC58" s="13"/>
      <c r="AD58" s="14"/>
      <c r="AE58" s="15">
        <f t="shared" si="4"/>
        <v>101</v>
      </c>
      <c r="AF58" s="32">
        <v>80</v>
      </c>
      <c r="AG58" s="13"/>
      <c r="AH58" s="13"/>
      <c r="AI58" s="14"/>
      <c r="AJ58" s="15">
        <f t="shared" si="5"/>
        <v>80</v>
      </c>
      <c r="AK58" s="32">
        <v>39</v>
      </c>
      <c r="AL58" s="13"/>
      <c r="AM58" s="13"/>
      <c r="AN58" s="14"/>
      <c r="AO58" s="15">
        <f t="shared" si="59"/>
        <v>39</v>
      </c>
      <c r="AP58" s="32">
        <v>112</v>
      </c>
      <c r="AQ58" s="13"/>
      <c r="AR58" s="13"/>
      <c r="AS58" s="14"/>
      <c r="AT58" s="15">
        <f t="shared" si="60"/>
        <v>112</v>
      </c>
      <c r="AU58" s="32"/>
      <c r="AV58" s="13"/>
      <c r="AW58" s="13"/>
      <c r="AX58" s="14"/>
      <c r="AY58" s="15">
        <f t="shared" si="61"/>
        <v>0</v>
      </c>
      <c r="AZ58" s="32"/>
      <c r="BA58" s="13"/>
      <c r="BB58" s="13"/>
      <c r="BC58" s="14"/>
      <c r="BD58" s="15">
        <f t="shared" si="62"/>
        <v>0</v>
      </c>
      <c r="BE58" s="32">
        <v>37</v>
      </c>
      <c r="BF58" s="13"/>
      <c r="BG58" s="13"/>
      <c r="BH58" s="14"/>
      <c r="BI58" s="15">
        <f t="shared" si="63"/>
        <v>37</v>
      </c>
      <c r="BJ58" s="32"/>
      <c r="BK58" s="13"/>
      <c r="BL58" s="13"/>
      <c r="BM58" s="14"/>
      <c r="BN58" s="15">
        <f t="shared" si="64"/>
        <v>0</v>
      </c>
      <c r="BO58" s="66">
        <f>SUM(G58,L58,Q58,V58,AA58,AF58,AK58,AP58,AU58,AZ58,BE58,BJ58)</f>
        <v>603</v>
      </c>
      <c r="BP58" s="13">
        <f>SUM(H58,M58,R58,W58,AB58,AG58,AL58,AQ58,AV58,BA58,BF58,BK58)</f>
        <v>0</v>
      </c>
      <c r="BQ58" s="13">
        <f>SUM(I58,N58,S58,X58,AC58,AH58,AM58,AR58,AW58,BB58,BG58,BL58)</f>
        <v>0</v>
      </c>
      <c r="BR58" s="14">
        <f>SUM(J58,O58,T58,Y58,AD58,AI58,AN58,AS58,AX58,BC58,BH58,BM58)</f>
        <v>0</v>
      </c>
      <c r="BS58" s="33">
        <f t="shared" si="12"/>
        <v>603</v>
      </c>
    </row>
    <row r="59" spans="2:71" x14ac:dyDescent="0.3">
      <c r="B59" s="269"/>
      <c r="C59" s="230"/>
      <c r="D59" s="233"/>
      <c r="E59" s="239"/>
      <c r="F59" s="123" t="s">
        <v>51</v>
      </c>
      <c r="G59" s="32">
        <v>92</v>
      </c>
      <c r="H59" s="13"/>
      <c r="I59" s="13"/>
      <c r="J59" s="14"/>
      <c r="K59" s="15">
        <f t="shared" si="0"/>
        <v>92</v>
      </c>
      <c r="L59" s="32">
        <v>198</v>
      </c>
      <c r="M59" s="13"/>
      <c r="N59" s="13"/>
      <c r="O59" s="14"/>
      <c r="P59" s="15">
        <f t="shared" si="1"/>
        <v>198</v>
      </c>
      <c r="Q59" s="32">
        <v>502</v>
      </c>
      <c r="R59" s="13"/>
      <c r="S59" s="13"/>
      <c r="T59" s="14"/>
      <c r="U59" s="15">
        <f t="shared" si="2"/>
        <v>502</v>
      </c>
      <c r="V59" s="32">
        <v>364</v>
      </c>
      <c r="W59" s="13"/>
      <c r="X59" s="13"/>
      <c r="Y59" s="14"/>
      <c r="Z59" s="15">
        <f t="shared" si="3"/>
        <v>364</v>
      </c>
      <c r="AA59" s="32">
        <v>373</v>
      </c>
      <c r="AB59" s="13"/>
      <c r="AC59" s="13"/>
      <c r="AD59" s="14"/>
      <c r="AE59" s="15">
        <f t="shared" si="4"/>
        <v>373</v>
      </c>
      <c r="AF59" s="32">
        <v>221</v>
      </c>
      <c r="AG59" s="13"/>
      <c r="AH59" s="13"/>
      <c r="AI59" s="14"/>
      <c r="AJ59" s="15">
        <f t="shared" si="5"/>
        <v>221</v>
      </c>
      <c r="AK59" s="32">
        <v>80</v>
      </c>
      <c r="AL59" s="13"/>
      <c r="AM59" s="13"/>
      <c r="AN59" s="14"/>
      <c r="AO59" s="15">
        <f t="shared" si="59"/>
        <v>80</v>
      </c>
      <c r="AP59" s="32">
        <v>174</v>
      </c>
      <c r="AQ59" s="13"/>
      <c r="AR59" s="13"/>
      <c r="AS59" s="14"/>
      <c r="AT59" s="15">
        <f t="shared" si="60"/>
        <v>174</v>
      </c>
      <c r="AU59" s="32"/>
      <c r="AV59" s="13"/>
      <c r="AW59" s="13"/>
      <c r="AX59" s="14"/>
      <c r="AY59" s="15">
        <f t="shared" si="61"/>
        <v>0</v>
      </c>
      <c r="AZ59" s="32"/>
      <c r="BA59" s="13"/>
      <c r="BB59" s="13"/>
      <c r="BC59" s="14"/>
      <c r="BD59" s="15">
        <f t="shared" si="62"/>
        <v>0</v>
      </c>
      <c r="BE59" s="32">
        <v>101</v>
      </c>
      <c r="BF59" s="13"/>
      <c r="BG59" s="13"/>
      <c r="BH59" s="14"/>
      <c r="BI59" s="15">
        <f t="shared" si="63"/>
        <v>101</v>
      </c>
      <c r="BJ59" s="32"/>
      <c r="BK59" s="13"/>
      <c r="BL59" s="13"/>
      <c r="BM59" s="14"/>
      <c r="BN59" s="15">
        <f t="shared" si="64"/>
        <v>0</v>
      </c>
      <c r="BO59" s="66">
        <f>SUM(G59,L59,Q59,V59,AA59,AF59,AK59,AP59,AU59,AZ59,BE59,BJ59)</f>
        <v>2105</v>
      </c>
      <c r="BP59" s="13">
        <f>SUM(H59,M59,R59,W59,AB59,AG59,AL59,AQ59,AV59,BA59,BF59,BK59)</f>
        <v>0</v>
      </c>
      <c r="BQ59" s="13">
        <f>SUM(I59,N59,S59,X59,AC59,AH59,AM59,AR59,AW59,BB59,BG59,BL59)</f>
        <v>0</v>
      </c>
      <c r="BR59" s="14">
        <f>SUM(J59,O59,T59,Y59,AD59,AI59,AN59,AS59,AX59,BC59,BH59,BM59)</f>
        <v>0</v>
      </c>
      <c r="BS59" s="33">
        <f t="shared" si="12"/>
        <v>2105</v>
      </c>
    </row>
    <row r="60" spans="2:71" x14ac:dyDescent="0.3">
      <c r="B60" s="269"/>
      <c r="C60" s="230"/>
      <c r="D60" s="233"/>
      <c r="E60" s="239"/>
      <c r="F60" s="121" t="s">
        <v>52</v>
      </c>
      <c r="G60" s="32">
        <v>5</v>
      </c>
      <c r="H60" s="13"/>
      <c r="I60" s="13"/>
      <c r="J60" s="14"/>
      <c r="K60" s="15">
        <f t="shared" si="0"/>
        <v>5</v>
      </c>
      <c r="L60" s="32">
        <v>17</v>
      </c>
      <c r="M60" s="13"/>
      <c r="N60" s="13"/>
      <c r="O60" s="14"/>
      <c r="P60" s="15">
        <f t="shared" si="1"/>
        <v>17</v>
      </c>
      <c r="Q60" s="32">
        <v>69</v>
      </c>
      <c r="R60" s="13"/>
      <c r="S60" s="13"/>
      <c r="T60" s="14"/>
      <c r="U60" s="15">
        <f t="shared" si="2"/>
        <v>69</v>
      </c>
      <c r="V60" s="32">
        <v>85</v>
      </c>
      <c r="W60" s="13"/>
      <c r="X60" s="13"/>
      <c r="Y60" s="14"/>
      <c r="Z60" s="15">
        <f t="shared" si="3"/>
        <v>85</v>
      </c>
      <c r="AA60" s="32">
        <v>83</v>
      </c>
      <c r="AB60" s="13"/>
      <c r="AC60" s="13"/>
      <c r="AD60" s="14"/>
      <c r="AE60" s="15">
        <f t="shared" si="4"/>
        <v>83</v>
      </c>
      <c r="AF60" s="32">
        <v>55</v>
      </c>
      <c r="AG60" s="13"/>
      <c r="AH60" s="13"/>
      <c r="AI60" s="14"/>
      <c r="AJ60" s="15">
        <f t="shared" si="5"/>
        <v>55</v>
      </c>
      <c r="AK60" s="32">
        <v>28</v>
      </c>
      <c r="AL60" s="13"/>
      <c r="AM60" s="13"/>
      <c r="AN60" s="14"/>
      <c r="AO60" s="15">
        <f t="shared" si="59"/>
        <v>28</v>
      </c>
      <c r="AP60" s="32">
        <v>80</v>
      </c>
      <c r="AQ60" s="13"/>
      <c r="AR60" s="13"/>
      <c r="AS60" s="14"/>
      <c r="AT60" s="15">
        <f t="shared" si="60"/>
        <v>80</v>
      </c>
      <c r="AU60" s="32"/>
      <c r="AV60" s="13"/>
      <c r="AW60" s="13"/>
      <c r="AX60" s="14"/>
      <c r="AY60" s="15">
        <f t="shared" si="61"/>
        <v>0</v>
      </c>
      <c r="AZ60" s="32"/>
      <c r="BA60" s="13"/>
      <c r="BB60" s="13"/>
      <c r="BC60" s="14"/>
      <c r="BD60" s="15">
        <f t="shared" si="62"/>
        <v>0</v>
      </c>
      <c r="BE60" s="32">
        <v>20</v>
      </c>
      <c r="BF60" s="13"/>
      <c r="BG60" s="13"/>
      <c r="BH60" s="14"/>
      <c r="BI60" s="15">
        <f t="shared" si="63"/>
        <v>20</v>
      </c>
      <c r="BJ60" s="32"/>
      <c r="BK60" s="13"/>
      <c r="BL60" s="13"/>
      <c r="BM60" s="14"/>
      <c r="BN60" s="15">
        <f t="shared" si="64"/>
        <v>0</v>
      </c>
      <c r="BO60" s="66">
        <f>SUM(G60,L60,Q60,V60,AA60,AF60,AK60,AP60,AU60,AZ60,BE60,BJ60)</f>
        <v>442</v>
      </c>
      <c r="BP60" s="13">
        <f>SUM(H60,M60,R60,W60,AB60,AG60,AL60,AQ60,AV60,BA60,BF60,BK60)</f>
        <v>0</v>
      </c>
      <c r="BQ60" s="13">
        <f>SUM(I60,N60,S60,X60,AC60,AH60,AM60,AR60,AW60,BB60,BG60,BL60)</f>
        <v>0</v>
      </c>
      <c r="BR60" s="14">
        <f>SUM(J60,O60,T60,Y60,AD60,AI60,AN60,AS60,AX60,BC60,BH60,BM60)</f>
        <v>0</v>
      </c>
      <c r="BS60" s="33">
        <f t="shared" si="12"/>
        <v>442</v>
      </c>
    </row>
    <row r="61" spans="2:71" x14ac:dyDescent="0.3">
      <c r="B61" s="269"/>
      <c r="C61" s="230"/>
      <c r="D61" s="233"/>
      <c r="E61" s="239"/>
      <c r="F61" s="123" t="s">
        <v>625</v>
      </c>
      <c r="G61" s="34"/>
      <c r="H61" s="16"/>
      <c r="I61" s="16"/>
      <c r="J61" s="17"/>
      <c r="K61" s="18">
        <f t="shared" ref="K61:K72" si="65">SUM(G61:J61)</f>
        <v>0</v>
      </c>
      <c r="L61" s="34"/>
      <c r="M61" s="16"/>
      <c r="N61" s="16"/>
      <c r="O61" s="17"/>
      <c r="P61" s="18">
        <f t="shared" si="1"/>
        <v>0</v>
      </c>
      <c r="Q61" s="34">
        <v>936</v>
      </c>
      <c r="R61" s="16"/>
      <c r="S61" s="16"/>
      <c r="T61" s="17"/>
      <c r="U61" s="18">
        <f t="shared" si="2"/>
        <v>936</v>
      </c>
      <c r="V61" s="34">
        <v>562</v>
      </c>
      <c r="W61" s="16"/>
      <c r="X61" s="16"/>
      <c r="Y61" s="17"/>
      <c r="Z61" s="18">
        <f t="shared" si="3"/>
        <v>562</v>
      </c>
      <c r="AA61" s="34">
        <v>544</v>
      </c>
      <c r="AB61" s="16"/>
      <c r="AC61" s="16"/>
      <c r="AD61" s="17"/>
      <c r="AE61" s="18">
        <f t="shared" si="4"/>
        <v>544</v>
      </c>
      <c r="AF61" s="34"/>
      <c r="AG61" s="16"/>
      <c r="AH61" s="16"/>
      <c r="AI61" s="17"/>
      <c r="AJ61" s="18">
        <f t="shared" si="5"/>
        <v>0</v>
      </c>
      <c r="AK61" s="34"/>
      <c r="AL61" s="16"/>
      <c r="AM61" s="16"/>
      <c r="AN61" s="17"/>
      <c r="AO61" s="18">
        <f t="shared" si="59"/>
        <v>0</v>
      </c>
      <c r="AP61" s="34"/>
      <c r="AQ61" s="16"/>
      <c r="AR61" s="16"/>
      <c r="AS61" s="17"/>
      <c r="AT61" s="18">
        <f t="shared" si="60"/>
        <v>0</v>
      </c>
      <c r="AU61" s="34">
        <v>2313</v>
      </c>
      <c r="AV61" s="16"/>
      <c r="AW61" s="16"/>
      <c r="AX61" s="17"/>
      <c r="AY61" s="18">
        <f t="shared" si="61"/>
        <v>2313</v>
      </c>
      <c r="AZ61" s="34">
        <v>5213</v>
      </c>
      <c r="BA61" s="16"/>
      <c r="BB61" s="16"/>
      <c r="BC61" s="17"/>
      <c r="BD61" s="18">
        <f t="shared" si="62"/>
        <v>5213</v>
      </c>
      <c r="BE61" s="34">
        <v>446</v>
      </c>
      <c r="BF61" s="16"/>
      <c r="BG61" s="16"/>
      <c r="BH61" s="17"/>
      <c r="BI61" s="18">
        <f t="shared" si="63"/>
        <v>446</v>
      </c>
      <c r="BJ61" s="34"/>
      <c r="BK61" s="16"/>
      <c r="BL61" s="16"/>
      <c r="BM61" s="17"/>
      <c r="BN61" s="18">
        <f t="shared" si="64"/>
        <v>0</v>
      </c>
      <c r="BO61" s="70">
        <f>SUM(G61,L61,Q61,V61,AA61,AF61,AK61,AP61,AU61,AZ61,BE61,BJ61)</f>
        <v>10014</v>
      </c>
      <c r="BP61" s="16">
        <f>SUM(H61,M61,R61,W61,AB61,AG61,AL61,AQ61,AV61,BA61,BF61,BK61)</f>
        <v>0</v>
      </c>
      <c r="BQ61" s="16">
        <f>SUM(I61,N61,S61,X61,AC61,AH61,AM61,AR61,AW61,BB61,BG61,BL61)</f>
        <v>0</v>
      </c>
      <c r="BR61" s="17">
        <f>SUM(J61,O61,T61,Y61,AD61,AI61,AN61,AS61,AX61,BC61,BH61,BM61)</f>
        <v>0</v>
      </c>
      <c r="BS61" s="35">
        <f t="shared" si="12"/>
        <v>10014</v>
      </c>
    </row>
    <row r="62" spans="2:71" x14ac:dyDescent="0.3">
      <c r="B62" s="269"/>
      <c r="C62" s="230"/>
      <c r="D62" s="233"/>
      <c r="E62" s="239"/>
      <c r="F62" s="121" t="s">
        <v>626</v>
      </c>
      <c r="G62" s="32"/>
      <c r="H62" s="13"/>
      <c r="I62" s="13"/>
      <c r="J62" s="14"/>
      <c r="K62" s="15">
        <f t="shared" si="65"/>
        <v>0</v>
      </c>
      <c r="L62" s="32"/>
      <c r="M62" s="13"/>
      <c r="N62" s="13"/>
      <c r="O62" s="14"/>
      <c r="P62" s="15">
        <f t="shared" si="1"/>
        <v>0</v>
      </c>
      <c r="Q62" s="32">
        <v>186</v>
      </c>
      <c r="R62" s="13"/>
      <c r="S62" s="13"/>
      <c r="T62" s="14"/>
      <c r="U62" s="15">
        <f t="shared" si="2"/>
        <v>186</v>
      </c>
      <c r="V62" s="32">
        <v>169</v>
      </c>
      <c r="W62" s="13"/>
      <c r="X62" s="13"/>
      <c r="Y62" s="14"/>
      <c r="Z62" s="15">
        <f t="shared" si="3"/>
        <v>169</v>
      </c>
      <c r="AA62" s="32">
        <v>109</v>
      </c>
      <c r="AB62" s="13"/>
      <c r="AC62" s="13"/>
      <c r="AD62" s="14"/>
      <c r="AE62" s="15">
        <f t="shared" si="4"/>
        <v>109</v>
      </c>
      <c r="AF62" s="32"/>
      <c r="AG62" s="13"/>
      <c r="AH62" s="13"/>
      <c r="AI62" s="14"/>
      <c r="AJ62" s="15">
        <f t="shared" si="5"/>
        <v>0</v>
      </c>
      <c r="AK62" s="32"/>
      <c r="AL62" s="13"/>
      <c r="AM62" s="13"/>
      <c r="AN62" s="14"/>
      <c r="AO62" s="15">
        <f t="shared" si="59"/>
        <v>0</v>
      </c>
      <c r="AP62" s="32"/>
      <c r="AQ62" s="13"/>
      <c r="AR62" s="13"/>
      <c r="AS62" s="14"/>
      <c r="AT62" s="15">
        <f t="shared" si="60"/>
        <v>0</v>
      </c>
      <c r="AU62" s="32">
        <v>734</v>
      </c>
      <c r="AV62" s="13"/>
      <c r="AW62" s="13"/>
      <c r="AX62" s="14"/>
      <c r="AY62" s="15">
        <f t="shared" si="61"/>
        <v>734</v>
      </c>
      <c r="AZ62" s="32">
        <v>1320</v>
      </c>
      <c r="BA62" s="13"/>
      <c r="BB62" s="13"/>
      <c r="BC62" s="14"/>
      <c r="BD62" s="15">
        <f t="shared" si="62"/>
        <v>1320</v>
      </c>
      <c r="BE62" s="32">
        <v>127</v>
      </c>
      <c r="BF62" s="13"/>
      <c r="BG62" s="13"/>
      <c r="BH62" s="14"/>
      <c r="BI62" s="15">
        <f t="shared" si="63"/>
        <v>127</v>
      </c>
      <c r="BJ62" s="32"/>
      <c r="BK62" s="13"/>
      <c r="BL62" s="13"/>
      <c r="BM62" s="14"/>
      <c r="BN62" s="15">
        <f t="shared" si="64"/>
        <v>0</v>
      </c>
      <c r="BO62" s="66">
        <f>SUM(G62,L62,Q62,V62,AA62,AF62,AK62,AP62,AU62,AZ62,BE62,BJ62)</f>
        <v>2645</v>
      </c>
      <c r="BP62" s="13">
        <f>SUM(H62,M62,R62,W62,AB62,AG62,AL62,AQ62,AV62,BA62,BF62,BK62)</f>
        <v>0</v>
      </c>
      <c r="BQ62" s="13">
        <f>SUM(I62,N62,S62,X62,AC62,AH62,AM62,AR62,AW62,BB62,BG62,BL62)</f>
        <v>0</v>
      </c>
      <c r="BR62" s="14">
        <f>SUM(J62,O62,T62,Y62,AD62,AI62,AN62,AS62,AX62,BC62,BH62,BM62)</f>
        <v>0</v>
      </c>
      <c r="BS62" s="33">
        <f t="shared" si="12"/>
        <v>2645</v>
      </c>
    </row>
    <row r="63" spans="2:71" x14ac:dyDescent="0.3">
      <c r="B63" s="269"/>
      <c r="C63" s="230"/>
      <c r="D63" s="233"/>
      <c r="E63" s="239"/>
      <c r="F63" s="123" t="s">
        <v>627</v>
      </c>
      <c r="G63" s="34"/>
      <c r="H63" s="16"/>
      <c r="I63" s="16"/>
      <c r="J63" s="17"/>
      <c r="K63" s="18">
        <f t="shared" si="65"/>
        <v>0</v>
      </c>
      <c r="L63" s="34"/>
      <c r="M63" s="16"/>
      <c r="N63" s="16"/>
      <c r="O63" s="17"/>
      <c r="P63" s="18">
        <f t="shared" si="1"/>
        <v>0</v>
      </c>
      <c r="Q63" s="34">
        <v>638</v>
      </c>
      <c r="R63" s="16"/>
      <c r="S63" s="16"/>
      <c r="T63" s="17"/>
      <c r="U63" s="18">
        <f t="shared" si="2"/>
        <v>638</v>
      </c>
      <c r="V63" s="34">
        <v>335</v>
      </c>
      <c r="W63" s="16"/>
      <c r="X63" s="16"/>
      <c r="Y63" s="17"/>
      <c r="Z63" s="18">
        <f t="shared" si="3"/>
        <v>335</v>
      </c>
      <c r="AA63" s="34">
        <v>338</v>
      </c>
      <c r="AB63" s="16"/>
      <c r="AC63" s="16"/>
      <c r="AD63" s="17"/>
      <c r="AE63" s="18">
        <f t="shared" si="4"/>
        <v>338</v>
      </c>
      <c r="AF63" s="34"/>
      <c r="AG63" s="16"/>
      <c r="AH63" s="16"/>
      <c r="AI63" s="17"/>
      <c r="AJ63" s="18">
        <f t="shared" si="5"/>
        <v>0</v>
      </c>
      <c r="AK63" s="34"/>
      <c r="AL63" s="16"/>
      <c r="AM63" s="16"/>
      <c r="AN63" s="17"/>
      <c r="AO63" s="18">
        <f t="shared" si="59"/>
        <v>0</v>
      </c>
      <c r="AP63" s="34"/>
      <c r="AQ63" s="16"/>
      <c r="AR63" s="16"/>
      <c r="AS63" s="17"/>
      <c r="AT63" s="18">
        <f t="shared" si="60"/>
        <v>0</v>
      </c>
      <c r="AU63" s="34">
        <v>1915</v>
      </c>
      <c r="AV63" s="16"/>
      <c r="AW63" s="16"/>
      <c r="AX63" s="17"/>
      <c r="AY63" s="18">
        <f t="shared" si="61"/>
        <v>1915</v>
      </c>
      <c r="AZ63" s="34">
        <v>4270</v>
      </c>
      <c r="BA63" s="16"/>
      <c r="BB63" s="16"/>
      <c r="BC63" s="17"/>
      <c r="BD63" s="18">
        <f t="shared" si="62"/>
        <v>4270</v>
      </c>
      <c r="BE63" s="34">
        <v>317</v>
      </c>
      <c r="BF63" s="16"/>
      <c r="BG63" s="16"/>
      <c r="BH63" s="17"/>
      <c r="BI63" s="18">
        <f t="shared" si="63"/>
        <v>317</v>
      </c>
      <c r="BJ63" s="34"/>
      <c r="BK63" s="16"/>
      <c r="BL63" s="16"/>
      <c r="BM63" s="17"/>
      <c r="BN63" s="18">
        <f t="shared" si="64"/>
        <v>0</v>
      </c>
      <c r="BO63" s="70">
        <f>SUM(G63,L63,Q63,V63,AA63,AF63,AK63,AP63,AU63,AZ63,BE63,BJ63)</f>
        <v>7813</v>
      </c>
      <c r="BP63" s="16">
        <f>SUM(H63,M63,R63,W63,AB63,AG63,AL63,AQ63,AV63,BA63,BF63,BK63)</f>
        <v>0</v>
      </c>
      <c r="BQ63" s="16">
        <f>SUM(I63,N63,S63,X63,AC63,AH63,AM63,AR63,AW63,BB63,BG63,BL63)</f>
        <v>0</v>
      </c>
      <c r="BR63" s="17">
        <f>SUM(J63,O63,T63,Y63,AD63,AI63,AN63,AS63,AX63,BC63,BH63,BM63)</f>
        <v>0</v>
      </c>
      <c r="BS63" s="35">
        <f t="shared" si="12"/>
        <v>7813</v>
      </c>
    </row>
    <row r="64" spans="2:71" x14ac:dyDescent="0.3">
      <c r="B64" s="269"/>
      <c r="C64" s="230"/>
      <c r="D64" s="233"/>
      <c r="E64" s="239"/>
      <c r="F64" s="121" t="s">
        <v>628</v>
      </c>
      <c r="G64" s="32"/>
      <c r="H64" s="13"/>
      <c r="I64" s="13"/>
      <c r="J64" s="14"/>
      <c r="K64" s="15">
        <f t="shared" si="65"/>
        <v>0</v>
      </c>
      <c r="L64" s="32"/>
      <c r="M64" s="13"/>
      <c r="N64" s="13"/>
      <c r="O64" s="14"/>
      <c r="P64" s="15">
        <f t="shared" si="1"/>
        <v>0</v>
      </c>
      <c r="Q64" s="32">
        <v>131</v>
      </c>
      <c r="R64" s="13"/>
      <c r="S64" s="13"/>
      <c r="T64" s="14"/>
      <c r="U64" s="15">
        <f t="shared" si="2"/>
        <v>131</v>
      </c>
      <c r="V64" s="32">
        <v>120</v>
      </c>
      <c r="W64" s="13"/>
      <c r="X64" s="13"/>
      <c r="Y64" s="14"/>
      <c r="Z64" s="15">
        <f t="shared" si="3"/>
        <v>120</v>
      </c>
      <c r="AA64" s="32">
        <v>64</v>
      </c>
      <c r="AB64" s="13"/>
      <c r="AC64" s="13"/>
      <c r="AD64" s="14"/>
      <c r="AE64" s="15">
        <f t="shared" si="4"/>
        <v>64</v>
      </c>
      <c r="AF64" s="32"/>
      <c r="AG64" s="13"/>
      <c r="AH64" s="13"/>
      <c r="AI64" s="14"/>
      <c r="AJ64" s="15">
        <f t="shared" si="5"/>
        <v>0</v>
      </c>
      <c r="AK64" s="32"/>
      <c r="AL64" s="13"/>
      <c r="AM64" s="13"/>
      <c r="AN64" s="14"/>
      <c r="AO64" s="15">
        <f t="shared" si="59"/>
        <v>0</v>
      </c>
      <c r="AP64" s="32"/>
      <c r="AQ64" s="13"/>
      <c r="AR64" s="13"/>
      <c r="AS64" s="14"/>
      <c r="AT64" s="15">
        <f t="shared" si="60"/>
        <v>0</v>
      </c>
      <c r="AU64" s="32">
        <v>608</v>
      </c>
      <c r="AV64" s="13"/>
      <c r="AW64" s="13"/>
      <c r="AX64" s="14"/>
      <c r="AY64" s="15">
        <f t="shared" si="61"/>
        <v>608</v>
      </c>
      <c r="AZ64" s="32">
        <v>1052</v>
      </c>
      <c r="BA64" s="13"/>
      <c r="BB64" s="13"/>
      <c r="BC64" s="14"/>
      <c r="BD64" s="15">
        <f t="shared" si="62"/>
        <v>1052</v>
      </c>
      <c r="BE64" s="32">
        <v>103</v>
      </c>
      <c r="BF64" s="13"/>
      <c r="BG64" s="13"/>
      <c r="BH64" s="14"/>
      <c r="BI64" s="15">
        <f t="shared" si="63"/>
        <v>103</v>
      </c>
      <c r="BJ64" s="32"/>
      <c r="BK64" s="13"/>
      <c r="BL64" s="13"/>
      <c r="BM64" s="14"/>
      <c r="BN64" s="15">
        <f t="shared" si="64"/>
        <v>0</v>
      </c>
      <c r="BO64" s="66">
        <f>SUM(G64,L64,Q64,V64,AA64,AF64,AK64,AP64,AU64,AZ64,BE64,BJ64)</f>
        <v>2078</v>
      </c>
      <c r="BP64" s="13">
        <f>SUM(H64,M64,R64,W64,AB64,AG64,AL64,AQ64,AV64,BA64,BF64,BK64)</f>
        <v>0</v>
      </c>
      <c r="BQ64" s="13">
        <f>SUM(I64,N64,S64,X64,AC64,AH64,AM64,AR64,AW64,BB64,BG64,BL64)</f>
        <v>0</v>
      </c>
      <c r="BR64" s="14">
        <f>SUM(J64,O64,T64,Y64,AD64,AI64,AN64,AS64,AX64,BC64,BH64,BM64)</f>
        <v>0</v>
      </c>
      <c r="BS64" s="33">
        <f t="shared" si="12"/>
        <v>2078</v>
      </c>
    </row>
    <row r="65" spans="2:71" x14ac:dyDescent="0.3">
      <c r="B65" s="269"/>
      <c r="C65" s="230"/>
      <c r="D65" s="233"/>
      <c r="E65" s="239"/>
      <c r="F65" s="171" t="s">
        <v>276</v>
      </c>
      <c r="G65" s="179"/>
      <c r="H65" s="180"/>
      <c r="I65" s="180"/>
      <c r="J65" s="181"/>
      <c r="K65" s="182">
        <f t="shared" si="65"/>
        <v>0</v>
      </c>
      <c r="L65" s="179"/>
      <c r="M65" s="180"/>
      <c r="N65" s="180"/>
      <c r="O65" s="181"/>
      <c r="P65" s="182">
        <f t="shared" si="1"/>
        <v>0</v>
      </c>
      <c r="Q65" s="179">
        <v>243</v>
      </c>
      <c r="R65" s="180"/>
      <c r="S65" s="180"/>
      <c r="T65" s="181"/>
      <c r="U65" s="182">
        <f t="shared" si="2"/>
        <v>243</v>
      </c>
      <c r="V65" s="179">
        <v>113</v>
      </c>
      <c r="W65" s="180"/>
      <c r="X65" s="180"/>
      <c r="Y65" s="181"/>
      <c r="Z65" s="182">
        <f t="shared" si="3"/>
        <v>113</v>
      </c>
      <c r="AA65" s="179">
        <v>200</v>
      </c>
      <c r="AB65" s="180"/>
      <c r="AC65" s="180"/>
      <c r="AD65" s="181"/>
      <c r="AE65" s="182">
        <f t="shared" si="4"/>
        <v>200</v>
      </c>
      <c r="AF65" s="179"/>
      <c r="AG65" s="180"/>
      <c r="AH65" s="180"/>
      <c r="AI65" s="181"/>
      <c r="AJ65" s="182">
        <f t="shared" si="5"/>
        <v>0</v>
      </c>
      <c r="AK65" s="179"/>
      <c r="AL65" s="180"/>
      <c r="AM65" s="180"/>
      <c r="AN65" s="181"/>
      <c r="AO65" s="182">
        <f t="shared" si="59"/>
        <v>0</v>
      </c>
      <c r="AP65" s="179"/>
      <c r="AQ65" s="180"/>
      <c r="AR65" s="180"/>
      <c r="AS65" s="181"/>
      <c r="AT65" s="182">
        <f t="shared" si="60"/>
        <v>0</v>
      </c>
      <c r="AU65" s="179">
        <v>1203</v>
      </c>
      <c r="AV65" s="180"/>
      <c r="AW65" s="180"/>
      <c r="AX65" s="181"/>
      <c r="AY65" s="182">
        <f t="shared" si="61"/>
        <v>1203</v>
      </c>
      <c r="AZ65" s="179">
        <v>3770</v>
      </c>
      <c r="BA65" s="180"/>
      <c r="BB65" s="180"/>
      <c r="BC65" s="181"/>
      <c r="BD65" s="182">
        <f t="shared" si="62"/>
        <v>3770</v>
      </c>
      <c r="BE65" s="179">
        <v>285</v>
      </c>
      <c r="BF65" s="180"/>
      <c r="BG65" s="180"/>
      <c r="BH65" s="181"/>
      <c r="BI65" s="182">
        <f t="shared" si="63"/>
        <v>285</v>
      </c>
      <c r="BJ65" s="179"/>
      <c r="BK65" s="180"/>
      <c r="BL65" s="180"/>
      <c r="BM65" s="181"/>
      <c r="BN65" s="182">
        <f t="shared" si="64"/>
        <v>0</v>
      </c>
      <c r="BO65" s="184">
        <f>SUM(G65,L65,Q65,V65,AA65,AF65,AK65,AP65,AU65,AZ65,BE65,BJ65)</f>
        <v>5814</v>
      </c>
      <c r="BP65" s="180">
        <f>SUM(H65,M65,R65,W65,AB65,AG65,AL65,AQ65,AV65,BA65,BF65,BK65)</f>
        <v>0</v>
      </c>
      <c r="BQ65" s="180">
        <f>SUM(I65,N65,S65,X65,AC65,AH65,AM65,AR65,AW65,BB65,BG65,BL65)</f>
        <v>0</v>
      </c>
      <c r="BR65" s="181">
        <f>SUM(J65,O65,T65,Y65,AD65,AI65,AN65,AS65,AX65,BC65,BH65,BM65)</f>
        <v>0</v>
      </c>
      <c r="BS65" s="183">
        <f t="shared" si="12"/>
        <v>5814</v>
      </c>
    </row>
    <row r="66" spans="2:71" x14ac:dyDescent="0.3">
      <c r="B66" s="269"/>
      <c r="C66" s="230"/>
      <c r="D66" s="233"/>
      <c r="E66" s="239"/>
      <c r="F66" s="171" t="s">
        <v>277</v>
      </c>
      <c r="G66" s="179"/>
      <c r="H66" s="180"/>
      <c r="I66" s="180"/>
      <c r="J66" s="181"/>
      <c r="K66" s="182">
        <f t="shared" si="65"/>
        <v>0</v>
      </c>
      <c r="L66" s="179"/>
      <c r="M66" s="180"/>
      <c r="N66" s="180"/>
      <c r="O66" s="181"/>
      <c r="P66" s="182">
        <f t="shared" si="1"/>
        <v>0</v>
      </c>
      <c r="Q66" s="179">
        <v>48</v>
      </c>
      <c r="R66" s="180"/>
      <c r="S66" s="180"/>
      <c r="T66" s="181"/>
      <c r="U66" s="182">
        <f t="shared" si="2"/>
        <v>48</v>
      </c>
      <c r="V66" s="179">
        <v>31</v>
      </c>
      <c r="W66" s="180"/>
      <c r="X66" s="180"/>
      <c r="Y66" s="181"/>
      <c r="Z66" s="182">
        <f t="shared" si="3"/>
        <v>31</v>
      </c>
      <c r="AA66" s="179">
        <v>37</v>
      </c>
      <c r="AB66" s="180"/>
      <c r="AC66" s="180"/>
      <c r="AD66" s="181"/>
      <c r="AE66" s="182">
        <f t="shared" si="4"/>
        <v>37</v>
      </c>
      <c r="AF66" s="179"/>
      <c r="AG66" s="180"/>
      <c r="AH66" s="180"/>
      <c r="AI66" s="181"/>
      <c r="AJ66" s="182">
        <f t="shared" si="5"/>
        <v>0</v>
      </c>
      <c r="AK66" s="179"/>
      <c r="AL66" s="180"/>
      <c r="AM66" s="180"/>
      <c r="AN66" s="181"/>
      <c r="AO66" s="182">
        <f t="shared" si="59"/>
        <v>0</v>
      </c>
      <c r="AP66" s="179"/>
      <c r="AQ66" s="180"/>
      <c r="AR66" s="180"/>
      <c r="AS66" s="181"/>
      <c r="AT66" s="182">
        <f t="shared" si="60"/>
        <v>0</v>
      </c>
      <c r="AU66" s="179">
        <v>144</v>
      </c>
      <c r="AV66" s="180"/>
      <c r="AW66" s="180"/>
      <c r="AX66" s="181"/>
      <c r="AY66" s="182">
        <f t="shared" si="61"/>
        <v>144</v>
      </c>
      <c r="AZ66" s="179">
        <v>354</v>
      </c>
      <c r="BA66" s="180"/>
      <c r="BB66" s="180"/>
      <c r="BC66" s="181"/>
      <c r="BD66" s="182">
        <f t="shared" si="62"/>
        <v>354</v>
      </c>
      <c r="BE66" s="179">
        <v>45</v>
      </c>
      <c r="BF66" s="180"/>
      <c r="BG66" s="180"/>
      <c r="BH66" s="181"/>
      <c r="BI66" s="182">
        <f t="shared" si="63"/>
        <v>45</v>
      </c>
      <c r="BJ66" s="179"/>
      <c r="BK66" s="180"/>
      <c r="BL66" s="180"/>
      <c r="BM66" s="181"/>
      <c r="BN66" s="182">
        <f t="shared" si="64"/>
        <v>0</v>
      </c>
      <c r="BO66" s="184">
        <f>SUM(G66,L66,Q66,V66,AA66,AF66,AK66,AP66,AU66,AZ66,BE66,BJ66)</f>
        <v>659</v>
      </c>
      <c r="BP66" s="180">
        <f>SUM(H66,M66,R66,W66,AB66,AG66,AL66,AQ66,AV66,BA66,BF66,BK66)</f>
        <v>0</v>
      </c>
      <c r="BQ66" s="180">
        <f>SUM(I66,N66,S66,X66,AC66,AH66,AM66,AR66,AW66,BB66,BG66,BL66)</f>
        <v>0</v>
      </c>
      <c r="BR66" s="181">
        <f>SUM(J66,O66,T66,Y66,AD66,AI66,AN66,AS66,AX66,BC66,BH66,BM66)</f>
        <v>0</v>
      </c>
      <c r="BS66" s="183">
        <f t="shared" si="12"/>
        <v>659</v>
      </c>
    </row>
    <row r="67" spans="2:71" x14ac:dyDescent="0.3">
      <c r="B67" s="269"/>
      <c r="C67" s="230"/>
      <c r="D67" s="233"/>
      <c r="E67" s="239"/>
      <c r="F67" s="171" t="s">
        <v>278</v>
      </c>
      <c r="G67" s="179"/>
      <c r="H67" s="180"/>
      <c r="I67" s="180"/>
      <c r="J67" s="181"/>
      <c r="K67" s="182">
        <f t="shared" si="65"/>
        <v>0</v>
      </c>
      <c r="L67" s="179"/>
      <c r="M67" s="180"/>
      <c r="N67" s="180"/>
      <c r="O67" s="181"/>
      <c r="P67" s="182">
        <f t="shared" si="1"/>
        <v>0</v>
      </c>
      <c r="Q67" s="179">
        <v>178</v>
      </c>
      <c r="R67" s="180"/>
      <c r="S67" s="180"/>
      <c r="T67" s="181"/>
      <c r="U67" s="182">
        <f t="shared" si="2"/>
        <v>178</v>
      </c>
      <c r="V67" s="179">
        <v>171</v>
      </c>
      <c r="W67" s="180"/>
      <c r="X67" s="180"/>
      <c r="Y67" s="181"/>
      <c r="Z67" s="182">
        <f t="shared" si="3"/>
        <v>171</v>
      </c>
      <c r="AA67" s="179">
        <v>135</v>
      </c>
      <c r="AB67" s="180"/>
      <c r="AC67" s="180"/>
      <c r="AD67" s="181"/>
      <c r="AE67" s="182">
        <f t="shared" si="4"/>
        <v>135</v>
      </c>
      <c r="AF67" s="179"/>
      <c r="AG67" s="180"/>
      <c r="AH67" s="180"/>
      <c r="AI67" s="181"/>
      <c r="AJ67" s="182">
        <f t="shared" si="5"/>
        <v>0</v>
      </c>
      <c r="AK67" s="179"/>
      <c r="AL67" s="180"/>
      <c r="AM67" s="180"/>
      <c r="AN67" s="181"/>
      <c r="AO67" s="182">
        <f t="shared" si="59"/>
        <v>0</v>
      </c>
      <c r="AP67" s="179"/>
      <c r="AQ67" s="180"/>
      <c r="AR67" s="180"/>
      <c r="AS67" s="181"/>
      <c r="AT67" s="182">
        <f t="shared" si="60"/>
        <v>0</v>
      </c>
      <c r="AU67" s="179">
        <v>926</v>
      </c>
      <c r="AV67" s="180"/>
      <c r="AW67" s="180"/>
      <c r="AX67" s="181"/>
      <c r="AY67" s="182">
        <f t="shared" si="61"/>
        <v>926</v>
      </c>
      <c r="AZ67" s="179">
        <v>2930</v>
      </c>
      <c r="BA67" s="180"/>
      <c r="BB67" s="180"/>
      <c r="BC67" s="181"/>
      <c r="BD67" s="182">
        <f t="shared" si="62"/>
        <v>2930</v>
      </c>
      <c r="BE67" s="179">
        <v>202</v>
      </c>
      <c r="BF67" s="180"/>
      <c r="BG67" s="180"/>
      <c r="BH67" s="181"/>
      <c r="BI67" s="182">
        <f t="shared" si="63"/>
        <v>202</v>
      </c>
      <c r="BJ67" s="179"/>
      <c r="BK67" s="180"/>
      <c r="BL67" s="180"/>
      <c r="BM67" s="181"/>
      <c r="BN67" s="182">
        <f t="shared" si="64"/>
        <v>0</v>
      </c>
      <c r="BO67" s="184">
        <f>SUM(G67,L67,Q67,V67,AA67,AF67,AK67,AP67,AU67,AZ67,BE67,BJ67)</f>
        <v>4542</v>
      </c>
      <c r="BP67" s="180">
        <f>SUM(H67,M67,R67,W67,AB67,AG67,AL67,AQ67,AV67,BA67,BF67,BK67)</f>
        <v>0</v>
      </c>
      <c r="BQ67" s="180">
        <f>SUM(I67,N67,S67,X67,AC67,AH67,AM67,AR67,AW67,BB67,BG67,BL67)</f>
        <v>0</v>
      </c>
      <c r="BR67" s="181">
        <f>SUM(J67,O67,T67,Y67,AD67,AI67,AN67,AS67,AX67,BC67,BH67,BM67)</f>
        <v>0</v>
      </c>
      <c r="BS67" s="183">
        <f t="shared" si="12"/>
        <v>4542</v>
      </c>
    </row>
    <row r="68" spans="2:71" x14ac:dyDescent="0.3">
      <c r="B68" s="269"/>
      <c r="C68" s="230"/>
      <c r="D68" s="233"/>
      <c r="E68" s="239"/>
      <c r="F68" s="171" t="s">
        <v>279</v>
      </c>
      <c r="G68" s="179"/>
      <c r="H68" s="180"/>
      <c r="I68" s="180"/>
      <c r="J68" s="181"/>
      <c r="K68" s="182">
        <f t="shared" si="65"/>
        <v>0</v>
      </c>
      <c r="L68" s="179"/>
      <c r="M68" s="180"/>
      <c r="N68" s="180"/>
      <c r="O68" s="181"/>
      <c r="P68" s="182">
        <f t="shared" si="1"/>
        <v>0</v>
      </c>
      <c r="Q68" s="179">
        <v>41</v>
      </c>
      <c r="R68" s="180"/>
      <c r="S68" s="180"/>
      <c r="T68" s="181"/>
      <c r="U68" s="182">
        <f t="shared" si="2"/>
        <v>41</v>
      </c>
      <c r="V68" s="179">
        <v>22</v>
      </c>
      <c r="W68" s="180"/>
      <c r="X68" s="180"/>
      <c r="Y68" s="181"/>
      <c r="Z68" s="182">
        <f t="shared" si="3"/>
        <v>22</v>
      </c>
      <c r="AA68" s="179">
        <v>29</v>
      </c>
      <c r="AB68" s="180"/>
      <c r="AC68" s="180"/>
      <c r="AD68" s="181"/>
      <c r="AE68" s="182">
        <f t="shared" si="4"/>
        <v>29</v>
      </c>
      <c r="AF68" s="179"/>
      <c r="AG68" s="180"/>
      <c r="AH68" s="180"/>
      <c r="AI68" s="181"/>
      <c r="AJ68" s="182">
        <f t="shared" si="5"/>
        <v>0</v>
      </c>
      <c r="AK68" s="179"/>
      <c r="AL68" s="180"/>
      <c r="AM68" s="180"/>
      <c r="AN68" s="181"/>
      <c r="AO68" s="182">
        <f t="shared" si="59"/>
        <v>0</v>
      </c>
      <c r="AP68" s="179"/>
      <c r="AQ68" s="180"/>
      <c r="AR68" s="180"/>
      <c r="AS68" s="181"/>
      <c r="AT68" s="182">
        <f t="shared" si="60"/>
        <v>0</v>
      </c>
      <c r="AU68" s="179">
        <v>111</v>
      </c>
      <c r="AV68" s="180"/>
      <c r="AW68" s="180"/>
      <c r="AX68" s="181"/>
      <c r="AY68" s="182">
        <f t="shared" si="61"/>
        <v>111</v>
      </c>
      <c r="AZ68" s="179">
        <v>296</v>
      </c>
      <c r="BA68" s="180"/>
      <c r="BB68" s="180"/>
      <c r="BC68" s="181"/>
      <c r="BD68" s="182">
        <f t="shared" si="62"/>
        <v>296</v>
      </c>
      <c r="BE68" s="179">
        <v>39</v>
      </c>
      <c r="BF68" s="180"/>
      <c r="BG68" s="180"/>
      <c r="BH68" s="181"/>
      <c r="BI68" s="182">
        <f t="shared" si="63"/>
        <v>39</v>
      </c>
      <c r="BJ68" s="179"/>
      <c r="BK68" s="180"/>
      <c r="BL68" s="180"/>
      <c r="BM68" s="181"/>
      <c r="BN68" s="182">
        <f t="shared" si="64"/>
        <v>0</v>
      </c>
      <c r="BO68" s="184">
        <f>SUM(G68,L68,Q68,V68,AA68,AF68,AK68,AP68,AU68,AZ68,BE68,BJ68)</f>
        <v>538</v>
      </c>
      <c r="BP68" s="180">
        <f>SUM(H68,M68,R68,W68,AB68,AG68,AL68,AQ68,AV68,BA68,BF68,BK68)</f>
        <v>0</v>
      </c>
      <c r="BQ68" s="180">
        <f>SUM(I68,N68,S68,X68,AC68,AH68,AM68,AR68,AW68,BB68,BG68,BL68)</f>
        <v>0</v>
      </c>
      <c r="BR68" s="181">
        <f>SUM(J68,O68,T68,Y68,AD68,AI68,AN68,AS68,AX68,BC68,BH68,BM68)</f>
        <v>0</v>
      </c>
      <c r="BS68" s="183">
        <f t="shared" si="12"/>
        <v>538</v>
      </c>
    </row>
    <row r="69" spans="2:71" x14ac:dyDescent="0.3">
      <c r="B69" s="269"/>
      <c r="C69" s="230"/>
      <c r="D69" s="233"/>
      <c r="E69" s="239"/>
      <c r="F69" s="123" t="s">
        <v>649</v>
      </c>
      <c r="G69" s="34"/>
      <c r="H69" s="16"/>
      <c r="I69" s="16"/>
      <c r="J69" s="17"/>
      <c r="K69" s="18">
        <f t="shared" si="65"/>
        <v>0</v>
      </c>
      <c r="L69" s="34"/>
      <c r="M69" s="16"/>
      <c r="N69" s="16"/>
      <c r="O69" s="17"/>
      <c r="P69" s="18">
        <f t="shared" si="1"/>
        <v>0</v>
      </c>
      <c r="Q69" s="34"/>
      <c r="R69" s="16"/>
      <c r="S69" s="16"/>
      <c r="T69" s="17"/>
      <c r="U69" s="18">
        <f t="shared" si="2"/>
        <v>0</v>
      </c>
      <c r="V69" s="34"/>
      <c r="W69" s="16"/>
      <c r="X69" s="16"/>
      <c r="Y69" s="17"/>
      <c r="Z69" s="18">
        <f t="shared" si="3"/>
        <v>0</v>
      </c>
      <c r="AA69" s="34"/>
      <c r="AB69" s="16"/>
      <c r="AC69" s="16"/>
      <c r="AD69" s="17"/>
      <c r="AE69" s="18">
        <f t="shared" si="4"/>
        <v>0</v>
      </c>
      <c r="AF69" s="34"/>
      <c r="AG69" s="16"/>
      <c r="AH69" s="16"/>
      <c r="AI69" s="17"/>
      <c r="AJ69" s="18">
        <f t="shared" si="5"/>
        <v>0</v>
      </c>
      <c r="AK69" s="34"/>
      <c r="AL69" s="16"/>
      <c r="AM69" s="16"/>
      <c r="AN69" s="17"/>
      <c r="AO69" s="18">
        <f t="shared" si="59"/>
        <v>0</v>
      </c>
      <c r="AP69" s="34"/>
      <c r="AQ69" s="16"/>
      <c r="AR69" s="16"/>
      <c r="AS69" s="17"/>
      <c r="AT69" s="18">
        <f t="shared" si="60"/>
        <v>0</v>
      </c>
      <c r="AU69" s="34">
        <v>56</v>
      </c>
      <c r="AV69" s="16"/>
      <c r="AW69" s="16"/>
      <c r="AX69" s="17"/>
      <c r="AY69" s="18">
        <f t="shared" si="61"/>
        <v>56</v>
      </c>
      <c r="AZ69" s="34">
        <v>179</v>
      </c>
      <c r="BA69" s="16"/>
      <c r="BB69" s="16"/>
      <c r="BC69" s="17"/>
      <c r="BD69" s="18">
        <f t="shared" si="62"/>
        <v>179</v>
      </c>
      <c r="BE69" s="34">
        <v>20</v>
      </c>
      <c r="BF69" s="16"/>
      <c r="BG69" s="16"/>
      <c r="BH69" s="17"/>
      <c r="BI69" s="18">
        <f t="shared" si="63"/>
        <v>20</v>
      </c>
      <c r="BJ69" s="34"/>
      <c r="BK69" s="16"/>
      <c r="BL69" s="16"/>
      <c r="BM69" s="17"/>
      <c r="BN69" s="18">
        <f t="shared" si="64"/>
        <v>0</v>
      </c>
      <c r="BO69" s="70">
        <f>SUM(G69,L69,Q69,V69,AA69,AF69,AK69,AP69,AU69,AZ69,BE69,BJ69)</f>
        <v>255</v>
      </c>
      <c r="BP69" s="16">
        <f>SUM(H69,M69,R69,W69,AB69,AG69,AL69,AQ69,AV69,BA69,BF69,BK69)</f>
        <v>0</v>
      </c>
      <c r="BQ69" s="16">
        <f>SUM(I69,N69,S69,X69,AC69,AH69,AM69,AR69,AW69,BB69,BG69,BL69)</f>
        <v>0</v>
      </c>
      <c r="BR69" s="17">
        <f>SUM(J69,O69,T69,Y69,AD69,AI69,AN69,AS69,AX69,BC69,BH69,BM69)</f>
        <v>0</v>
      </c>
      <c r="BS69" s="35">
        <f t="shared" si="12"/>
        <v>255</v>
      </c>
    </row>
    <row r="70" spans="2:71" x14ac:dyDescent="0.3">
      <c r="B70" s="269"/>
      <c r="C70" s="230"/>
      <c r="D70" s="233"/>
      <c r="E70" s="239"/>
      <c r="F70" s="123" t="s">
        <v>650</v>
      </c>
      <c r="G70" s="34"/>
      <c r="H70" s="16"/>
      <c r="I70" s="16"/>
      <c r="J70" s="17"/>
      <c r="K70" s="18">
        <f t="shared" si="65"/>
        <v>0</v>
      </c>
      <c r="L70" s="34"/>
      <c r="M70" s="16"/>
      <c r="N70" s="16"/>
      <c r="O70" s="17"/>
      <c r="P70" s="18">
        <f t="shared" ref="P70:P133" si="66">SUM(L70:O70)</f>
        <v>0</v>
      </c>
      <c r="Q70" s="34"/>
      <c r="R70" s="16"/>
      <c r="S70" s="16"/>
      <c r="T70" s="17"/>
      <c r="U70" s="18">
        <f t="shared" ref="U70:U133" si="67">SUM(Q70:T70)</f>
        <v>0</v>
      </c>
      <c r="V70" s="34"/>
      <c r="W70" s="16"/>
      <c r="X70" s="16"/>
      <c r="Y70" s="17"/>
      <c r="Z70" s="18">
        <f t="shared" ref="Z70:Z133" si="68">SUM(V70:Y70)</f>
        <v>0</v>
      </c>
      <c r="AA70" s="34"/>
      <c r="AB70" s="16"/>
      <c r="AC70" s="16"/>
      <c r="AD70" s="17"/>
      <c r="AE70" s="18">
        <f t="shared" ref="AE70:AE133" si="69">SUM(AA70:AD70)</f>
        <v>0</v>
      </c>
      <c r="AF70" s="34"/>
      <c r="AG70" s="16"/>
      <c r="AH70" s="16"/>
      <c r="AI70" s="17"/>
      <c r="AJ70" s="18">
        <f t="shared" ref="AJ70:AJ133" si="70">SUM(AF70:AI70)</f>
        <v>0</v>
      </c>
      <c r="AK70" s="34"/>
      <c r="AL70" s="16"/>
      <c r="AM70" s="16"/>
      <c r="AN70" s="17"/>
      <c r="AO70" s="18">
        <f t="shared" si="59"/>
        <v>0</v>
      </c>
      <c r="AP70" s="34"/>
      <c r="AQ70" s="16"/>
      <c r="AR70" s="16"/>
      <c r="AS70" s="17"/>
      <c r="AT70" s="18">
        <f t="shared" si="60"/>
        <v>0</v>
      </c>
      <c r="AU70" s="34">
        <v>14</v>
      </c>
      <c r="AV70" s="16"/>
      <c r="AW70" s="16"/>
      <c r="AX70" s="17"/>
      <c r="AY70" s="18">
        <f t="shared" si="61"/>
        <v>14</v>
      </c>
      <c r="AZ70" s="34">
        <v>50</v>
      </c>
      <c r="BA70" s="16"/>
      <c r="BB70" s="16"/>
      <c r="BC70" s="17"/>
      <c r="BD70" s="18">
        <f t="shared" si="62"/>
        <v>50</v>
      </c>
      <c r="BE70" s="34">
        <v>5</v>
      </c>
      <c r="BF70" s="16"/>
      <c r="BG70" s="16"/>
      <c r="BH70" s="17"/>
      <c r="BI70" s="18">
        <f t="shared" si="63"/>
        <v>5</v>
      </c>
      <c r="BJ70" s="34"/>
      <c r="BK70" s="16"/>
      <c r="BL70" s="16"/>
      <c r="BM70" s="17"/>
      <c r="BN70" s="18">
        <f t="shared" si="64"/>
        <v>0</v>
      </c>
      <c r="BO70" s="70">
        <f>SUM(G70,L70,Q70,V70,AA70,AF70,AK70,AP70,AU70,AZ70,BE70,BJ70)</f>
        <v>69</v>
      </c>
      <c r="BP70" s="16">
        <f>SUM(H70,M70,R70,W70,AB70,AG70,AL70,AQ70,AV70,BA70,BF70,BK70)</f>
        <v>0</v>
      </c>
      <c r="BQ70" s="16">
        <f>SUM(I70,N70,S70,X70,AC70,AH70,AM70,AR70,AW70,BB70,BG70,BL70)</f>
        <v>0</v>
      </c>
      <c r="BR70" s="17">
        <f>SUM(J70,O70,T70,Y70,AD70,AI70,AN70,AS70,AX70,BC70,BH70,BM70)</f>
        <v>0</v>
      </c>
      <c r="BS70" s="35">
        <f t="shared" si="12"/>
        <v>69</v>
      </c>
    </row>
    <row r="71" spans="2:71" x14ac:dyDescent="0.3">
      <c r="B71" s="269"/>
      <c r="C71" s="230"/>
      <c r="D71" s="233"/>
      <c r="E71" s="239"/>
      <c r="F71" s="123" t="s">
        <v>651</v>
      </c>
      <c r="G71" s="34"/>
      <c r="H71" s="16"/>
      <c r="I71" s="16"/>
      <c r="J71" s="17"/>
      <c r="K71" s="18">
        <f t="shared" si="65"/>
        <v>0</v>
      </c>
      <c r="L71" s="34"/>
      <c r="M71" s="16"/>
      <c r="N71" s="16"/>
      <c r="O71" s="17"/>
      <c r="P71" s="18">
        <f t="shared" si="66"/>
        <v>0</v>
      </c>
      <c r="Q71" s="34"/>
      <c r="R71" s="16"/>
      <c r="S71" s="16"/>
      <c r="T71" s="17"/>
      <c r="U71" s="18">
        <f t="shared" si="67"/>
        <v>0</v>
      </c>
      <c r="V71" s="34"/>
      <c r="W71" s="16"/>
      <c r="X71" s="16"/>
      <c r="Y71" s="17"/>
      <c r="Z71" s="18">
        <f t="shared" si="68"/>
        <v>0</v>
      </c>
      <c r="AA71" s="34"/>
      <c r="AB71" s="16"/>
      <c r="AC71" s="16"/>
      <c r="AD71" s="17"/>
      <c r="AE71" s="18">
        <f t="shared" si="69"/>
        <v>0</v>
      </c>
      <c r="AF71" s="34"/>
      <c r="AG71" s="16"/>
      <c r="AH71" s="16"/>
      <c r="AI71" s="17"/>
      <c r="AJ71" s="18">
        <f t="shared" si="70"/>
        <v>0</v>
      </c>
      <c r="AK71" s="34"/>
      <c r="AL71" s="16"/>
      <c r="AM71" s="16"/>
      <c r="AN71" s="17"/>
      <c r="AO71" s="18">
        <f t="shared" si="59"/>
        <v>0</v>
      </c>
      <c r="AP71" s="34"/>
      <c r="AQ71" s="16"/>
      <c r="AR71" s="16"/>
      <c r="AS71" s="17"/>
      <c r="AT71" s="18">
        <f t="shared" si="60"/>
        <v>0</v>
      </c>
      <c r="AU71" s="34">
        <v>51</v>
      </c>
      <c r="AV71" s="16"/>
      <c r="AW71" s="16"/>
      <c r="AX71" s="17"/>
      <c r="AY71" s="18">
        <f t="shared" si="61"/>
        <v>51</v>
      </c>
      <c r="AZ71" s="34">
        <v>158</v>
      </c>
      <c r="BA71" s="16"/>
      <c r="BB71" s="16"/>
      <c r="BC71" s="17"/>
      <c r="BD71" s="18">
        <f t="shared" si="62"/>
        <v>158</v>
      </c>
      <c r="BE71" s="34">
        <v>16</v>
      </c>
      <c r="BF71" s="16"/>
      <c r="BG71" s="16"/>
      <c r="BH71" s="17"/>
      <c r="BI71" s="18">
        <f t="shared" si="63"/>
        <v>16</v>
      </c>
      <c r="BJ71" s="34"/>
      <c r="BK71" s="16"/>
      <c r="BL71" s="16"/>
      <c r="BM71" s="17"/>
      <c r="BN71" s="18">
        <f t="shared" si="64"/>
        <v>0</v>
      </c>
      <c r="BO71" s="70">
        <f>SUM(G71,L71,Q71,V71,AA71,AF71,AK71,AP71,AU71,AZ71,BE71,BJ71)</f>
        <v>225</v>
      </c>
      <c r="BP71" s="16">
        <f>SUM(H71,M71,R71,W71,AB71,AG71,AL71,AQ71,AV71,BA71,BF71,BK71)</f>
        <v>0</v>
      </c>
      <c r="BQ71" s="16">
        <f>SUM(I71,N71,S71,X71,AC71,AH71,AM71,AR71,AW71,BB71,BG71,BL71)</f>
        <v>0</v>
      </c>
      <c r="BR71" s="17">
        <f>SUM(J71,O71,T71,Y71,AD71,AI71,AN71,AS71,AX71,BC71,BH71,BM71)</f>
        <v>0</v>
      </c>
      <c r="BS71" s="35">
        <f t="shared" si="12"/>
        <v>225</v>
      </c>
    </row>
    <row r="72" spans="2:71" x14ac:dyDescent="0.3">
      <c r="B72" s="269"/>
      <c r="C72" s="230"/>
      <c r="D72" s="233"/>
      <c r="E72" s="239"/>
      <c r="F72" s="133" t="s">
        <v>652</v>
      </c>
      <c r="G72" s="49"/>
      <c r="H72" s="50"/>
      <c r="I72" s="50"/>
      <c r="J72" s="51"/>
      <c r="K72" s="52">
        <f t="shared" si="65"/>
        <v>0</v>
      </c>
      <c r="L72" s="49"/>
      <c r="M72" s="50"/>
      <c r="N72" s="50"/>
      <c r="O72" s="51"/>
      <c r="P72" s="52">
        <f t="shared" si="66"/>
        <v>0</v>
      </c>
      <c r="Q72" s="49"/>
      <c r="R72" s="50"/>
      <c r="S72" s="50"/>
      <c r="T72" s="51"/>
      <c r="U72" s="52">
        <f t="shared" si="67"/>
        <v>0</v>
      </c>
      <c r="V72" s="49"/>
      <c r="W72" s="50"/>
      <c r="X72" s="50"/>
      <c r="Y72" s="51"/>
      <c r="Z72" s="52">
        <f t="shared" si="68"/>
        <v>0</v>
      </c>
      <c r="AA72" s="49"/>
      <c r="AB72" s="50"/>
      <c r="AC72" s="50"/>
      <c r="AD72" s="51"/>
      <c r="AE72" s="52">
        <f t="shared" si="69"/>
        <v>0</v>
      </c>
      <c r="AF72" s="49"/>
      <c r="AG72" s="50"/>
      <c r="AH72" s="50"/>
      <c r="AI72" s="51"/>
      <c r="AJ72" s="52">
        <f t="shared" si="70"/>
        <v>0</v>
      </c>
      <c r="AK72" s="49"/>
      <c r="AL72" s="50"/>
      <c r="AM72" s="50"/>
      <c r="AN72" s="51"/>
      <c r="AO72" s="52">
        <f t="shared" si="59"/>
        <v>0</v>
      </c>
      <c r="AP72" s="49"/>
      <c r="AQ72" s="50"/>
      <c r="AR72" s="50"/>
      <c r="AS72" s="51"/>
      <c r="AT72" s="52">
        <f t="shared" si="60"/>
        <v>0</v>
      </c>
      <c r="AU72" s="49">
        <v>13</v>
      </c>
      <c r="AV72" s="50"/>
      <c r="AW72" s="50"/>
      <c r="AX72" s="51"/>
      <c r="AY72" s="52">
        <f t="shared" si="61"/>
        <v>13</v>
      </c>
      <c r="AZ72" s="49">
        <v>42</v>
      </c>
      <c r="BA72" s="50"/>
      <c r="BB72" s="50"/>
      <c r="BC72" s="51"/>
      <c r="BD72" s="52">
        <f t="shared" si="62"/>
        <v>42</v>
      </c>
      <c r="BE72" s="49">
        <v>4</v>
      </c>
      <c r="BF72" s="50"/>
      <c r="BG72" s="50"/>
      <c r="BH72" s="51"/>
      <c r="BI72" s="52">
        <f t="shared" si="63"/>
        <v>4</v>
      </c>
      <c r="BJ72" s="49"/>
      <c r="BK72" s="50"/>
      <c r="BL72" s="50"/>
      <c r="BM72" s="51"/>
      <c r="BN72" s="52">
        <f t="shared" si="64"/>
        <v>0</v>
      </c>
      <c r="BO72" s="167">
        <f>SUM(G72,L72,Q72,V72,AA72,AF72,AK72,AP72,AU72,AZ72,BE72,BJ72)</f>
        <v>59</v>
      </c>
      <c r="BP72" s="50">
        <f>SUM(H72,M72,R72,W72,AB72,AG72,AL72,AQ72,AV72,BA72,BF72,BK72)</f>
        <v>0</v>
      </c>
      <c r="BQ72" s="50">
        <f>SUM(I72,N72,S72,X72,AC72,AH72,AM72,AR72,AW72,BB72,BG72,BL72)</f>
        <v>0</v>
      </c>
      <c r="BR72" s="51">
        <f>SUM(J72,O72,T72,Y72,AD72,AI72,AN72,AS72,AX72,BC72,BH72,BM72)</f>
        <v>0</v>
      </c>
      <c r="BS72" s="53">
        <f t="shared" si="12"/>
        <v>59</v>
      </c>
    </row>
    <row r="73" spans="2:71" x14ac:dyDescent="0.3">
      <c r="B73" s="269"/>
      <c r="C73" s="230"/>
      <c r="D73" s="233"/>
      <c r="E73" s="240"/>
      <c r="F73" s="279" t="s">
        <v>54</v>
      </c>
      <c r="G73" s="280">
        <f>SUM(G55:G72)</f>
        <v>353</v>
      </c>
      <c r="H73" s="281">
        <f>SUM(H55:H72)</f>
        <v>0</v>
      </c>
      <c r="I73" s="281">
        <f>SUM(I55:I72)</f>
        <v>0</v>
      </c>
      <c r="J73" s="282">
        <f>SUM(J55:J72)</f>
        <v>0</v>
      </c>
      <c r="K73" s="283">
        <f t="shared" si="0"/>
        <v>353</v>
      </c>
      <c r="L73" s="280">
        <f>SUM(L55:L72)</f>
        <v>539</v>
      </c>
      <c r="M73" s="281">
        <f>SUM(M55:M72)</f>
        <v>0</v>
      </c>
      <c r="N73" s="281">
        <f>SUM(N55:N72)</f>
        <v>0</v>
      </c>
      <c r="O73" s="282">
        <f>SUM(O55:O72)</f>
        <v>0</v>
      </c>
      <c r="P73" s="283">
        <f t="shared" si="66"/>
        <v>539</v>
      </c>
      <c r="Q73" s="280">
        <f>SUM(Q55:Q72)</f>
        <v>3679</v>
      </c>
      <c r="R73" s="281">
        <f>SUM(R55:R72)</f>
        <v>0</v>
      </c>
      <c r="S73" s="281">
        <f>SUM(S55:S72)</f>
        <v>0</v>
      </c>
      <c r="T73" s="282">
        <f>SUM(T55:T72)</f>
        <v>0</v>
      </c>
      <c r="U73" s="283">
        <f t="shared" si="67"/>
        <v>3679</v>
      </c>
      <c r="V73" s="280">
        <f>SUM(V55:V72)</f>
        <v>2588</v>
      </c>
      <c r="W73" s="281">
        <f>SUM(W55:W72)</f>
        <v>0</v>
      </c>
      <c r="X73" s="281">
        <f>SUM(X55:X72)</f>
        <v>0</v>
      </c>
      <c r="Y73" s="282">
        <f>SUM(Y55:Y72)</f>
        <v>0</v>
      </c>
      <c r="Z73" s="283">
        <f t="shared" si="68"/>
        <v>2588</v>
      </c>
      <c r="AA73" s="280">
        <f>SUM(AA55:AA72)</f>
        <v>2694</v>
      </c>
      <c r="AB73" s="281">
        <f>SUM(AB55:AB72)</f>
        <v>0</v>
      </c>
      <c r="AC73" s="281">
        <f>SUM(AC55:AC72)</f>
        <v>0</v>
      </c>
      <c r="AD73" s="282">
        <f>SUM(AD55:AD72)</f>
        <v>0</v>
      </c>
      <c r="AE73" s="283">
        <f t="shared" si="69"/>
        <v>2694</v>
      </c>
      <c r="AF73" s="280">
        <f>SUM(AF55:AF72)</f>
        <v>705</v>
      </c>
      <c r="AG73" s="281">
        <f>SUM(AG55:AG72)</f>
        <v>0</v>
      </c>
      <c r="AH73" s="281">
        <f>SUM(AH55:AH72)</f>
        <v>0</v>
      </c>
      <c r="AI73" s="282">
        <f>SUM(AI55:AI72)</f>
        <v>0</v>
      </c>
      <c r="AJ73" s="283">
        <f t="shared" si="70"/>
        <v>705</v>
      </c>
      <c r="AK73" s="280">
        <f>SUM(AK55:AK72)</f>
        <v>285</v>
      </c>
      <c r="AL73" s="281">
        <f>SUM(AL55:AL72)</f>
        <v>0</v>
      </c>
      <c r="AM73" s="281">
        <f>SUM(AM55:AM72)</f>
        <v>0</v>
      </c>
      <c r="AN73" s="282">
        <f>SUM(AN55:AN72)</f>
        <v>0</v>
      </c>
      <c r="AO73" s="283">
        <f t="shared" si="59"/>
        <v>285</v>
      </c>
      <c r="AP73" s="280">
        <f>SUM(AP55:AP72)</f>
        <v>604</v>
      </c>
      <c r="AQ73" s="281">
        <f>SUM(AQ55:AQ72)</f>
        <v>0</v>
      </c>
      <c r="AR73" s="281">
        <f>SUM(AR55:AR72)</f>
        <v>0</v>
      </c>
      <c r="AS73" s="282">
        <f>SUM(AS55:AS72)</f>
        <v>0</v>
      </c>
      <c r="AT73" s="283">
        <f t="shared" si="60"/>
        <v>604</v>
      </c>
      <c r="AU73" s="280">
        <f>SUM(AU55:AU72)</f>
        <v>8088</v>
      </c>
      <c r="AV73" s="281">
        <f>SUM(AV55:AV72)</f>
        <v>0</v>
      </c>
      <c r="AW73" s="281">
        <f>SUM(AW55:AW72)</f>
        <v>0</v>
      </c>
      <c r="AX73" s="282">
        <f>SUM(AX55:AX72)</f>
        <v>0</v>
      </c>
      <c r="AY73" s="283">
        <f t="shared" si="61"/>
        <v>8088</v>
      </c>
      <c r="AZ73" s="280">
        <f>SUM(AZ55:AZ72)</f>
        <v>19634</v>
      </c>
      <c r="BA73" s="281">
        <f>SUM(BA55:BA72)</f>
        <v>0</v>
      </c>
      <c r="BB73" s="281">
        <f>SUM(BB55:BB72)</f>
        <v>0</v>
      </c>
      <c r="BC73" s="282">
        <f>SUM(BC55:BC72)</f>
        <v>0</v>
      </c>
      <c r="BD73" s="283">
        <f t="shared" si="62"/>
        <v>19634</v>
      </c>
      <c r="BE73" s="280">
        <f>SUM(BE55:BE72)</f>
        <v>1914</v>
      </c>
      <c r="BF73" s="281">
        <f>SUM(BF55:BF72)</f>
        <v>0</v>
      </c>
      <c r="BG73" s="281">
        <f>SUM(BG55:BG72)</f>
        <v>0</v>
      </c>
      <c r="BH73" s="282">
        <f>SUM(BH55:BH72)</f>
        <v>0</v>
      </c>
      <c r="BI73" s="283">
        <f t="shared" si="63"/>
        <v>1914</v>
      </c>
      <c r="BJ73" s="280">
        <f>SUM(BJ55:BJ72)</f>
        <v>53</v>
      </c>
      <c r="BK73" s="281">
        <f>SUM(BK55:BK72)</f>
        <v>0</v>
      </c>
      <c r="BL73" s="281">
        <f>SUM(BL55:BL72)</f>
        <v>0</v>
      </c>
      <c r="BM73" s="282">
        <f>SUM(BM55:BM72)</f>
        <v>0</v>
      </c>
      <c r="BN73" s="283">
        <f t="shared" si="64"/>
        <v>53</v>
      </c>
      <c r="BO73" s="285">
        <f>SUM(BO55:BO72)</f>
        <v>41136</v>
      </c>
      <c r="BP73" s="281">
        <f>SUM(BP55:BP72)</f>
        <v>0</v>
      </c>
      <c r="BQ73" s="281">
        <f>SUM(BQ55:BQ72)</f>
        <v>0</v>
      </c>
      <c r="BR73" s="282">
        <f>SUM(BR55:BR72)</f>
        <v>0</v>
      </c>
      <c r="BS73" s="284">
        <f t="shared" si="12"/>
        <v>41136</v>
      </c>
    </row>
    <row r="74" spans="2:71" x14ac:dyDescent="0.3">
      <c r="B74" s="269"/>
      <c r="C74" s="230"/>
      <c r="D74" s="233"/>
      <c r="E74" s="241" t="s">
        <v>44</v>
      </c>
      <c r="F74" s="120" t="s">
        <v>49</v>
      </c>
      <c r="G74" s="30">
        <v>337</v>
      </c>
      <c r="H74" s="7"/>
      <c r="I74" s="7"/>
      <c r="J74" s="8"/>
      <c r="K74" s="9">
        <f t="shared" si="0"/>
        <v>337</v>
      </c>
      <c r="L74" s="30">
        <v>283</v>
      </c>
      <c r="M74" s="7"/>
      <c r="N74" s="7"/>
      <c r="O74" s="8"/>
      <c r="P74" s="9">
        <f t="shared" si="66"/>
        <v>283</v>
      </c>
      <c r="Q74" s="30">
        <v>272</v>
      </c>
      <c r="R74" s="7"/>
      <c r="S74" s="7"/>
      <c r="T74" s="8"/>
      <c r="U74" s="9">
        <f t="shared" si="67"/>
        <v>272</v>
      </c>
      <c r="V74" s="30">
        <v>61</v>
      </c>
      <c r="W74" s="7"/>
      <c r="X74" s="7"/>
      <c r="Y74" s="8"/>
      <c r="Z74" s="9">
        <f t="shared" si="68"/>
        <v>61</v>
      </c>
      <c r="AA74" s="30">
        <v>177</v>
      </c>
      <c r="AB74" s="7"/>
      <c r="AC74" s="7"/>
      <c r="AD74" s="8"/>
      <c r="AE74" s="9">
        <f t="shared" si="69"/>
        <v>177</v>
      </c>
      <c r="AF74" s="30"/>
      <c r="AG74" s="7"/>
      <c r="AH74" s="7"/>
      <c r="AI74" s="8"/>
      <c r="AJ74" s="9">
        <f t="shared" si="70"/>
        <v>0</v>
      </c>
      <c r="AK74" s="30"/>
      <c r="AL74" s="7"/>
      <c r="AM74" s="7"/>
      <c r="AN74" s="8"/>
      <c r="AO74" s="9">
        <f t="shared" si="59"/>
        <v>0</v>
      </c>
      <c r="AP74" s="30"/>
      <c r="AQ74" s="7"/>
      <c r="AR74" s="7"/>
      <c r="AS74" s="8"/>
      <c r="AT74" s="9">
        <f t="shared" si="60"/>
        <v>0</v>
      </c>
      <c r="AU74" s="30">
        <v>62</v>
      </c>
      <c r="AV74" s="7"/>
      <c r="AW74" s="7"/>
      <c r="AX74" s="8"/>
      <c r="AY74" s="9">
        <f t="shared" si="61"/>
        <v>62</v>
      </c>
      <c r="AZ74" s="30"/>
      <c r="BA74" s="7"/>
      <c r="BB74" s="7"/>
      <c r="BC74" s="8"/>
      <c r="BD74" s="9">
        <f t="shared" si="62"/>
        <v>0</v>
      </c>
      <c r="BE74" s="30"/>
      <c r="BF74" s="7"/>
      <c r="BG74" s="7"/>
      <c r="BH74" s="8"/>
      <c r="BI74" s="9">
        <f t="shared" si="63"/>
        <v>0</v>
      </c>
      <c r="BJ74" s="30"/>
      <c r="BK74" s="7"/>
      <c r="BL74" s="7"/>
      <c r="BM74" s="8"/>
      <c r="BN74" s="9">
        <f t="shared" si="64"/>
        <v>0</v>
      </c>
      <c r="BO74" s="65">
        <f>SUM(G74,L74,Q74,V74,AA74,AF74,AK74,AP74,AU74,AZ74,BE74,BJ74)</f>
        <v>1192</v>
      </c>
      <c r="BP74" s="7">
        <f>SUM(H74,M74,R74,W74,AB74,AG74,AL74,AQ74,AV74,BA74,BF74,BK74)</f>
        <v>0</v>
      </c>
      <c r="BQ74" s="7">
        <f>SUM(I74,N74,S74,X74,AC74,AH74,AM74,AR74,AW74,BB74,BG74,BL74)</f>
        <v>0</v>
      </c>
      <c r="BR74" s="8">
        <f>SUM(J74,O74,T74,Y74,AD74,AI74,AN74,AS74,AX74,BC74,BH74,BM74)</f>
        <v>0</v>
      </c>
      <c r="BS74" s="31">
        <f t="shared" si="12"/>
        <v>1192</v>
      </c>
    </row>
    <row r="75" spans="2:71" x14ac:dyDescent="0.3">
      <c r="B75" s="269"/>
      <c r="C75" s="230"/>
      <c r="D75" s="233"/>
      <c r="E75" s="239"/>
      <c r="F75" s="121" t="s">
        <v>50</v>
      </c>
      <c r="G75" s="32">
        <v>27</v>
      </c>
      <c r="H75" s="13"/>
      <c r="I75" s="13"/>
      <c r="J75" s="14"/>
      <c r="K75" s="15">
        <f t="shared" si="0"/>
        <v>27</v>
      </c>
      <c r="L75" s="32">
        <v>20</v>
      </c>
      <c r="M75" s="13"/>
      <c r="N75" s="13"/>
      <c r="O75" s="14"/>
      <c r="P75" s="15">
        <f t="shared" si="66"/>
        <v>20</v>
      </c>
      <c r="Q75" s="32">
        <v>40</v>
      </c>
      <c r="R75" s="13"/>
      <c r="S75" s="13"/>
      <c r="T75" s="14"/>
      <c r="U75" s="15">
        <f t="shared" si="67"/>
        <v>40</v>
      </c>
      <c r="V75" s="32">
        <v>15</v>
      </c>
      <c r="W75" s="13"/>
      <c r="X75" s="13"/>
      <c r="Y75" s="14"/>
      <c r="Z75" s="15">
        <f t="shared" si="68"/>
        <v>15</v>
      </c>
      <c r="AA75" s="32">
        <v>34</v>
      </c>
      <c r="AB75" s="13"/>
      <c r="AC75" s="13"/>
      <c r="AD75" s="14"/>
      <c r="AE75" s="15">
        <f t="shared" si="69"/>
        <v>34</v>
      </c>
      <c r="AF75" s="32"/>
      <c r="AG75" s="13"/>
      <c r="AH75" s="13"/>
      <c r="AI75" s="14"/>
      <c r="AJ75" s="15">
        <f t="shared" si="70"/>
        <v>0</v>
      </c>
      <c r="AK75" s="32"/>
      <c r="AL75" s="13"/>
      <c r="AM75" s="13"/>
      <c r="AN75" s="14"/>
      <c r="AO75" s="15">
        <f t="shared" si="59"/>
        <v>0</v>
      </c>
      <c r="AP75" s="32"/>
      <c r="AQ75" s="13"/>
      <c r="AR75" s="13"/>
      <c r="AS75" s="14"/>
      <c r="AT75" s="15">
        <f t="shared" si="60"/>
        <v>0</v>
      </c>
      <c r="AU75" s="32">
        <v>21</v>
      </c>
      <c r="AV75" s="13"/>
      <c r="AW75" s="13"/>
      <c r="AX75" s="14"/>
      <c r="AY75" s="15">
        <f t="shared" si="61"/>
        <v>21</v>
      </c>
      <c r="AZ75" s="32"/>
      <c r="BA75" s="13"/>
      <c r="BB75" s="13"/>
      <c r="BC75" s="14"/>
      <c r="BD75" s="15">
        <f t="shared" si="62"/>
        <v>0</v>
      </c>
      <c r="BE75" s="32"/>
      <c r="BF75" s="13"/>
      <c r="BG75" s="13"/>
      <c r="BH75" s="14"/>
      <c r="BI75" s="15">
        <f t="shared" si="63"/>
        <v>0</v>
      </c>
      <c r="BJ75" s="32"/>
      <c r="BK75" s="13"/>
      <c r="BL75" s="13"/>
      <c r="BM75" s="14"/>
      <c r="BN75" s="15">
        <f t="shared" si="64"/>
        <v>0</v>
      </c>
      <c r="BO75" s="66">
        <f>SUM(G75,L75,Q75,V75,AA75,AF75,AK75,AP75,AU75,AZ75,BE75,BJ75)</f>
        <v>157</v>
      </c>
      <c r="BP75" s="13">
        <f>SUM(H75,M75,R75,W75,AB75,AG75,AL75,AQ75,AV75,BA75,BF75,BK75)</f>
        <v>0</v>
      </c>
      <c r="BQ75" s="13">
        <f>SUM(I75,N75,S75,X75,AC75,AH75,AM75,AR75,AW75,BB75,BG75,BL75)</f>
        <v>0</v>
      </c>
      <c r="BR75" s="14">
        <f>SUM(J75,O75,T75,Y75,AD75,AI75,AN75,AS75,AX75,BC75,BH75,BM75)</f>
        <v>0</v>
      </c>
      <c r="BS75" s="33">
        <f t="shared" si="12"/>
        <v>157</v>
      </c>
    </row>
    <row r="76" spans="2:71" x14ac:dyDescent="0.3">
      <c r="B76" s="269"/>
      <c r="C76" s="230"/>
      <c r="D76" s="233"/>
      <c r="E76" s="239"/>
      <c r="F76" s="121" t="s">
        <v>621</v>
      </c>
      <c r="G76" s="32"/>
      <c r="H76" s="13"/>
      <c r="I76" s="13"/>
      <c r="J76" s="14"/>
      <c r="K76" s="15">
        <f t="shared" si="0"/>
        <v>0</v>
      </c>
      <c r="L76" s="32"/>
      <c r="M76" s="13"/>
      <c r="N76" s="13"/>
      <c r="O76" s="14"/>
      <c r="P76" s="15">
        <f t="shared" si="66"/>
        <v>0</v>
      </c>
      <c r="Q76" s="32"/>
      <c r="R76" s="13"/>
      <c r="S76" s="13"/>
      <c r="T76" s="14"/>
      <c r="U76" s="15">
        <f t="shared" si="67"/>
        <v>0</v>
      </c>
      <c r="V76" s="32"/>
      <c r="W76" s="13"/>
      <c r="X76" s="13"/>
      <c r="Y76" s="14"/>
      <c r="Z76" s="15">
        <f t="shared" si="68"/>
        <v>0</v>
      </c>
      <c r="AA76" s="32">
        <v>18</v>
      </c>
      <c r="AB76" s="13"/>
      <c r="AC76" s="13"/>
      <c r="AD76" s="14"/>
      <c r="AE76" s="15">
        <f t="shared" si="69"/>
        <v>18</v>
      </c>
      <c r="AF76" s="32">
        <v>186</v>
      </c>
      <c r="AG76" s="13"/>
      <c r="AH76" s="13"/>
      <c r="AI76" s="14"/>
      <c r="AJ76" s="15">
        <f t="shared" si="70"/>
        <v>186</v>
      </c>
      <c r="AK76" s="32">
        <v>57</v>
      </c>
      <c r="AL76" s="13"/>
      <c r="AM76" s="13"/>
      <c r="AN76" s="14"/>
      <c r="AO76" s="15">
        <f t="shared" si="59"/>
        <v>57</v>
      </c>
      <c r="AP76" s="32">
        <v>119</v>
      </c>
      <c r="AQ76" s="13"/>
      <c r="AR76" s="13"/>
      <c r="AS76" s="14"/>
      <c r="AT76" s="15">
        <f t="shared" si="60"/>
        <v>119</v>
      </c>
      <c r="AU76" s="32"/>
      <c r="AV76" s="13"/>
      <c r="AW76" s="13"/>
      <c r="AX76" s="14"/>
      <c r="AY76" s="15">
        <f t="shared" si="61"/>
        <v>0</v>
      </c>
      <c r="AZ76" s="32">
        <v>245</v>
      </c>
      <c r="BA76" s="13"/>
      <c r="BB76" s="13"/>
      <c r="BC76" s="14"/>
      <c r="BD76" s="15">
        <f t="shared" si="62"/>
        <v>245</v>
      </c>
      <c r="BE76" s="32"/>
      <c r="BF76" s="13"/>
      <c r="BG76" s="13"/>
      <c r="BH76" s="14"/>
      <c r="BI76" s="15">
        <f t="shared" si="63"/>
        <v>0</v>
      </c>
      <c r="BJ76" s="32"/>
      <c r="BK76" s="13"/>
      <c r="BL76" s="13"/>
      <c r="BM76" s="14"/>
      <c r="BN76" s="15">
        <f t="shared" si="64"/>
        <v>0</v>
      </c>
      <c r="BO76" s="66">
        <f>SUM(G76,L76,Q76,V76,AA76,AF76,AK76,AP76,AU76,AZ76,BE76,BJ76)</f>
        <v>625</v>
      </c>
      <c r="BP76" s="13">
        <f>SUM(H76,M76,R76,W76,AB76,AG76,AL76,AQ76,AV76,BA76,BF76,BK76)</f>
        <v>0</v>
      </c>
      <c r="BQ76" s="13">
        <f>SUM(I76,N76,S76,X76,AC76,AH76,AM76,AR76,AW76,BB76,BG76,BL76)</f>
        <v>0</v>
      </c>
      <c r="BR76" s="14">
        <f>SUM(J76,O76,T76,Y76,AD76,AI76,AN76,AS76,AX76,BC76,BH76,BM76)</f>
        <v>0</v>
      </c>
      <c r="BS76" s="33">
        <f t="shared" si="12"/>
        <v>625</v>
      </c>
    </row>
    <row r="77" spans="2:71" x14ac:dyDescent="0.3">
      <c r="B77" s="269"/>
      <c r="C77" s="230"/>
      <c r="D77" s="233"/>
      <c r="E77" s="239"/>
      <c r="F77" s="121" t="s">
        <v>622</v>
      </c>
      <c r="G77" s="32"/>
      <c r="H77" s="13"/>
      <c r="I77" s="13"/>
      <c r="J77" s="14"/>
      <c r="K77" s="15">
        <f t="shared" ref="K77:K85" si="71">SUM(G77:J77)</f>
        <v>0</v>
      </c>
      <c r="L77" s="32"/>
      <c r="M77" s="13"/>
      <c r="N77" s="13"/>
      <c r="O77" s="14"/>
      <c r="P77" s="15">
        <f t="shared" si="66"/>
        <v>0</v>
      </c>
      <c r="Q77" s="32"/>
      <c r="R77" s="13"/>
      <c r="S77" s="13"/>
      <c r="T77" s="14"/>
      <c r="U77" s="15">
        <f t="shared" si="67"/>
        <v>0</v>
      </c>
      <c r="V77" s="32"/>
      <c r="W77" s="13"/>
      <c r="X77" s="13"/>
      <c r="Y77" s="14"/>
      <c r="Z77" s="15">
        <f t="shared" si="68"/>
        <v>0</v>
      </c>
      <c r="AA77" s="32">
        <v>6</v>
      </c>
      <c r="AB77" s="13"/>
      <c r="AC77" s="13"/>
      <c r="AD77" s="14"/>
      <c r="AE77" s="15">
        <f t="shared" si="69"/>
        <v>6</v>
      </c>
      <c r="AF77" s="32">
        <v>48</v>
      </c>
      <c r="AG77" s="13"/>
      <c r="AH77" s="13"/>
      <c r="AI77" s="14"/>
      <c r="AJ77" s="15">
        <f t="shared" si="70"/>
        <v>48</v>
      </c>
      <c r="AK77" s="32">
        <v>23</v>
      </c>
      <c r="AL77" s="13"/>
      <c r="AM77" s="13"/>
      <c r="AN77" s="14"/>
      <c r="AO77" s="15">
        <f t="shared" si="59"/>
        <v>23</v>
      </c>
      <c r="AP77" s="32">
        <v>52</v>
      </c>
      <c r="AQ77" s="13"/>
      <c r="AR77" s="13"/>
      <c r="AS77" s="14"/>
      <c r="AT77" s="15">
        <f t="shared" si="60"/>
        <v>52</v>
      </c>
      <c r="AU77" s="32"/>
      <c r="AV77" s="13"/>
      <c r="AW77" s="13"/>
      <c r="AX77" s="14"/>
      <c r="AY77" s="15">
        <f t="shared" si="61"/>
        <v>0</v>
      </c>
      <c r="AZ77" s="32">
        <v>67</v>
      </c>
      <c r="BA77" s="13"/>
      <c r="BB77" s="13"/>
      <c r="BC77" s="14"/>
      <c r="BD77" s="15">
        <f t="shared" si="62"/>
        <v>67</v>
      </c>
      <c r="BE77" s="32"/>
      <c r="BF77" s="13"/>
      <c r="BG77" s="13"/>
      <c r="BH77" s="14"/>
      <c r="BI77" s="15">
        <f t="shared" si="63"/>
        <v>0</v>
      </c>
      <c r="BJ77" s="32"/>
      <c r="BK77" s="13"/>
      <c r="BL77" s="13"/>
      <c r="BM77" s="14"/>
      <c r="BN77" s="15">
        <f t="shared" si="64"/>
        <v>0</v>
      </c>
      <c r="BO77" s="66">
        <f>SUM(G77,L77,Q77,V77,AA77,AF77,AK77,AP77,AU77,AZ77,BE77,BJ77)</f>
        <v>196</v>
      </c>
      <c r="BP77" s="13">
        <f>SUM(H77,M77,R77,W77,AB77,AG77,AL77,AQ77,AV77,BA77,BF77,BK77)</f>
        <v>0</v>
      </c>
      <c r="BQ77" s="13">
        <f>SUM(I77,N77,S77,X77,AC77,AH77,AM77,AR77,AW77,BB77,BG77,BL77)</f>
        <v>0</v>
      </c>
      <c r="BR77" s="14">
        <f>SUM(J77,O77,T77,Y77,AD77,AI77,AN77,AS77,AX77,BC77,BH77,BM77)</f>
        <v>0</v>
      </c>
      <c r="BS77" s="33">
        <f t="shared" si="12"/>
        <v>196</v>
      </c>
    </row>
    <row r="78" spans="2:71" x14ac:dyDescent="0.3">
      <c r="B78" s="269"/>
      <c r="C78" s="230"/>
      <c r="D78" s="233"/>
      <c r="E78" s="239"/>
      <c r="F78" s="121" t="s">
        <v>51</v>
      </c>
      <c r="G78" s="32">
        <v>259</v>
      </c>
      <c r="H78" s="13"/>
      <c r="I78" s="13"/>
      <c r="J78" s="14"/>
      <c r="K78" s="15">
        <f t="shared" si="71"/>
        <v>259</v>
      </c>
      <c r="L78" s="32">
        <v>207</v>
      </c>
      <c r="M78" s="13"/>
      <c r="N78" s="13"/>
      <c r="O78" s="14"/>
      <c r="P78" s="15">
        <f t="shared" si="66"/>
        <v>207</v>
      </c>
      <c r="Q78" s="32">
        <v>214</v>
      </c>
      <c r="R78" s="13"/>
      <c r="S78" s="13"/>
      <c r="T78" s="14"/>
      <c r="U78" s="15">
        <f t="shared" si="67"/>
        <v>214</v>
      </c>
      <c r="V78" s="32"/>
      <c r="W78" s="13"/>
      <c r="X78" s="13"/>
      <c r="Y78" s="14"/>
      <c r="Z78" s="15">
        <f t="shared" si="68"/>
        <v>0</v>
      </c>
      <c r="AA78" s="32">
        <v>14</v>
      </c>
      <c r="AB78" s="13"/>
      <c r="AC78" s="13"/>
      <c r="AD78" s="14"/>
      <c r="AE78" s="15">
        <f t="shared" si="69"/>
        <v>14</v>
      </c>
      <c r="AF78" s="32">
        <v>125</v>
      </c>
      <c r="AG78" s="13"/>
      <c r="AH78" s="13"/>
      <c r="AI78" s="14"/>
      <c r="AJ78" s="15">
        <f t="shared" si="70"/>
        <v>125</v>
      </c>
      <c r="AK78" s="32">
        <v>36</v>
      </c>
      <c r="AL78" s="13"/>
      <c r="AM78" s="13"/>
      <c r="AN78" s="14"/>
      <c r="AO78" s="15">
        <f t="shared" si="59"/>
        <v>36</v>
      </c>
      <c r="AP78" s="32">
        <v>80</v>
      </c>
      <c r="AQ78" s="13"/>
      <c r="AR78" s="13"/>
      <c r="AS78" s="14"/>
      <c r="AT78" s="15">
        <f t="shared" si="60"/>
        <v>80</v>
      </c>
      <c r="AU78" s="32"/>
      <c r="AV78" s="13"/>
      <c r="AW78" s="13"/>
      <c r="AX78" s="14"/>
      <c r="AY78" s="15">
        <f t="shared" si="61"/>
        <v>0</v>
      </c>
      <c r="AZ78" s="32">
        <v>172</v>
      </c>
      <c r="BA78" s="13"/>
      <c r="BB78" s="13"/>
      <c r="BC78" s="14"/>
      <c r="BD78" s="15">
        <f t="shared" si="62"/>
        <v>172</v>
      </c>
      <c r="BE78" s="32"/>
      <c r="BF78" s="13"/>
      <c r="BG78" s="13"/>
      <c r="BH78" s="14"/>
      <c r="BI78" s="15">
        <f t="shared" si="63"/>
        <v>0</v>
      </c>
      <c r="BJ78" s="32"/>
      <c r="BK78" s="13"/>
      <c r="BL78" s="13"/>
      <c r="BM78" s="14"/>
      <c r="BN78" s="15">
        <f t="shared" si="64"/>
        <v>0</v>
      </c>
      <c r="BO78" s="66">
        <f>SUM(G78,L78,Q78,V78,AA78,AF78,AK78,AP78,AU78,AZ78,BE78,BJ78)</f>
        <v>1107</v>
      </c>
      <c r="BP78" s="13">
        <f>SUM(H78,M78,R78,W78,AB78,AG78,AL78,AQ78,AV78,BA78,BF78,BK78)</f>
        <v>0</v>
      </c>
      <c r="BQ78" s="13">
        <f>SUM(I78,N78,S78,X78,AC78,AH78,AM78,AR78,AW78,BB78,BG78,BL78)</f>
        <v>0</v>
      </c>
      <c r="BR78" s="14">
        <f>SUM(J78,O78,T78,Y78,AD78,AI78,AN78,AS78,AX78,BC78,BH78,BM78)</f>
        <v>0</v>
      </c>
      <c r="BS78" s="33">
        <f t="shared" si="12"/>
        <v>1107</v>
      </c>
    </row>
    <row r="79" spans="2:71" x14ac:dyDescent="0.3">
      <c r="B79" s="269"/>
      <c r="C79" s="230"/>
      <c r="D79" s="233"/>
      <c r="E79" s="239"/>
      <c r="F79" s="123" t="s">
        <v>52</v>
      </c>
      <c r="G79" s="34">
        <v>21</v>
      </c>
      <c r="H79" s="16"/>
      <c r="I79" s="16"/>
      <c r="J79" s="17"/>
      <c r="K79" s="18">
        <f t="shared" si="71"/>
        <v>21</v>
      </c>
      <c r="L79" s="34">
        <v>15</v>
      </c>
      <c r="M79" s="16"/>
      <c r="N79" s="16"/>
      <c r="O79" s="17"/>
      <c r="P79" s="18">
        <f t="shared" si="66"/>
        <v>15</v>
      </c>
      <c r="Q79" s="34">
        <v>32</v>
      </c>
      <c r="R79" s="16"/>
      <c r="S79" s="16"/>
      <c r="T79" s="17"/>
      <c r="U79" s="18">
        <f t="shared" si="67"/>
        <v>32</v>
      </c>
      <c r="V79" s="34"/>
      <c r="W79" s="16"/>
      <c r="X79" s="16"/>
      <c r="Y79" s="17"/>
      <c r="Z79" s="18">
        <f t="shared" si="68"/>
        <v>0</v>
      </c>
      <c r="AA79" s="34">
        <v>2</v>
      </c>
      <c r="AB79" s="16"/>
      <c r="AC79" s="16"/>
      <c r="AD79" s="17"/>
      <c r="AE79" s="18">
        <f t="shared" si="69"/>
        <v>2</v>
      </c>
      <c r="AF79" s="34">
        <v>30</v>
      </c>
      <c r="AG79" s="16"/>
      <c r="AH79" s="16"/>
      <c r="AI79" s="17"/>
      <c r="AJ79" s="18">
        <f t="shared" si="70"/>
        <v>30</v>
      </c>
      <c r="AK79" s="34">
        <v>14</v>
      </c>
      <c r="AL79" s="16"/>
      <c r="AM79" s="16"/>
      <c r="AN79" s="17"/>
      <c r="AO79" s="18">
        <f t="shared" si="59"/>
        <v>14</v>
      </c>
      <c r="AP79" s="34">
        <v>39</v>
      </c>
      <c r="AQ79" s="16"/>
      <c r="AR79" s="16"/>
      <c r="AS79" s="17"/>
      <c r="AT79" s="18">
        <f t="shared" si="60"/>
        <v>39</v>
      </c>
      <c r="AU79" s="34"/>
      <c r="AV79" s="16"/>
      <c r="AW79" s="16"/>
      <c r="AX79" s="17"/>
      <c r="AY79" s="18">
        <f t="shared" si="61"/>
        <v>0</v>
      </c>
      <c r="AZ79" s="34">
        <v>49</v>
      </c>
      <c r="BA79" s="16"/>
      <c r="BB79" s="16"/>
      <c r="BC79" s="17"/>
      <c r="BD79" s="18">
        <f t="shared" si="62"/>
        <v>49</v>
      </c>
      <c r="BE79" s="34"/>
      <c r="BF79" s="16"/>
      <c r="BG79" s="16"/>
      <c r="BH79" s="17"/>
      <c r="BI79" s="18">
        <f t="shared" si="63"/>
        <v>0</v>
      </c>
      <c r="BJ79" s="34"/>
      <c r="BK79" s="16"/>
      <c r="BL79" s="16"/>
      <c r="BM79" s="17"/>
      <c r="BN79" s="18">
        <f t="shared" si="64"/>
        <v>0</v>
      </c>
      <c r="BO79" s="70">
        <f>SUM(G79,L79,Q79,V79,AA79,AF79,AK79,AP79,AU79,AZ79,BE79,BJ79)</f>
        <v>202</v>
      </c>
      <c r="BP79" s="16">
        <f>SUM(H79,M79,R79,W79,AB79,AG79,AL79,AQ79,AV79,BA79,BF79,BK79)</f>
        <v>0</v>
      </c>
      <c r="BQ79" s="16">
        <f>SUM(I79,N79,S79,X79,AC79,AH79,AM79,AR79,AW79,BB79,BG79,BL79)</f>
        <v>0</v>
      </c>
      <c r="BR79" s="17">
        <f>SUM(J79,O79,T79,Y79,AD79,AI79,AN79,AS79,AX79,BC79,BH79,BM79)</f>
        <v>0</v>
      </c>
      <c r="BS79" s="35">
        <f t="shared" si="12"/>
        <v>202</v>
      </c>
    </row>
    <row r="80" spans="2:71" x14ac:dyDescent="0.3">
      <c r="B80" s="269"/>
      <c r="C80" s="230"/>
      <c r="D80" s="233"/>
      <c r="E80" s="239"/>
      <c r="F80" s="171" t="s">
        <v>276</v>
      </c>
      <c r="G80" s="172">
        <v>310</v>
      </c>
      <c r="H80" s="173"/>
      <c r="I80" s="173"/>
      <c r="J80" s="174"/>
      <c r="K80" s="175">
        <f t="shared" si="71"/>
        <v>310</v>
      </c>
      <c r="L80" s="172">
        <v>246</v>
      </c>
      <c r="M80" s="173"/>
      <c r="N80" s="173"/>
      <c r="O80" s="174"/>
      <c r="P80" s="175">
        <f t="shared" si="66"/>
        <v>246</v>
      </c>
      <c r="Q80" s="172">
        <v>42</v>
      </c>
      <c r="R80" s="173"/>
      <c r="S80" s="173"/>
      <c r="T80" s="174"/>
      <c r="U80" s="175">
        <f t="shared" si="67"/>
        <v>42</v>
      </c>
      <c r="V80" s="172"/>
      <c r="W80" s="173"/>
      <c r="X80" s="173"/>
      <c r="Y80" s="174"/>
      <c r="Z80" s="175">
        <f t="shared" si="68"/>
        <v>0</v>
      </c>
      <c r="AA80" s="172"/>
      <c r="AB80" s="173"/>
      <c r="AC80" s="173"/>
      <c r="AD80" s="174"/>
      <c r="AE80" s="175">
        <f t="shared" si="69"/>
        <v>0</v>
      </c>
      <c r="AF80" s="172"/>
      <c r="AG80" s="173"/>
      <c r="AH80" s="173"/>
      <c r="AI80" s="174"/>
      <c r="AJ80" s="175">
        <f t="shared" si="70"/>
        <v>0</v>
      </c>
      <c r="AK80" s="172"/>
      <c r="AL80" s="173"/>
      <c r="AM80" s="173"/>
      <c r="AN80" s="174"/>
      <c r="AO80" s="175">
        <f t="shared" si="59"/>
        <v>0</v>
      </c>
      <c r="AP80" s="172"/>
      <c r="AQ80" s="173"/>
      <c r="AR80" s="173"/>
      <c r="AS80" s="174"/>
      <c r="AT80" s="175">
        <f t="shared" si="60"/>
        <v>0</v>
      </c>
      <c r="AU80" s="172"/>
      <c r="AV80" s="173"/>
      <c r="AW80" s="173"/>
      <c r="AX80" s="174"/>
      <c r="AY80" s="175">
        <f t="shared" si="61"/>
        <v>0</v>
      </c>
      <c r="AZ80" s="172"/>
      <c r="BA80" s="173"/>
      <c r="BB80" s="173"/>
      <c r="BC80" s="174"/>
      <c r="BD80" s="175">
        <f t="shared" si="62"/>
        <v>0</v>
      </c>
      <c r="BE80" s="172">
        <v>1154</v>
      </c>
      <c r="BF80" s="173"/>
      <c r="BG80" s="173"/>
      <c r="BH80" s="174"/>
      <c r="BI80" s="175">
        <f t="shared" si="63"/>
        <v>1154</v>
      </c>
      <c r="BJ80" s="172">
        <v>480</v>
      </c>
      <c r="BK80" s="173"/>
      <c r="BL80" s="173"/>
      <c r="BM80" s="174"/>
      <c r="BN80" s="175">
        <f t="shared" si="64"/>
        <v>480</v>
      </c>
      <c r="BO80" s="177">
        <f>SUM(G80,L80,Q80,V80,AA80,AF80,AK80,AP80,AU80,AZ80,BE80,BJ80)</f>
        <v>2232</v>
      </c>
      <c r="BP80" s="173">
        <f>SUM(H80,M80,R80,W80,AB80,AG80,AL80,AQ80,AV80,BA80,BF80,BK80)</f>
        <v>0</v>
      </c>
      <c r="BQ80" s="173">
        <f>SUM(I80,N80,S80,X80,AC80,AH80,AM80,AR80,AW80,BB80,BG80,BL80)</f>
        <v>0</v>
      </c>
      <c r="BR80" s="174">
        <f>SUM(J80,O80,T80,Y80,AD80,AI80,AN80,AS80,AX80,BC80,BH80,BM80)</f>
        <v>0</v>
      </c>
      <c r="BS80" s="176">
        <f t="shared" si="12"/>
        <v>2232</v>
      </c>
    </row>
    <row r="81" spans="2:71" x14ac:dyDescent="0.3">
      <c r="B81" s="269"/>
      <c r="C81" s="230"/>
      <c r="D81" s="233"/>
      <c r="E81" s="239"/>
      <c r="F81" s="171" t="s">
        <v>277</v>
      </c>
      <c r="G81" s="172">
        <v>5</v>
      </c>
      <c r="H81" s="173"/>
      <c r="I81" s="173"/>
      <c r="J81" s="174"/>
      <c r="K81" s="175">
        <f t="shared" si="71"/>
        <v>5</v>
      </c>
      <c r="L81" s="172">
        <v>3</v>
      </c>
      <c r="M81" s="173"/>
      <c r="N81" s="173"/>
      <c r="O81" s="174"/>
      <c r="P81" s="175">
        <f t="shared" si="66"/>
        <v>3</v>
      </c>
      <c r="Q81" s="172">
        <v>1</v>
      </c>
      <c r="R81" s="173"/>
      <c r="S81" s="173"/>
      <c r="T81" s="174"/>
      <c r="U81" s="175">
        <f t="shared" si="67"/>
        <v>1</v>
      </c>
      <c r="V81" s="172"/>
      <c r="W81" s="173"/>
      <c r="X81" s="173"/>
      <c r="Y81" s="174"/>
      <c r="Z81" s="175">
        <f t="shared" si="68"/>
        <v>0</v>
      </c>
      <c r="AA81" s="172"/>
      <c r="AB81" s="173"/>
      <c r="AC81" s="173"/>
      <c r="AD81" s="174"/>
      <c r="AE81" s="175">
        <f t="shared" si="69"/>
        <v>0</v>
      </c>
      <c r="AF81" s="172"/>
      <c r="AG81" s="173"/>
      <c r="AH81" s="173"/>
      <c r="AI81" s="174"/>
      <c r="AJ81" s="175">
        <f t="shared" si="70"/>
        <v>0</v>
      </c>
      <c r="AK81" s="172"/>
      <c r="AL81" s="173"/>
      <c r="AM81" s="173"/>
      <c r="AN81" s="174"/>
      <c r="AO81" s="175">
        <f t="shared" si="59"/>
        <v>0</v>
      </c>
      <c r="AP81" s="172"/>
      <c r="AQ81" s="173"/>
      <c r="AR81" s="173"/>
      <c r="AS81" s="174"/>
      <c r="AT81" s="175">
        <f t="shared" si="60"/>
        <v>0</v>
      </c>
      <c r="AU81" s="172"/>
      <c r="AV81" s="173"/>
      <c r="AW81" s="173"/>
      <c r="AX81" s="174"/>
      <c r="AY81" s="175">
        <f t="shared" si="61"/>
        <v>0</v>
      </c>
      <c r="AZ81" s="172"/>
      <c r="BA81" s="173"/>
      <c r="BB81" s="173"/>
      <c r="BC81" s="174"/>
      <c r="BD81" s="175">
        <f t="shared" si="62"/>
        <v>0</v>
      </c>
      <c r="BE81" s="172">
        <v>164</v>
      </c>
      <c r="BF81" s="173"/>
      <c r="BG81" s="173"/>
      <c r="BH81" s="174"/>
      <c r="BI81" s="175">
        <f t="shared" si="63"/>
        <v>164</v>
      </c>
      <c r="BJ81" s="172">
        <v>78</v>
      </c>
      <c r="BK81" s="173"/>
      <c r="BL81" s="173"/>
      <c r="BM81" s="174"/>
      <c r="BN81" s="175">
        <f t="shared" si="64"/>
        <v>78</v>
      </c>
      <c r="BO81" s="177">
        <f>SUM(G81,L81,Q81,V81,AA81,AF81,AK81,AP81,AU81,AZ81,BE81,BJ81)</f>
        <v>251</v>
      </c>
      <c r="BP81" s="173">
        <f>SUM(H81,M81,R81,W81,AB81,AG81,AL81,AQ81,AV81,BA81,BF81,BK81)</f>
        <v>0</v>
      </c>
      <c r="BQ81" s="173">
        <f>SUM(I81,N81,S81,X81,AC81,AH81,AM81,AR81,AW81,BB81,BG81,BL81)</f>
        <v>0</v>
      </c>
      <c r="BR81" s="174">
        <f>SUM(J81,O81,T81,Y81,AD81,AI81,AN81,AS81,AX81,BC81,BH81,BM81)</f>
        <v>0</v>
      </c>
      <c r="BS81" s="176">
        <f t="shared" si="12"/>
        <v>251</v>
      </c>
    </row>
    <row r="82" spans="2:71" x14ac:dyDescent="0.3">
      <c r="B82" s="269"/>
      <c r="C82" s="230"/>
      <c r="D82" s="233"/>
      <c r="E82" s="239"/>
      <c r="F82" s="171" t="s">
        <v>278</v>
      </c>
      <c r="G82" s="172">
        <v>203</v>
      </c>
      <c r="H82" s="173"/>
      <c r="I82" s="173"/>
      <c r="J82" s="174"/>
      <c r="K82" s="175">
        <f t="shared" si="71"/>
        <v>203</v>
      </c>
      <c r="L82" s="172">
        <v>164</v>
      </c>
      <c r="M82" s="173"/>
      <c r="N82" s="173"/>
      <c r="O82" s="174"/>
      <c r="P82" s="175">
        <f t="shared" si="66"/>
        <v>164</v>
      </c>
      <c r="Q82" s="172">
        <v>28</v>
      </c>
      <c r="R82" s="173"/>
      <c r="S82" s="173"/>
      <c r="T82" s="174"/>
      <c r="U82" s="175">
        <f t="shared" si="67"/>
        <v>28</v>
      </c>
      <c r="V82" s="172"/>
      <c r="W82" s="173"/>
      <c r="X82" s="173"/>
      <c r="Y82" s="174"/>
      <c r="Z82" s="175">
        <f t="shared" si="68"/>
        <v>0</v>
      </c>
      <c r="AA82" s="172"/>
      <c r="AB82" s="173"/>
      <c r="AC82" s="173"/>
      <c r="AD82" s="174"/>
      <c r="AE82" s="175">
        <f t="shared" si="69"/>
        <v>0</v>
      </c>
      <c r="AF82" s="172"/>
      <c r="AG82" s="173"/>
      <c r="AH82" s="173"/>
      <c r="AI82" s="174"/>
      <c r="AJ82" s="175">
        <f t="shared" si="70"/>
        <v>0</v>
      </c>
      <c r="AK82" s="172"/>
      <c r="AL82" s="173"/>
      <c r="AM82" s="173"/>
      <c r="AN82" s="174"/>
      <c r="AO82" s="175">
        <f t="shared" si="59"/>
        <v>0</v>
      </c>
      <c r="AP82" s="172"/>
      <c r="AQ82" s="173"/>
      <c r="AR82" s="173"/>
      <c r="AS82" s="174"/>
      <c r="AT82" s="175">
        <f t="shared" si="60"/>
        <v>0</v>
      </c>
      <c r="AU82" s="172"/>
      <c r="AV82" s="173"/>
      <c r="AW82" s="173"/>
      <c r="AX82" s="174"/>
      <c r="AY82" s="175">
        <f t="shared" si="61"/>
        <v>0</v>
      </c>
      <c r="AZ82" s="172"/>
      <c r="BA82" s="173"/>
      <c r="BB82" s="173"/>
      <c r="BC82" s="174"/>
      <c r="BD82" s="175">
        <f t="shared" si="62"/>
        <v>0</v>
      </c>
      <c r="BE82" s="172">
        <v>866</v>
      </c>
      <c r="BF82" s="173"/>
      <c r="BG82" s="173"/>
      <c r="BH82" s="174"/>
      <c r="BI82" s="175">
        <f t="shared" si="63"/>
        <v>866</v>
      </c>
      <c r="BJ82" s="172">
        <v>343</v>
      </c>
      <c r="BK82" s="173"/>
      <c r="BL82" s="173"/>
      <c r="BM82" s="174"/>
      <c r="BN82" s="175">
        <f t="shared" si="64"/>
        <v>343</v>
      </c>
      <c r="BO82" s="177">
        <f>SUM(G82,L82,Q82,V82,AA82,AF82,AK82,AP82,AU82,AZ82,BE82,BJ82)</f>
        <v>1604</v>
      </c>
      <c r="BP82" s="173">
        <f>SUM(H82,M82,R82,W82,AB82,AG82,AL82,AQ82,AV82,BA82,BF82,BK82)</f>
        <v>0</v>
      </c>
      <c r="BQ82" s="173">
        <f>SUM(I82,N82,S82,X82,AC82,AH82,AM82,AR82,AW82,BB82,BG82,BL82)</f>
        <v>0</v>
      </c>
      <c r="BR82" s="174">
        <f>SUM(J82,O82,T82,Y82,AD82,AI82,AN82,AS82,AX82,BC82,BH82,BM82)</f>
        <v>0</v>
      </c>
      <c r="BS82" s="176">
        <f t="shared" si="12"/>
        <v>1604</v>
      </c>
    </row>
    <row r="83" spans="2:71" x14ac:dyDescent="0.3">
      <c r="B83" s="269"/>
      <c r="C83" s="230"/>
      <c r="D83" s="233"/>
      <c r="E83" s="239"/>
      <c r="F83" s="171" t="s">
        <v>279</v>
      </c>
      <c r="G83" s="172">
        <v>5</v>
      </c>
      <c r="H83" s="173"/>
      <c r="I83" s="173"/>
      <c r="J83" s="174"/>
      <c r="K83" s="175">
        <f t="shared" si="71"/>
        <v>5</v>
      </c>
      <c r="L83" s="172">
        <v>3</v>
      </c>
      <c r="M83" s="173"/>
      <c r="N83" s="173"/>
      <c r="O83" s="174"/>
      <c r="P83" s="175">
        <f t="shared" si="66"/>
        <v>3</v>
      </c>
      <c r="Q83" s="172"/>
      <c r="R83" s="173"/>
      <c r="S83" s="173"/>
      <c r="T83" s="174"/>
      <c r="U83" s="175">
        <f t="shared" si="67"/>
        <v>0</v>
      </c>
      <c r="V83" s="172"/>
      <c r="W83" s="173"/>
      <c r="X83" s="173"/>
      <c r="Y83" s="174"/>
      <c r="Z83" s="175">
        <f t="shared" si="68"/>
        <v>0</v>
      </c>
      <c r="AA83" s="172"/>
      <c r="AB83" s="173"/>
      <c r="AC83" s="173"/>
      <c r="AD83" s="174"/>
      <c r="AE83" s="175">
        <f t="shared" si="69"/>
        <v>0</v>
      </c>
      <c r="AF83" s="172"/>
      <c r="AG83" s="173"/>
      <c r="AH83" s="173"/>
      <c r="AI83" s="174"/>
      <c r="AJ83" s="175">
        <f t="shared" si="70"/>
        <v>0</v>
      </c>
      <c r="AK83" s="172"/>
      <c r="AL83" s="173"/>
      <c r="AM83" s="173"/>
      <c r="AN83" s="174"/>
      <c r="AO83" s="175">
        <f t="shared" si="59"/>
        <v>0</v>
      </c>
      <c r="AP83" s="172"/>
      <c r="AQ83" s="173"/>
      <c r="AR83" s="173"/>
      <c r="AS83" s="174"/>
      <c r="AT83" s="175">
        <f t="shared" si="60"/>
        <v>0</v>
      </c>
      <c r="AU83" s="172"/>
      <c r="AV83" s="173"/>
      <c r="AW83" s="173"/>
      <c r="AX83" s="174"/>
      <c r="AY83" s="175">
        <f t="shared" si="61"/>
        <v>0</v>
      </c>
      <c r="AZ83" s="172"/>
      <c r="BA83" s="173"/>
      <c r="BB83" s="173"/>
      <c r="BC83" s="174"/>
      <c r="BD83" s="175">
        <f t="shared" si="62"/>
        <v>0</v>
      </c>
      <c r="BE83" s="172">
        <v>142</v>
      </c>
      <c r="BF83" s="173"/>
      <c r="BG83" s="173"/>
      <c r="BH83" s="174"/>
      <c r="BI83" s="175">
        <f t="shared" si="63"/>
        <v>142</v>
      </c>
      <c r="BJ83" s="172">
        <v>70</v>
      </c>
      <c r="BK83" s="173"/>
      <c r="BL83" s="173"/>
      <c r="BM83" s="174"/>
      <c r="BN83" s="175">
        <f t="shared" si="64"/>
        <v>70</v>
      </c>
      <c r="BO83" s="177">
        <f>SUM(G83,L83,Q83,V83,AA83,AF83,AK83,AP83,AU83,AZ83,BE83,BJ83)</f>
        <v>220</v>
      </c>
      <c r="BP83" s="173">
        <f>SUM(H83,M83,R83,W83,AB83,AG83,AL83,AQ83,AV83,BA83,BF83,BK83)</f>
        <v>0</v>
      </c>
      <c r="BQ83" s="173">
        <f>SUM(I83,N83,S83,X83,AC83,AH83,AM83,AR83,AW83,BB83,BG83,BL83)</f>
        <v>0</v>
      </c>
      <c r="BR83" s="174">
        <f>SUM(J83,O83,T83,Y83,AD83,AI83,AN83,AS83,AX83,BC83,BH83,BM83)</f>
        <v>0</v>
      </c>
      <c r="BS83" s="176">
        <f t="shared" si="12"/>
        <v>220</v>
      </c>
    </row>
    <row r="84" spans="2:71" x14ac:dyDescent="0.3">
      <c r="B84" s="269"/>
      <c r="C84" s="230"/>
      <c r="D84" s="233"/>
      <c r="E84" s="239"/>
      <c r="F84" s="123" t="s">
        <v>129</v>
      </c>
      <c r="G84" s="34">
        <v>928</v>
      </c>
      <c r="H84" s="16"/>
      <c r="I84" s="16"/>
      <c r="J84" s="17"/>
      <c r="K84" s="18">
        <f t="shared" si="71"/>
        <v>928</v>
      </c>
      <c r="L84" s="34">
        <v>602</v>
      </c>
      <c r="M84" s="16"/>
      <c r="N84" s="16"/>
      <c r="O84" s="17"/>
      <c r="P84" s="18">
        <f t="shared" si="66"/>
        <v>602</v>
      </c>
      <c r="Q84" s="34">
        <v>96</v>
      </c>
      <c r="R84" s="16"/>
      <c r="S84" s="16"/>
      <c r="T84" s="17"/>
      <c r="U84" s="18">
        <f t="shared" si="67"/>
        <v>96</v>
      </c>
      <c r="V84" s="34"/>
      <c r="W84" s="16"/>
      <c r="X84" s="16"/>
      <c r="Y84" s="17"/>
      <c r="Z84" s="18">
        <f t="shared" si="68"/>
        <v>0</v>
      </c>
      <c r="AA84" s="34"/>
      <c r="AB84" s="16"/>
      <c r="AC84" s="16"/>
      <c r="AD84" s="17"/>
      <c r="AE84" s="18">
        <f t="shared" si="69"/>
        <v>0</v>
      </c>
      <c r="AF84" s="34"/>
      <c r="AG84" s="16"/>
      <c r="AH84" s="16"/>
      <c r="AI84" s="17"/>
      <c r="AJ84" s="18">
        <f t="shared" si="70"/>
        <v>0</v>
      </c>
      <c r="AK84" s="34"/>
      <c r="AL84" s="16"/>
      <c r="AM84" s="16"/>
      <c r="AN84" s="17"/>
      <c r="AO84" s="18">
        <f t="shared" si="59"/>
        <v>0</v>
      </c>
      <c r="AP84" s="34"/>
      <c r="AQ84" s="16"/>
      <c r="AR84" s="16"/>
      <c r="AS84" s="17"/>
      <c r="AT84" s="18">
        <f t="shared" si="60"/>
        <v>0</v>
      </c>
      <c r="AU84" s="34"/>
      <c r="AV84" s="16"/>
      <c r="AW84" s="16"/>
      <c r="AX84" s="17"/>
      <c r="AY84" s="18">
        <f t="shared" si="61"/>
        <v>0</v>
      </c>
      <c r="AZ84" s="34"/>
      <c r="BA84" s="16"/>
      <c r="BB84" s="16"/>
      <c r="BC84" s="17"/>
      <c r="BD84" s="18">
        <f t="shared" si="62"/>
        <v>0</v>
      </c>
      <c r="BE84" s="34">
        <v>1947</v>
      </c>
      <c r="BF84" s="16"/>
      <c r="BG84" s="16"/>
      <c r="BH84" s="17"/>
      <c r="BI84" s="18">
        <f t="shared" si="63"/>
        <v>1947</v>
      </c>
      <c r="BJ84" s="34">
        <v>732</v>
      </c>
      <c r="BK84" s="16"/>
      <c r="BL84" s="16"/>
      <c r="BM84" s="17"/>
      <c r="BN84" s="18">
        <f t="shared" si="64"/>
        <v>732</v>
      </c>
      <c r="BO84" s="70">
        <f>SUM(G84,L84,Q84,V84,AA84,AF84,AK84,AP84,AU84,AZ84,BE84,BJ84)</f>
        <v>4305</v>
      </c>
      <c r="BP84" s="16">
        <f>SUM(H84,M84,R84,W84,AB84,AG84,AL84,AQ84,AV84,BA84,BF84,BK84)</f>
        <v>0</v>
      </c>
      <c r="BQ84" s="16">
        <f>SUM(I84,N84,S84,X84,AC84,AH84,AM84,AR84,AW84,BB84,BG84,BL84)</f>
        <v>0</v>
      </c>
      <c r="BR84" s="17">
        <f>SUM(J84,O84,T84,Y84,AD84,AI84,AN84,AS84,AX84,BC84,BH84,BM84)</f>
        <v>0</v>
      </c>
      <c r="BS84" s="35">
        <f t="shared" si="12"/>
        <v>4305</v>
      </c>
    </row>
    <row r="85" spans="2:71" x14ac:dyDescent="0.3">
      <c r="B85" s="269"/>
      <c r="C85" s="230"/>
      <c r="D85" s="233"/>
      <c r="E85" s="239"/>
      <c r="F85" s="123" t="s">
        <v>130</v>
      </c>
      <c r="G85" s="34">
        <v>75</v>
      </c>
      <c r="H85" s="16"/>
      <c r="I85" s="16"/>
      <c r="J85" s="17"/>
      <c r="K85" s="18">
        <f t="shared" si="71"/>
        <v>75</v>
      </c>
      <c r="L85" s="34">
        <v>48</v>
      </c>
      <c r="M85" s="16"/>
      <c r="N85" s="16"/>
      <c r="O85" s="17"/>
      <c r="P85" s="18">
        <f t="shared" si="66"/>
        <v>48</v>
      </c>
      <c r="Q85" s="34">
        <f>7</f>
        <v>7</v>
      </c>
      <c r="R85" s="16"/>
      <c r="S85" s="16"/>
      <c r="T85" s="17"/>
      <c r="U85" s="18">
        <f t="shared" si="67"/>
        <v>7</v>
      </c>
      <c r="V85" s="34"/>
      <c r="W85" s="16"/>
      <c r="X85" s="16"/>
      <c r="Y85" s="17"/>
      <c r="Z85" s="18">
        <f t="shared" si="68"/>
        <v>0</v>
      </c>
      <c r="AA85" s="34"/>
      <c r="AB85" s="16"/>
      <c r="AC85" s="16"/>
      <c r="AD85" s="17"/>
      <c r="AE85" s="18">
        <f t="shared" si="69"/>
        <v>0</v>
      </c>
      <c r="AF85" s="34"/>
      <c r="AG85" s="16"/>
      <c r="AH85" s="16"/>
      <c r="AI85" s="17"/>
      <c r="AJ85" s="18">
        <f t="shared" si="70"/>
        <v>0</v>
      </c>
      <c r="AK85" s="34"/>
      <c r="AL85" s="16"/>
      <c r="AM85" s="16"/>
      <c r="AN85" s="17"/>
      <c r="AO85" s="18">
        <f t="shared" si="59"/>
        <v>0</v>
      </c>
      <c r="AP85" s="34"/>
      <c r="AQ85" s="16"/>
      <c r="AR85" s="16"/>
      <c r="AS85" s="17"/>
      <c r="AT85" s="18">
        <f t="shared" si="60"/>
        <v>0</v>
      </c>
      <c r="AU85" s="34"/>
      <c r="AV85" s="16"/>
      <c r="AW85" s="16"/>
      <c r="AX85" s="17"/>
      <c r="AY85" s="18">
        <f t="shared" si="61"/>
        <v>0</v>
      </c>
      <c r="AZ85" s="34"/>
      <c r="BA85" s="16"/>
      <c r="BB85" s="16"/>
      <c r="BC85" s="17"/>
      <c r="BD85" s="18">
        <f t="shared" si="62"/>
        <v>0</v>
      </c>
      <c r="BE85" s="34">
        <v>582</v>
      </c>
      <c r="BF85" s="16"/>
      <c r="BG85" s="16"/>
      <c r="BH85" s="17"/>
      <c r="BI85" s="18">
        <f t="shared" si="63"/>
        <v>582</v>
      </c>
      <c r="BJ85" s="34">
        <v>177</v>
      </c>
      <c r="BK85" s="16"/>
      <c r="BL85" s="16"/>
      <c r="BM85" s="17"/>
      <c r="BN85" s="18">
        <f t="shared" si="64"/>
        <v>177</v>
      </c>
      <c r="BO85" s="70">
        <f>SUM(G85,L85,Q85,V85,AA85,AF85,AK85,AP85,AU85,AZ85,BE85,BJ85)</f>
        <v>889</v>
      </c>
      <c r="BP85" s="16">
        <f>SUM(H85,M85,R85,W85,AB85,AG85,AL85,AQ85,AV85,BA85,BF85,BK85)</f>
        <v>0</v>
      </c>
      <c r="BQ85" s="16">
        <f>SUM(I85,N85,S85,X85,AC85,AH85,AM85,AR85,AW85,BB85,BG85,BL85)</f>
        <v>0</v>
      </c>
      <c r="BR85" s="17">
        <f>SUM(J85,O85,T85,Y85,AD85,AI85,AN85,AS85,AX85,BC85,BH85,BM85)</f>
        <v>0</v>
      </c>
      <c r="BS85" s="35">
        <f t="shared" si="12"/>
        <v>889</v>
      </c>
    </row>
    <row r="86" spans="2:71" x14ac:dyDescent="0.3">
      <c r="B86" s="269"/>
      <c r="C86" s="230"/>
      <c r="D86" s="233"/>
      <c r="E86" s="239"/>
      <c r="F86" s="123" t="s">
        <v>141</v>
      </c>
      <c r="G86" s="34">
        <v>639</v>
      </c>
      <c r="H86" s="16"/>
      <c r="I86" s="16"/>
      <c r="J86" s="17"/>
      <c r="K86" s="18">
        <f t="shared" si="0"/>
        <v>639</v>
      </c>
      <c r="L86" s="34">
        <v>373</v>
      </c>
      <c r="M86" s="16"/>
      <c r="N86" s="16"/>
      <c r="O86" s="17"/>
      <c r="P86" s="18">
        <f t="shared" si="66"/>
        <v>373</v>
      </c>
      <c r="Q86" s="34">
        <v>70</v>
      </c>
      <c r="R86" s="16"/>
      <c r="S86" s="16"/>
      <c r="T86" s="17"/>
      <c r="U86" s="18">
        <f t="shared" si="67"/>
        <v>70</v>
      </c>
      <c r="V86" s="34"/>
      <c r="W86" s="16"/>
      <c r="X86" s="16"/>
      <c r="Y86" s="17"/>
      <c r="Z86" s="18">
        <f t="shared" si="68"/>
        <v>0</v>
      </c>
      <c r="AA86" s="34"/>
      <c r="AB86" s="16"/>
      <c r="AC86" s="16"/>
      <c r="AD86" s="17"/>
      <c r="AE86" s="18">
        <f t="shared" si="69"/>
        <v>0</v>
      </c>
      <c r="AF86" s="34"/>
      <c r="AG86" s="16"/>
      <c r="AH86" s="16"/>
      <c r="AI86" s="17"/>
      <c r="AJ86" s="18">
        <f t="shared" si="70"/>
        <v>0</v>
      </c>
      <c r="AK86" s="34"/>
      <c r="AL86" s="16"/>
      <c r="AM86" s="16"/>
      <c r="AN86" s="17"/>
      <c r="AO86" s="18">
        <f t="shared" si="59"/>
        <v>0</v>
      </c>
      <c r="AP86" s="34"/>
      <c r="AQ86" s="16"/>
      <c r="AR86" s="16"/>
      <c r="AS86" s="17"/>
      <c r="AT86" s="18">
        <f t="shared" si="60"/>
        <v>0</v>
      </c>
      <c r="AU86" s="34"/>
      <c r="AV86" s="16"/>
      <c r="AW86" s="16"/>
      <c r="AX86" s="17"/>
      <c r="AY86" s="18">
        <f t="shared" si="61"/>
        <v>0</v>
      </c>
      <c r="AZ86" s="34"/>
      <c r="BA86" s="16"/>
      <c r="BB86" s="16"/>
      <c r="BC86" s="17"/>
      <c r="BD86" s="18">
        <f t="shared" si="62"/>
        <v>0</v>
      </c>
      <c r="BE86" s="34">
        <v>1503</v>
      </c>
      <c r="BF86" s="16"/>
      <c r="BG86" s="16"/>
      <c r="BH86" s="17"/>
      <c r="BI86" s="18">
        <f t="shared" si="63"/>
        <v>1503</v>
      </c>
      <c r="BJ86" s="34">
        <v>541</v>
      </c>
      <c r="BK86" s="16"/>
      <c r="BL86" s="16"/>
      <c r="BM86" s="17"/>
      <c r="BN86" s="18">
        <f t="shared" si="64"/>
        <v>541</v>
      </c>
      <c r="BO86" s="70">
        <f>SUM(G86,L86,Q86,V86,AA86,AF86,AK86,AP86,AU86,AZ86,BE86,BJ86)</f>
        <v>3126</v>
      </c>
      <c r="BP86" s="16">
        <f>SUM(H86,M86,R86,W86,AB86,AG86,AL86,AQ86,AV86,BA86,BF86,BK86)</f>
        <v>0</v>
      </c>
      <c r="BQ86" s="16">
        <f>SUM(I86,N86,S86,X86,AC86,AH86,AM86,AR86,AW86,BB86,BG86,BL86)</f>
        <v>0</v>
      </c>
      <c r="BR86" s="17">
        <f>SUM(J86,O86,T86,Y86,AD86,AI86,AN86,AS86,AX86,BC86,BH86,BM86)</f>
        <v>0</v>
      </c>
      <c r="BS86" s="35">
        <f t="shared" si="12"/>
        <v>3126</v>
      </c>
    </row>
    <row r="87" spans="2:71" x14ac:dyDescent="0.3">
      <c r="B87" s="269"/>
      <c r="C87" s="230"/>
      <c r="D87" s="233"/>
      <c r="E87" s="239"/>
      <c r="F87" s="124" t="s">
        <v>142</v>
      </c>
      <c r="G87" s="36">
        <v>56</v>
      </c>
      <c r="H87" s="10"/>
      <c r="I87" s="10"/>
      <c r="J87" s="11"/>
      <c r="K87" s="12">
        <f t="shared" si="0"/>
        <v>56</v>
      </c>
      <c r="L87" s="36">
        <v>27</v>
      </c>
      <c r="M87" s="10"/>
      <c r="N87" s="10"/>
      <c r="O87" s="11"/>
      <c r="P87" s="12">
        <f t="shared" si="66"/>
        <v>27</v>
      </c>
      <c r="Q87" s="36">
        <v>5</v>
      </c>
      <c r="R87" s="10"/>
      <c r="S87" s="10"/>
      <c r="T87" s="11"/>
      <c r="U87" s="12">
        <f t="shared" si="67"/>
        <v>5</v>
      </c>
      <c r="V87" s="36"/>
      <c r="W87" s="10"/>
      <c r="X87" s="10"/>
      <c r="Y87" s="11"/>
      <c r="Z87" s="12">
        <f t="shared" si="68"/>
        <v>0</v>
      </c>
      <c r="AA87" s="36"/>
      <c r="AB87" s="10"/>
      <c r="AC87" s="10"/>
      <c r="AD87" s="11"/>
      <c r="AE87" s="12">
        <f t="shared" si="69"/>
        <v>0</v>
      </c>
      <c r="AF87" s="36"/>
      <c r="AG87" s="10"/>
      <c r="AH87" s="10"/>
      <c r="AI87" s="11"/>
      <c r="AJ87" s="12">
        <f t="shared" si="70"/>
        <v>0</v>
      </c>
      <c r="AK87" s="36"/>
      <c r="AL87" s="10"/>
      <c r="AM87" s="10"/>
      <c r="AN87" s="11"/>
      <c r="AO87" s="12">
        <f t="shared" si="59"/>
        <v>0</v>
      </c>
      <c r="AP87" s="36"/>
      <c r="AQ87" s="10"/>
      <c r="AR87" s="10"/>
      <c r="AS87" s="11"/>
      <c r="AT87" s="12">
        <f t="shared" si="60"/>
        <v>0</v>
      </c>
      <c r="AU87" s="36"/>
      <c r="AV87" s="10"/>
      <c r="AW87" s="10"/>
      <c r="AX87" s="11"/>
      <c r="AY87" s="12">
        <f t="shared" si="61"/>
        <v>0</v>
      </c>
      <c r="AZ87" s="36"/>
      <c r="BA87" s="10"/>
      <c r="BB87" s="10"/>
      <c r="BC87" s="11"/>
      <c r="BD87" s="12">
        <f t="shared" si="62"/>
        <v>0</v>
      </c>
      <c r="BE87" s="36">
        <v>468</v>
      </c>
      <c r="BF87" s="10"/>
      <c r="BG87" s="10"/>
      <c r="BH87" s="11"/>
      <c r="BI87" s="12">
        <f t="shared" si="63"/>
        <v>468</v>
      </c>
      <c r="BJ87" s="36">
        <v>147</v>
      </c>
      <c r="BK87" s="10"/>
      <c r="BL87" s="10"/>
      <c r="BM87" s="11"/>
      <c r="BN87" s="12">
        <f t="shared" si="64"/>
        <v>147</v>
      </c>
      <c r="BO87" s="71">
        <f>SUM(G87,L87,Q87,V87,AA87,AF87,AK87,AP87,AU87,AZ87,BE87,BJ87)</f>
        <v>703</v>
      </c>
      <c r="BP87" s="10">
        <f>SUM(H87,M87,R87,W87,AB87,AG87,AL87,AQ87,AV87,BA87,BF87,BK87)</f>
        <v>0</v>
      </c>
      <c r="BQ87" s="10">
        <f>SUM(I87,N87,S87,X87,AC87,AH87,AM87,AR87,AW87,BB87,BG87,BL87)</f>
        <v>0</v>
      </c>
      <c r="BR87" s="11">
        <f>SUM(J87,O87,T87,Y87,AD87,AI87,AN87,AS87,AX87,BC87,BH87,BM87)</f>
        <v>0</v>
      </c>
      <c r="BS87" s="37">
        <f t="shared" si="12"/>
        <v>703</v>
      </c>
    </row>
    <row r="88" spans="2:71" x14ac:dyDescent="0.3">
      <c r="B88" s="269"/>
      <c r="C88" s="230"/>
      <c r="D88" s="233"/>
      <c r="E88" s="240"/>
      <c r="F88" s="125" t="s">
        <v>54</v>
      </c>
      <c r="G88" s="126">
        <f>SUM(G74:G87)</f>
        <v>2865</v>
      </c>
      <c r="H88" s="127">
        <f>SUM(H74:H87)</f>
        <v>0</v>
      </c>
      <c r="I88" s="127">
        <f>SUM(I74:I87)</f>
        <v>0</v>
      </c>
      <c r="J88" s="128">
        <f>SUM(J74:J87)</f>
        <v>0</v>
      </c>
      <c r="K88" s="129">
        <f t="shared" si="0"/>
        <v>2865</v>
      </c>
      <c r="L88" s="126">
        <f>SUM(L74:L87)</f>
        <v>1991</v>
      </c>
      <c r="M88" s="127">
        <f>SUM(M74:M87)</f>
        <v>0</v>
      </c>
      <c r="N88" s="127">
        <f>SUM(N74:N87)</f>
        <v>0</v>
      </c>
      <c r="O88" s="128">
        <f>SUM(O74:O87)</f>
        <v>0</v>
      </c>
      <c r="P88" s="129">
        <f t="shared" si="66"/>
        <v>1991</v>
      </c>
      <c r="Q88" s="126">
        <f>SUM(Q74:Q87)</f>
        <v>807</v>
      </c>
      <c r="R88" s="127">
        <f>SUM(R74:R87)</f>
        <v>0</v>
      </c>
      <c r="S88" s="127">
        <f>SUM(S74:S87)</f>
        <v>0</v>
      </c>
      <c r="T88" s="128">
        <f>SUM(T74:T87)</f>
        <v>0</v>
      </c>
      <c r="U88" s="129">
        <f t="shared" si="67"/>
        <v>807</v>
      </c>
      <c r="V88" s="126">
        <f>SUM(V74:V87)</f>
        <v>76</v>
      </c>
      <c r="W88" s="127">
        <f>SUM(W74:W87)</f>
        <v>0</v>
      </c>
      <c r="X88" s="127">
        <f>SUM(X74:X87)</f>
        <v>0</v>
      </c>
      <c r="Y88" s="128">
        <f>SUM(Y74:Y87)</f>
        <v>0</v>
      </c>
      <c r="Z88" s="129">
        <f t="shared" si="68"/>
        <v>76</v>
      </c>
      <c r="AA88" s="126">
        <f>SUM(AA74:AA87)</f>
        <v>251</v>
      </c>
      <c r="AB88" s="127">
        <f>SUM(AB74:AB87)</f>
        <v>0</v>
      </c>
      <c r="AC88" s="127">
        <f>SUM(AC74:AC87)</f>
        <v>0</v>
      </c>
      <c r="AD88" s="128">
        <f>SUM(AD74:AD87)</f>
        <v>0</v>
      </c>
      <c r="AE88" s="129">
        <f t="shared" si="69"/>
        <v>251</v>
      </c>
      <c r="AF88" s="126">
        <f>SUM(AF74:AF87)</f>
        <v>389</v>
      </c>
      <c r="AG88" s="127">
        <f>SUM(AG74:AG87)</f>
        <v>0</v>
      </c>
      <c r="AH88" s="127">
        <f>SUM(AH74:AH87)</f>
        <v>0</v>
      </c>
      <c r="AI88" s="128">
        <f>SUM(AI74:AI87)</f>
        <v>0</v>
      </c>
      <c r="AJ88" s="129">
        <f t="shared" si="70"/>
        <v>389</v>
      </c>
      <c r="AK88" s="126">
        <f>SUM(AK74:AK87)</f>
        <v>130</v>
      </c>
      <c r="AL88" s="127">
        <f>SUM(AL74:AL87)</f>
        <v>0</v>
      </c>
      <c r="AM88" s="127">
        <f>SUM(AM74:AM87)</f>
        <v>0</v>
      </c>
      <c r="AN88" s="128">
        <f>SUM(AN74:AN87)</f>
        <v>0</v>
      </c>
      <c r="AO88" s="129">
        <f t="shared" si="59"/>
        <v>130</v>
      </c>
      <c r="AP88" s="126">
        <f>SUM(AP74:AP87)</f>
        <v>290</v>
      </c>
      <c r="AQ88" s="127">
        <f>SUM(AQ74:AQ87)</f>
        <v>0</v>
      </c>
      <c r="AR88" s="127">
        <f>SUM(AR74:AR87)</f>
        <v>0</v>
      </c>
      <c r="AS88" s="128">
        <f>SUM(AS74:AS87)</f>
        <v>0</v>
      </c>
      <c r="AT88" s="129">
        <f t="shared" si="60"/>
        <v>290</v>
      </c>
      <c r="AU88" s="126">
        <f>SUM(AU74:AU87)</f>
        <v>83</v>
      </c>
      <c r="AV88" s="127">
        <f>SUM(AV74:AV87)</f>
        <v>0</v>
      </c>
      <c r="AW88" s="127">
        <f>SUM(AW74:AW87)</f>
        <v>0</v>
      </c>
      <c r="AX88" s="128">
        <f>SUM(AX74:AX87)</f>
        <v>0</v>
      </c>
      <c r="AY88" s="129">
        <f t="shared" si="61"/>
        <v>83</v>
      </c>
      <c r="AZ88" s="126">
        <f>SUM(AZ74:AZ87)</f>
        <v>533</v>
      </c>
      <c r="BA88" s="127">
        <f>SUM(BA74:BA87)</f>
        <v>0</v>
      </c>
      <c r="BB88" s="127">
        <f>SUM(BB74:BB87)</f>
        <v>0</v>
      </c>
      <c r="BC88" s="128">
        <f>SUM(BC74:BC87)</f>
        <v>0</v>
      </c>
      <c r="BD88" s="129">
        <f t="shared" si="62"/>
        <v>533</v>
      </c>
      <c r="BE88" s="126">
        <f>SUM(BE74:BE87)</f>
        <v>6826</v>
      </c>
      <c r="BF88" s="127">
        <f>SUM(BF74:BF87)</f>
        <v>0</v>
      </c>
      <c r="BG88" s="127">
        <f>SUM(BG74:BG87)</f>
        <v>0</v>
      </c>
      <c r="BH88" s="128">
        <f>SUM(BH74:BH87)</f>
        <v>0</v>
      </c>
      <c r="BI88" s="129">
        <f t="shared" si="63"/>
        <v>6826</v>
      </c>
      <c r="BJ88" s="126">
        <f>SUM(BJ74:BJ87)</f>
        <v>2568</v>
      </c>
      <c r="BK88" s="127">
        <f>SUM(BK74:BK87)</f>
        <v>0</v>
      </c>
      <c r="BL88" s="127">
        <f>SUM(BL74:BL87)</f>
        <v>0</v>
      </c>
      <c r="BM88" s="128">
        <f>SUM(BM74:BM87)</f>
        <v>0</v>
      </c>
      <c r="BN88" s="129">
        <f t="shared" si="64"/>
        <v>2568</v>
      </c>
      <c r="BO88" s="131">
        <f>SUM(BO74:BO87)</f>
        <v>16809</v>
      </c>
      <c r="BP88" s="127">
        <f>SUM(BP74:BP87)</f>
        <v>0</v>
      </c>
      <c r="BQ88" s="127">
        <f>SUM(BQ74:BQ87)</f>
        <v>0</v>
      </c>
      <c r="BR88" s="128">
        <f>SUM(BR74:BR87)</f>
        <v>0</v>
      </c>
      <c r="BS88" s="130">
        <f t="shared" si="12"/>
        <v>16809</v>
      </c>
    </row>
    <row r="89" spans="2:71" x14ac:dyDescent="0.3">
      <c r="B89" s="269"/>
      <c r="C89" s="230"/>
      <c r="D89" s="233"/>
      <c r="E89" s="241" t="s">
        <v>46</v>
      </c>
      <c r="F89" s="120" t="s">
        <v>647</v>
      </c>
      <c r="G89" s="30">
        <v>6</v>
      </c>
      <c r="H89" s="7"/>
      <c r="I89" s="7"/>
      <c r="J89" s="8"/>
      <c r="K89" s="9">
        <f t="shared" si="0"/>
        <v>6</v>
      </c>
      <c r="L89" s="30"/>
      <c r="M89" s="7"/>
      <c r="N89" s="7"/>
      <c r="O89" s="8"/>
      <c r="P89" s="9">
        <f t="shared" si="66"/>
        <v>0</v>
      </c>
      <c r="Q89" s="30"/>
      <c r="R89" s="7"/>
      <c r="S89" s="7"/>
      <c r="T89" s="8"/>
      <c r="U89" s="9">
        <f t="shared" si="67"/>
        <v>0</v>
      </c>
      <c r="V89" s="30">
        <v>7</v>
      </c>
      <c r="W89" s="7"/>
      <c r="X89" s="7"/>
      <c r="Y89" s="8"/>
      <c r="Z89" s="9">
        <f t="shared" si="68"/>
        <v>7</v>
      </c>
      <c r="AA89" s="30">
        <v>17</v>
      </c>
      <c r="AB89" s="7"/>
      <c r="AC89" s="7"/>
      <c r="AD89" s="8"/>
      <c r="AE89" s="9">
        <f t="shared" si="69"/>
        <v>17</v>
      </c>
      <c r="AF89" s="30"/>
      <c r="AG89" s="7"/>
      <c r="AH89" s="7"/>
      <c r="AI89" s="8"/>
      <c r="AJ89" s="9">
        <f t="shared" si="70"/>
        <v>0</v>
      </c>
      <c r="AK89" s="30"/>
      <c r="AL89" s="7"/>
      <c r="AM89" s="7"/>
      <c r="AN89" s="8"/>
      <c r="AO89" s="9">
        <f t="shared" si="59"/>
        <v>0</v>
      </c>
      <c r="AP89" s="30"/>
      <c r="AQ89" s="7"/>
      <c r="AR89" s="7"/>
      <c r="AS89" s="8"/>
      <c r="AT89" s="9">
        <f t="shared" si="60"/>
        <v>0</v>
      </c>
      <c r="AU89" s="30">
        <v>8</v>
      </c>
      <c r="AV89" s="7"/>
      <c r="AW89" s="7"/>
      <c r="AX89" s="8"/>
      <c r="AY89" s="9">
        <f t="shared" si="61"/>
        <v>8</v>
      </c>
      <c r="AZ89" s="30"/>
      <c r="BA89" s="7"/>
      <c r="BB89" s="7"/>
      <c r="BC89" s="8"/>
      <c r="BD89" s="9">
        <f t="shared" si="62"/>
        <v>0</v>
      </c>
      <c r="BE89" s="30"/>
      <c r="BF89" s="7"/>
      <c r="BG89" s="7"/>
      <c r="BH89" s="8"/>
      <c r="BI89" s="9">
        <f t="shared" si="63"/>
        <v>0</v>
      </c>
      <c r="BJ89" s="30">
        <v>1</v>
      </c>
      <c r="BK89" s="7"/>
      <c r="BL89" s="7"/>
      <c r="BM89" s="8"/>
      <c r="BN89" s="9">
        <f t="shared" si="64"/>
        <v>1</v>
      </c>
      <c r="BO89" s="65">
        <f>SUM(G89,L89,Q89,V89,AA89,AF89,AK89,AP89,AU89,AZ89,BE89,BJ89)</f>
        <v>39</v>
      </c>
      <c r="BP89" s="7">
        <f>SUM(H89,M89,R89,W89,AB89,AG89,AL89,AQ89,AV89,BA89,BF89,BK89)</f>
        <v>0</v>
      </c>
      <c r="BQ89" s="7">
        <f>SUM(I89,N89,S89,X89,AC89,AH89,AM89,AR89,AW89,BB89,BG89,BL89)</f>
        <v>0</v>
      </c>
      <c r="BR89" s="8">
        <f>SUM(J89,O89,T89,Y89,AD89,AI89,AN89,AS89,AX89,BC89,BH89,BM89)</f>
        <v>0</v>
      </c>
      <c r="BS89" s="31">
        <f t="shared" si="12"/>
        <v>39</v>
      </c>
    </row>
    <row r="90" spans="2:71" x14ac:dyDescent="0.3">
      <c r="B90" s="269"/>
      <c r="C90" s="230"/>
      <c r="D90" s="233"/>
      <c r="E90" s="239"/>
      <c r="F90" s="121" t="s">
        <v>648</v>
      </c>
      <c r="G90" s="32"/>
      <c r="H90" s="13"/>
      <c r="I90" s="13"/>
      <c r="J90" s="14"/>
      <c r="K90" s="15">
        <f t="shared" si="0"/>
        <v>0</v>
      </c>
      <c r="L90" s="32"/>
      <c r="M90" s="13"/>
      <c r="N90" s="13"/>
      <c r="O90" s="14"/>
      <c r="P90" s="15">
        <f t="shared" si="66"/>
        <v>0</v>
      </c>
      <c r="Q90" s="32"/>
      <c r="R90" s="13"/>
      <c r="S90" s="13"/>
      <c r="T90" s="14"/>
      <c r="U90" s="15">
        <f t="shared" si="67"/>
        <v>0</v>
      </c>
      <c r="V90" s="32">
        <v>3</v>
      </c>
      <c r="W90" s="13"/>
      <c r="X90" s="13"/>
      <c r="Y90" s="14"/>
      <c r="Z90" s="15">
        <f t="shared" si="68"/>
        <v>3</v>
      </c>
      <c r="AA90" s="32">
        <v>2</v>
      </c>
      <c r="AB90" s="13"/>
      <c r="AC90" s="13"/>
      <c r="AD90" s="14"/>
      <c r="AE90" s="15">
        <f t="shared" si="69"/>
        <v>2</v>
      </c>
      <c r="AF90" s="32"/>
      <c r="AG90" s="13"/>
      <c r="AH90" s="13"/>
      <c r="AI90" s="14"/>
      <c r="AJ90" s="15">
        <f t="shared" si="70"/>
        <v>0</v>
      </c>
      <c r="AK90" s="32"/>
      <c r="AL90" s="13"/>
      <c r="AM90" s="13"/>
      <c r="AN90" s="14"/>
      <c r="AO90" s="15">
        <f t="shared" si="59"/>
        <v>0</v>
      </c>
      <c r="AP90" s="32"/>
      <c r="AQ90" s="13"/>
      <c r="AR90" s="13"/>
      <c r="AS90" s="14"/>
      <c r="AT90" s="15">
        <f t="shared" si="60"/>
        <v>0</v>
      </c>
      <c r="AU90" s="32">
        <v>2</v>
      </c>
      <c r="AV90" s="13"/>
      <c r="AW90" s="13"/>
      <c r="AX90" s="14"/>
      <c r="AY90" s="15">
        <f t="shared" si="61"/>
        <v>2</v>
      </c>
      <c r="AZ90" s="32"/>
      <c r="BA90" s="13"/>
      <c r="BB90" s="13"/>
      <c r="BC90" s="14"/>
      <c r="BD90" s="15">
        <f t="shared" si="62"/>
        <v>0</v>
      </c>
      <c r="BE90" s="32"/>
      <c r="BF90" s="13"/>
      <c r="BG90" s="13"/>
      <c r="BH90" s="14"/>
      <c r="BI90" s="15">
        <f t="shared" si="63"/>
        <v>0</v>
      </c>
      <c r="BJ90" s="32"/>
      <c r="BK90" s="13"/>
      <c r="BL90" s="13"/>
      <c r="BM90" s="14"/>
      <c r="BN90" s="15">
        <f t="shared" si="64"/>
        <v>0</v>
      </c>
      <c r="BO90" s="66">
        <f>SUM(G90,L90,Q90,V90,AA90,AF90,AK90,AP90,AU90,AZ90,BE90,BJ90)</f>
        <v>7</v>
      </c>
      <c r="BP90" s="13">
        <f>SUM(H90,M90,R90,W90,AB90,AG90,AL90,AQ90,AV90,BA90,BF90,BK90)</f>
        <v>0</v>
      </c>
      <c r="BQ90" s="13">
        <f>SUM(I90,N90,S90,X90,AC90,AH90,AM90,AR90,AW90,BB90,BG90,BL90)</f>
        <v>0</v>
      </c>
      <c r="BR90" s="14">
        <f>SUM(J90,O90,T90,Y90,AD90,AI90,AN90,AS90,AX90,BC90,BH90,BM90)</f>
        <v>0</v>
      </c>
      <c r="BS90" s="33">
        <f t="shared" si="12"/>
        <v>7</v>
      </c>
    </row>
    <row r="91" spans="2:71" x14ac:dyDescent="0.3">
      <c r="B91" s="269"/>
      <c r="C91" s="230"/>
      <c r="D91" s="233"/>
      <c r="E91" s="239"/>
      <c r="F91" s="121" t="s">
        <v>621</v>
      </c>
      <c r="G91" s="32">
        <v>10</v>
      </c>
      <c r="H91" s="13"/>
      <c r="I91" s="13"/>
      <c r="J91" s="14"/>
      <c r="K91" s="15">
        <f t="shared" si="0"/>
        <v>10</v>
      </c>
      <c r="L91" s="32">
        <v>10</v>
      </c>
      <c r="M91" s="13"/>
      <c r="N91" s="13"/>
      <c r="O91" s="14"/>
      <c r="P91" s="15">
        <f t="shared" si="66"/>
        <v>10</v>
      </c>
      <c r="Q91" s="32">
        <v>17</v>
      </c>
      <c r="R91" s="13"/>
      <c r="S91" s="13"/>
      <c r="T91" s="14"/>
      <c r="U91" s="15">
        <f t="shared" si="67"/>
        <v>17</v>
      </c>
      <c r="V91" s="32"/>
      <c r="W91" s="13"/>
      <c r="X91" s="13"/>
      <c r="Y91" s="14"/>
      <c r="Z91" s="15">
        <f t="shared" si="68"/>
        <v>0</v>
      </c>
      <c r="AA91" s="32">
        <v>2</v>
      </c>
      <c r="AB91" s="13"/>
      <c r="AC91" s="13"/>
      <c r="AD91" s="14"/>
      <c r="AE91" s="15">
        <f t="shared" si="69"/>
        <v>2</v>
      </c>
      <c r="AF91" s="32">
        <v>15</v>
      </c>
      <c r="AG91" s="13"/>
      <c r="AH91" s="13"/>
      <c r="AI91" s="14"/>
      <c r="AJ91" s="15">
        <f t="shared" si="70"/>
        <v>15</v>
      </c>
      <c r="AK91" s="32">
        <v>5</v>
      </c>
      <c r="AL91" s="13"/>
      <c r="AM91" s="13"/>
      <c r="AN91" s="14"/>
      <c r="AO91" s="15">
        <f t="shared" si="59"/>
        <v>5</v>
      </c>
      <c r="AP91" s="32">
        <v>8</v>
      </c>
      <c r="AQ91" s="13"/>
      <c r="AR91" s="13"/>
      <c r="AS91" s="14"/>
      <c r="AT91" s="15">
        <f t="shared" si="60"/>
        <v>8</v>
      </c>
      <c r="AU91" s="32"/>
      <c r="AV91" s="13"/>
      <c r="AW91" s="13"/>
      <c r="AX91" s="14"/>
      <c r="AY91" s="15">
        <f t="shared" si="61"/>
        <v>0</v>
      </c>
      <c r="AZ91" s="32">
        <v>21</v>
      </c>
      <c r="BA91" s="13"/>
      <c r="BB91" s="13"/>
      <c r="BC91" s="14"/>
      <c r="BD91" s="15">
        <f t="shared" si="62"/>
        <v>21</v>
      </c>
      <c r="BE91" s="32">
        <v>10</v>
      </c>
      <c r="BF91" s="13"/>
      <c r="BG91" s="13"/>
      <c r="BH91" s="14"/>
      <c r="BI91" s="15">
        <f t="shared" si="63"/>
        <v>10</v>
      </c>
      <c r="BJ91" s="32"/>
      <c r="BK91" s="13"/>
      <c r="BL91" s="13"/>
      <c r="BM91" s="14"/>
      <c r="BN91" s="15">
        <f t="shared" si="64"/>
        <v>0</v>
      </c>
      <c r="BO91" s="66">
        <f>SUM(G91,L91,Q91,V91,AA91,AF91,AK91,AP91,AU91,AZ91,BE91,BJ91)</f>
        <v>98</v>
      </c>
      <c r="BP91" s="13">
        <f>SUM(H91,M91,R91,W91,AB91,AG91,AL91,AQ91,AV91,BA91,BF91,BK91)</f>
        <v>0</v>
      </c>
      <c r="BQ91" s="13">
        <f>SUM(I91,N91,S91,X91,AC91,AH91,AM91,AR91,AW91,BB91,BG91,BL91)</f>
        <v>0</v>
      </c>
      <c r="BR91" s="14">
        <f>SUM(J91,O91,T91,Y91,AD91,AI91,AN91,AS91,AX91,BC91,BH91,BM91)</f>
        <v>0</v>
      </c>
      <c r="BS91" s="33">
        <f t="shared" si="12"/>
        <v>98</v>
      </c>
    </row>
    <row r="92" spans="2:71" x14ac:dyDescent="0.3">
      <c r="B92" s="269"/>
      <c r="C92" s="230"/>
      <c r="D92" s="233"/>
      <c r="E92" s="239"/>
      <c r="F92" s="121" t="s">
        <v>622</v>
      </c>
      <c r="G92" s="32">
        <v>1</v>
      </c>
      <c r="H92" s="13"/>
      <c r="I92" s="13"/>
      <c r="J92" s="14"/>
      <c r="K92" s="15">
        <f t="shared" si="0"/>
        <v>1</v>
      </c>
      <c r="L92" s="32">
        <v>1</v>
      </c>
      <c r="M92" s="13"/>
      <c r="N92" s="13"/>
      <c r="O92" s="14"/>
      <c r="P92" s="15">
        <f t="shared" si="66"/>
        <v>1</v>
      </c>
      <c r="Q92" s="32">
        <v>2</v>
      </c>
      <c r="R92" s="13"/>
      <c r="S92" s="13"/>
      <c r="T92" s="14"/>
      <c r="U92" s="15">
        <f t="shared" si="67"/>
        <v>2</v>
      </c>
      <c r="V92" s="32"/>
      <c r="W92" s="13"/>
      <c r="X92" s="13"/>
      <c r="Y92" s="14"/>
      <c r="Z92" s="15">
        <f t="shared" si="68"/>
        <v>0</v>
      </c>
      <c r="AA92" s="32">
        <v>1</v>
      </c>
      <c r="AB92" s="13"/>
      <c r="AC92" s="13"/>
      <c r="AD92" s="14"/>
      <c r="AE92" s="15">
        <f t="shared" si="69"/>
        <v>1</v>
      </c>
      <c r="AF92" s="32">
        <v>2</v>
      </c>
      <c r="AG92" s="13"/>
      <c r="AH92" s="13"/>
      <c r="AI92" s="14"/>
      <c r="AJ92" s="15">
        <f t="shared" si="70"/>
        <v>2</v>
      </c>
      <c r="AK92" s="32">
        <v>2</v>
      </c>
      <c r="AL92" s="13"/>
      <c r="AM92" s="13"/>
      <c r="AN92" s="14"/>
      <c r="AO92" s="15">
        <f t="shared" si="59"/>
        <v>2</v>
      </c>
      <c r="AP92" s="32">
        <v>2</v>
      </c>
      <c r="AQ92" s="13"/>
      <c r="AR92" s="13"/>
      <c r="AS92" s="14"/>
      <c r="AT92" s="15">
        <f t="shared" si="60"/>
        <v>2</v>
      </c>
      <c r="AU92" s="32"/>
      <c r="AV92" s="13"/>
      <c r="AW92" s="13"/>
      <c r="AX92" s="14"/>
      <c r="AY92" s="15">
        <f t="shared" si="61"/>
        <v>0</v>
      </c>
      <c r="AZ92" s="32">
        <v>4</v>
      </c>
      <c r="BA92" s="13"/>
      <c r="BB92" s="13"/>
      <c r="BC92" s="14"/>
      <c r="BD92" s="15">
        <f t="shared" si="62"/>
        <v>4</v>
      </c>
      <c r="BE92" s="32">
        <v>1</v>
      </c>
      <c r="BF92" s="13"/>
      <c r="BG92" s="13"/>
      <c r="BH92" s="14"/>
      <c r="BI92" s="15">
        <f t="shared" si="63"/>
        <v>1</v>
      </c>
      <c r="BJ92" s="32"/>
      <c r="BK92" s="13"/>
      <c r="BL92" s="13"/>
      <c r="BM92" s="14"/>
      <c r="BN92" s="15">
        <f t="shared" si="64"/>
        <v>0</v>
      </c>
      <c r="BO92" s="66">
        <f>SUM(G92,L92,Q92,V92,AA92,AF92,AK92,AP92,AU92,AZ92,BE92,BJ92)</f>
        <v>16</v>
      </c>
      <c r="BP92" s="13">
        <f>SUM(H92,M92,R92,W92,AB92,AG92,AL92,AQ92,AV92,BA92,BF92,BK92)</f>
        <v>0</v>
      </c>
      <c r="BQ92" s="13">
        <f>SUM(I92,N92,S92,X92,AC92,AH92,AM92,AR92,AW92,BB92,BG92,BL92)</f>
        <v>0</v>
      </c>
      <c r="BR92" s="14">
        <f>SUM(J92,O92,T92,Y92,AD92,AI92,AN92,AS92,AX92,BC92,BH92,BM92)</f>
        <v>0</v>
      </c>
      <c r="BS92" s="33">
        <f t="shared" si="12"/>
        <v>16</v>
      </c>
    </row>
    <row r="93" spans="2:71" x14ac:dyDescent="0.3">
      <c r="B93" s="269"/>
      <c r="C93" s="230"/>
      <c r="D93" s="233"/>
      <c r="E93" s="239"/>
      <c r="F93" s="121" t="s">
        <v>623</v>
      </c>
      <c r="G93" s="32">
        <v>7</v>
      </c>
      <c r="H93" s="13"/>
      <c r="I93" s="13"/>
      <c r="J93" s="14"/>
      <c r="K93" s="15">
        <f t="shared" ref="K93:K94" si="72">SUM(G93:J93)</f>
        <v>7</v>
      </c>
      <c r="L93" s="32">
        <v>6</v>
      </c>
      <c r="M93" s="13"/>
      <c r="N93" s="13"/>
      <c r="O93" s="14"/>
      <c r="P93" s="15">
        <f t="shared" si="66"/>
        <v>6</v>
      </c>
      <c r="Q93" s="32">
        <v>11</v>
      </c>
      <c r="R93" s="13"/>
      <c r="S93" s="13"/>
      <c r="T93" s="14"/>
      <c r="U93" s="15">
        <f t="shared" si="67"/>
        <v>11</v>
      </c>
      <c r="V93" s="32"/>
      <c r="W93" s="13"/>
      <c r="X93" s="13"/>
      <c r="Y93" s="14"/>
      <c r="Z93" s="15">
        <f t="shared" si="68"/>
        <v>0</v>
      </c>
      <c r="AA93" s="32">
        <v>2</v>
      </c>
      <c r="AB93" s="13"/>
      <c r="AC93" s="13"/>
      <c r="AD93" s="14"/>
      <c r="AE93" s="15">
        <f t="shared" si="69"/>
        <v>2</v>
      </c>
      <c r="AF93" s="32">
        <v>9</v>
      </c>
      <c r="AG93" s="13"/>
      <c r="AH93" s="13"/>
      <c r="AI93" s="14"/>
      <c r="AJ93" s="15">
        <f t="shared" si="70"/>
        <v>9</v>
      </c>
      <c r="AK93" s="32">
        <v>3</v>
      </c>
      <c r="AL93" s="13"/>
      <c r="AM93" s="13"/>
      <c r="AN93" s="14"/>
      <c r="AO93" s="15">
        <f t="shared" si="59"/>
        <v>3</v>
      </c>
      <c r="AP93" s="32">
        <v>6</v>
      </c>
      <c r="AQ93" s="13"/>
      <c r="AR93" s="13"/>
      <c r="AS93" s="14"/>
      <c r="AT93" s="15">
        <f t="shared" si="60"/>
        <v>6</v>
      </c>
      <c r="AU93" s="32"/>
      <c r="AV93" s="13"/>
      <c r="AW93" s="13"/>
      <c r="AX93" s="14"/>
      <c r="AY93" s="15">
        <f t="shared" si="61"/>
        <v>0</v>
      </c>
      <c r="AZ93" s="32">
        <v>15</v>
      </c>
      <c r="BA93" s="13"/>
      <c r="BB93" s="13"/>
      <c r="BC93" s="14"/>
      <c r="BD93" s="15">
        <f t="shared" si="62"/>
        <v>15</v>
      </c>
      <c r="BE93" s="32">
        <v>5</v>
      </c>
      <c r="BF93" s="13"/>
      <c r="BG93" s="13"/>
      <c r="BH93" s="14"/>
      <c r="BI93" s="15">
        <f t="shared" si="63"/>
        <v>5</v>
      </c>
      <c r="BJ93" s="32"/>
      <c r="BK93" s="13"/>
      <c r="BL93" s="13"/>
      <c r="BM93" s="14"/>
      <c r="BN93" s="15">
        <f t="shared" si="64"/>
        <v>0</v>
      </c>
      <c r="BO93" s="66">
        <f>SUM(G93,L93,Q93,V93,AA93,AF93,AK93,AP93,AU93,AZ93,BE93,BJ93)</f>
        <v>64</v>
      </c>
      <c r="BP93" s="13">
        <f>SUM(H93,M93,R93,W93,AB93,AG93,AL93,AQ93,AV93,BA93,BF93,BK93)</f>
        <v>0</v>
      </c>
      <c r="BQ93" s="13">
        <f>SUM(I93,N93,S93,X93,AC93,AH93,AM93,AR93,AW93,BB93,BG93,BL93)</f>
        <v>0</v>
      </c>
      <c r="BR93" s="14">
        <f>SUM(J93,O93,T93,Y93,AD93,AI93,AN93,AS93,AX93,BC93,BH93,BM93)</f>
        <v>0</v>
      </c>
      <c r="BS93" s="33">
        <f t="shared" si="12"/>
        <v>64</v>
      </c>
    </row>
    <row r="94" spans="2:71" x14ac:dyDescent="0.3">
      <c r="B94" s="269"/>
      <c r="C94" s="230"/>
      <c r="D94" s="233"/>
      <c r="E94" s="239"/>
      <c r="F94" s="124" t="s">
        <v>624</v>
      </c>
      <c r="G94" s="36"/>
      <c r="H94" s="10"/>
      <c r="I94" s="10"/>
      <c r="J94" s="11"/>
      <c r="K94" s="12">
        <f t="shared" si="72"/>
        <v>0</v>
      </c>
      <c r="L94" s="36">
        <v>1</v>
      </c>
      <c r="M94" s="10"/>
      <c r="N94" s="10"/>
      <c r="O94" s="11"/>
      <c r="P94" s="12">
        <f t="shared" si="66"/>
        <v>1</v>
      </c>
      <c r="Q94" s="36">
        <v>2</v>
      </c>
      <c r="R94" s="10"/>
      <c r="S94" s="10"/>
      <c r="T94" s="11"/>
      <c r="U94" s="12">
        <f t="shared" si="67"/>
        <v>2</v>
      </c>
      <c r="V94" s="36"/>
      <c r="W94" s="10"/>
      <c r="X94" s="10"/>
      <c r="Y94" s="11"/>
      <c r="Z94" s="12">
        <f t="shared" si="68"/>
        <v>0</v>
      </c>
      <c r="AA94" s="36"/>
      <c r="AB94" s="10"/>
      <c r="AC94" s="10"/>
      <c r="AD94" s="11"/>
      <c r="AE94" s="12">
        <f t="shared" si="69"/>
        <v>0</v>
      </c>
      <c r="AF94" s="36"/>
      <c r="AG94" s="10"/>
      <c r="AH94" s="10"/>
      <c r="AI94" s="11"/>
      <c r="AJ94" s="12">
        <f t="shared" si="70"/>
        <v>0</v>
      </c>
      <c r="AK94" s="36">
        <v>2</v>
      </c>
      <c r="AL94" s="10"/>
      <c r="AM94" s="10"/>
      <c r="AN94" s="11"/>
      <c r="AO94" s="12">
        <f t="shared" si="59"/>
        <v>2</v>
      </c>
      <c r="AP94" s="36">
        <v>1</v>
      </c>
      <c r="AQ94" s="10"/>
      <c r="AR94" s="10"/>
      <c r="AS94" s="11"/>
      <c r="AT94" s="12">
        <f t="shared" si="60"/>
        <v>1</v>
      </c>
      <c r="AU94" s="36"/>
      <c r="AV94" s="10"/>
      <c r="AW94" s="10"/>
      <c r="AX94" s="11"/>
      <c r="AY94" s="12">
        <f t="shared" si="61"/>
        <v>0</v>
      </c>
      <c r="AZ94" s="36">
        <v>4</v>
      </c>
      <c r="BA94" s="10"/>
      <c r="BB94" s="10"/>
      <c r="BC94" s="11"/>
      <c r="BD94" s="12">
        <f t="shared" si="62"/>
        <v>4</v>
      </c>
      <c r="BE94" s="36">
        <v>1</v>
      </c>
      <c r="BF94" s="10"/>
      <c r="BG94" s="10"/>
      <c r="BH94" s="11"/>
      <c r="BI94" s="12">
        <f t="shared" si="63"/>
        <v>1</v>
      </c>
      <c r="BJ94" s="36"/>
      <c r="BK94" s="10"/>
      <c r="BL94" s="10"/>
      <c r="BM94" s="11"/>
      <c r="BN94" s="12">
        <f t="shared" si="64"/>
        <v>0</v>
      </c>
      <c r="BO94" s="71">
        <f>SUM(G94,L94,Q94,V94,AA94,AF94,AK94,AP94,AU94,AZ94,BE94,BJ94)</f>
        <v>11</v>
      </c>
      <c r="BP94" s="10">
        <f>SUM(H94,M94,R94,W94,AB94,AG94,AL94,AQ94,AV94,BA94,BF94,BK94)</f>
        <v>0</v>
      </c>
      <c r="BQ94" s="10">
        <f>SUM(I94,N94,S94,X94,AC94,AH94,AM94,AR94,AW94,BB94,BG94,BL94)</f>
        <v>0</v>
      </c>
      <c r="BR94" s="11">
        <f>SUM(J94,O94,T94,Y94,AD94,AI94,AN94,AS94,AX94,BC94,BH94,BM94)</f>
        <v>0</v>
      </c>
      <c r="BS94" s="37">
        <f t="shared" si="12"/>
        <v>11</v>
      </c>
    </row>
    <row r="95" spans="2:71" x14ac:dyDescent="0.3">
      <c r="B95" s="269"/>
      <c r="C95" s="230"/>
      <c r="D95" s="233"/>
      <c r="E95" s="240"/>
      <c r="F95" s="125" t="s">
        <v>54</v>
      </c>
      <c r="G95" s="126">
        <f>SUM(G89:G94)</f>
        <v>24</v>
      </c>
      <c r="H95" s="127">
        <f>SUM(H89:H94)</f>
        <v>0</v>
      </c>
      <c r="I95" s="127">
        <f>SUM(I89:I94)</f>
        <v>0</v>
      </c>
      <c r="J95" s="128">
        <f>SUM(J89:J94)</f>
        <v>0</v>
      </c>
      <c r="K95" s="129">
        <f t="shared" si="0"/>
        <v>24</v>
      </c>
      <c r="L95" s="126">
        <f>SUM(L89:L94)</f>
        <v>18</v>
      </c>
      <c r="M95" s="127">
        <f>SUM(M89:M94)</f>
        <v>0</v>
      </c>
      <c r="N95" s="127">
        <f>SUM(N89:N94)</f>
        <v>0</v>
      </c>
      <c r="O95" s="128">
        <f>SUM(O89:O94)</f>
        <v>0</v>
      </c>
      <c r="P95" s="129">
        <f t="shared" si="66"/>
        <v>18</v>
      </c>
      <c r="Q95" s="126">
        <f>SUM(Q89:Q94)</f>
        <v>32</v>
      </c>
      <c r="R95" s="127">
        <f>SUM(R89:R94)</f>
        <v>0</v>
      </c>
      <c r="S95" s="127">
        <f>SUM(S89:S94)</f>
        <v>0</v>
      </c>
      <c r="T95" s="128">
        <f>SUM(T89:T94)</f>
        <v>0</v>
      </c>
      <c r="U95" s="129">
        <f t="shared" si="67"/>
        <v>32</v>
      </c>
      <c r="V95" s="126">
        <f>SUM(V89:V94)</f>
        <v>10</v>
      </c>
      <c r="W95" s="127">
        <f>SUM(W89:W94)</f>
        <v>0</v>
      </c>
      <c r="X95" s="127">
        <f>SUM(X89:X94)</f>
        <v>0</v>
      </c>
      <c r="Y95" s="128">
        <f>SUM(Y89:Y94)</f>
        <v>0</v>
      </c>
      <c r="Z95" s="129">
        <f t="shared" si="68"/>
        <v>10</v>
      </c>
      <c r="AA95" s="126">
        <f>SUM(AA89:AA94)</f>
        <v>24</v>
      </c>
      <c r="AB95" s="127">
        <f>SUM(AB89:AB94)</f>
        <v>0</v>
      </c>
      <c r="AC95" s="127">
        <f>SUM(AC89:AC94)</f>
        <v>0</v>
      </c>
      <c r="AD95" s="128">
        <f>SUM(AD89:AD94)</f>
        <v>0</v>
      </c>
      <c r="AE95" s="129">
        <f t="shared" si="69"/>
        <v>24</v>
      </c>
      <c r="AF95" s="126">
        <f>SUM(AF89:AF94)</f>
        <v>26</v>
      </c>
      <c r="AG95" s="127">
        <f>SUM(AG89:AG94)</f>
        <v>0</v>
      </c>
      <c r="AH95" s="127">
        <f>SUM(AH89:AH94)</f>
        <v>0</v>
      </c>
      <c r="AI95" s="128">
        <f>SUM(AI89:AI94)</f>
        <v>0</v>
      </c>
      <c r="AJ95" s="129">
        <f t="shared" si="70"/>
        <v>26</v>
      </c>
      <c r="AK95" s="126">
        <f>SUM(AK89:AK94)</f>
        <v>12</v>
      </c>
      <c r="AL95" s="127">
        <f>SUM(AL89:AL94)</f>
        <v>0</v>
      </c>
      <c r="AM95" s="127">
        <f>SUM(AM89:AM94)</f>
        <v>0</v>
      </c>
      <c r="AN95" s="128">
        <f>SUM(AN89:AN94)</f>
        <v>0</v>
      </c>
      <c r="AO95" s="129">
        <f t="shared" si="59"/>
        <v>12</v>
      </c>
      <c r="AP95" s="126">
        <f>SUM(AP89:AP94)</f>
        <v>17</v>
      </c>
      <c r="AQ95" s="127">
        <f>SUM(AQ89:AQ94)</f>
        <v>0</v>
      </c>
      <c r="AR95" s="127">
        <f>SUM(AR89:AR94)</f>
        <v>0</v>
      </c>
      <c r="AS95" s="128">
        <f>SUM(AS89:AS94)</f>
        <v>0</v>
      </c>
      <c r="AT95" s="129">
        <f t="shared" si="60"/>
        <v>17</v>
      </c>
      <c r="AU95" s="126">
        <f>SUM(AU89:AU94)</f>
        <v>10</v>
      </c>
      <c r="AV95" s="127">
        <f>SUM(AV89:AV94)</f>
        <v>0</v>
      </c>
      <c r="AW95" s="127">
        <f>SUM(AW89:AW94)</f>
        <v>0</v>
      </c>
      <c r="AX95" s="128">
        <f>SUM(AX89:AX94)</f>
        <v>0</v>
      </c>
      <c r="AY95" s="129">
        <f t="shared" si="61"/>
        <v>10</v>
      </c>
      <c r="AZ95" s="126">
        <f>SUM(AZ89:AZ94)</f>
        <v>44</v>
      </c>
      <c r="BA95" s="127">
        <f>SUM(BA89:BA94)</f>
        <v>0</v>
      </c>
      <c r="BB95" s="127">
        <f>SUM(BB89:BB94)</f>
        <v>0</v>
      </c>
      <c r="BC95" s="128">
        <f>SUM(BC89:BC94)</f>
        <v>0</v>
      </c>
      <c r="BD95" s="129">
        <f t="shared" si="62"/>
        <v>44</v>
      </c>
      <c r="BE95" s="126">
        <f>SUM(BE89:BE94)</f>
        <v>17</v>
      </c>
      <c r="BF95" s="127">
        <f>SUM(BF89:BF94)</f>
        <v>0</v>
      </c>
      <c r="BG95" s="127">
        <f>SUM(BG89:BG94)</f>
        <v>0</v>
      </c>
      <c r="BH95" s="128">
        <f>SUM(BH89:BH94)</f>
        <v>0</v>
      </c>
      <c r="BI95" s="129">
        <f t="shared" si="63"/>
        <v>17</v>
      </c>
      <c r="BJ95" s="126">
        <f>SUM(BJ89:BJ94)</f>
        <v>1</v>
      </c>
      <c r="BK95" s="127">
        <f>SUM(BK89:BK94)</f>
        <v>0</v>
      </c>
      <c r="BL95" s="127">
        <f>SUM(BL89:BL94)</f>
        <v>0</v>
      </c>
      <c r="BM95" s="128">
        <f>SUM(BM89:BM94)</f>
        <v>0</v>
      </c>
      <c r="BN95" s="129">
        <f t="shared" si="64"/>
        <v>1</v>
      </c>
      <c r="BO95" s="131">
        <f>SUM(BO89:BO94)</f>
        <v>235</v>
      </c>
      <c r="BP95" s="127">
        <f>SUM(BP89:BP94)</f>
        <v>0</v>
      </c>
      <c r="BQ95" s="127">
        <f>SUM(BQ89:BQ94)</f>
        <v>0</v>
      </c>
      <c r="BR95" s="128">
        <f>SUM(BR89:BR94)</f>
        <v>0</v>
      </c>
      <c r="BS95" s="130">
        <f t="shared" si="12"/>
        <v>235</v>
      </c>
    </row>
    <row r="96" spans="2:71" x14ac:dyDescent="0.3">
      <c r="B96" s="269"/>
      <c r="C96" s="230"/>
      <c r="D96" s="233"/>
      <c r="E96" s="241" t="s">
        <v>47</v>
      </c>
      <c r="F96" s="120" t="s">
        <v>49</v>
      </c>
      <c r="G96" s="30">
        <v>31</v>
      </c>
      <c r="H96" s="7"/>
      <c r="I96" s="7"/>
      <c r="J96" s="8"/>
      <c r="K96" s="9">
        <f t="shared" si="0"/>
        <v>31</v>
      </c>
      <c r="L96" s="30"/>
      <c r="M96" s="7"/>
      <c r="N96" s="7"/>
      <c r="O96" s="8"/>
      <c r="P96" s="9">
        <f t="shared" si="66"/>
        <v>0</v>
      </c>
      <c r="Q96" s="30"/>
      <c r="R96" s="7"/>
      <c r="S96" s="7"/>
      <c r="T96" s="8"/>
      <c r="U96" s="9">
        <f t="shared" si="67"/>
        <v>0</v>
      </c>
      <c r="V96" s="30">
        <v>37</v>
      </c>
      <c r="W96" s="7"/>
      <c r="X96" s="7"/>
      <c r="Y96" s="8"/>
      <c r="Z96" s="9">
        <f t="shared" si="68"/>
        <v>37</v>
      </c>
      <c r="AA96" s="30">
        <v>79</v>
      </c>
      <c r="AB96" s="7"/>
      <c r="AC96" s="7"/>
      <c r="AD96" s="8"/>
      <c r="AE96" s="9">
        <f t="shared" si="69"/>
        <v>79</v>
      </c>
      <c r="AF96" s="30"/>
      <c r="AG96" s="7"/>
      <c r="AH96" s="7"/>
      <c r="AI96" s="8"/>
      <c r="AJ96" s="9">
        <f t="shared" si="70"/>
        <v>0</v>
      </c>
      <c r="AK96" s="30"/>
      <c r="AL96" s="7"/>
      <c r="AM96" s="7"/>
      <c r="AN96" s="8"/>
      <c r="AO96" s="9">
        <f t="shared" si="59"/>
        <v>0</v>
      </c>
      <c r="AP96" s="30"/>
      <c r="AQ96" s="7"/>
      <c r="AR96" s="7"/>
      <c r="AS96" s="8"/>
      <c r="AT96" s="9">
        <f t="shared" si="60"/>
        <v>0</v>
      </c>
      <c r="AU96" s="30">
        <v>24</v>
      </c>
      <c r="AV96" s="7"/>
      <c r="AW96" s="7"/>
      <c r="AX96" s="8"/>
      <c r="AY96" s="9">
        <f t="shared" si="61"/>
        <v>24</v>
      </c>
      <c r="AZ96" s="30"/>
      <c r="BA96" s="7"/>
      <c r="BB96" s="7"/>
      <c r="BC96" s="8"/>
      <c r="BD96" s="9">
        <f t="shared" si="62"/>
        <v>0</v>
      </c>
      <c r="BE96" s="30"/>
      <c r="BF96" s="7"/>
      <c r="BG96" s="7"/>
      <c r="BH96" s="8"/>
      <c r="BI96" s="9">
        <f t="shared" si="63"/>
        <v>0</v>
      </c>
      <c r="BJ96" s="30">
        <v>10</v>
      </c>
      <c r="BK96" s="7"/>
      <c r="BL96" s="7"/>
      <c r="BM96" s="8"/>
      <c r="BN96" s="9">
        <f t="shared" si="64"/>
        <v>10</v>
      </c>
      <c r="BO96" s="65">
        <f>SUM(G96,L96,Q96,V96,AA96,AF96,AK96,AP96,AU96,AZ96,BE96,BJ96)</f>
        <v>181</v>
      </c>
      <c r="BP96" s="7">
        <f>SUM(H96,M96,R96,W96,AB96,AG96,AL96,AQ96,AV96,BA96,BF96,BK96)</f>
        <v>0</v>
      </c>
      <c r="BQ96" s="7">
        <f>SUM(I96,N96,S96,X96,AC96,AH96,AM96,AR96,AW96,BB96,BG96,BL96)</f>
        <v>0</v>
      </c>
      <c r="BR96" s="8">
        <f>SUM(J96,O96,T96,Y96,AD96,AI96,AN96,AS96,AX96,BC96,BH96,BM96)</f>
        <v>0</v>
      </c>
      <c r="BS96" s="31">
        <f t="shared" si="12"/>
        <v>181</v>
      </c>
    </row>
    <row r="97" spans="2:71" x14ac:dyDescent="0.3">
      <c r="B97" s="269"/>
      <c r="C97" s="230"/>
      <c r="D97" s="233"/>
      <c r="E97" s="239"/>
      <c r="F97" s="121" t="s">
        <v>50</v>
      </c>
      <c r="G97" s="32"/>
      <c r="H97" s="13"/>
      <c r="I97" s="13"/>
      <c r="J97" s="14"/>
      <c r="K97" s="15">
        <f t="shared" si="0"/>
        <v>0</v>
      </c>
      <c r="L97" s="32"/>
      <c r="M97" s="13"/>
      <c r="N97" s="13"/>
      <c r="O97" s="14"/>
      <c r="P97" s="15">
        <f t="shared" si="66"/>
        <v>0</v>
      </c>
      <c r="Q97" s="32"/>
      <c r="R97" s="13"/>
      <c r="S97" s="13"/>
      <c r="T97" s="14"/>
      <c r="U97" s="15">
        <f t="shared" si="67"/>
        <v>0</v>
      </c>
      <c r="V97" s="32">
        <v>9</v>
      </c>
      <c r="W97" s="13"/>
      <c r="X97" s="13"/>
      <c r="Y97" s="14"/>
      <c r="Z97" s="15">
        <f t="shared" si="68"/>
        <v>9</v>
      </c>
      <c r="AA97" s="32">
        <v>9</v>
      </c>
      <c r="AB97" s="13"/>
      <c r="AC97" s="13"/>
      <c r="AD97" s="14"/>
      <c r="AE97" s="15">
        <f t="shared" si="69"/>
        <v>9</v>
      </c>
      <c r="AF97" s="32"/>
      <c r="AG97" s="13"/>
      <c r="AH97" s="13"/>
      <c r="AI97" s="14"/>
      <c r="AJ97" s="15">
        <f t="shared" si="70"/>
        <v>0</v>
      </c>
      <c r="AK97" s="32"/>
      <c r="AL97" s="13"/>
      <c r="AM97" s="13"/>
      <c r="AN97" s="14"/>
      <c r="AO97" s="15">
        <f t="shared" si="59"/>
        <v>0</v>
      </c>
      <c r="AP97" s="32"/>
      <c r="AQ97" s="13"/>
      <c r="AR97" s="13"/>
      <c r="AS97" s="14"/>
      <c r="AT97" s="15">
        <f t="shared" si="60"/>
        <v>0</v>
      </c>
      <c r="AU97" s="32">
        <v>15</v>
      </c>
      <c r="AV97" s="13"/>
      <c r="AW97" s="13"/>
      <c r="AX97" s="14"/>
      <c r="AY97" s="15">
        <f t="shared" si="61"/>
        <v>15</v>
      </c>
      <c r="AZ97" s="32"/>
      <c r="BA97" s="13"/>
      <c r="BB97" s="13"/>
      <c r="BC97" s="14"/>
      <c r="BD97" s="15">
        <f t="shared" si="62"/>
        <v>0</v>
      </c>
      <c r="BE97" s="32"/>
      <c r="BF97" s="13"/>
      <c r="BG97" s="13"/>
      <c r="BH97" s="14"/>
      <c r="BI97" s="15">
        <f t="shared" si="63"/>
        <v>0</v>
      </c>
      <c r="BJ97" s="32">
        <v>4</v>
      </c>
      <c r="BK97" s="13"/>
      <c r="BL97" s="13"/>
      <c r="BM97" s="14"/>
      <c r="BN97" s="15">
        <f t="shared" si="64"/>
        <v>4</v>
      </c>
      <c r="BO97" s="66">
        <f>SUM(G97,L97,Q97,V97,AA97,AF97,AK97,AP97,AU97,AZ97,BE97,BJ97)</f>
        <v>37</v>
      </c>
      <c r="BP97" s="13">
        <f>SUM(H97,M97,R97,W97,AB97,AG97,AL97,AQ97,AV97,BA97,BF97,BK97)</f>
        <v>0</v>
      </c>
      <c r="BQ97" s="13">
        <f>SUM(I97,N97,S97,X97,AC97,AH97,AM97,AR97,AW97,BB97,BG97,BL97)</f>
        <v>0</v>
      </c>
      <c r="BR97" s="14">
        <f>SUM(J97,O97,T97,Y97,AD97,AI97,AN97,AS97,AX97,BC97,BH97,BM97)</f>
        <v>0</v>
      </c>
      <c r="BS97" s="33">
        <f t="shared" si="12"/>
        <v>37</v>
      </c>
    </row>
    <row r="98" spans="2:71" x14ac:dyDescent="0.3">
      <c r="B98" s="269"/>
      <c r="C98" s="230"/>
      <c r="D98" s="233"/>
      <c r="E98" s="239"/>
      <c r="F98" s="121" t="s">
        <v>621</v>
      </c>
      <c r="G98" s="32">
        <v>47</v>
      </c>
      <c r="H98" s="13"/>
      <c r="I98" s="13"/>
      <c r="J98" s="14"/>
      <c r="K98" s="15">
        <f t="shared" ref="K98" si="73">SUM(G98:J98)</f>
        <v>47</v>
      </c>
      <c r="L98" s="32">
        <v>92</v>
      </c>
      <c r="M98" s="13"/>
      <c r="N98" s="13"/>
      <c r="O98" s="14"/>
      <c r="P98" s="15">
        <f t="shared" si="66"/>
        <v>92</v>
      </c>
      <c r="Q98" s="32">
        <v>90</v>
      </c>
      <c r="R98" s="13"/>
      <c r="S98" s="13"/>
      <c r="T98" s="14"/>
      <c r="U98" s="15">
        <f t="shared" si="67"/>
        <v>90</v>
      </c>
      <c r="V98" s="32"/>
      <c r="W98" s="13"/>
      <c r="X98" s="13"/>
      <c r="Y98" s="14"/>
      <c r="Z98" s="15">
        <f t="shared" si="68"/>
        <v>0</v>
      </c>
      <c r="AA98" s="32">
        <v>7</v>
      </c>
      <c r="AB98" s="13"/>
      <c r="AC98" s="13"/>
      <c r="AD98" s="14"/>
      <c r="AE98" s="15">
        <f t="shared" si="69"/>
        <v>7</v>
      </c>
      <c r="AF98" s="32">
        <v>68</v>
      </c>
      <c r="AG98" s="13"/>
      <c r="AH98" s="13"/>
      <c r="AI98" s="14"/>
      <c r="AJ98" s="15">
        <f t="shared" si="70"/>
        <v>68</v>
      </c>
      <c r="AK98" s="32">
        <v>20</v>
      </c>
      <c r="AL98" s="13"/>
      <c r="AM98" s="13"/>
      <c r="AN98" s="14"/>
      <c r="AO98" s="15">
        <f t="shared" si="59"/>
        <v>20</v>
      </c>
      <c r="AP98" s="32">
        <v>60</v>
      </c>
      <c r="AQ98" s="13"/>
      <c r="AR98" s="13"/>
      <c r="AS98" s="14"/>
      <c r="AT98" s="15">
        <f t="shared" si="60"/>
        <v>60</v>
      </c>
      <c r="AU98" s="32"/>
      <c r="AV98" s="13"/>
      <c r="AW98" s="13"/>
      <c r="AX98" s="14"/>
      <c r="AY98" s="15">
        <f t="shared" si="61"/>
        <v>0</v>
      </c>
      <c r="AZ98" s="32">
        <v>83</v>
      </c>
      <c r="BA98" s="13"/>
      <c r="BB98" s="13"/>
      <c r="BC98" s="14"/>
      <c r="BD98" s="15">
        <f t="shared" si="62"/>
        <v>83</v>
      </c>
      <c r="BE98" s="32">
        <v>45</v>
      </c>
      <c r="BF98" s="13"/>
      <c r="BG98" s="13"/>
      <c r="BH98" s="14"/>
      <c r="BI98" s="15">
        <f t="shared" si="63"/>
        <v>45</v>
      </c>
      <c r="BJ98" s="32"/>
      <c r="BK98" s="13"/>
      <c r="BL98" s="13"/>
      <c r="BM98" s="14"/>
      <c r="BN98" s="15">
        <f t="shared" si="64"/>
        <v>0</v>
      </c>
      <c r="BO98" s="66">
        <f>SUM(G98,L98,Q98,V98,AA98,AF98,AK98,AP98,AU98,AZ98,BE98,BJ98)</f>
        <v>512</v>
      </c>
      <c r="BP98" s="13">
        <f>SUM(H98,M98,R98,W98,AB98,AG98,AL98,AQ98,AV98,BA98,BF98,BK98)</f>
        <v>0</v>
      </c>
      <c r="BQ98" s="13">
        <f>SUM(I98,N98,S98,X98,AC98,AH98,AM98,AR98,AW98,BB98,BG98,BL98)</f>
        <v>0</v>
      </c>
      <c r="BR98" s="14">
        <f>SUM(J98,O98,T98,Y98,AD98,AI98,AN98,AS98,AX98,BC98,BH98,BM98)</f>
        <v>0</v>
      </c>
      <c r="BS98" s="33">
        <f t="shared" si="12"/>
        <v>512</v>
      </c>
    </row>
    <row r="99" spans="2:71" x14ac:dyDescent="0.3">
      <c r="B99" s="269"/>
      <c r="C99" s="230"/>
      <c r="D99" s="233"/>
      <c r="E99" s="239"/>
      <c r="F99" s="121" t="s">
        <v>622</v>
      </c>
      <c r="G99" s="32">
        <v>3</v>
      </c>
      <c r="H99" s="13"/>
      <c r="I99" s="13"/>
      <c r="J99" s="14"/>
      <c r="K99" s="15">
        <f t="shared" si="0"/>
        <v>3</v>
      </c>
      <c r="L99" s="32">
        <v>4</v>
      </c>
      <c r="M99" s="13"/>
      <c r="N99" s="13"/>
      <c r="O99" s="14"/>
      <c r="P99" s="15">
        <f t="shared" si="66"/>
        <v>4</v>
      </c>
      <c r="Q99" s="32">
        <v>9</v>
      </c>
      <c r="R99" s="13"/>
      <c r="S99" s="13"/>
      <c r="T99" s="14"/>
      <c r="U99" s="15">
        <f t="shared" si="67"/>
        <v>9</v>
      </c>
      <c r="V99" s="32"/>
      <c r="W99" s="13"/>
      <c r="X99" s="13"/>
      <c r="Y99" s="14"/>
      <c r="Z99" s="15">
        <f t="shared" si="68"/>
        <v>0</v>
      </c>
      <c r="AA99" s="32">
        <v>3</v>
      </c>
      <c r="AB99" s="13"/>
      <c r="AC99" s="13"/>
      <c r="AD99" s="14"/>
      <c r="AE99" s="15">
        <f t="shared" si="69"/>
        <v>3</v>
      </c>
      <c r="AF99" s="32">
        <v>13</v>
      </c>
      <c r="AG99" s="13"/>
      <c r="AH99" s="13"/>
      <c r="AI99" s="14"/>
      <c r="AJ99" s="15">
        <f t="shared" si="70"/>
        <v>13</v>
      </c>
      <c r="AK99" s="32">
        <v>4</v>
      </c>
      <c r="AL99" s="13"/>
      <c r="AM99" s="13"/>
      <c r="AN99" s="14"/>
      <c r="AO99" s="15">
        <f t="shared" si="59"/>
        <v>4</v>
      </c>
      <c r="AP99" s="32">
        <v>19</v>
      </c>
      <c r="AQ99" s="13"/>
      <c r="AR99" s="13"/>
      <c r="AS99" s="14"/>
      <c r="AT99" s="15">
        <f t="shared" si="60"/>
        <v>19</v>
      </c>
      <c r="AU99" s="32"/>
      <c r="AV99" s="13"/>
      <c r="AW99" s="13"/>
      <c r="AX99" s="14"/>
      <c r="AY99" s="15">
        <f t="shared" si="61"/>
        <v>0</v>
      </c>
      <c r="AZ99" s="32">
        <v>30</v>
      </c>
      <c r="BA99" s="13"/>
      <c r="BB99" s="13"/>
      <c r="BC99" s="14"/>
      <c r="BD99" s="15">
        <f t="shared" si="62"/>
        <v>30</v>
      </c>
      <c r="BE99" s="32">
        <v>8</v>
      </c>
      <c r="BF99" s="13"/>
      <c r="BG99" s="13"/>
      <c r="BH99" s="14"/>
      <c r="BI99" s="15">
        <f t="shared" si="63"/>
        <v>8</v>
      </c>
      <c r="BJ99" s="32"/>
      <c r="BK99" s="13"/>
      <c r="BL99" s="13"/>
      <c r="BM99" s="14"/>
      <c r="BN99" s="15">
        <f t="shared" si="64"/>
        <v>0</v>
      </c>
      <c r="BO99" s="66">
        <f>SUM(G99,L99,Q99,V99,AA99,AF99,AK99,AP99,AU99,AZ99,BE99,BJ99)</f>
        <v>93</v>
      </c>
      <c r="BP99" s="13">
        <f>SUM(H99,M99,R99,W99,AB99,AG99,AL99,AQ99,AV99,BA99,BF99,BK99)</f>
        <v>0</v>
      </c>
      <c r="BQ99" s="13">
        <f>SUM(I99,N99,S99,X99,AC99,AH99,AM99,AR99,AW99,BB99,BG99,BL99)</f>
        <v>0</v>
      </c>
      <c r="BR99" s="14">
        <f>SUM(J99,O99,T99,Y99,AD99,AI99,AN99,AS99,AX99,BC99,BH99,BM99)</f>
        <v>0</v>
      </c>
      <c r="BS99" s="33">
        <f t="shared" si="12"/>
        <v>93</v>
      </c>
    </row>
    <row r="100" spans="2:71" x14ac:dyDescent="0.3">
      <c r="B100" s="269"/>
      <c r="C100" s="230"/>
      <c r="D100" s="233"/>
      <c r="E100" s="239"/>
      <c r="F100" s="121" t="s">
        <v>51</v>
      </c>
      <c r="G100" s="32">
        <v>41</v>
      </c>
      <c r="H100" s="13"/>
      <c r="I100" s="13"/>
      <c r="J100" s="14"/>
      <c r="K100" s="15">
        <f t="shared" ref="K100:K107" si="74">SUM(G100:J100)</f>
        <v>41</v>
      </c>
      <c r="L100" s="32">
        <v>61</v>
      </c>
      <c r="M100" s="13"/>
      <c r="N100" s="13"/>
      <c r="O100" s="14"/>
      <c r="P100" s="15">
        <f t="shared" si="66"/>
        <v>61</v>
      </c>
      <c r="Q100" s="32">
        <v>70</v>
      </c>
      <c r="R100" s="13"/>
      <c r="S100" s="13"/>
      <c r="T100" s="14"/>
      <c r="U100" s="15">
        <f t="shared" si="67"/>
        <v>70</v>
      </c>
      <c r="V100" s="32"/>
      <c r="W100" s="13"/>
      <c r="X100" s="13"/>
      <c r="Y100" s="14"/>
      <c r="Z100" s="15">
        <f t="shared" si="68"/>
        <v>0</v>
      </c>
      <c r="AA100" s="32">
        <v>4</v>
      </c>
      <c r="AB100" s="13"/>
      <c r="AC100" s="13"/>
      <c r="AD100" s="14"/>
      <c r="AE100" s="15">
        <f t="shared" si="69"/>
        <v>4</v>
      </c>
      <c r="AF100" s="32">
        <v>36</v>
      </c>
      <c r="AG100" s="13"/>
      <c r="AH100" s="13"/>
      <c r="AI100" s="14"/>
      <c r="AJ100" s="15">
        <f t="shared" si="70"/>
        <v>36</v>
      </c>
      <c r="AK100" s="32">
        <v>10</v>
      </c>
      <c r="AL100" s="13"/>
      <c r="AM100" s="13"/>
      <c r="AN100" s="14"/>
      <c r="AO100" s="15">
        <f t="shared" si="59"/>
        <v>10</v>
      </c>
      <c r="AP100" s="32">
        <v>39</v>
      </c>
      <c r="AQ100" s="13"/>
      <c r="AR100" s="13"/>
      <c r="AS100" s="14"/>
      <c r="AT100" s="15">
        <f t="shared" si="60"/>
        <v>39</v>
      </c>
      <c r="AU100" s="32"/>
      <c r="AV100" s="13"/>
      <c r="AW100" s="13"/>
      <c r="AX100" s="14"/>
      <c r="AY100" s="15">
        <f t="shared" si="61"/>
        <v>0</v>
      </c>
      <c r="AZ100" s="32">
        <v>54</v>
      </c>
      <c r="BA100" s="13"/>
      <c r="BB100" s="13"/>
      <c r="BC100" s="14"/>
      <c r="BD100" s="15">
        <f t="shared" si="62"/>
        <v>54</v>
      </c>
      <c r="BE100" s="32">
        <v>24</v>
      </c>
      <c r="BF100" s="13"/>
      <c r="BG100" s="13"/>
      <c r="BH100" s="14"/>
      <c r="BI100" s="15">
        <f t="shared" si="63"/>
        <v>24</v>
      </c>
      <c r="BJ100" s="32"/>
      <c r="BK100" s="13"/>
      <c r="BL100" s="13"/>
      <c r="BM100" s="14"/>
      <c r="BN100" s="15">
        <f t="shared" si="64"/>
        <v>0</v>
      </c>
      <c r="BO100" s="66">
        <f>SUM(G100,L100,Q100,V100,AA100,AF100,AK100,AP100,AU100,AZ100,BE100,BJ100)</f>
        <v>339</v>
      </c>
      <c r="BP100" s="13">
        <f>SUM(H100,M100,R100,W100,AB100,AG100,AL100,AQ100,AV100,BA100,BF100,BK100)</f>
        <v>0</v>
      </c>
      <c r="BQ100" s="13">
        <f>SUM(I100,N100,S100,X100,AC100,AH100,AM100,AR100,AW100,BB100,BG100,BL100)</f>
        <v>0</v>
      </c>
      <c r="BR100" s="14">
        <f>SUM(J100,O100,T100,Y100,AD100,AI100,AN100,AS100,AX100,BC100,BH100,BM100)</f>
        <v>0</v>
      </c>
      <c r="BS100" s="33">
        <f t="shared" si="12"/>
        <v>339</v>
      </c>
    </row>
    <row r="101" spans="2:71" x14ac:dyDescent="0.3">
      <c r="B101" s="269"/>
      <c r="C101" s="230"/>
      <c r="D101" s="233"/>
      <c r="E101" s="239"/>
      <c r="F101" s="123" t="s">
        <v>52</v>
      </c>
      <c r="G101" s="34">
        <v>3</v>
      </c>
      <c r="H101" s="16"/>
      <c r="I101" s="16"/>
      <c r="J101" s="17"/>
      <c r="K101" s="18">
        <f t="shared" si="74"/>
        <v>3</v>
      </c>
      <c r="L101" s="34">
        <v>3</v>
      </c>
      <c r="M101" s="16"/>
      <c r="N101" s="16"/>
      <c r="O101" s="17"/>
      <c r="P101" s="18">
        <f t="shared" si="66"/>
        <v>3</v>
      </c>
      <c r="Q101" s="34">
        <v>8</v>
      </c>
      <c r="R101" s="16"/>
      <c r="S101" s="16"/>
      <c r="T101" s="17"/>
      <c r="U101" s="18">
        <f t="shared" si="67"/>
        <v>8</v>
      </c>
      <c r="V101" s="34"/>
      <c r="W101" s="16"/>
      <c r="X101" s="16"/>
      <c r="Y101" s="17"/>
      <c r="Z101" s="18">
        <f t="shared" si="68"/>
        <v>0</v>
      </c>
      <c r="AA101" s="34"/>
      <c r="AB101" s="16"/>
      <c r="AC101" s="16"/>
      <c r="AD101" s="17"/>
      <c r="AE101" s="18">
        <f t="shared" si="69"/>
        <v>0</v>
      </c>
      <c r="AF101" s="34">
        <v>7</v>
      </c>
      <c r="AG101" s="16"/>
      <c r="AH101" s="16"/>
      <c r="AI101" s="17"/>
      <c r="AJ101" s="18">
        <f t="shared" si="70"/>
        <v>7</v>
      </c>
      <c r="AK101" s="34">
        <v>3</v>
      </c>
      <c r="AL101" s="16"/>
      <c r="AM101" s="16"/>
      <c r="AN101" s="17"/>
      <c r="AO101" s="18">
        <f t="shared" si="59"/>
        <v>3</v>
      </c>
      <c r="AP101" s="34">
        <v>14</v>
      </c>
      <c r="AQ101" s="16"/>
      <c r="AR101" s="16"/>
      <c r="AS101" s="17"/>
      <c r="AT101" s="18">
        <f t="shared" si="60"/>
        <v>14</v>
      </c>
      <c r="AU101" s="34"/>
      <c r="AV101" s="16"/>
      <c r="AW101" s="16"/>
      <c r="AX101" s="17"/>
      <c r="AY101" s="18">
        <f t="shared" si="61"/>
        <v>0</v>
      </c>
      <c r="AZ101" s="34">
        <v>18</v>
      </c>
      <c r="BA101" s="16"/>
      <c r="BB101" s="16"/>
      <c r="BC101" s="17"/>
      <c r="BD101" s="18">
        <f t="shared" si="62"/>
        <v>18</v>
      </c>
      <c r="BE101" s="34">
        <v>5</v>
      </c>
      <c r="BF101" s="16"/>
      <c r="BG101" s="16"/>
      <c r="BH101" s="17"/>
      <c r="BI101" s="18">
        <f t="shared" si="63"/>
        <v>5</v>
      </c>
      <c r="BJ101" s="34"/>
      <c r="BK101" s="16"/>
      <c r="BL101" s="16"/>
      <c r="BM101" s="17"/>
      <c r="BN101" s="18">
        <f t="shared" si="64"/>
        <v>0</v>
      </c>
      <c r="BO101" s="70">
        <f>SUM(G101,L101,Q101,V101,AA101,AF101,AK101,AP101,AU101,AZ101,BE101,BJ101)</f>
        <v>61</v>
      </c>
      <c r="BP101" s="16">
        <f>SUM(H101,M101,R101,W101,AB101,AG101,AL101,AQ101,AV101,BA101,BF101,BK101)</f>
        <v>0</v>
      </c>
      <c r="BQ101" s="16">
        <f>SUM(I101,N101,S101,X101,AC101,AH101,AM101,AR101,AW101,BB101,BG101,BL101)</f>
        <v>0</v>
      </c>
      <c r="BR101" s="17">
        <f>SUM(J101,O101,T101,Y101,AD101,AI101,AN101,AS101,AX101,BC101,BH101,BM101)</f>
        <v>0</v>
      </c>
      <c r="BS101" s="35">
        <f t="shared" si="12"/>
        <v>61</v>
      </c>
    </row>
    <row r="102" spans="2:71" x14ac:dyDescent="0.3">
      <c r="B102" s="269"/>
      <c r="C102" s="230"/>
      <c r="D102" s="233"/>
      <c r="E102" s="239"/>
      <c r="F102" s="123" t="s">
        <v>625</v>
      </c>
      <c r="G102" s="34">
        <v>129</v>
      </c>
      <c r="H102" s="16"/>
      <c r="I102" s="16"/>
      <c r="J102" s="17"/>
      <c r="K102" s="18">
        <f t="shared" si="74"/>
        <v>129</v>
      </c>
      <c r="L102" s="34">
        <v>261</v>
      </c>
      <c r="M102" s="16"/>
      <c r="N102" s="16"/>
      <c r="O102" s="17"/>
      <c r="P102" s="18">
        <f t="shared" si="66"/>
        <v>261</v>
      </c>
      <c r="Q102" s="34">
        <v>45</v>
      </c>
      <c r="R102" s="16"/>
      <c r="S102" s="16"/>
      <c r="T102" s="17"/>
      <c r="U102" s="18">
        <f t="shared" si="67"/>
        <v>45</v>
      </c>
      <c r="V102" s="34"/>
      <c r="W102" s="16"/>
      <c r="X102" s="16"/>
      <c r="Y102" s="17"/>
      <c r="Z102" s="18">
        <f t="shared" si="68"/>
        <v>0</v>
      </c>
      <c r="AA102" s="34"/>
      <c r="AB102" s="16"/>
      <c r="AC102" s="16"/>
      <c r="AD102" s="17"/>
      <c r="AE102" s="18">
        <f t="shared" si="69"/>
        <v>0</v>
      </c>
      <c r="AF102" s="34"/>
      <c r="AG102" s="16"/>
      <c r="AH102" s="16"/>
      <c r="AI102" s="17"/>
      <c r="AJ102" s="18">
        <f t="shared" si="70"/>
        <v>0</v>
      </c>
      <c r="AK102" s="34"/>
      <c r="AL102" s="16"/>
      <c r="AM102" s="16"/>
      <c r="AN102" s="17"/>
      <c r="AO102" s="18">
        <f t="shared" si="59"/>
        <v>0</v>
      </c>
      <c r="AP102" s="34"/>
      <c r="AQ102" s="16"/>
      <c r="AR102" s="16"/>
      <c r="AS102" s="17"/>
      <c r="AT102" s="18">
        <f t="shared" si="60"/>
        <v>0</v>
      </c>
      <c r="AU102" s="34"/>
      <c r="AV102" s="16"/>
      <c r="AW102" s="16"/>
      <c r="AX102" s="17"/>
      <c r="AY102" s="18">
        <f t="shared" si="61"/>
        <v>0</v>
      </c>
      <c r="AZ102" s="34"/>
      <c r="BA102" s="16"/>
      <c r="BB102" s="16"/>
      <c r="BC102" s="17"/>
      <c r="BD102" s="18">
        <f t="shared" si="62"/>
        <v>0</v>
      </c>
      <c r="BE102" s="34"/>
      <c r="BF102" s="16"/>
      <c r="BG102" s="16"/>
      <c r="BH102" s="17"/>
      <c r="BI102" s="18">
        <f t="shared" si="63"/>
        <v>0</v>
      </c>
      <c r="BJ102" s="34"/>
      <c r="BK102" s="16"/>
      <c r="BL102" s="16"/>
      <c r="BM102" s="17"/>
      <c r="BN102" s="18">
        <f t="shared" si="64"/>
        <v>0</v>
      </c>
      <c r="BO102" s="70">
        <f>SUM(G102,L102,Q102,V102,AA102,AF102,AK102,AP102,AU102,AZ102,BE102,BJ102)</f>
        <v>435</v>
      </c>
      <c r="BP102" s="16">
        <f>SUM(H102,M102,R102,W102,AB102,AG102,AL102,AQ102,AV102,BA102,BF102,BK102)</f>
        <v>0</v>
      </c>
      <c r="BQ102" s="16">
        <f>SUM(I102,N102,S102,X102,AC102,AH102,AM102,AR102,AW102,BB102,BG102,BL102)</f>
        <v>0</v>
      </c>
      <c r="BR102" s="17">
        <f>SUM(J102,O102,T102,Y102,AD102,AI102,AN102,AS102,AX102,BC102,BH102,BM102)</f>
        <v>0</v>
      </c>
      <c r="BS102" s="35">
        <f t="shared" si="12"/>
        <v>435</v>
      </c>
    </row>
    <row r="103" spans="2:71" x14ac:dyDescent="0.3">
      <c r="B103" s="269"/>
      <c r="C103" s="230"/>
      <c r="D103" s="233"/>
      <c r="E103" s="239"/>
      <c r="F103" s="123" t="s">
        <v>626</v>
      </c>
      <c r="G103" s="34">
        <v>4</v>
      </c>
      <c r="H103" s="16"/>
      <c r="I103" s="16"/>
      <c r="J103" s="17"/>
      <c r="K103" s="18">
        <f t="shared" si="74"/>
        <v>4</v>
      </c>
      <c r="L103" s="34">
        <v>26</v>
      </c>
      <c r="M103" s="16"/>
      <c r="N103" s="16"/>
      <c r="O103" s="17"/>
      <c r="P103" s="18">
        <f t="shared" si="66"/>
        <v>26</v>
      </c>
      <c r="Q103" s="34">
        <v>2</v>
      </c>
      <c r="R103" s="16"/>
      <c r="S103" s="16"/>
      <c r="T103" s="17"/>
      <c r="U103" s="18">
        <f t="shared" si="67"/>
        <v>2</v>
      </c>
      <c r="V103" s="34"/>
      <c r="W103" s="16"/>
      <c r="X103" s="16"/>
      <c r="Y103" s="17"/>
      <c r="Z103" s="18">
        <f t="shared" si="68"/>
        <v>0</v>
      </c>
      <c r="AA103" s="34"/>
      <c r="AB103" s="16"/>
      <c r="AC103" s="16"/>
      <c r="AD103" s="17"/>
      <c r="AE103" s="18">
        <f t="shared" si="69"/>
        <v>0</v>
      </c>
      <c r="AF103" s="34"/>
      <c r="AG103" s="16"/>
      <c r="AH103" s="16"/>
      <c r="AI103" s="17"/>
      <c r="AJ103" s="18">
        <f t="shared" si="70"/>
        <v>0</v>
      </c>
      <c r="AK103" s="34"/>
      <c r="AL103" s="16"/>
      <c r="AM103" s="16"/>
      <c r="AN103" s="17"/>
      <c r="AO103" s="18">
        <f t="shared" si="59"/>
        <v>0</v>
      </c>
      <c r="AP103" s="34"/>
      <c r="AQ103" s="16"/>
      <c r="AR103" s="16"/>
      <c r="AS103" s="17"/>
      <c r="AT103" s="18">
        <f t="shared" si="60"/>
        <v>0</v>
      </c>
      <c r="AU103" s="34"/>
      <c r="AV103" s="16"/>
      <c r="AW103" s="16"/>
      <c r="AX103" s="17"/>
      <c r="AY103" s="18">
        <f t="shared" si="61"/>
        <v>0</v>
      </c>
      <c r="AZ103" s="34"/>
      <c r="BA103" s="16"/>
      <c r="BB103" s="16"/>
      <c r="BC103" s="17"/>
      <c r="BD103" s="18">
        <f t="shared" si="62"/>
        <v>0</v>
      </c>
      <c r="BE103" s="34"/>
      <c r="BF103" s="16"/>
      <c r="BG103" s="16"/>
      <c r="BH103" s="17"/>
      <c r="BI103" s="18">
        <f t="shared" si="63"/>
        <v>0</v>
      </c>
      <c r="BJ103" s="34"/>
      <c r="BK103" s="16"/>
      <c r="BL103" s="16"/>
      <c r="BM103" s="17"/>
      <c r="BN103" s="18">
        <f t="shared" si="64"/>
        <v>0</v>
      </c>
      <c r="BO103" s="70">
        <f>SUM(G103,L103,Q103,V103,AA103,AF103,AK103,AP103,AU103,AZ103,BE103,BJ103)</f>
        <v>32</v>
      </c>
      <c r="BP103" s="16">
        <f>SUM(H103,M103,R103,W103,AB103,AG103,AL103,AQ103,AV103,BA103,BF103,BK103)</f>
        <v>0</v>
      </c>
      <c r="BQ103" s="16">
        <f>SUM(I103,N103,S103,X103,AC103,AH103,AM103,AR103,AW103,BB103,BG103,BL103)</f>
        <v>0</v>
      </c>
      <c r="BR103" s="17">
        <f>SUM(J103,O103,T103,Y103,AD103,AI103,AN103,AS103,AX103,BC103,BH103,BM103)</f>
        <v>0</v>
      </c>
      <c r="BS103" s="35">
        <f t="shared" si="12"/>
        <v>32</v>
      </c>
    </row>
    <row r="104" spans="2:71" x14ac:dyDescent="0.3">
      <c r="B104" s="269"/>
      <c r="C104" s="230"/>
      <c r="D104" s="233"/>
      <c r="E104" s="239"/>
      <c r="F104" s="123" t="s">
        <v>627</v>
      </c>
      <c r="G104" s="34">
        <v>94</v>
      </c>
      <c r="H104" s="16"/>
      <c r="I104" s="16"/>
      <c r="J104" s="17"/>
      <c r="K104" s="18">
        <f t="shared" si="74"/>
        <v>94</v>
      </c>
      <c r="L104" s="34">
        <v>161</v>
      </c>
      <c r="M104" s="16"/>
      <c r="N104" s="16"/>
      <c r="O104" s="17"/>
      <c r="P104" s="18">
        <f t="shared" si="66"/>
        <v>161</v>
      </c>
      <c r="Q104" s="34">
        <v>29</v>
      </c>
      <c r="R104" s="16"/>
      <c r="S104" s="16"/>
      <c r="T104" s="17"/>
      <c r="U104" s="18">
        <f t="shared" si="67"/>
        <v>29</v>
      </c>
      <c r="V104" s="34"/>
      <c r="W104" s="16"/>
      <c r="X104" s="16"/>
      <c r="Y104" s="17"/>
      <c r="Z104" s="18">
        <f t="shared" si="68"/>
        <v>0</v>
      </c>
      <c r="AA104" s="34"/>
      <c r="AB104" s="16"/>
      <c r="AC104" s="16"/>
      <c r="AD104" s="17"/>
      <c r="AE104" s="18">
        <f t="shared" si="69"/>
        <v>0</v>
      </c>
      <c r="AF104" s="34"/>
      <c r="AG104" s="16"/>
      <c r="AH104" s="16"/>
      <c r="AI104" s="17"/>
      <c r="AJ104" s="18">
        <f t="shared" si="70"/>
        <v>0</v>
      </c>
      <c r="AK104" s="34"/>
      <c r="AL104" s="16"/>
      <c r="AM104" s="16"/>
      <c r="AN104" s="17"/>
      <c r="AO104" s="18">
        <f t="shared" si="59"/>
        <v>0</v>
      </c>
      <c r="AP104" s="34"/>
      <c r="AQ104" s="16"/>
      <c r="AR104" s="16"/>
      <c r="AS104" s="17"/>
      <c r="AT104" s="18">
        <f t="shared" si="60"/>
        <v>0</v>
      </c>
      <c r="AU104" s="34"/>
      <c r="AV104" s="16"/>
      <c r="AW104" s="16"/>
      <c r="AX104" s="17"/>
      <c r="AY104" s="18">
        <f t="shared" si="61"/>
        <v>0</v>
      </c>
      <c r="AZ104" s="34"/>
      <c r="BA104" s="16"/>
      <c r="BB104" s="16"/>
      <c r="BC104" s="17"/>
      <c r="BD104" s="18">
        <f t="shared" si="62"/>
        <v>0</v>
      </c>
      <c r="BE104" s="34"/>
      <c r="BF104" s="16"/>
      <c r="BG104" s="16"/>
      <c r="BH104" s="17"/>
      <c r="BI104" s="18">
        <f t="shared" si="63"/>
        <v>0</v>
      </c>
      <c r="BJ104" s="34"/>
      <c r="BK104" s="16"/>
      <c r="BL104" s="16"/>
      <c r="BM104" s="17"/>
      <c r="BN104" s="18">
        <f t="shared" si="64"/>
        <v>0</v>
      </c>
      <c r="BO104" s="70">
        <f>SUM(G104,L104,Q104,V104,AA104,AF104,AK104,AP104,AU104,AZ104,BE104,BJ104)</f>
        <v>284</v>
      </c>
      <c r="BP104" s="16">
        <f>SUM(H104,M104,R104,W104,AB104,AG104,AL104,AQ104,AV104,BA104,BF104,BK104)</f>
        <v>0</v>
      </c>
      <c r="BQ104" s="16">
        <f>SUM(I104,N104,S104,X104,AC104,AH104,AM104,AR104,AW104,BB104,BG104,BL104)</f>
        <v>0</v>
      </c>
      <c r="BR104" s="17">
        <f>SUM(J104,O104,T104,Y104,AD104,AI104,AN104,AS104,AX104,BC104,BH104,BM104)</f>
        <v>0</v>
      </c>
      <c r="BS104" s="35">
        <f t="shared" si="12"/>
        <v>284</v>
      </c>
    </row>
    <row r="105" spans="2:71" x14ac:dyDescent="0.3">
      <c r="B105" s="269"/>
      <c r="C105" s="230"/>
      <c r="D105" s="233"/>
      <c r="E105" s="239"/>
      <c r="F105" s="123" t="s">
        <v>628</v>
      </c>
      <c r="G105" s="34">
        <v>4</v>
      </c>
      <c r="H105" s="16"/>
      <c r="I105" s="16"/>
      <c r="J105" s="17"/>
      <c r="K105" s="18">
        <f t="shared" si="74"/>
        <v>4</v>
      </c>
      <c r="L105" s="34">
        <v>20</v>
      </c>
      <c r="M105" s="16"/>
      <c r="N105" s="16"/>
      <c r="O105" s="17"/>
      <c r="P105" s="18">
        <f t="shared" si="66"/>
        <v>20</v>
      </c>
      <c r="Q105" s="34">
        <v>2</v>
      </c>
      <c r="R105" s="16"/>
      <c r="S105" s="16"/>
      <c r="T105" s="17"/>
      <c r="U105" s="18">
        <f t="shared" si="67"/>
        <v>2</v>
      </c>
      <c r="V105" s="34"/>
      <c r="W105" s="16"/>
      <c r="X105" s="16"/>
      <c r="Y105" s="17"/>
      <c r="Z105" s="18">
        <f t="shared" si="68"/>
        <v>0</v>
      </c>
      <c r="AA105" s="34"/>
      <c r="AB105" s="16"/>
      <c r="AC105" s="16"/>
      <c r="AD105" s="17"/>
      <c r="AE105" s="18">
        <f t="shared" si="69"/>
        <v>0</v>
      </c>
      <c r="AF105" s="34"/>
      <c r="AG105" s="16"/>
      <c r="AH105" s="16"/>
      <c r="AI105" s="17"/>
      <c r="AJ105" s="18">
        <f t="shared" si="70"/>
        <v>0</v>
      </c>
      <c r="AK105" s="34"/>
      <c r="AL105" s="16"/>
      <c r="AM105" s="16"/>
      <c r="AN105" s="17"/>
      <c r="AO105" s="18">
        <f t="shared" si="59"/>
        <v>0</v>
      </c>
      <c r="AP105" s="34"/>
      <c r="AQ105" s="16"/>
      <c r="AR105" s="16"/>
      <c r="AS105" s="17"/>
      <c r="AT105" s="18">
        <f t="shared" si="60"/>
        <v>0</v>
      </c>
      <c r="AU105" s="34"/>
      <c r="AV105" s="16"/>
      <c r="AW105" s="16"/>
      <c r="AX105" s="17"/>
      <c r="AY105" s="18">
        <f t="shared" si="61"/>
        <v>0</v>
      </c>
      <c r="AZ105" s="34"/>
      <c r="BA105" s="16"/>
      <c r="BB105" s="16"/>
      <c r="BC105" s="17"/>
      <c r="BD105" s="18">
        <f t="shared" si="62"/>
        <v>0</v>
      </c>
      <c r="BE105" s="34"/>
      <c r="BF105" s="16"/>
      <c r="BG105" s="16"/>
      <c r="BH105" s="17"/>
      <c r="BI105" s="18">
        <f t="shared" si="63"/>
        <v>0</v>
      </c>
      <c r="BJ105" s="34"/>
      <c r="BK105" s="16"/>
      <c r="BL105" s="16"/>
      <c r="BM105" s="17"/>
      <c r="BN105" s="18">
        <f t="shared" si="64"/>
        <v>0</v>
      </c>
      <c r="BO105" s="70">
        <f>SUM(G105,L105,Q105,V105,AA105,AF105,AK105,AP105,AU105,AZ105,BE105,BJ105)</f>
        <v>26</v>
      </c>
      <c r="BP105" s="16">
        <f>SUM(H105,M105,R105,W105,AB105,AG105,AL105,AQ105,AV105,BA105,BF105,BK105)</f>
        <v>0</v>
      </c>
      <c r="BQ105" s="16">
        <f>SUM(I105,N105,S105,X105,AC105,AH105,AM105,AR105,AW105,BB105,BG105,BL105)</f>
        <v>0</v>
      </c>
      <c r="BR105" s="17">
        <f>SUM(J105,O105,T105,Y105,AD105,AI105,AN105,AS105,AX105,BC105,BH105,BM105)</f>
        <v>0</v>
      </c>
      <c r="BS105" s="35">
        <f t="shared" si="12"/>
        <v>26</v>
      </c>
    </row>
    <row r="106" spans="2:71" x14ac:dyDescent="0.3">
      <c r="B106" s="269"/>
      <c r="C106" s="230"/>
      <c r="D106" s="233"/>
      <c r="E106" s="239"/>
      <c r="F106" s="171" t="s">
        <v>653</v>
      </c>
      <c r="G106" s="172">
        <v>36</v>
      </c>
      <c r="H106" s="173"/>
      <c r="I106" s="173"/>
      <c r="J106" s="174"/>
      <c r="K106" s="175">
        <f t="shared" si="74"/>
        <v>36</v>
      </c>
      <c r="L106" s="172">
        <v>68</v>
      </c>
      <c r="M106" s="173"/>
      <c r="N106" s="173"/>
      <c r="O106" s="174"/>
      <c r="P106" s="175">
        <f t="shared" si="66"/>
        <v>68</v>
      </c>
      <c r="Q106" s="172">
        <v>14</v>
      </c>
      <c r="R106" s="173"/>
      <c r="S106" s="173"/>
      <c r="T106" s="174"/>
      <c r="U106" s="175">
        <f t="shared" si="67"/>
        <v>14</v>
      </c>
      <c r="V106" s="172"/>
      <c r="W106" s="173"/>
      <c r="X106" s="173"/>
      <c r="Y106" s="174"/>
      <c r="Z106" s="175">
        <f t="shared" si="68"/>
        <v>0</v>
      </c>
      <c r="AA106" s="172"/>
      <c r="AB106" s="173"/>
      <c r="AC106" s="173"/>
      <c r="AD106" s="174"/>
      <c r="AE106" s="175">
        <f t="shared" si="69"/>
        <v>0</v>
      </c>
      <c r="AF106" s="172"/>
      <c r="AG106" s="173"/>
      <c r="AH106" s="173"/>
      <c r="AI106" s="174"/>
      <c r="AJ106" s="175">
        <f t="shared" si="70"/>
        <v>0</v>
      </c>
      <c r="AK106" s="172"/>
      <c r="AL106" s="173"/>
      <c r="AM106" s="173"/>
      <c r="AN106" s="174"/>
      <c r="AO106" s="175">
        <f t="shared" si="59"/>
        <v>0</v>
      </c>
      <c r="AP106" s="172"/>
      <c r="AQ106" s="173"/>
      <c r="AR106" s="173"/>
      <c r="AS106" s="174"/>
      <c r="AT106" s="175">
        <f t="shared" si="60"/>
        <v>0</v>
      </c>
      <c r="AU106" s="172"/>
      <c r="AV106" s="173"/>
      <c r="AW106" s="173"/>
      <c r="AX106" s="174"/>
      <c r="AY106" s="175">
        <f t="shared" si="61"/>
        <v>0</v>
      </c>
      <c r="AZ106" s="172"/>
      <c r="BA106" s="173"/>
      <c r="BB106" s="173"/>
      <c r="BC106" s="174"/>
      <c r="BD106" s="175">
        <f t="shared" si="62"/>
        <v>0</v>
      </c>
      <c r="BE106" s="172"/>
      <c r="BF106" s="173"/>
      <c r="BG106" s="173"/>
      <c r="BH106" s="174"/>
      <c r="BI106" s="175">
        <f t="shared" si="63"/>
        <v>0</v>
      </c>
      <c r="BJ106" s="172"/>
      <c r="BK106" s="173"/>
      <c r="BL106" s="173"/>
      <c r="BM106" s="174"/>
      <c r="BN106" s="175">
        <f t="shared" si="64"/>
        <v>0</v>
      </c>
      <c r="BO106" s="177">
        <f>SUM(G106,L106,Q106,V106,AA106,AF106,AK106,AP106,AU106,AZ106,BE106,BJ106)</f>
        <v>118</v>
      </c>
      <c r="BP106" s="173">
        <f>SUM(H106,M106,R106,W106,AB106,AG106,AL106,AQ106,AV106,BA106,BF106,BK106)</f>
        <v>0</v>
      </c>
      <c r="BQ106" s="173">
        <f>SUM(I106,N106,S106,X106,AC106,AH106,AM106,AR106,AW106,BB106,BG106,BL106)</f>
        <v>0</v>
      </c>
      <c r="BR106" s="174">
        <f>SUM(J106,O106,T106,Y106,AD106,AI106,AN106,AS106,AX106,BC106,BH106,BM106)</f>
        <v>0</v>
      </c>
      <c r="BS106" s="176">
        <f t="shared" si="12"/>
        <v>118</v>
      </c>
    </row>
    <row r="107" spans="2:71" x14ac:dyDescent="0.3">
      <c r="B107" s="269"/>
      <c r="C107" s="230"/>
      <c r="D107" s="233"/>
      <c r="E107" s="239"/>
      <c r="F107" s="171" t="s">
        <v>654</v>
      </c>
      <c r="G107" s="172">
        <v>2</v>
      </c>
      <c r="H107" s="173"/>
      <c r="I107" s="173"/>
      <c r="J107" s="174"/>
      <c r="K107" s="175">
        <f t="shared" si="74"/>
        <v>2</v>
      </c>
      <c r="L107" s="172">
        <v>3</v>
      </c>
      <c r="M107" s="173"/>
      <c r="N107" s="173"/>
      <c r="O107" s="174"/>
      <c r="P107" s="175">
        <f t="shared" si="66"/>
        <v>3</v>
      </c>
      <c r="Q107" s="172"/>
      <c r="R107" s="173"/>
      <c r="S107" s="173"/>
      <c r="T107" s="174"/>
      <c r="U107" s="175">
        <f t="shared" si="67"/>
        <v>0</v>
      </c>
      <c r="V107" s="172"/>
      <c r="W107" s="173"/>
      <c r="X107" s="173"/>
      <c r="Y107" s="174"/>
      <c r="Z107" s="175">
        <f t="shared" si="68"/>
        <v>0</v>
      </c>
      <c r="AA107" s="172"/>
      <c r="AB107" s="173"/>
      <c r="AC107" s="173"/>
      <c r="AD107" s="174"/>
      <c r="AE107" s="175">
        <f t="shared" si="69"/>
        <v>0</v>
      </c>
      <c r="AF107" s="172"/>
      <c r="AG107" s="173"/>
      <c r="AH107" s="173"/>
      <c r="AI107" s="174"/>
      <c r="AJ107" s="175">
        <f t="shared" si="70"/>
        <v>0</v>
      </c>
      <c r="AK107" s="172"/>
      <c r="AL107" s="173"/>
      <c r="AM107" s="173"/>
      <c r="AN107" s="174"/>
      <c r="AO107" s="175">
        <f t="shared" si="59"/>
        <v>0</v>
      </c>
      <c r="AP107" s="172"/>
      <c r="AQ107" s="173"/>
      <c r="AR107" s="173"/>
      <c r="AS107" s="174"/>
      <c r="AT107" s="175">
        <f t="shared" si="60"/>
        <v>0</v>
      </c>
      <c r="AU107" s="172"/>
      <c r="AV107" s="173"/>
      <c r="AW107" s="173"/>
      <c r="AX107" s="174"/>
      <c r="AY107" s="175">
        <f t="shared" si="61"/>
        <v>0</v>
      </c>
      <c r="AZ107" s="172"/>
      <c r="BA107" s="173"/>
      <c r="BB107" s="173"/>
      <c r="BC107" s="174"/>
      <c r="BD107" s="175">
        <f t="shared" si="62"/>
        <v>0</v>
      </c>
      <c r="BE107" s="172"/>
      <c r="BF107" s="173"/>
      <c r="BG107" s="173"/>
      <c r="BH107" s="174"/>
      <c r="BI107" s="175">
        <f t="shared" si="63"/>
        <v>0</v>
      </c>
      <c r="BJ107" s="172"/>
      <c r="BK107" s="173"/>
      <c r="BL107" s="173"/>
      <c r="BM107" s="174"/>
      <c r="BN107" s="175">
        <f t="shared" si="64"/>
        <v>0</v>
      </c>
      <c r="BO107" s="177">
        <f>SUM(G107,L107,Q107,V107,AA107,AF107,AK107,AP107,AU107,AZ107,BE107,BJ107)</f>
        <v>5</v>
      </c>
      <c r="BP107" s="173">
        <f>SUM(H107,M107,R107,W107,AB107,AG107,AL107,AQ107,AV107,BA107,BF107,BK107)</f>
        <v>0</v>
      </c>
      <c r="BQ107" s="173">
        <f>SUM(I107,N107,S107,X107,AC107,AH107,AM107,AR107,AW107,BB107,BG107,BL107)</f>
        <v>0</v>
      </c>
      <c r="BR107" s="174">
        <f>SUM(J107,O107,T107,Y107,AD107,AI107,AN107,AS107,AX107,BC107,BH107,BM107)</f>
        <v>0</v>
      </c>
      <c r="BS107" s="176">
        <f t="shared" si="12"/>
        <v>5</v>
      </c>
    </row>
    <row r="108" spans="2:71" x14ac:dyDescent="0.3">
      <c r="B108" s="269"/>
      <c r="C108" s="230"/>
      <c r="D108" s="233"/>
      <c r="E108" s="239"/>
      <c r="F108" s="171" t="s">
        <v>655</v>
      </c>
      <c r="G108" s="172">
        <v>38</v>
      </c>
      <c r="H108" s="173"/>
      <c r="I108" s="173"/>
      <c r="J108" s="174"/>
      <c r="K108" s="175">
        <f t="shared" si="0"/>
        <v>38</v>
      </c>
      <c r="L108" s="172">
        <v>47</v>
      </c>
      <c r="M108" s="173"/>
      <c r="N108" s="173"/>
      <c r="O108" s="174"/>
      <c r="P108" s="175">
        <f t="shared" si="66"/>
        <v>47</v>
      </c>
      <c r="Q108" s="172">
        <v>8</v>
      </c>
      <c r="R108" s="173"/>
      <c r="S108" s="173"/>
      <c r="T108" s="174"/>
      <c r="U108" s="175">
        <f t="shared" si="67"/>
        <v>8</v>
      </c>
      <c r="V108" s="172"/>
      <c r="W108" s="173"/>
      <c r="X108" s="173"/>
      <c r="Y108" s="174"/>
      <c r="Z108" s="175">
        <f t="shared" si="68"/>
        <v>0</v>
      </c>
      <c r="AA108" s="172"/>
      <c r="AB108" s="173"/>
      <c r="AC108" s="173"/>
      <c r="AD108" s="174"/>
      <c r="AE108" s="175">
        <f t="shared" si="69"/>
        <v>0</v>
      </c>
      <c r="AF108" s="172"/>
      <c r="AG108" s="173"/>
      <c r="AH108" s="173"/>
      <c r="AI108" s="174"/>
      <c r="AJ108" s="175">
        <f t="shared" si="70"/>
        <v>0</v>
      </c>
      <c r="AK108" s="172"/>
      <c r="AL108" s="173"/>
      <c r="AM108" s="173"/>
      <c r="AN108" s="174"/>
      <c r="AO108" s="175">
        <f t="shared" si="59"/>
        <v>0</v>
      </c>
      <c r="AP108" s="172"/>
      <c r="AQ108" s="173"/>
      <c r="AR108" s="173"/>
      <c r="AS108" s="174"/>
      <c r="AT108" s="175">
        <f t="shared" si="60"/>
        <v>0</v>
      </c>
      <c r="AU108" s="172"/>
      <c r="AV108" s="173"/>
      <c r="AW108" s="173"/>
      <c r="AX108" s="174"/>
      <c r="AY108" s="175">
        <f t="shared" si="61"/>
        <v>0</v>
      </c>
      <c r="AZ108" s="172"/>
      <c r="BA108" s="173"/>
      <c r="BB108" s="173"/>
      <c r="BC108" s="174"/>
      <c r="BD108" s="175">
        <f t="shared" si="62"/>
        <v>0</v>
      </c>
      <c r="BE108" s="172"/>
      <c r="BF108" s="173"/>
      <c r="BG108" s="173"/>
      <c r="BH108" s="174"/>
      <c r="BI108" s="175">
        <f t="shared" si="63"/>
        <v>0</v>
      </c>
      <c r="BJ108" s="172"/>
      <c r="BK108" s="173"/>
      <c r="BL108" s="173"/>
      <c r="BM108" s="174"/>
      <c r="BN108" s="175">
        <f t="shared" si="64"/>
        <v>0</v>
      </c>
      <c r="BO108" s="177">
        <f>SUM(G108,L108,Q108,V108,AA108,AF108,AK108,AP108,AU108,AZ108,BE108,BJ108)</f>
        <v>93</v>
      </c>
      <c r="BP108" s="173">
        <f>SUM(H108,M108,R108,W108,AB108,AG108,AL108,AQ108,AV108,BA108,BF108,BK108)</f>
        <v>0</v>
      </c>
      <c r="BQ108" s="173">
        <f>SUM(I108,N108,S108,X108,AC108,AH108,AM108,AR108,AW108,BB108,BG108,BL108)</f>
        <v>0</v>
      </c>
      <c r="BR108" s="174">
        <f>SUM(J108,O108,T108,Y108,AD108,AI108,AN108,AS108,AX108,BC108,BH108,BM108)</f>
        <v>0</v>
      </c>
      <c r="BS108" s="176">
        <f t="shared" si="12"/>
        <v>93</v>
      </c>
    </row>
    <row r="109" spans="2:71" x14ac:dyDescent="0.3">
      <c r="B109" s="269"/>
      <c r="C109" s="230"/>
      <c r="D109" s="233"/>
      <c r="E109" s="239"/>
      <c r="F109" s="185" t="s">
        <v>656</v>
      </c>
      <c r="G109" s="186">
        <v>2</v>
      </c>
      <c r="H109" s="187"/>
      <c r="I109" s="187"/>
      <c r="J109" s="188"/>
      <c r="K109" s="189">
        <f t="shared" si="0"/>
        <v>2</v>
      </c>
      <c r="L109" s="186">
        <v>3</v>
      </c>
      <c r="M109" s="187"/>
      <c r="N109" s="187"/>
      <c r="O109" s="188"/>
      <c r="P109" s="189">
        <f t="shared" si="66"/>
        <v>3</v>
      </c>
      <c r="Q109" s="186"/>
      <c r="R109" s="187"/>
      <c r="S109" s="187"/>
      <c r="T109" s="188"/>
      <c r="U109" s="189">
        <f t="shared" si="67"/>
        <v>0</v>
      </c>
      <c r="V109" s="186"/>
      <c r="W109" s="187"/>
      <c r="X109" s="187"/>
      <c r="Y109" s="188"/>
      <c r="Z109" s="189">
        <f t="shared" si="68"/>
        <v>0</v>
      </c>
      <c r="AA109" s="186"/>
      <c r="AB109" s="187"/>
      <c r="AC109" s="187"/>
      <c r="AD109" s="188"/>
      <c r="AE109" s="189">
        <f t="shared" si="69"/>
        <v>0</v>
      </c>
      <c r="AF109" s="186"/>
      <c r="AG109" s="187"/>
      <c r="AH109" s="187"/>
      <c r="AI109" s="188"/>
      <c r="AJ109" s="189">
        <f t="shared" si="70"/>
        <v>0</v>
      </c>
      <c r="AK109" s="186"/>
      <c r="AL109" s="187"/>
      <c r="AM109" s="187"/>
      <c r="AN109" s="188"/>
      <c r="AO109" s="189">
        <f t="shared" si="59"/>
        <v>0</v>
      </c>
      <c r="AP109" s="186"/>
      <c r="AQ109" s="187"/>
      <c r="AR109" s="187"/>
      <c r="AS109" s="188"/>
      <c r="AT109" s="189">
        <f t="shared" si="60"/>
        <v>0</v>
      </c>
      <c r="AU109" s="186"/>
      <c r="AV109" s="187"/>
      <c r="AW109" s="187"/>
      <c r="AX109" s="188"/>
      <c r="AY109" s="189">
        <f t="shared" si="61"/>
        <v>0</v>
      </c>
      <c r="AZ109" s="186"/>
      <c r="BA109" s="187"/>
      <c r="BB109" s="187"/>
      <c r="BC109" s="188"/>
      <c r="BD109" s="189">
        <f t="shared" si="62"/>
        <v>0</v>
      </c>
      <c r="BE109" s="186"/>
      <c r="BF109" s="187"/>
      <c r="BG109" s="187"/>
      <c r="BH109" s="188"/>
      <c r="BI109" s="189">
        <f t="shared" si="63"/>
        <v>0</v>
      </c>
      <c r="BJ109" s="186"/>
      <c r="BK109" s="187"/>
      <c r="BL109" s="187"/>
      <c r="BM109" s="188"/>
      <c r="BN109" s="189">
        <f t="shared" si="64"/>
        <v>0</v>
      </c>
      <c r="BO109" s="191">
        <f>SUM(G109,L109,Q109,V109,AA109,AF109,AK109,AP109,AU109,AZ109,BE109,BJ109)</f>
        <v>5</v>
      </c>
      <c r="BP109" s="187">
        <f>SUM(H109,M109,R109,W109,AB109,AG109,AL109,AQ109,AV109,BA109,BF109,BK109)</f>
        <v>0</v>
      </c>
      <c r="BQ109" s="187">
        <f>SUM(I109,N109,S109,X109,AC109,AH109,AM109,AR109,AW109,BB109,BG109,BL109)</f>
        <v>0</v>
      </c>
      <c r="BR109" s="188">
        <f>SUM(J109,O109,T109,Y109,AD109,AI109,AN109,AS109,AX109,BC109,BH109,BM109)</f>
        <v>0</v>
      </c>
      <c r="BS109" s="190">
        <f t="shared" si="12"/>
        <v>5</v>
      </c>
    </row>
    <row r="110" spans="2:71" x14ac:dyDescent="0.3">
      <c r="B110" s="269"/>
      <c r="C110" s="230"/>
      <c r="D110" s="233"/>
      <c r="E110" s="240"/>
      <c r="F110" s="125" t="s">
        <v>54</v>
      </c>
      <c r="G110" s="126">
        <f>SUM(G96:G109)</f>
        <v>434</v>
      </c>
      <c r="H110" s="127">
        <f>SUM(H96:H109)</f>
        <v>0</v>
      </c>
      <c r="I110" s="127">
        <f>SUM(I96:I109)</f>
        <v>0</v>
      </c>
      <c r="J110" s="128">
        <f>SUM(J96:J109)</f>
        <v>0</v>
      </c>
      <c r="K110" s="129">
        <f t="shared" si="0"/>
        <v>434</v>
      </c>
      <c r="L110" s="126">
        <f>SUM(L96:L109)</f>
        <v>749</v>
      </c>
      <c r="M110" s="127">
        <f>SUM(M96:M109)</f>
        <v>0</v>
      </c>
      <c r="N110" s="127">
        <f>SUM(N96:N109)</f>
        <v>0</v>
      </c>
      <c r="O110" s="128">
        <f>SUM(O96:O109)</f>
        <v>0</v>
      </c>
      <c r="P110" s="129">
        <f t="shared" si="66"/>
        <v>749</v>
      </c>
      <c r="Q110" s="126">
        <f>SUM(Q96:Q109)</f>
        <v>277</v>
      </c>
      <c r="R110" s="127">
        <f>SUM(R96:R109)</f>
        <v>0</v>
      </c>
      <c r="S110" s="127">
        <f>SUM(S96:S109)</f>
        <v>0</v>
      </c>
      <c r="T110" s="128">
        <f>SUM(T96:T109)</f>
        <v>0</v>
      </c>
      <c r="U110" s="129">
        <f t="shared" si="67"/>
        <v>277</v>
      </c>
      <c r="V110" s="126">
        <f>SUM(V96:V109)</f>
        <v>46</v>
      </c>
      <c r="W110" s="127">
        <f>SUM(W96:W109)</f>
        <v>0</v>
      </c>
      <c r="X110" s="127">
        <f>SUM(X96:X109)</f>
        <v>0</v>
      </c>
      <c r="Y110" s="128">
        <f>SUM(Y96:Y109)</f>
        <v>0</v>
      </c>
      <c r="Z110" s="129">
        <f t="shared" si="68"/>
        <v>46</v>
      </c>
      <c r="AA110" s="126">
        <f>SUM(AA96:AA109)</f>
        <v>102</v>
      </c>
      <c r="AB110" s="127">
        <f>SUM(AB96:AB109)</f>
        <v>0</v>
      </c>
      <c r="AC110" s="127">
        <f>SUM(AC96:AC109)</f>
        <v>0</v>
      </c>
      <c r="AD110" s="128">
        <f>SUM(AD96:AD109)</f>
        <v>0</v>
      </c>
      <c r="AE110" s="129">
        <f t="shared" si="69"/>
        <v>102</v>
      </c>
      <c r="AF110" s="126">
        <f>SUM(AF96:AF109)</f>
        <v>124</v>
      </c>
      <c r="AG110" s="127">
        <f>SUM(AG96:AG109)</f>
        <v>0</v>
      </c>
      <c r="AH110" s="127">
        <f>SUM(AH96:AH109)</f>
        <v>0</v>
      </c>
      <c r="AI110" s="128">
        <f>SUM(AI96:AI109)</f>
        <v>0</v>
      </c>
      <c r="AJ110" s="129">
        <f t="shared" si="70"/>
        <v>124</v>
      </c>
      <c r="AK110" s="126">
        <f>SUM(AK96:AK109)</f>
        <v>37</v>
      </c>
      <c r="AL110" s="127">
        <f>SUM(AL96:AL109)</f>
        <v>0</v>
      </c>
      <c r="AM110" s="127">
        <f>SUM(AM96:AM109)</f>
        <v>0</v>
      </c>
      <c r="AN110" s="128">
        <f>SUM(AN96:AN109)</f>
        <v>0</v>
      </c>
      <c r="AO110" s="129">
        <f t="shared" si="59"/>
        <v>37</v>
      </c>
      <c r="AP110" s="126">
        <f>SUM(AP96:AP109)</f>
        <v>132</v>
      </c>
      <c r="AQ110" s="127">
        <f>SUM(AQ96:AQ109)</f>
        <v>0</v>
      </c>
      <c r="AR110" s="127">
        <f>SUM(AR96:AR109)</f>
        <v>0</v>
      </c>
      <c r="AS110" s="128">
        <f>SUM(AS96:AS109)</f>
        <v>0</v>
      </c>
      <c r="AT110" s="129">
        <f t="shared" si="60"/>
        <v>132</v>
      </c>
      <c r="AU110" s="126">
        <f>SUM(AU96:AU109)</f>
        <v>39</v>
      </c>
      <c r="AV110" s="127">
        <f>SUM(AV96:AV109)</f>
        <v>0</v>
      </c>
      <c r="AW110" s="127">
        <f>SUM(AW96:AW109)</f>
        <v>0</v>
      </c>
      <c r="AX110" s="128">
        <f>SUM(AX96:AX109)</f>
        <v>0</v>
      </c>
      <c r="AY110" s="129">
        <f t="shared" si="61"/>
        <v>39</v>
      </c>
      <c r="AZ110" s="126">
        <f>SUM(AZ96:AZ109)</f>
        <v>185</v>
      </c>
      <c r="BA110" s="127">
        <f>SUM(BA96:BA109)</f>
        <v>0</v>
      </c>
      <c r="BB110" s="127">
        <f>SUM(BB96:BB109)</f>
        <v>0</v>
      </c>
      <c r="BC110" s="128">
        <f>SUM(BC96:BC109)</f>
        <v>0</v>
      </c>
      <c r="BD110" s="129">
        <f t="shared" si="62"/>
        <v>185</v>
      </c>
      <c r="BE110" s="126">
        <f>SUM(BE96:BE109)</f>
        <v>82</v>
      </c>
      <c r="BF110" s="127">
        <f>SUM(BF96:BF109)</f>
        <v>0</v>
      </c>
      <c r="BG110" s="127">
        <f>SUM(BG96:BG109)</f>
        <v>0</v>
      </c>
      <c r="BH110" s="128">
        <f>SUM(BH96:BH109)</f>
        <v>0</v>
      </c>
      <c r="BI110" s="129">
        <f t="shared" si="63"/>
        <v>82</v>
      </c>
      <c r="BJ110" s="126">
        <f>SUM(BJ96:BJ109)</f>
        <v>14</v>
      </c>
      <c r="BK110" s="127">
        <f>SUM(BK96:BK109)</f>
        <v>0</v>
      </c>
      <c r="BL110" s="127">
        <f>SUM(BL96:BL109)</f>
        <v>0</v>
      </c>
      <c r="BM110" s="128">
        <f>SUM(BM96:BM109)</f>
        <v>0</v>
      </c>
      <c r="BN110" s="129">
        <f t="shared" si="64"/>
        <v>14</v>
      </c>
      <c r="BO110" s="131">
        <f>SUM(BO96:BO109)</f>
        <v>2221</v>
      </c>
      <c r="BP110" s="127">
        <f>SUM(BP96:BP109)</f>
        <v>0</v>
      </c>
      <c r="BQ110" s="127">
        <f>SUM(BQ96:BQ109)</f>
        <v>0</v>
      </c>
      <c r="BR110" s="128">
        <f>SUM(BR96:BR109)</f>
        <v>0</v>
      </c>
      <c r="BS110" s="130">
        <f t="shared" si="12"/>
        <v>2221</v>
      </c>
    </row>
    <row r="111" spans="2:71" x14ac:dyDescent="0.3">
      <c r="B111" s="269"/>
      <c r="C111" s="230"/>
      <c r="D111" s="233"/>
      <c r="E111" s="241" t="s">
        <v>45</v>
      </c>
      <c r="F111" s="120" t="s">
        <v>647</v>
      </c>
      <c r="G111" s="30">
        <v>2</v>
      </c>
      <c r="H111" s="7"/>
      <c r="I111" s="7"/>
      <c r="J111" s="8"/>
      <c r="K111" s="9">
        <f t="shared" si="0"/>
        <v>2</v>
      </c>
      <c r="L111" s="30"/>
      <c r="M111" s="7"/>
      <c r="N111" s="7"/>
      <c r="O111" s="8"/>
      <c r="P111" s="9">
        <f t="shared" si="66"/>
        <v>0</v>
      </c>
      <c r="Q111" s="30"/>
      <c r="R111" s="7"/>
      <c r="S111" s="7"/>
      <c r="T111" s="8"/>
      <c r="U111" s="9">
        <f t="shared" si="67"/>
        <v>0</v>
      </c>
      <c r="V111" s="30">
        <v>3</v>
      </c>
      <c r="W111" s="7"/>
      <c r="X111" s="7"/>
      <c r="Y111" s="8"/>
      <c r="Z111" s="9">
        <f t="shared" si="68"/>
        <v>3</v>
      </c>
      <c r="AA111" s="30">
        <v>6</v>
      </c>
      <c r="AB111" s="7"/>
      <c r="AC111" s="7"/>
      <c r="AD111" s="8"/>
      <c r="AE111" s="9">
        <f t="shared" si="69"/>
        <v>6</v>
      </c>
      <c r="AF111" s="30"/>
      <c r="AG111" s="7"/>
      <c r="AH111" s="7"/>
      <c r="AI111" s="8"/>
      <c r="AJ111" s="9">
        <f t="shared" si="70"/>
        <v>0</v>
      </c>
      <c r="AK111" s="30"/>
      <c r="AL111" s="7"/>
      <c r="AM111" s="7"/>
      <c r="AN111" s="8"/>
      <c r="AO111" s="9">
        <f t="shared" si="59"/>
        <v>0</v>
      </c>
      <c r="AP111" s="30"/>
      <c r="AQ111" s="7"/>
      <c r="AR111" s="7"/>
      <c r="AS111" s="8"/>
      <c r="AT111" s="9">
        <f t="shared" si="60"/>
        <v>0</v>
      </c>
      <c r="AU111" s="30">
        <v>3</v>
      </c>
      <c r="AV111" s="7"/>
      <c r="AW111" s="7"/>
      <c r="AX111" s="8"/>
      <c r="AY111" s="9">
        <f t="shared" si="61"/>
        <v>3</v>
      </c>
      <c r="AZ111" s="30"/>
      <c r="BA111" s="7"/>
      <c r="BB111" s="7"/>
      <c r="BC111" s="8"/>
      <c r="BD111" s="9">
        <f t="shared" si="62"/>
        <v>0</v>
      </c>
      <c r="BE111" s="30"/>
      <c r="BF111" s="7"/>
      <c r="BG111" s="7"/>
      <c r="BH111" s="8"/>
      <c r="BI111" s="9">
        <f t="shared" si="63"/>
        <v>0</v>
      </c>
      <c r="BJ111" s="30"/>
      <c r="BK111" s="7"/>
      <c r="BL111" s="7"/>
      <c r="BM111" s="8"/>
      <c r="BN111" s="9">
        <f t="shared" si="64"/>
        <v>0</v>
      </c>
      <c r="BO111" s="65">
        <f>SUM(G111,L111,Q111,V111,AA111,AF111,AK111,AP111,AU111,AZ111,BE111,BJ111)</f>
        <v>14</v>
      </c>
      <c r="BP111" s="7">
        <f>SUM(H111,M111,R111,W111,AB111,AG111,AL111,AQ111,AV111,BA111,BF111,BK111)</f>
        <v>0</v>
      </c>
      <c r="BQ111" s="7">
        <f>SUM(I111,N111,S111,X111,AC111,AH111,AM111,AR111,AW111,BB111,BG111,BL111)</f>
        <v>0</v>
      </c>
      <c r="BR111" s="8">
        <f>SUM(J111,O111,T111,Y111,AD111,AI111,AN111,AS111,AX111,BC111,BH111,BM111)</f>
        <v>0</v>
      </c>
      <c r="BS111" s="31">
        <f t="shared" si="12"/>
        <v>14</v>
      </c>
    </row>
    <row r="112" spans="2:71" x14ac:dyDescent="0.3">
      <c r="B112" s="269"/>
      <c r="C112" s="230"/>
      <c r="D112" s="233"/>
      <c r="E112" s="239"/>
      <c r="F112" s="121" t="s">
        <v>648</v>
      </c>
      <c r="G112" s="32">
        <v>1</v>
      </c>
      <c r="H112" s="13"/>
      <c r="I112" s="13"/>
      <c r="J112" s="14"/>
      <c r="K112" s="15">
        <f t="shared" si="0"/>
        <v>1</v>
      </c>
      <c r="L112" s="32"/>
      <c r="M112" s="13"/>
      <c r="N112" s="13"/>
      <c r="O112" s="14"/>
      <c r="P112" s="15">
        <f t="shared" si="66"/>
        <v>0</v>
      </c>
      <c r="Q112" s="32"/>
      <c r="R112" s="13"/>
      <c r="S112" s="13"/>
      <c r="T112" s="14"/>
      <c r="U112" s="15">
        <f t="shared" si="67"/>
        <v>0</v>
      </c>
      <c r="V112" s="32">
        <v>2</v>
      </c>
      <c r="W112" s="13"/>
      <c r="X112" s="13"/>
      <c r="Y112" s="14"/>
      <c r="Z112" s="15">
        <f t="shared" si="68"/>
        <v>2</v>
      </c>
      <c r="AA112" s="32"/>
      <c r="AB112" s="13"/>
      <c r="AC112" s="13"/>
      <c r="AD112" s="14"/>
      <c r="AE112" s="15">
        <f t="shared" si="69"/>
        <v>0</v>
      </c>
      <c r="AF112" s="32"/>
      <c r="AG112" s="13"/>
      <c r="AH112" s="13"/>
      <c r="AI112" s="14"/>
      <c r="AJ112" s="15">
        <f t="shared" si="70"/>
        <v>0</v>
      </c>
      <c r="AK112" s="32"/>
      <c r="AL112" s="13"/>
      <c r="AM112" s="13"/>
      <c r="AN112" s="14"/>
      <c r="AO112" s="15">
        <f t="shared" si="59"/>
        <v>0</v>
      </c>
      <c r="AP112" s="32"/>
      <c r="AQ112" s="13"/>
      <c r="AR112" s="13"/>
      <c r="AS112" s="14"/>
      <c r="AT112" s="15">
        <f t="shared" si="60"/>
        <v>0</v>
      </c>
      <c r="AU112" s="32">
        <v>4</v>
      </c>
      <c r="AV112" s="13"/>
      <c r="AW112" s="13"/>
      <c r="AX112" s="14"/>
      <c r="AY112" s="15">
        <f t="shared" si="61"/>
        <v>4</v>
      </c>
      <c r="AZ112" s="32"/>
      <c r="BA112" s="13"/>
      <c r="BB112" s="13"/>
      <c r="BC112" s="14"/>
      <c r="BD112" s="15">
        <f t="shared" si="62"/>
        <v>0</v>
      </c>
      <c r="BE112" s="32"/>
      <c r="BF112" s="13"/>
      <c r="BG112" s="13"/>
      <c r="BH112" s="14"/>
      <c r="BI112" s="15">
        <f t="shared" si="63"/>
        <v>0</v>
      </c>
      <c r="BJ112" s="32"/>
      <c r="BK112" s="13"/>
      <c r="BL112" s="13"/>
      <c r="BM112" s="14"/>
      <c r="BN112" s="15">
        <f t="shared" si="64"/>
        <v>0</v>
      </c>
      <c r="BO112" s="66">
        <f>SUM(G112,L112,Q112,V112,AA112,AF112,AK112,AP112,AU112,AZ112,BE112,BJ112)</f>
        <v>7</v>
      </c>
      <c r="BP112" s="13">
        <f>SUM(H112,M112,R112,W112,AB112,AG112,AL112,AQ112,AV112,BA112,BF112,BK112)</f>
        <v>0</v>
      </c>
      <c r="BQ112" s="13">
        <f>SUM(I112,N112,S112,X112,AC112,AH112,AM112,AR112,AW112,BB112,BG112,BL112)</f>
        <v>0</v>
      </c>
      <c r="BR112" s="14">
        <f>SUM(J112,O112,T112,Y112,AD112,AI112,AN112,AS112,AX112,BC112,BH112,BM112)</f>
        <v>0</v>
      </c>
      <c r="BS112" s="33">
        <f t="shared" si="12"/>
        <v>7</v>
      </c>
    </row>
    <row r="113" spans="2:71" x14ac:dyDescent="0.3">
      <c r="B113" s="269"/>
      <c r="C113" s="230"/>
      <c r="D113" s="233"/>
      <c r="E113" s="239"/>
      <c r="F113" s="121" t="s">
        <v>621</v>
      </c>
      <c r="G113" s="32">
        <v>3</v>
      </c>
      <c r="H113" s="13"/>
      <c r="I113" s="13"/>
      <c r="J113" s="14"/>
      <c r="K113" s="15">
        <f t="shared" ref="K113:K114" si="75">SUM(G113:J113)</f>
        <v>3</v>
      </c>
      <c r="L113" s="32">
        <v>6</v>
      </c>
      <c r="M113" s="13"/>
      <c r="N113" s="13"/>
      <c r="O113" s="14"/>
      <c r="P113" s="15">
        <f t="shared" si="66"/>
        <v>6</v>
      </c>
      <c r="Q113" s="32">
        <v>13</v>
      </c>
      <c r="R113" s="13"/>
      <c r="S113" s="13"/>
      <c r="T113" s="14"/>
      <c r="U113" s="15">
        <f t="shared" si="67"/>
        <v>13</v>
      </c>
      <c r="V113" s="32"/>
      <c r="W113" s="13"/>
      <c r="X113" s="13"/>
      <c r="Y113" s="14"/>
      <c r="Z113" s="15">
        <f t="shared" si="68"/>
        <v>0</v>
      </c>
      <c r="AA113" s="32"/>
      <c r="AB113" s="13"/>
      <c r="AC113" s="13"/>
      <c r="AD113" s="14"/>
      <c r="AE113" s="15">
        <f t="shared" si="69"/>
        <v>0</v>
      </c>
      <c r="AF113" s="32">
        <v>10</v>
      </c>
      <c r="AG113" s="13"/>
      <c r="AH113" s="13"/>
      <c r="AI113" s="14"/>
      <c r="AJ113" s="15">
        <f t="shared" si="70"/>
        <v>10</v>
      </c>
      <c r="AK113" s="32">
        <v>1</v>
      </c>
      <c r="AL113" s="13"/>
      <c r="AM113" s="13"/>
      <c r="AN113" s="14"/>
      <c r="AO113" s="15">
        <f t="shared" si="59"/>
        <v>1</v>
      </c>
      <c r="AP113" s="32">
        <v>5</v>
      </c>
      <c r="AQ113" s="13"/>
      <c r="AR113" s="13"/>
      <c r="AS113" s="14"/>
      <c r="AT113" s="15">
        <f t="shared" si="60"/>
        <v>5</v>
      </c>
      <c r="AU113" s="32"/>
      <c r="AV113" s="13"/>
      <c r="AW113" s="13"/>
      <c r="AX113" s="14"/>
      <c r="AY113" s="15">
        <f t="shared" si="61"/>
        <v>0</v>
      </c>
      <c r="AZ113" s="32">
        <v>9</v>
      </c>
      <c r="BA113" s="13"/>
      <c r="BB113" s="13"/>
      <c r="BC113" s="14"/>
      <c r="BD113" s="15">
        <f t="shared" si="62"/>
        <v>9</v>
      </c>
      <c r="BE113" s="32">
        <v>6</v>
      </c>
      <c r="BF113" s="13"/>
      <c r="BG113" s="13"/>
      <c r="BH113" s="14"/>
      <c r="BI113" s="15">
        <f t="shared" si="63"/>
        <v>6</v>
      </c>
      <c r="BJ113" s="32"/>
      <c r="BK113" s="13"/>
      <c r="BL113" s="13"/>
      <c r="BM113" s="14"/>
      <c r="BN113" s="15">
        <f t="shared" si="64"/>
        <v>0</v>
      </c>
      <c r="BO113" s="66">
        <f>SUM(G113,L113,Q113,V113,AA113,AF113,AK113,AP113,AU113,AZ113,BE113,BJ113)</f>
        <v>53</v>
      </c>
      <c r="BP113" s="13">
        <f>SUM(H113,M113,R113,W113,AB113,AG113,AL113,AQ113,AV113,BA113,BF113,BK113)</f>
        <v>0</v>
      </c>
      <c r="BQ113" s="13">
        <f>SUM(I113,N113,S113,X113,AC113,AH113,AM113,AR113,AW113,BB113,BG113,BL113)</f>
        <v>0</v>
      </c>
      <c r="BR113" s="14">
        <f>SUM(J113,O113,T113,Y113,AD113,AI113,AN113,AS113,AX113,BC113,BH113,BM113)</f>
        <v>0</v>
      </c>
      <c r="BS113" s="33">
        <f t="shared" si="12"/>
        <v>53</v>
      </c>
    </row>
    <row r="114" spans="2:71" x14ac:dyDescent="0.3">
      <c r="B114" s="269"/>
      <c r="C114" s="230"/>
      <c r="D114" s="233"/>
      <c r="E114" s="239"/>
      <c r="F114" s="123" t="s">
        <v>622</v>
      </c>
      <c r="G114" s="34">
        <v>1</v>
      </c>
      <c r="H114" s="16"/>
      <c r="I114" s="16"/>
      <c r="J114" s="17"/>
      <c r="K114" s="18">
        <f t="shared" si="75"/>
        <v>1</v>
      </c>
      <c r="L114" s="34"/>
      <c r="M114" s="16"/>
      <c r="N114" s="16"/>
      <c r="O114" s="17"/>
      <c r="P114" s="18">
        <f t="shared" si="66"/>
        <v>0</v>
      </c>
      <c r="Q114" s="34">
        <v>1</v>
      </c>
      <c r="R114" s="16"/>
      <c r="S114" s="16"/>
      <c r="T114" s="17"/>
      <c r="U114" s="18">
        <f t="shared" si="67"/>
        <v>1</v>
      </c>
      <c r="V114" s="34"/>
      <c r="W114" s="16"/>
      <c r="X114" s="16"/>
      <c r="Y114" s="17"/>
      <c r="Z114" s="18">
        <f t="shared" si="68"/>
        <v>0</v>
      </c>
      <c r="AA114" s="34"/>
      <c r="AB114" s="16"/>
      <c r="AC114" s="16"/>
      <c r="AD114" s="17"/>
      <c r="AE114" s="18">
        <f t="shared" si="69"/>
        <v>0</v>
      </c>
      <c r="AF114" s="34">
        <v>6</v>
      </c>
      <c r="AG114" s="16"/>
      <c r="AH114" s="16"/>
      <c r="AI114" s="17"/>
      <c r="AJ114" s="18">
        <f t="shared" si="70"/>
        <v>6</v>
      </c>
      <c r="AK114" s="34">
        <v>2</v>
      </c>
      <c r="AL114" s="16"/>
      <c r="AM114" s="16"/>
      <c r="AN114" s="17"/>
      <c r="AO114" s="18">
        <f t="shared" si="59"/>
        <v>2</v>
      </c>
      <c r="AP114" s="34">
        <v>1</v>
      </c>
      <c r="AQ114" s="16"/>
      <c r="AR114" s="16"/>
      <c r="AS114" s="17"/>
      <c r="AT114" s="18">
        <f t="shared" si="60"/>
        <v>1</v>
      </c>
      <c r="AU114" s="34"/>
      <c r="AV114" s="16"/>
      <c r="AW114" s="16"/>
      <c r="AX114" s="17"/>
      <c r="AY114" s="18">
        <f t="shared" si="61"/>
        <v>0</v>
      </c>
      <c r="AZ114" s="34">
        <v>2</v>
      </c>
      <c r="BA114" s="16"/>
      <c r="BB114" s="16"/>
      <c r="BC114" s="17"/>
      <c r="BD114" s="18">
        <f t="shared" si="62"/>
        <v>2</v>
      </c>
      <c r="BE114" s="34">
        <v>1</v>
      </c>
      <c r="BF114" s="16"/>
      <c r="BG114" s="16"/>
      <c r="BH114" s="17"/>
      <c r="BI114" s="18">
        <f t="shared" si="63"/>
        <v>1</v>
      </c>
      <c r="BJ114" s="34"/>
      <c r="BK114" s="16"/>
      <c r="BL114" s="16"/>
      <c r="BM114" s="17"/>
      <c r="BN114" s="18">
        <f t="shared" si="64"/>
        <v>0</v>
      </c>
      <c r="BO114" s="70">
        <f>SUM(G114,L114,Q114,V114,AA114,AF114,AK114,AP114,AU114,AZ114,BE114,BJ114)</f>
        <v>14</v>
      </c>
      <c r="BP114" s="16">
        <f>SUM(H114,M114,R114,W114,AB114,AG114,AL114,AQ114,AV114,BA114,BF114,BK114)</f>
        <v>0</v>
      </c>
      <c r="BQ114" s="16">
        <f>SUM(I114,N114,S114,X114,AC114,AH114,AM114,AR114,AW114,BB114,BG114,BL114)</f>
        <v>0</v>
      </c>
      <c r="BR114" s="17">
        <f>SUM(J114,O114,T114,Y114,AD114,AI114,AN114,AS114,AX114,BC114,BH114,BM114)</f>
        <v>0</v>
      </c>
      <c r="BS114" s="35">
        <f t="shared" si="12"/>
        <v>14</v>
      </c>
    </row>
    <row r="115" spans="2:71" x14ac:dyDescent="0.3">
      <c r="B115" s="269"/>
      <c r="C115" s="230"/>
      <c r="D115" s="233"/>
      <c r="E115" s="239"/>
      <c r="F115" s="123" t="s">
        <v>623</v>
      </c>
      <c r="G115" s="34">
        <v>1</v>
      </c>
      <c r="H115" s="16"/>
      <c r="I115" s="16"/>
      <c r="J115" s="17"/>
      <c r="K115" s="18">
        <f t="shared" si="0"/>
        <v>1</v>
      </c>
      <c r="L115" s="34">
        <v>4</v>
      </c>
      <c r="M115" s="16"/>
      <c r="N115" s="16"/>
      <c r="O115" s="17"/>
      <c r="P115" s="18">
        <f t="shared" si="66"/>
        <v>4</v>
      </c>
      <c r="Q115" s="34">
        <v>11</v>
      </c>
      <c r="R115" s="16"/>
      <c r="S115" s="16"/>
      <c r="T115" s="17"/>
      <c r="U115" s="18">
        <f t="shared" si="67"/>
        <v>11</v>
      </c>
      <c r="V115" s="34"/>
      <c r="W115" s="16"/>
      <c r="X115" s="16"/>
      <c r="Y115" s="17"/>
      <c r="Z115" s="18">
        <f t="shared" si="68"/>
        <v>0</v>
      </c>
      <c r="AA115" s="34"/>
      <c r="AB115" s="16"/>
      <c r="AC115" s="16"/>
      <c r="AD115" s="17"/>
      <c r="AE115" s="18">
        <f t="shared" si="69"/>
        <v>0</v>
      </c>
      <c r="AF115" s="34">
        <v>5</v>
      </c>
      <c r="AG115" s="16"/>
      <c r="AH115" s="16"/>
      <c r="AI115" s="17"/>
      <c r="AJ115" s="18">
        <f t="shared" si="70"/>
        <v>5</v>
      </c>
      <c r="AK115" s="34">
        <v>1</v>
      </c>
      <c r="AL115" s="16"/>
      <c r="AM115" s="16"/>
      <c r="AN115" s="17"/>
      <c r="AO115" s="18">
        <f t="shared" si="59"/>
        <v>1</v>
      </c>
      <c r="AP115" s="34">
        <v>3</v>
      </c>
      <c r="AQ115" s="16"/>
      <c r="AR115" s="16"/>
      <c r="AS115" s="17"/>
      <c r="AT115" s="18">
        <f t="shared" si="60"/>
        <v>3</v>
      </c>
      <c r="AU115" s="34"/>
      <c r="AV115" s="16"/>
      <c r="AW115" s="16"/>
      <c r="AX115" s="17"/>
      <c r="AY115" s="18">
        <f t="shared" si="61"/>
        <v>0</v>
      </c>
      <c r="AZ115" s="34">
        <v>6</v>
      </c>
      <c r="BA115" s="16"/>
      <c r="BB115" s="16"/>
      <c r="BC115" s="17"/>
      <c r="BD115" s="18">
        <f t="shared" si="62"/>
        <v>6</v>
      </c>
      <c r="BE115" s="34">
        <v>4</v>
      </c>
      <c r="BF115" s="16"/>
      <c r="BG115" s="16"/>
      <c r="BH115" s="17"/>
      <c r="BI115" s="18">
        <f t="shared" si="63"/>
        <v>4</v>
      </c>
      <c r="BJ115" s="34"/>
      <c r="BK115" s="16"/>
      <c r="BL115" s="16"/>
      <c r="BM115" s="17"/>
      <c r="BN115" s="18">
        <f t="shared" si="64"/>
        <v>0</v>
      </c>
      <c r="BO115" s="70">
        <f>SUM(G115,L115,Q115,V115,AA115,AF115,AK115,AP115,AU115,AZ115,BE115,BJ115)</f>
        <v>35</v>
      </c>
      <c r="BP115" s="16">
        <f>SUM(H115,M115,R115,W115,AB115,AG115,AL115,AQ115,AV115,BA115,BF115,BK115)</f>
        <v>0</v>
      </c>
      <c r="BQ115" s="16">
        <f>SUM(I115,N115,S115,X115,AC115,AH115,AM115,AR115,AW115,BB115,BG115,BL115)</f>
        <v>0</v>
      </c>
      <c r="BR115" s="17">
        <f>SUM(J115,O115,T115,Y115,AD115,AI115,AN115,AS115,AX115,BC115,BH115,BM115)</f>
        <v>0</v>
      </c>
      <c r="BS115" s="35">
        <f t="shared" si="12"/>
        <v>35</v>
      </c>
    </row>
    <row r="116" spans="2:71" x14ac:dyDescent="0.3">
      <c r="B116" s="269"/>
      <c r="C116" s="230"/>
      <c r="D116" s="233"/>
      <c r="E116" s="239"/>
      <c r="F116" s="124" t="s">
        <v>624</v>
      </c>
      <c r="G116" s="36">
        <v>1</v>
      </c>
      <c r="H116" s="10"/>
      <c r="I116" s="10"/>
      <c r="J116" s="11"/>
      <c r="K116" s="12">
        <f t="shared" si="0"/>
        <v>1</v>
      </c>
      <c r="L116" s="36"/>
      <c r="M116" s="10"/>
      <c r="N116" s="10"/>
      <c r="O116" s="11"/>
      <c r="P116" s="12">
        <f t="shared" si="66"/>
        <v>0</v>
      </c>
      <c r="Q116" s="36">
        <v>1</v>
      </c>
      <c r="R116" s="10"/>
      <c r="S116" s="10"/>
      <c r="T116" s="11"/>
      <c r="U116" s="12">
        <f t="shared" si="67"/>
        <v>1</v>
      </c>
      <c r="V116" s="36"/>
      <c r="W116" s="10"/>
      <c r="X116" s="10"/>
      <c r="Y116" s="11"/>
      <c r="Z116" s="12">
        <f t="shared" si="68"/>
        <v>0</v>
      </c>
      <c r="AA116" s="36"/>
      <c r="AB116" s="10"/>
      <c r="AC116" s="10"/>
      <c r="AD116" s="11"/>
      <c r="AE116" s="12">
        <f t="shared" si="69"/>
        <v>0</v>
      </c>
      <c r="AF116" s="36">
        <v>6</v>
      </c>
      <c r="AG116" s="10"/>
      <c r="AH116" s="10"/>
      <c r="AI116" s="11"/>
      <c r="AJ116" s="12">
        <f t="shared" si="70"/>
        <v>6</v>
      </c>
      <c r="AK116" s="36">
        <v>2</v>
      </c>
      <c r="AL116" s="10"/>
      <c r="AM116" s="10"/>
      <c r="AN116" s="11"/>
      <c r="AO116" s="12">
        <f t="shared" si="59"/>
        <v>2</v>
      </c>
      <c r="AP116" s="36">
        <v>1</v>
      </c>
      <c r="AQ116" s="10"/>
      <c r="AR116" s="10"/>
      <c r="AS116" s="11"/>
      <c r="AT116" s="12">
        <f t="shared" si="60"/>
        <v>1</v>
      </c>
      <c r="AU116" s="36"/>
      <c r="AV116" s="10"/>
      <c r="AW116" s="10"/>
      <c r="AX116" s="11"/>
      <c r="AY116" s="12">
        <f t="shared" si="61"/>
        <v>0</v>
      </c>
      <c r="AZ116" s="36">
        <v>2</v>
      </c>
      <c r="BA116" s="10"/>
      <c r="BB116" s="10"/>
      <c r="BC116" s="11"/>
      <c r="BD116" s="12">
        <f t="shared" si="62"/>
        <v>2</v>
      </c>
      <c r="BE116" s="36"/>
      <c r="BF116" s="10"/>
      <c r="BG116" s="10"/>
      <c r="BH116" s="11"/>
      <c r="BI116" s="12">
        <f t="shared" si="63"/>
        <v>0</v>
      </c>
      <c r="BJ116" s="36"/>
      <c r="BK116" s="10"/>
      <c r="BL116" s="10"/>
      <c r="BM116" s="11"/>
      <c r="BN116" s="12">
        <f t="shared" si="64"/>
        <v>0</v>
      </c>
      <c r="BO116" s="71">
        <f>SUM(G116,L116,Q116,V116,AA116,AF116,AK116,AP116,AU116,AZ116,BE116,BJ116)</f>
        <v>13</v>
      </c>
      <c r="BP116" s="10">
        <f>SUM(H116,M116,R116,W116,AB116,AG116,AL116,AQ116,AV116,BA116,BF116,BK116)</f>
        <v>0</v>
      </c>
      <c r="BQ116" s="10">
        <f>SUM(I116,N116,S116,X116,AC116,AH116,AM116,AR116,AW116,BB116,BG116,BL116)</f>
        <v>0</v>
      </c>
      <c r="BR116" s="11">
        <f>SUM(J116,O116,T116,Y116,AD116,AI116,AN116,AS116,AX116,BC116,BH116,BM116)</f>
        <v>0</v>
      </c>
      <c r="BS116" s="37">
        <f t="shared" si="12"/>
        <v>13</v>
      </c>
    </row>
    <row r="117" spans="2:71" x14ac:dyDescent="0.3">
      <c r="B117" s="269"/>
      <c r="C117" s="230"/>
      <c r="D117" s="233"/>
      <c r="E117" s="240"/>
      <c r="F117" s="125" t="s">
        <v>54</v>
      </c>
      <c r="G117" s="126">
        <f>SUM(G111:G116)</f>
        <v>9</v>
      </c>
      <c r="H117" s="127">
        <f>SUM(H111:H116)</f>
        <v>0</v>
      </c>
      <c r="I117" s="127">
        <f>SUM(I111:I116)</f>
        <v>0</v>
      </c>
      <c r="J117" s="128">
        <f>SUM(J111:J116)</f>
        <v>0</v>
      </c>
      <c r="K117" s="129">
        <f t="shared" si="0"/>
        <v>9</v>
      </c>
      <c r="L117" s="126">
        <f>SUM(L111:L116)</f>
        <v>10</v>
      </c>
      <c r="M117" s="127">
        <f>SUM(M111:M116)</f>
        <v>0</v>
      </c>
      <c r="N117" s="127">
        <f>SUM(N111:N116)</f>
        <v>0</v>
      </c>
      <c r="O117" s="128">
        <f>SUM(O111:O116)</f>
        <v>0</v>
      </c>
      <c r="P117" s="129">
        <f t="shared" si="66"/>
        <v>10</v>
      </c>
      <c r="Q117" s="126">
        <f>SUM(Q111:Q116)</f>
        <v>26</v>
      </c>
      <c r="R117" s="127">
        <f>SUM(R111:R116)</f>
        <v>0</v>
      </c>
      <c r="S117" s="127">
        <f>SUM(S111:S116)</f>
        <v>0</v>
      </c>
      <c r="T117" s="128">
        <f>SUM(T111:T116)</f>
        <v>0</v>
      </c>
      <c r="U117" s="129">
        <f t="shared" si="67"/>
        <v>26</v>
      </c>
      <c r="V117" s="126">
        <f>SUM(V111:V116)</f>
        <v>5</v>
      </c>
      <c r="W117" s="127">
        <f>SUM(W111:W116)</f>
        <v>0</v>
      </c>
      <c r="X117" s="127">
        <f>SUM(X111:X116)</f>
        <v>0</v>
      </c>
      <c r="Y117" s="128">
        <f>SUM(Y111:Y116)</f>
        <v>0</v>
      </c>
      <c r="Z117" s="129">
        <f t="shared" si="68"/>
        <v>5</v>
      </c>
      <c r="AA117" s="126">
        <f>SUM(AA111:AA116)</f>
        <v>6</v>
      </c>
      <c r="AB117" s="127">
        <f>SUM(AB111:AB116)</f>
        <v>0</v>
      </c>
      <c r="AC117" s="127">
        <f>SUM(AC111:AC116)</f>
        <v>0</v>
      </c>
      <c r="AD117" s="128">
        <f>SUM(AD111:AD116)</f>
        <v>0</v>
      </c>
      <c r="AE117" s="129">
        <f t="shared" si="69"/>
        <v>6</v>
      </c>
      <c r="AF117" s="126">
        <f>SUM(AF111:AF116)</f>
        <v>27</v>
      </c>
      <c r="AG117" s="127">
        <f>SUM(AG111:AG116)</f>
        <v>0</v>
      </c>
      <c r="AH117" s="127">
        <f>SUM(AH111:AH116)</f>
        <v>0</v>
      </c>
      <c r="AI117" s="128">
        <f>SUM(AI111:AI116)</f>
        <v>0</v>
      </c>
      <c r="AJ117" s="129">
        <f t="shared" si="70"/>
        <v>27</v>
      </c>
      <c r="AK117" s="126">
        <f>SUM(AK111:AK116)</f>
        <v>6</v>
      </c>
      <c r="AL117" s="127">
        <f>SUM(AL111:AL116)</f>
        <v>0</v>
      </c>
      <c r="AM117" s="127">
        <f>SUM(AM111:AM116)</f>
        <v>0</v>
      </c>
      <c r="AN117" s="128">
        <f>SUM(AN111:AN116)</f>
        <v>0</v>
      </c>
      <c r="AO117" s="129">
        <f t="shared" si="59"/>
        <v>6</v>
      </c>
      <c r="AP117" s="126">
        <f>SUM(AP111:AP116)</f>
        <v>10</v>
      </c>
      <c r="AQ117" s="127">
        <f>SUM(AQ111:AQ116)</f>
        <v>0</v>
      </c>
      <c r="AR117" s="127">
        <f>SUM(AR111:AR116)</f>
        <v>0</v>
      </c>
      <c r="AS117" s="128">
        <f>SUM(AS111:AS116)</f>
        <v>0</v>
      </c>
      <c r="AT117" s="129">
        <f t="shared" si="60"/>
        <v>10</v>
      </c>
      <c r="AU117" s="126">
        <f>SUM(AU111:AU116)</f>
        <v>7</v>
      </c>
      <c r="AV117" s="127">
        <f>SUM(AV111:AV116)</f>
        <v>0</v>
      </c>
      <c r="AW117" s="127">
        <f>SUM(AW111:AW116)</f>
        <v>0</v>
      </c>
      <c r="AX117" s="128">
        <f>SUM(AX111:AX116)</f>
        <v>0</v>
      </c>
      <c r="AY117" s="129">
        <f t="shared" si="61"/>
        <v>7</v>
      </c>
      <c r="AZ117" s="126">
        <f>SUM(AZ111:AZ116)</f>
        <v>19</v>
      </c>
      <c r="BA117" s="127">
        <f>SUM(BA111:BA116)</f>
        <v>0</v>
      </c>
      <c r="BB117" s="127">
        <f>SUM(BB111:BB116)</f>
        <v>0</v>
      </c>
      <c r="BC117" s="128">
        <f>SUM(BC111:BC116)</f>
        <v>0</v>
      </c>
      <c r="BD117" s="129">
        <f t="shared" si="62"/>
        <v>19</v>
      </c>
      <c r="BE117" s="126">
        <f>SUM(BE111:BE116)</f>
        <v>11</v>
      </c>
      <c r="BF117" s="127">
        <f>SUM(BF111:BF116)</f>
        <v>0</v>
      </c>
      <c r="BG117" s="127">
        <f>SUM(BG111:BG116)</f>
        <v>0</v>
      </c>
      <c r="BH117" s="128">
        <f>SUM(BH111:BH116)</f>
        <v>0</v>
      </c>
      <c r="BI117" s="129">
        <f t="shared" si="63"/>
        <v>11</v>
      </c>
      <c r="BJ117" s="126">
        <f>SUM(BJ111:BJ116)</f>
        <v>0</v>
      </c>
      <c r="BK117" s="127">
        <f>SUM(BK111:BK116)</f>
        <v>0</v>
      </c>
      <c r="BL117" s="127">
        <f>SUM(BL111:BL116)</f>
        <v>0</v>
      </c>
      <c r="BM117" s="128">
        <f>SUM(BM111:BM116)</f>
        <v>0</v>
      </c>
      <c r="BN117" s="129">
        <f t="shared" si="64"/>
        <v>0</v>
      </c>
      <c r="BO117" s="131">
        <f>SUM(BO111:BO116)</f>
        <v>136</v>
      </c>
      <c r="BP117" s="127">
        <f>SUM(BP111:BP116)</f>
        <v>0</v>
      </c>
      <c r="BQ117" s="127">
        <f>SUM(BQ111:BQ116)</f>
        <v>0</v>
      </c>
      <c r="BR117" s="128">
        <f>SUM(BR111:BR116)</f>
        <v>0</v>
      </c>
      <c r="BS117" s="130">
        <f t="shared" si="12"/>
        <v>136</v>
      </c>
    </row>
    <row r="118" spans="2:71" x14ac:dyDescent="0.3">
      <c r="B118" s="269"/>
      <c r="C118" s="230"/>
      <c r="D118" s="233"/>
      <c r="E118" s="241" t="s">
        <v>437</v>
      </c>
      <c r="F118" s="120" t="s">
        <v>647</v>
      </c>
      <c r="G118" s="30">
        <v>1</v>
      </c>
      <c r="H118" s="7"/>
      <c r="I118" s="7"/>
      <c r="J118" s="8"/>
      <c r="K118" s="9">
        <f t="shared" ref="K118:K124" si="76">SUM(G118:J118)</f>
        <v>1</v>
      </c>
      <c r="L118" s="30"/>
      <c r="M118" s="7"/>
      <c r="N118" s="7"/>
      <c r="O118" s="8"/>
      <c r="P118" s="9">
        <f t="shared" si="66"/>
        <v>0</v>
      </c>
      <c r="Q118" s="30"/>
      <c r="R118" s="7"/>
      <c r="S118" s="7"/>
      <c r="T118" s="8"/>
      <c r="U118" s="9">
        <f t="shared" si="67"/>
        <v>0</v>
      </c>
      <c r="V118" s="30">
        <v>9</v>
      </c>
      <c r="W118" s="7"/>
      <c r="X118" s="7"/>
      <c r="Y118" s="8"/>
      <c r="Z118" s="9">
        <f t="shared" si="68"/>
        <v>9</v>
      </c>
      <c r="AA118" s="30">
        <v>11</v>
      </c>
      <c r="AB118" s="7"/>
      <c r="AC118" s="7"/>
      <c r="AD118" s="8"/>
      <c r="AE118" s="9">
        <f t="shared" si="69"/>
        <v>11</v>
      </c>
      <c r="AF118" s="30"/>
      <c r="AG118" s="7"/>
      <c r="AH118" s="7"/>
      <c r="AI118" s="8"/>
      <c r="AJ118" s="9">
        <f t="shared" si="70"/>
        <v>0</v>
      </c>
      <c r="AK118" s="30"/>
      <c r="AL118" s="7"/>
      <c r="AM118" s="7"/>
      <c r="AN118" s="8"/>
      <c r="AO118" s="9">
        <f t="shared" ref="AO118:AO147" si="77">SUM(AK118:AN118)</f>
        <v>0</v>
      </c>
      <c r="AP118" s="30"/>
      <c r="AQ118" s="7"/>
      <c r="AR118" s="7"/>
      <c r="AS118" s="8"/>
      <c r="AT118" s="9">
        <f t="shared" ref="AT118:AT147" si="78">SUM(AP118:AS118)</f>
        <v>0</v>
      </c>
      <c r="AU118" s="30">
        <v>5</v>
      </c>
      <c r="AV118" s="7"/>
      <c r="AW118" s="7"/>
      <c r="AX118" s="8"/>
      <c r="AY118" s="9">
        <f t="shared" ref="AY118:AY147" si="79">SUM(AU118:AX118)</f>
        <v>5</v>
      </c>
      <c r="AZ118" s="30"/>
      <c r="BA118" s="7"/>
      <c r="BB118" s="7"/>
      <c r="BC118" s="8"/>
      <c r="BD118" s="9">
        <f t="shared" ref="BD118:BD147" si="80">SUM(AZ118:BC118)</f>
        <v>0</v>
      </c>
      <c r="BE118" s="30"/>
      <c r="BF118" s="7"/>
      <c r="BG118" s="7"/>
      <c r="BH118" s="8"/>
      <c r="BI118" s="9">
        <f t="shared" ref="BI118:BI147" si="81">SUM(BE118:BH118)</f>
        <v>0</v>
      </c>
      <c r="BJ118" s="30">
        <v>2</v>
      </c>
      <c r="BK118" s="7"/>
      <c r="BL118" s="7"/>
      <c r="BM118" s="8"/>
      <c r="BN118" s="9">
        <f t="shared" ref="BN118:BN147" si="82">SUM(BJ118:BM118)</f>
        <v>2</v>
      </c>
      <c r="BO118" s="65">
        <f>SUM(G118,L118,Q118,V118,AA118,AF118,AK118,AP118,AU118,AZ118,BE118,BJ118)</f>
        <v>28</v>
      </c>
      <c r="BP118" s="7">
        <f>SUM(H118,M118,R118,W118,AB118,AG118,AL118,AQ118,AV118,BA118,BF118,BK118)</f>
        <v>0</v>
      </c>
      <c r="BQ118" s="7">
        <f>SUM(I118,N118,S118,X118,AC118,AH118,AM118,AR118,AW118,BB118,BG118,BL118)</f>
        <v>0</v>
      </c>
      <c r="BR118" s="8">
        <f>SUM(J118,O118,T118,Y118,AD118,AI118,AN118,AS118,AX118,BC118,BH118,BM118)</f>
        <v>0</v>
      </c>
      <c r="BS118" s="31">
        <f t="shared" si="12"/>
        <v>28</v>
      </c>
    </row>
    <row r="119" spans="2:71" x14ac:dyDescent="0.3">
      <c r="B119" s="269"/>
      <c r="C119" s="230"/>
      <c r="D119" s="233"/>
      <c r="E119" s="239"/>
      <c r="F119" s="121" t="s">
        <v>648</v>
      </c>
      <c r="G119" s="32"/>
      <c r="H119" s="13"/>
      <c r="I119" s="13"/>
      <c r="J119" s="14"/>
      <c r="K119" s="15">
        <f t="shared" si="76"/>
        <v>0</v>
      </c>
      <c r="L119" s="32"/>
      <c r="M119" s="13"/>
      <c r="N119" s="13"/>
      <c r="O119" s="14"/>
      <c r="P119" s="15">
        <f t="shared" si="66"/>
        <v>0</v>
      </c>
      <c r="Q119" s="32"/>
      <c r="R119" s="13"/>
      <c r="S119" s="13"/>
      <c r="T119" s="14"/>
      <c r="U119" s="15">
        <f t="shared" si="67"/>
        <v>0</v>
      </c>
      <c r="V119" s="32"/>
      <c r="W119" s="13"/>
      <c r="X119" s="13"/>
      <c r="Y119" s="14"/>
      <c r="Z119" s="15">
        <f t="shared" si="68"/>
        <v>0</v>
      </c>
      <c r="AA119" s="32">
        <v>2</v>
      </c>
      <c r="AB119" s="13"/>
      <c r="AC119" s="13"/>
      <c r="AD119" s="14"/>
      <c r="AE119" s="15">
        <f t="shared" si="69"/>
        <v>2</v>
      </c>
      <c r="AF119" s="32"/>
      <c r="AG119" s="13"/>
      <c r="AH119" s="13"/>
      <c r="AI119" s="14"/>
      <c r="AJ119" s="15">
        <f t="shared" si="70"/>
        <v>0</v>
      </c>
      <c r="AK119" s="32"/>
      <c r="AL119" s="13"/>
      <c r="AM119" s="13"/>
      <c r="AN119" s="14"/>
      <c r="AO119" s="15">
        <f t="shared" si="77"/>
        <v>0</v>
      </c>
      <c r="AP119" s="32"/>
      <c r="AQ119" s="13"/>
      <c r="AR119" s="13"/>
      <c r="AS119" s="14"/>
      <c r="AT119" s="15">
        <f t="shared" si="78"/>
        <v>0</v>
      </c>
      <c r="AU119" s="32">
        <v>2</v>
      </c>
      <c r="AV119" s="13"/>
      <c r="AW119" s="13"/>
      <c r="AX119" s="14"/>
      <c r="AY119" s="15">
        <f t="shared" si="79"/>
        <v>2</v>
      </c>
      <c r="AZ119" s="32"/>
      <c r="BA119" s="13"/>
      <c r="BB119" s="13"/>
      <c r="BC119" s="14"/>
      <c r="BD119" s="15">
        <f t="shared" si="80"/>
        <v>0</v>
      </c>
      <c r="BE119" s="32"/>
      <c r="BF119" s="13"/>
      <c r="BG119" s="13"/>
      <c r="BH119" s="14"/>
      <c r="BI119" s="15">
        <f t="shared" si="81"/>
        <v>0</v>
      </c>
      <c r="BJ119" s="32"/>
      <c r="BK119" s="13"/>
      <c r="BL119" s="13"/>
      <c r="BM119" s="14"/>
      <c r="BN119" s="15">
        <f t="shared" si="82"/>
        <v>0</v>
      </c>
      <c r="BO119" s="66">
        <f>SUM(G119,L119,Q119,V119,AA119,AF119,AK119,AP119,AU119,AZ119,BE119,BJ119)</f>
        <v>4</v>
      </c>
      <c r="BP119" s="13">
        <f>SUM(H119,M119,R119,W119,AB119,AG119,AL119,AQ119,AV119,BA119,BF119,BK119)</f>
        <v>0</v>
      </c>
      <c r="BQ119" s="13">
        <f>SUM(I119,N119,S119,X119,AC119,AH119,AM119,AR119,AW119,BB119,BG119,BL119)</f>
        <v>0</v>
      </c>
      <c r="BR119" s="14">
        <f>SUM(J119,O119,T119,Y119,AD119,AI119,AN119,AS119,AX119,BC119,BH119,BM119)</f>
        <v>0</v>
      </c>
      <c r="BS119" s="33">
        <f t="shared" si="12"/>
        <v>4</v>
      </c>
    </row>
    <row r="120" spans="2:71" x14ac:dyDescent="0.3">
      <c r="B120" s="269"/>
      <c r="C120" s="230"/>
      <c r="D120" s="233"/>
      <c r="E120" s="239"/>
      <c r="F120" s="121" t="s">
        <v>621</v>
      </c>
      <c r="G120" s="32">
        <v>3</v>
      </c>
      <c r="H120" s="13"/>
      <c r="I120" s="13"/>
      <c r="J120" s="14"/>
      <c r="K120" s="15">
        <f t="shared" si="76"/>
        <v>3</v>
      </c>
      <c r="L120" s="32">
        <v>8</v>
      </c>
      <c r="M120" s="13"/>
      <c r="N120" s="13"/>
      <c r="O120" s="14"/>
      <c r="P120" s="15">
        <f t="shared" si="66"/>
        <v>8</v>
      </c>
      <c r="Q120" s="32">
        <v>23</v>
      </c>
      <c r="R120" s="13"/>
      <c r="S120" s="13"/>
      <c r="T120" s="14"/>
      <c r="U120" s="15">
        <f t="shared" si="67"/>
        <v>23</v>
      </c>
      <c r="V120" s="32"/>
      <c r="W120" s="13"/>
      <c r="X120" s="13"/>
      <c r="Y120" s="14"/>
      <c r="Z120" s="15">
        <f t="shared" si="68"/>
        <v>0</v>
      </c>
      <c r="AA120" s="32"/>
      <c r="AB120" s="13"/>
      <c r="AC120" s="13"/>
      <c r="AD120" s="14"/>
      <c r="AE120" s="15">
        <f t="shared" si="69"/>
        <v>0</v>
      </c>
      <c r="AF120" s="32">
        <v>17</v>
      </c>
      <c r="AG120" s="13"/>
      <c r="AH120" s="13"/>
      <c r="AI120" s="14"/>
      <c r="AJ120" s="15">
        <f t="shared" si="70"/>
        <v>17</v>
      </c>
      <c r="AK120" s="32">
        <v>2</v>
      </c>
      <c r="AL120" s="13"/>
      <c r="AM120" s="13"/>
      <c r="AN120" s="14"/>
      <c r="AO120" s="15">
        <f t="shared" si="77"/>
        <v>2</v>
      </c>
      <c r="AP120" s="32">
        <v>6</v>
      </c>
      <c r="AQ120" s="13"/>
      <c r="AR120" s="13"/>
      <c r="AS120" s="14"/>
      <c r="AT120" s="15">
        <f t="shared" si="78"/>
        <v>6</v>
      </c>
      <c r="AU120" s="32"/>
      <c r="AV120" s="13"/>
      <c r="AW120" s="13"/>
      <c r="AX120" s="14"/>
      <c r="AY120" s="15">
        <f t="shared" si="79"/>
        <v>0</v>
      </c>
      <c r="AZ120" s="32">
        <v>23</v>
      </c>
      <c r="BA120" s="13"/>
      <c r="BB120" s="13"/>
      <c r="BC120" s="14"/>
      <c r="BD120" s="15">
        <f t="shared" si="80"/>
        <v>23</v>
      </c>
      <c r="BE120" s="32">
        <v>8</v>
      </c>
      <c r="BF120" s="13"/>
      <c r="BG120" s="13"/>
      <c r="BH120" s="14"/>
      <c r="BI120" s="15">
        <f t="shared" si="81"/>
        <v>8</v>
      </c>
      <c r="BJ120" s="32"/>
      <c r="BK120" s="13"/>
      <c r="BL120" s="13"/>
      <c r="BM120" s="14"/>
      <c r="BN120" s="15">
        <f t="shared" si="82"/>
        <v>0</v>
      </c>
      <c r="BO120" s="66">
        <f>SUM(G120,L120,Q120,V120,AA120,AF120,AK120,AP120,AU120,AZ120,BE120,BJ120)</f>
        <v>90</v>
      </c>
      <c r="BP120" s="13">
        <f>SUM(H120,M120,R120,W120,AB120,AG120,AL120,AQ120,AV120,BA120,BF120,BK120)</f>
        <v>0</v>
      </c>
      <c r="BQ120" s="13">
        <f>SUM(I120,N120,S120,X120,AC120,AH120,AM120,AR120,AW120,BB120,BG120,BL120)</f>
        <v>0</v>
      </c>
      <c r="BR120" s="14">
        <f>SUM(J120,O120,T120,Y120,AD120,AI120,AN120,AS120,AX120,BC120,BH120,BM120)</f>
        <v>0</v>
      </c>
      <c r="BS120" s="33">
        <f t="shared" si="12"/>
        <v>90</v>
      </c>
    </row>
    <row r="121" spans="2:71" x14ac:dyDescent="0.3">
      <c r="B121" s="269"/>
      <c r="C121" s="230"/>
      <c r="D121" s="233"/>
      <c r="E121" s="239"/>
      <c r="F121" s="121" t="s">
        <v>622</v>
      </c>
      <c r="G121" s="32"/>
      <c r="H121" s="13"/>
      <c r="I121" s="13"/>
      <c r="J121" s="14"/>
      <c r="K121" s="15">
        <f t="shared" si="76"/>
        <v>0</v>
      </c>
      <c r="L121" s="32">
        <v>3</v>
      </c>
      <c r="M121" s="13"/>
      <c r="N121" s="13"/>
      <c r="O121" s="14"/>
      <c r="P121" s="15">
        <f t="shared" si="66"/>
        <v>3</v>
      </c>
      <c r="Q121" s="32"/>
      <c r="R121" s="13"/>
      <c r="S121" s="13"/>
      <c r="T121" s="14"/>
      <c r="U121" s="15">
        <f t="shared" si="67"/>
        <v>0</v>
      </c>
      <c r="V121" s="32"/>
      <c r="W121" s="13"/>
      <c r="X121" s="13"/>
      <c r="Y121" s="14"/>
      <c r="Z121" s="15">
        <f t="shared" si="68"/>
        <v>0</v>
      </c>
      <c r="AA121" s="32"/>
      <c r="AB121" s="13"/>
      <c r="AC121" s="13"/>
      <c r="AD121" s="14"/>
      <c r="AE121" s="15">
        <f t="shared" si="69"/>
        <v>0</v>
      </c>
      <c r="AF121" s="32">
        <v>4</v>
      </c>
      <c r="AG121" s="13"/>
      <c r="AH121" s="13"/>
      <c r="AI121" s="14"/>
      <c r="AJ121" s="15">
        <f t="shared" si="70"/>
        <v>4</v>
      </c>
      <c r="AK121" s="32">
        <v>1</v>
      </c>
      <c r="AL121" s="13"/>
      <c r="AM121" s="13"/>
      <c r="AN121" s="14"/>
      <c r="AO121" s="15">
        <f t="shared" si="77"/>
        <v>1</v>
      </c>
      <c r="AP121" s="32">
        <v>4</v>
      </c>
      <c r="AQ121" s="13"/>
      <c r="AR121" s="13"/>
      <c r="AS121" s="14"/>
      <c r="AT121" s="15">
        <f t="shared" si="78"/>
        <v>4</v>
      </c>
      <c r="AU121" s="32"/>
      <c r="AV121" s="13"/>
      <c r="AW121" s="13"/>
      <c r="AX121" s="14"/>
      <c r="AY121" s="15">
        <f t="shared" si="79"/>
        <v>0</v>
      </c>
      <c r="AZ121" s="32">
        <v>3</v>
      </c>
      <c r="BA121" s="13"/>
      <c r="BB121" s="13"/>
      <c r="BC121" s="14"/>
      <c r="BD121" s="15">
        <f t="shared" si="80"/>
        <v>3</v>
      </c>
      <c r="BE121" s="32">
        <v>2</v>
      </c>
      <c r="BF121" s="13"/>
      <c r="BG121" s="13"/>
      <c r="BH121" s="14"/>
      <c r="BI121" s="15">
        <f t="shared" si="81"/>
        <v>2</v>
      </c>
      <c r="BJ121" s="32"/>
      <c r="BK121" s="13"/>
      <c r="BL121" s="13"/>
      <c r="BM121" s="14"/>
      <c r="BN121" s="15">
        <f t="shared" si="82"/>
        <v>0</v>
      </c>
      <c r="BO121" s="66">
        <f>SUM(G121,L121,Q121,V121,AA121,AF121,AK121,AP121,AU121,AZ121,BE121,BJ121)</f>
        <v>17</v>
      </c>
      <c r="BP121" s="13">
        <f>SUM(H121,M121,R121,W121,AB121,AG121,AL121,AQ121,AV121,BA121,BF121,BK121)</f>
        <v>0</v>
      </c>
      <c r="BQ121" s="13">
        <f>SUM(I121,N121,S121,X121,AC121,AH121,AM121,AR121,AW121,BB121,BG121,BL121)</f>
        <v>0</v>
      </c>
      <c r="BR121" s="14">
        <f>SUM(J121,O121,T121,Y121,AD121,AI121,AN121,AS121,AX121,BC121,BH121,BM121)</f>
        <v>0</v>
      </c>
      <c r="BS121" s="33">
        <f t="shared" si="12"/>
        <v>17</v>
      </c>
    </row>
    <row r="122" spans="2:71" x14ac:dyDescent="0.3">
      <c r="B122" s="269"/>
      <c r="C122" s="230"/>
      <c r="D122" s="233"/>
      <c r="E122" s="239"/>
      <c r="F122" s="121" t="s">
        <v>623</v>
      </c>
      <c r="G122" s="32">
        <v>2</v>
      </c>
      <c r="H122" s="13"/>
      <c r="I122" s="13"/>
      <c r="J122" s="14"/>
      <c r="K122" s="15">
        <f t="shared" si="76"/>
        <v>2</v>
      </c>
      <c r="L122" s="32">
        <v>5</v>
      </c>
      <c r="M122" s="13"/>
      <c r="N122" s="13"/>
      <c r="O122" s="14"/>
      <c r="P122" s="15">
        <f t="shared" si="66"/>
        <v>5</v>
      </c>
      <c r="Q122" s="32">
        <v>21</v>
      </c>
      <c r="R122" s="13"/>
      <c r="S122" s="13"/>
      <c r="T122" s="14"/>
      <c r="U122" s="15">
        <f t="shared" si="67"/>
        <v>21</v>
      </c>
      <c r="V122" s="32"/>
      <c r="W122" s="13"/>
      <c r="X122" s="13"/>
      <c r="Y122" s="14"/>
      <c r="Z122" s="15">
        <f t="shared" si="68"/>
        <v>0</v>
      </c>
      <c r="AA122" s="32"/>
      <c r="AB122" s="13"/>
      <c r="AC122" s="13"/>
      <c r="AD122" s="14"/>
      <c r="AE122" s="15">
        <f t="shared" si="69"/>
        <v>0</v>
      </c>
      <c r="AF122" s="32">
        <v>11</v>
      </c>
      <c r="AG122" s="13"/>
      <c r="AH122" s="13"/>
      <c r="AI122" s="14"/>
      <c r="AJ122" s="15">
        <f t="shared" si="70"/>
        <v>11</v>
      </c>
      <c r="AK122" s="32">
        <v>1</v>
      </c>
      <c r="AL122" s="13"/>
      <c r="AM122" s="13"/>
      <c r="AN122" s="14"/>
      <c r="AO122" s="15">
        <f t="shared" si="77"/>
        <v>1</v>
      </c>
      <c r="AP122" s="32">
        <v>6</v>
      </c>
      <c r="AQ122" s="13"/>
      <c r="AR122" s="13"/>
      <c r="AS122" s="14"/>
      <c r="AT122" s="15">
        <f t="shared" si="78"/>
        <v>6</v>
      </c>
      <c r="AU122" s="32"/>
      <c r="AV122" s="13"/>
      <c r="AW122" s="13"/>
      <c r="AX122" s="14"/>
      <c r="AY122" s="15">
        <f t="shared" si="79"/>
        <v>0</v>
      </c>
      <c r="AZ122" s="32">
        <v>14</v>
      </c>
      <c r="BA122" s="13"/>
      <c r="BB122" s="13"/>
      <c r="BC122" s="14"/>
      <c r="BD122" s="15">
        <f t="shared" si="80"/>
        <v>14</v>
      </c>
      <c r="BE122" s="32">
        <v>5</v>
      </c>
      <c r="BF122" s="13"/>
      <c r="BG122" s="13"/>
      <c r="BH122" s="14"/>
      <c r="BI122" s="15">
        <f t="shared" si="81"/>
        <v>5</v>
      </c>
      <c r="BJ122" s="32"/>
      <c r="BK122" s="13"/>
      <c r="BL122" s="13"/>
      <c r="BM122" s="14"/>
      <c r="BN122" s="15">
        <f t="shared" si="82"/>
        <v>0</v>
      </c>
      <c r="BO122" s="66">
        <f>SUM(G122,L122,Q122,V122,AA122,AF122,AK122,AP122,AU122,AZ122,BE122,BJ122)</f>
        <v>65</v>
      </c>
      <c r="BP122" s="13">
        <f>SUM(H122,M122,R122,W122,AB122,AG122,AL122,AQ122,AV122,BA122,BF122,BK122)</f>
        <v>0</v>
      </c>
      <c r="BQ122" s="13">
        <f>SUM(I122,N122,S122,X122,AC122,AH122,AM122,AR122,AW122,BB122,BG122,BL122)</f>
        <v>0</v>
      </c>
      <c r="BR122" s="14">
        <f>SUM(J122,O122,T122,Y122,AD122,AI122,AN122,AS122,AX122,BC122,BH122,BM122)</f>
        <v>0</v>
      </c>
      <c r="BS122" s="33">
        <f t="shared" si="12"/>
        <v>65</v>
      </c>
    </row>
    <row r="123" spans="2:71" x14ac:dyDescent="0.3">
      <c r="B123" s="269"/>
      <c r="C123" s="230"/>
      <c r="D123" s="233"/>
      <c r="E123" s="239"/>
      <c r="F123" s="124" t="s">
        <v>624</v>
      </c>
      <c r="G123" s="36"/>
      <c r="H123" s="10"/>
      <c r="I123" s="10"/>
      <c r="J123" s="11"/>
      <c r="K123" s="12">
        <f t="shared" si="76"/>
        <v>0</v>
      </c>
      <c r="L123" s="36">
        <v>1</v>
      </c>
      <c r="M123" s="10"/>
      <c r="N123" s="10"/>
      <c r="O123" s="11"/>
      <c r="P123" s="12">
        <f t="shared" si="66"/>
        <v>1</v>
      </c>
      <c r="Q123" s="36"/>
      <c r="R123" s="10"/>
      <c r="S123" s="10"/>
      <c r="T123" s="11"/>
      <c r="U123" s="12">
        <f t="shared" si="67"/>
        <v>0</v>
      </c>
      <c r="V123" s="36"/>
      <c r="W123" s="10"/>
      <c r="X123" s="10"/>
      <c r="Y123" s="11"/>
      <c r="Z123" s="12">
        <f t="shared" si="68"/>
        <v>0</v>
      </c>
      <c r="AA123" s="36"/>
      <c r="AB123" s="10"/>
      <c r="AC123" s="10"/>
      <c r="AD123" s="11"/>
      <c r="AE123" s="12">
        <f t="shared" si="69"/>
        <v>0</v>
      </c>
      <c r="AF123" s="36">
        <v>3</v>
      </c>
      <c r="AG123" s="10"/>
      <c r="AH123" s="10"/>
      <c r="AI123" s="11"/>
      <c r="AJ123" s="12">
        <f t="shared" si="70"/>
        <v>3</v>
      </c>
      <c r="AK123" s="36">
        <v>1</v>
      </c>
      <c r="AL123" s="10"/>
      <c r="AM123" s="10"/>
      <c r="AN123" s="11"/>
      <c r="AO123" s="12">
        <f t="shared" si="77"/>
        <v>1</v>
      </c>
      <c r="AP123" s="36">
        <v>3</v>
      </c>
      <c r="AQ123" s="10"/>
      <c r="AR123" s="10"/>
      <c r="AS123" s="11"/>
      <c r="AT123" s="12">
        <f t="shared" si="78"/>
        <v>3</v>
      </c>
      <c r="AU123" s="36"/>
      <c r="AV123" s="10"/>
      <c r="AW123" s="10"/>
      <c r="AX123" s="11"/>
      <c r="AY123" s="12">
        <f t="shared" si="79"/>
        <v>0</v>
      </c>
      <c r="AZ123" s="36">
        <v>2</v>
      </c>
      <c r="BA123" s="10"/>
      <c r="BB123" s="10"/>
      <c r="BC123" s="11"/>
      <c r="BD123" s="12">
        <f t="shared" si="80"/>
        <v>2</v>
      </c>
      <c r="BE123" s="36">
        <v>1</v>
      </c>
      <c r="BF123" s="10"/>
      <c r="BG123" s="10"/>
      <c r="BH123" s="11"/>
      <c r="BI123" s="12">
        <f t="shared" si="81"/>
        <v>1</v>
      </c>
      <c r="BJ123" s="36"/>
      <c r="BK123" s="10"/>
      <c r="BL123" s="10"/>
      <c r="BM123" s="11"/>
      <c r="BN123" s="12">
        <f t="shared" si="82"/>
        <v>0</v>
      </c>
      <c r="BO123" s="71">
        <f>SUM(G123,L123,Q123,V123,AA123,AF123,AK123,AP123,AU123,AZ123,BE123,BJ123)</f>
        <v>11</v>
      </c>
      <c r="BP123" s="10">
        <f>SUM(H123,M123,R123,W123,AB123,AG123,AL123,AQ123,AV123,BA123,BF123,BK123)</f>
        <v>0</v>
      </c>
      <c r="BQ123" s="10">
        <f>SUM(I123,N123,S123,X123,AC123,AH123,AM123,AR123,AW123,BB123,BG123,BL123)</f>
        <v>0</v>
      </c>
      <c r="BR123" s="11">
        <f>SUM(J123,O123,T123,Y123,AD123,AI123,AN123,AS123,AX123,BC123,BH123,BM123)</f>
        <v>0</v>
      </c>
      <c r="BS123" s="37">
        <f t="shared" si="12"/>
        <v>11</v>
      </c>
    </row>
    <row r="124" spans="2:71" x14ac:dyDescent="0.3">
      <c r="B124" s="269"/>
      <c r="C124" s="230"/>
      <c r="D124" s="233"/>
      <c r="E124" s="240"/>
      <c r="F124" s="125" t="s">
        <v>54</v>
      </c>
      <c r="G124" s="126">
        <f>SUM(G118:G123)</f>
        <v>6</v>
      </c>
      <c r="H124" s="127">
        <f>SUM(H118:H123)</f>
        <v>0</v>
      </c>
      <c r="I124" s="127">
        <f>SUM(I118:I123)</f>
        <v>0</v>
      </c>
      <c r="J124" s="128">
        <f>SUM(J118:J123)</f>
        <v>0</v>
      </c>
      <c r="K124" s="129">
        <f t="shared" si="76"/>
        <v>6</v>
      </c>
      <c r="L124" s="126">
        <f>SUM(L118:L123)</f>
        <v>17</v>
      </c>
      <c r="M124" s="127">
        <f>SUM(M118:M123)</f>
        <v>0</v>
      </c>
      <c r="N124" s="127">
        <f>SUM(N118:N123)</f>
        <v>0</v>
      </c>
      <c r="O124" s="128">
        <f>SUM(O118:O123)</f>
        <v>0</v>
      </c>
      <c r="P124" s="129">
        <f t="shared" si="66"/>
        <v>17</v>
      </c>
      <c r="Q124" s="126">
        <f>SUM(Q118:Q123)</f>
        <v>44</v>
      </c>
      <c r="R124" s="127">
        <f>SUM(R118:R123)</f>
        <v>0</v>
      </c>
      <c r="S124" s="127">
        <f>SUM(S118:S123)</f>
        <v>0</v>
      </c>
      <c r="T124" s="128">
        <f>SUM(T118:T123)</f>
        <v>0</v>
      </c>
      <c r="U124" s="129">
        <f t="shared" si="67"/>
        <v>44</v>
      </c>
      <c r="V124" s="126">
        <f>SUM(V118:V123)</f>
        <v>9</v>
      </c>
      <c r="W124" s="127">
        <f>SUM(W118:W123)</f>
        <v>0</v>
      </c>
      <c r="X124" s="127">
        <f>SUM(X118:X123)</f>
        <v>0</v>
      </c>
      <c r="Y124" s="128">
        <f>SUM(Y118:Y123)</f>
        <v>0</v>
      </c>
      <c r="Z124" s="129">
        <f t="shared" si="68"/>
        <v>9</v>
      </c>
      <c r="AA124" s="126">
        <f>SUM(AA118:AA123)</f>
        <v>13</v>
      </c>
      <c r="AB124" s="127">
        <f>SUM(AB118:AB123)</f>
        <v>0</v>
      </c>
      <c r="AC124" s="127">
        <f>SUM(AC118:AC123)</f>
        <v>0</v>
      </c>
      <c r="AD124" s="128">
        <f>SUM(AD118:AD123)</f>
        <v>0</v>
      </c>
      <c r="AE124" s="129">
        <f t="shared" si="69"/>
        <v>13</v>
      </c>
      <c r="AF124" s="126">
        <f>SUM(AF118:AF123)</f>
        <v>35</v>
      </c>
      <c r="AG124" s="127">
        <f>SUM(AG118:AG123)</f>
        <v>0</v>
      </c>
      <c r="AH124" s="127">
        <f>SUM(AH118:AH123)</f>
        <v>0</v>
      </c>
      <c r="AI124" s="128">
        <f>SUM(AI118:AI123)</f>
        <v>0</v>
      </c>
      <c r="AJ124" s="129">
        <f t="shared" si="70"/>
        <v>35</v>
      </c>
      <c r="AK124" s="126">
        <f>SUM(AK118:AK123)</f>
        <v>5</v>
      </c>
      <c r="AL124" s="127">
        <f>SUM(AL118:AL123)</f>
        <v>0</v>
      </c>
      <c r="AM124" s="127">
        <f>SUM(AM118:AM123)</f>
        <v>0</v>
      </c>
      <c r="AN124" s="128">
        <f>SUM(AN118:AN123)</f>
        <v>0</v>
      </c>
      <c r="AO124" s="129">
        <f t="shared" si="77"/>
        <v>5</v>
      </c>
      <c r="AP124" s="126">
        <f>SUM(AP118:AP123)</f>
        <v>19</v>
      </c>
      <c r="AQ124" s="127">
        <f>SUM(AQ118:AQ123)</f>
        <v>0</v>
      </c>
      <c r="AR124" s="127">
        <f>SUM(AR118:AR123)</f>
        <v>0</v>
      </c>
      <c r="AS124" s="128">
        <f>SUM(AS118:AS123)</f>
        <v>0</v>
      </c>
      <c r="AT124" s="129">
        <f t="shared" si="78"/>
        <v>19</v>
      </c>
      <c r="AU124" s="126">
        <f>SUM(AU118:AU123)</f>
        <v>7</v>
      </c>
      <c r="AV124" s="127">
        <f>SUM(AV118:AV123)</f>
        <v>0</v>
      </c>
      <c r="AW124" s="127">
        <f>SUM(AW118:AW123)</f>
        <v>0</v>
      </c>
      <c r="AX124" s="128">
        <f>SUM(AX118:AX123)</f>
        <v>0</v>
      </c>
      <c r="AY124" s="129">
        <f t="shared" si="79"/>
        <v>7</v>
      </c>
      <c r="AZ124" s="126">
        <f>SUM(AZ118:AZ123)</f>
        <v>42</v>
      </c>
      <c r="BA124" s="127">
        <f>SUM(BA118:BA123)</f>
        <v>0</v>
      </c>
      <c r="BB124" s="127">
        <f>SUM(BB118:BB123)</f>
        <v>0</v>
      </c>
      <c r="BC124" s="128">
        <f>SUM(BC118:BC123)</f>
        <v>0</v>
      </c>
      <c r="BD124" s="129">
        <f t="shared" si="80"/>
        <v>42</v>
      </c>
      <c r="BE124" s="126">
        <f>SUM(BE118:BE123)</f>
        <v>16</v>
      </c>
      <c r="BF124" s="127">
        <f>SUM(BF118:BF123)</f>
        <v>0</v>
      </c>
      <c r="BG124" s="127">
        <f>SUM(BG118:BG123)</f>
        <v>0</v>
      </c>
      <c r="BH124" s="128">
        <f>SUM(BH118:BH123)</f>
        <v>0</v>
      </c>
      <c r="BI124" s="129">
        <f t="shared" si="81"/>
        <v>16</v>
      </c>
      <c r="BJ124" s="126">
        <f>SUM(BJ118:BJ123)</f>
        <v>2</v>
      </c>
      <c r="BK124" s="127">
        <f>SUM(BK118:BK123)</f>
        <v>0</v>
      </c>
      <c r="BL124" s="127">
        <f>SUM(BL118:BL123)</f>
        <v>0</v>
      </c>
      <c r="BM124" s="128">
        <f>SUM(BM118:BM123)</f>
        <v>0</v>
      </c>
      <c r="BN124" s="129">
        <f t="shared" si="82"/>
        <v>2</v>
      </c>
      <c r="BO124" s="131">
        <f>SUM(BO118:BO123)</f>
        <v>215</v>
      </c>
      <c r="BP124" s="127">
        <f>SUM(BP118:BP123)</f>
        <v>0</v>
      </c>
      <c r="BQ124" s="127">
        <f>SUM(BQ118:BQ123)</f>
        <v>0</v>
      </c>
      <c r="BR124" s="128">
        <f>SUM(BR118:BR123)</f>
        <v>0</v>
      </c>
      <c r="BS124" s="130">
        <f t="shared" si="12"/>
        <v>215</v>
      </c>
    </row>
    <row r="125" spans="2:71" x14ac:dyDescent="0.3">
      <c r="B125" s="269"/>
      <c r="C125" s="230"/>
      <c r="D125" s="233"/>
      <c r="E125" s="241" t="s">
        <v>48</v>
      </c>
      <c r="F125" s="120" t="s">
        <v>150</v>
      </c>
      <c r="G125" s="30">
        <v>371</v>
      </c>
      <c r="H125" s="7">
        <v>20</v>
      </c>
      <c r="I125" s="7">
        <v>215</v>
      </c>
      <c r="J125" s="8"/>
      <c r="K125" s="9">
        <f t="shared" si="0"/>
        <v>606</v>
      </c>
      <c r="L125" s="30">
        <v>315</v>
      </c>
      <c r="M125" s="7">
        <v>23</v>
      </c>
      <c r="N125" s="7">
        <v>224</v>
      </c>
      <c r="O125" s="8"/>
      <c r="P125" s="9">
        <f t="shared" si="66"/>
        <v>562</v>
      </c>
      <c r="Q125" s="30">
        <v>59</v>
      </c>
      <c r="R125" s="7">
        <v>3</v>
      </c>
      <c r="S125" s="7">
        <v>38</v>
      </c>
      <c r="T125" s="8"/>
      <c r="U125" s="9">
        <f t="shared" si="67"/>
        <v>100</v>
      </c>
      <c r="V125" s="30">
        <v>438</v>
      </c>
      <c r="W125" s="7">
        <v>14</v>
      </c>
      <c r="X125" s="7">
        <v>330</v>
      </c>
      <c r="Y125" s="8"/>
      <c r="Z125" s="9">
        <f t="shared" si="68"/>
        <v>782</v>
      </c>
      <c r="AA125" s="30">
        <v>815</v>
      </c>
      <c r="AB125" s="7">
        <v>27</v>
      </c>
      <c r="AC125" s="7">
        <v>650</v>
      </c>
      <c r="AD125" s="8"/>
      <c r="AE125" s="9">
        <f t="shared" si="69"/>
        <v>1492</v>
      </c>
      <c r="AF125" s="30">
        <v>260</v>
      </c>
      <c r="AG125" s="7">
        <v>16</v>
      </c>
      <c r="AH125" s="7">
        <v>243</v>
      </c>
      <c r="AI125" s="8"/>
      <c r="AJ125" s="9">
        <f t="shared" si="70"/>
        <v>519</v>
      </c>
      <c r="AK125" s="30">
        <v>99</v>
      </c>
      <c r="AL125" s="7">
        <v>7</v>
      </c>
      <c r="AM125" s="7">
        <v>65</v>
      </c>
      <c r="AN125" s="8"/>
      <c r="AO125" s="9">
        <f t="shared" si="77"/>
        <v>171</v>
      </c>
      <c r="AP125" s="30">
        <v>243</v>
      </c>
      <c r="AQ125" s="7">
        <v>12</v>
      </c>
      <c r="AR125" s="7">
        <v>179</v>
      </c>
      <c r="AS125" s="8"/>
      <c r="AT125" s="9">
        <f t="shared" si="78"/>
        <v>434</v>
      </c>
      <c r="AU125" s="30"/>
      <c r="AV125" s="7"/>
      <c r="AW125" s="7"/>
      <c r="AX125" s="8"/>
      <c r="AY125" s="9">
        <f t="shared" si="79"/>
        <v>0</v>
      </c>
      <c r="AZ125" s="30">
        <v>626</v>
      </c>
      <c r="BA125" s="7">
        <v>54</v>
      </c>
      <c r="BB125" s="7">
        <v>485</v>
      </c>
      <c r="BC125" s="8"/>
      <c r="BD125" s="9">
        <f t="shared" si="80"/>
        <v>1165</v>
      </c>
      <c r="BE125" s="30">
        <v>425</v>
      </c>
      <c r="BF125" s="7">
        <v>11</v>
      </c>
      <c r="BG125" s="7">
        <v>341</v>
      </c>
      <c r="BH125" s="8"/>
      <c r="BI125" s="9">
        <f t="shared" si="81"/>
        <v>777</v>
      </c>
      <c r="BJ125" s="30"/>
      <c r="BK125" s="7"/>
      <c r="BL125" s="7"/>
      <c r="BM125" s="8"/>
      <c r="BN125" s="9">
        <f t="shared" si="82"/>
        <v>0</v>
      </c>
      <c r="BO125" s="65">
        <f>SUM(G125,L125,Q125,V125,AA125,AF125,AK125,AP125,AU125,AZ125,BE125,BJ125)</f>
        <v>3651</v>
      </c>
      <c r="BP125" s="7">
        <f>SUM(H125,M125,R125,W125,AB125,AG125,AL125,AQ125,AV125,BA125,BF125,BK125)</f>
        <v>187</v>
      </c>
      <c r="BQ125" s="7">
        <f>SUM(I125,N125,S125,X125,AC125,AH125,AM125,AR125,AW125,BB125,BG125,BL125)</f>
        <v>2770</v>
      </c>
      <c r="BR125" s="8">
        <f>SUM(J125,O125,T125,Y125,AD125,AI125,AN125,AS125,AX125,BC125,BH125,BM125)</f>
        <v>0</v>
      </c>
      <c r="BS125" s="31">
        <f t="shared" si="12"/>
        <v>6608</v>
      </c>
    </row>
    <row r="126" spans="2:71" x14ac:dyDescent="0.3">
      <c r="B126" s="269"/>
      <c r="C126" s="230"/>
      <c r="D126" s="233"/>
      <c r="E126" s="239"/>
      <c r="F126" s="121" t="s">
        <v>151</v>
      </c>
      <c r="G126" s="32">
        <v>24</v>
      </c>
      <c r="H126" s="13">
        <v>4</v>
      </c>
      <c r="I126" s="13">
        <v>15</v>
      </c>
      <c r="J126" s="14"/>
      <c r="K126" s="15">
        <f t="shared" si="0"/>
        <v>43</v>
      </c>
      <c r="L126" s="32">
        <v>22</v>
      </c>
      <c r="M126" s="13">
        <v>3</v>
      </c>
      <c r="N126" s="13">
        <v>15</v>
      </c>
      <c r="O126" s="14"/>
      <c r="P126" s="15">
        <f t="shared" si="66"/>
        <v>40</v>
      </c>
      <c r="Q126" s="32">
        <v>10</v>
      </c>
      <c r="R126" s="13"/>
      <c r="S126" s="13">
        <v>4</v>
      </c>
      <c r="T126" s="14"/>
      <c r="U126" s="15">
        <f t="shared" si="67"/>
        <v>14</v>
      </c>
      <c r="V126" s="32">
        <v>83</v>
      </c>
      <c r="W126" s="13">
        <v>4</v>
      </c>
      <c r="X126" s="13">
        <v>67</v>
      </c>
      <c r="Y126" s="14"/>
      <c r="Z126" s="15">
        <f t="shared" si="68"/>
        <v>154</v>
      </c>
      <c r="AA126" s="32">
        <v>137</v>
      </c>
      <c r="AB126" s="13">
        <v>7</v>
      </c>
      <c r="AC126" s="13">
        <v>112</v>
      </c>
      <c r="AD126" s="14"/>
      <c r="AE126" s="15">
        <f t="shared" si="69"/>
        <v>256</v>
      </c>
      <c r="AF126" s="32">
        <v>72</v>
      </c>
      <c r="AG126" s="13">
        <v>2</v>
      </c>
      <c r="AH126" s="13">
        <v>66</v>
      </c>
      <c r="AI126" s="14"/>
      <c r="AJ126" s="15">
        <f t="shared" si="70"/>
        <v>140</v>
      </c>
      <c r="AK126" s="32">
        <v>27</v>
      </c>
      <c r="AL126" s="13">
        <v>3</v>
      </c>
      <c r="AM126" s="13">
        <v>20</v>
      </c>
      <c r="AN126" s="14"/>
      <c r="AO126" s="15">
        <f t="shared" si="77"/>
        <v>50</v>
      </c>
      <c r="AP126" s="32">
        <v>99</v>
      </c>
      <c r="AQ126" s="13">
        <v>3</v>
      </c>
      <c r="AR126" s="13">
        <v>68</v>
      </c>
      <c r="AS126" s="14"/>
      <c r="AT126" s="15">
        <f t="shared" si="78"/>
        <v>170</v>
      </c>
      <c r="AU126" s="32"/>
      <c r="AV126" s="13"/>
      <c r="AW126" s="13"/>
      <c r="AX126" s="14"/>
      <c r="AY126" s="15">
        <f t="shared" si="79"/>
        <v>0</v>
      </c>
      <c r="AZ126" s="32">
        <v>183</v>
      </c>
      <c r="BA126" s="13">
        <v>9</v>
      </c>
      <c r="BB126" s="13">
        <v>120</v>
      </c>
      <c r="BC126" s="14"/>
      <c r="BD126" s="15">
        <f t="shared" si="80"/>
        <v>312</v>
      </c>
      <c r="BE126" s="32">
        <v>150</v>
      </c>
      <c r="BF126" s="13">
        <v>4</v>
      </c>
      <c r="BG126" s="13">
        <v>84</v>
      </c>
      <c r="BH126" s="14"/>
      <c r="BI126" s="15">
        <f t="shared" si="81"/>
        <v>238</v>
      </c>
      <c r="BJ126" s="32"/>
      <c r="BK126" s="13"/>
      <c r="BL126" s="13"/>
      <c r="BM126" s="14"/>
      <c r="BN126" s="15">
        <f t="shared" si="82"/>
        <v>0</v>
      </c>
      <c r="BO126" s="66">
        <f>SUM(G126,L126,Q126,V126,AA126,AF126,AK126,AP126,AU126,AZ126,BE126,BJ126)</f>
        <v>807</v>
      </c>
      <c r="BP126" s="13">
        <f>SUM(H126,M126,R126,W126,AB126,AG126,AL126,AQ126,AV126,BA126,BF126,BK126)</f>
        <v>39</v>
      </c>
      <c r="BQ126" s="13">
        <f>SUM(I126,N126,S126,X126,AC126,AH126,AM126,AR126,AW126,BB126,BG126,BL126)</f>
        <v>571</v>
      </c>
      <c r="BR126" s="14">
        <f>SUM(J126,O126,T126,Y126,AD126,AI126,AN126,AS126,AX126,BC126,BH126,BM126)</f>
        <v>0</v>
      </c>
      <c r="BS126" s="33">
        <f t="shared" si="12"/>
        <v>1417</v>
      </c>
    </row>
    <row r="127" spans="2:71" x14ac:dyDescent="0.3">
      <c r="B127" s="269"/>
      <c r="C127" s="230"/>
      <c r="D127" s="233"/>
      <c r="E127" s="239"/>
      <c r="F127" s="121" t="s">
        <v>56</v>
      </c>
      <c r="G127" s="32"/>
      <c r="H127" s="13"/>
      <c r="I127" s="13"/>
      <c r="J127" s="14"/>
      <c r="K127" s="15">
        <f t="shared" ref="K127:K128" si="83">SUM(G127:J127)</f>
        <v>0</v>
      </c>
      <c r="L127" s="32"/>
      <c r="M127" s="13"/>
      <c r="N127" s="13"/>
      <c r="O127" s="14"/>
      <c r="P127" s="15">
        <f t="shared" si="66"/>
        <v>0</v>
      </c>
      <c r="Q127" s="32">
        <v>109</v>
      </c>
      <c r="R127" s="13">
        <v>3</v>
      </c>
      <c r="S127" s="13">
        <v>96</v>
      </c>
      <c r="T127" s="14"/>
      <c r="U127" s="15">
        <f t="shared" si="67"/>
        <v>208</v>
      </c>
      <c r="V127" s="32"/>
      <c r="W127" s="13"/>
      <c r="X127" s="13"/>
      <c r="Y127" s="14"/>
      <c r="Z127" s="15">
        <f t="shared" si="68"/>
        <v>0</v>
      </c>
      <c r="AA127" s="32"/>
      <c r="AB127" s="13"/>
      <c r="AC127" s="13"/>
      <c r="AD127" s="14"/>
      <c r="AE127" s="15">
        <f t="shared" si="69"/>
        <v>0</v>
      </c>
      <c r="AF127" s="32">
        <v>49</v>
      </c>
      <c r="AG127" s="13">
        <v>1</v>
      </c>
      <c r="AH127" s="13">
        <v>42</v>
      </c>
      <c r="AI127" s="14"/>
      <c r="AJ127" s="15">
        <f t="shared" si="70"/>
        <v>92</v>
      </c>
      <c r="AK127" s="32"/>
      <c r="AL127" s="13"/>
      <c r="AM127" s="13"/>
      <c r="AN127" s="14"/>
      <c r="AO127" s="15">
        <f t="shared" si="77"/>
        <v>0</v>
      </c>
      <c r="AP127" s="32"/>
      <c r="AQ127" s="13"/>
      <c r="AR127" s="13"/>
      <c r="AS127" s="14"/>
      <c r="AT127" s="15">
        <f t="shared" si="78"/>
        <v>0</v>
      </c>
      <c r="AU127" s="32">
        <v>100</v>
      </c>
      <c r="AV127" s="13">
        <v>2</v>
      </c>
      <c r="AW127" s="13">
        <v>57</v>
      </c>
      <c r="AX127" s="14"/>
      <c r="AY127" s="15">
        <f t="shared" si="79"/>
        <v>159</v>
      </c>
      <c r="AZ127" s="32"/>
      <c r="BA127" s="13"/>
      <c r="BB127" s="13"/>
      <c r="BC127" s="14"/>
      <c r="BD127" s="15">
        <f t="shared" si="80"/>
        <v>0</v>
      </c>
      <c r="BE127" s="32"/>
      <c r="BF127" s="13"/>
      <c r="BG127" s="13"/>
      <c r="BH127" s="14"/>
      <c r="BI127" s="15">
        <f t="shared" si="81"/>
        <v>0</v>
      </c>
      <c r="BJ127" s="32">
        <v>40</v>
      </c>
      <c r="BK127" s="13">
        <v>3</v>
      </c>
      <c r="BL127" s="13">
        <v>26</v>
      </c>
      <c r="BM127" s="14"/>
      <c r="BN127" s="15">
        <f t="shared" si="82"/>
        <v>69</v>
      </c>
      <c r="BO127" s="66">
        <f>SUM(G127,L127,Q127,V127,AA127,AF127,AK127,AP127,AU127,AZ127,BE127,BJ127)</f>
        <v>298</v>
      </c>
      <c r="BP127" s="13">
        <f>SUM(H127,M127,R127,W127,AB127,AG127,AL127,AQ127,AV127,BA127,BF127,BK127)</f>
        <v>9</v>
      </c>
      <c r="BQ127" s="13">
        <f>SUM(I127,N127,S127,X127,AC127,AH127,AM127,AR127,AW127,BB127,BG127,BL127)</f>
        <v>221</v>
      </c>
      <c r="BR127" s="14">
        <f>SUM(J127,O127,T127,Y127,AD127,AI127,AN127,AS127,AX127,BC127,BH127,BM127)</f>
        <v>0</v>
      </c>
      <c r="BS127" s="33">
        <f t="shared" si="12"/>
        <v>528</v>
      </c>
    </row>
    <row r="128" spans="2:71" x14ac:dyDescent="0.3">
      <c r="B128" s="269"/>
      <c r="C128" s="230"/>
      <c r="D128" s="233"/>
      <c r="E128" s="239"/>
      <c r="F128" s="124" t="s">
        <v>123</v>
      </c>
      <c r="G128" s="36"/>
      <c r="H128" s="10"/>
      <c r="I128" s="10"/>
      <c r="J128" s="11"/>
      <c r="K128" s="12">
        <f t="shared" si="83"/>
        <v>0</v>
      </c>
      <c r="L128" s="36"/>
      <c r="M128" s="10"/>
      <c r="N128" s="10"/>
      <c r="O128" s="11"/>
      <c r="P128" s="12">
        <f t="shared" si="66"/>
        <v>0</v>
      </c>
      <c r="Q128" s="36">
        <v>19</v>
      </c>
      <c r="R128" s="10"/>
      <c r="S128" s="10">
        <v>11</v>
      </c>
      <c r="T128" s="11"/>
      <c r="U128" s="12">
        <f t="shared" si="67"/>
        <v>30</v>
      </c>
      <c r="V128" s="36"/>
      <c r="W128" s="10"/>
      <c r="X128" s="10"/>
      <c r="Y128" s="11"/>
      <c r="Z128" s="12">
        <f t="shared" si="68"/>
        <v>0</v>
      </c>
      <c r="AA128" s="36"/>
      <c r="AB128" s="10"/>
      <c r="AC128" s="10"/>
      <c r="AD128" s="11"/>
      <c r="AE128" s="12">
        <f t="shared" si="69"/>
        <v>0</v>
      </c>
      <c r="AF128" s="36">
        <v>16</v>
      </c>
      <c r="AG128" s="10"/>
      <c r="AH128" s="10">
        <v>9</v>
      </c>
      <c r="AI128" s="11"/>
      <c r="AJ128" s="12">
        <f t="shared" si="70"/>
        <v>25</v>
      </c>
      <c r="AK128" s="36"/>
      <c r="AL128" s="10"/>
      <c r="AM128" s="10"/>
      <c r="AN128" s="11"/>
      <c r="AO128" s="12">
        <f t="shared" si="77"/>
        <v>0</v>
      </c>
      <c r="AP128" s="36"/>
      <c r="AQ128" s="10"/>
      <c r="AR128" s="10"/>
      <c r="AS128" s="11"/>
      <c r="AT128" s="12">
        <f t="shared" si="78"/>
        <v>0</v>
      </c>
      <c r="AU128" s="36">
        <v>29</v>
      </c>
      <c r="AV128" s="10"/>
      <c r="AW128" s="10">
        <v>8</v>
      </c>
      <c r="AX128" s="11"/>
      <c r="AY128" s="12">
        <f t="shared" si="79"/>
        <v>37</v>
      </c>
      <c r="AZ128" s="36"/>
      <c r="BA128" s="10"/>
      <c r="BB128" s="10"/>
      <c r="BC128" s="11"/>
      <c r="BD128" s="12">
        <f t="shared" si="80"/>
        <v>0</v>
      </c>
      <c r="BE128" s="36"/>
      <c r="BF128" s="10"/>
      <c r="BG128" s="10"/>
      <c r="BH128" s="11"/>
      <c r="BI128" s="12">
        <f t="shared" si="81"/>
        <v>0</v>
      </c>
      <c r="BJ128" s="36">
        <v>7</v>
      </c>
      <c r="BK128" s="10"/>
      <c r="BL128" s="10">
        <v>5</v>
      </c>
      <c r="BM128" s="11"/>
      <c r="BN128" s="12">
        <f t="shared" si="82"/>
        <v>12</v>
      </c>
      <c r="BO128" s="71">
        <f>SUM(G128,L128,Q128,V128,AA128,AF128,AK128,AP128,AU128,AZ128,BE128,BJ128)</f>
        <v>71</v>
      </c>
      <c r="BP128" s="10">
        <f>SUM(H128,M128,R128,W128,AB128,AG128,AL128,AQ128,AV128,BA128,BF128,BK128)</f>
        <v>0</v>
      </c>
      <c r="BQ128" s="10">
        <f>SUM(I128,N128,S128,X128,AC128,AH128,AM128,AR128,AW128,BB128,BG128,BL128)</f>
        <v>33</v>
      </c>
      <c r="BR128" s="11">
        <f>SUM(J128,O128,T128,Y128,AD128,AI128,AN128,AS128,AX128,BC128,BH128,BM128)</f>
        <v>0</v>
      </c>
      <c r="BS128" s="37">
        <f t="shared" si="12"/>
        <v>104</v>
      </c>
    </row>
    <row r="129" spans="2:71" x14ac:dyDescent="0.3">
      <c r="B129" s="269"/>
      <c r="C129" s="230"/>
      <c r="D129" s="233"/>
      <c r="E129" s="240"/>
      <c r="F129" s="125" t="s">
        <v>54</v>
      </c>
      <c r="G129" s="126">
        <f>SUM(G125:G128)</f>
        <v>395</v>
      </c>
      <c r="H129" s="127">
        <f>SUM(H125:H128)</f>
        <v>24</v>
      </c>
      <c r="I129" s="127">
        <f>SUM(I125:I128)</f>
        <v>230</v>
      </c>
      <c r="J129" s="128">
        <f>SUM(J125:J128)</f>
        <v>0</v>
      </c>
      <c r="K129" s="129">
        <f t="shared" si="0"/>
        <v>649</v>
      </c>
      <c r="L129" s="126">
        <f>SUM(L125:L128)</f>
        <v>337</v>
      </c>
      <c r="M129" s="127">
        <f>SUM(M125:M128)</f>
        <v>26</v>
      </c>
      <c r="N129" s="127">
        <f>SUM(N125:N128)</f>
        <v>239</v>
      </c>
      <c r="O129" s="128">
        <f>SUM(O125:O128)</f>
        <v>0</v>
      </c>
      <c r="P129" s="129">
        <f t="shared" si="66"/>
        <v>602</v>
      </c>
      <c r="Q129" s="126">
        <f>SUM(Q125:Q128)</f>
        <v>197</v>
      </c>
      <c r="R129" s="127">
        <f>SUM(R125:R128)</f>
        <v>6</v>
      </c>
      <c r="S129" s="127">
        <f>SUM(S125:S128)</f>
        <v>149</v>
      </c>
      <c r="T129" s="128">
        <f>SUM(T125:T128)</f>
        <v>0</v>
      </c>
      <c r="U129" s="129">
        <f t="shared" si="67"/>
        <v>352</v>
      </c>
      <c r="V129" s="126">
        <f>SUM(V125:V128)</f>
        <v>521</v>
      </c>
      <c r="W129" s="127">
        <f>SUM(W125:W128)</f>
        <v>18</v>
      </c>
      <c r="X129" s="127">
        <f>SUM(X125:X128)</f>
        <v>397</v>
      </c>
      <c r="Y129" s="128">
        <f>SUM(Y125:Y128)</f>
        <v>0</v>
      </c>
      <c r="Z129" s="129">
        <f t="shared" si="68"/>
        <v>936</v>
      </c>
      <c r="AA129" s="126">
        <f>SUM(AA125:AA128)</f>
        <v>952</v>
      </c>
      <c r="AB129" s="127">
        <f>SUM(AB125:AB128)</f>
        <v>34</v>
      </c>
      <c r="AC129" s="127">
        <f>SUM(AC125:AC128)</f>
        <v>762</v>
      </c>
      <c r="AD129" s="128">
        <f>SUM(AD125:AD128)</f>
        <v>0</v>
      </c>
      <c r="AE129" s="129">
        <f t="shared" si="69"/>
        <v>1748</v>
      </c>
      <c r="AF129" s="126">
        <f>SUM(AF125:AF128)</f>
        <v>397</v>
      </c>
      <c r="AG129" s="127">
        <f>SUM(AG125:AG128)</f>
        <v>19</v>
      </c>
      <c r="AH129" s="127">
        <f>SUM(AH125:AH128)</f>
        <v>360</v>
      </c>
      <c r="AI129" s="128">
        <f>SUM(AI125:AI128)</f>
        <v>0</v>
      </c>
      <c r="AJ129" s="129">
        <f t="shared" si="70"/>
        <v>776</v>
      </c>
      <c r="AK129" s="126">
        <f>SUM(AK125:AK128)</f>
        <v>126</v>
      </c>
      <c r="AL129" s="127">
        <f>SUM(AL125:AL128)</f>
        <v>10</v>
      </c>
      <c r="AM129" s="127">
        <f>SUM(AM125:AM128)</f>
        <v>85</v>
      </c>
      <c r="AN129" s="128">
        <f>SUM(AN125:AN128)</f>
        <v>0</v>
      </c>
      <c r="AO129" s="129">
        <f t="shared" si="77"/>
        <v>221</v>
      </c>
      <c r="AP129" s="126">
        <f>SUM(AP125:AP128)</f>
        <v>342</v>
      </c>
      <c r="AQ129" s="127">
        <f>SUM(AQ125:AQ128)</f>
        <v>15</v>
      </c>
      <c r="AR129" s="127">
        <f>SUM(AR125:AR128)</f>
        <v>247</v>
      </c>
      <c r="AS129" s="128">
        <f>SUM(AS125:AS128)</f>
        <v>0</v>
      </c>
      <c r="AT129" s="129">
        <f t="shared" si="78"/>
        <v>604</v>
      </c>
      <c r="AU129" s="126">
        <f>SUM(AU125:AU128)</f>
        <v>129</v>
      </c>
      <c r="AV129" s="127">
        <f>SUM(AV125:AV128)</f>
        <v>2</v>
      </c>
      <c r="AW129" s="127">
        <f>SUM(AW125:AW128)</f>
        <v>65</v>
      </c>
      <c r="AX129" s="128">
        <f>SUM(AX125:AX128)</f>
        <v>0</v>
      </c>
      <c r="AY129" s="129">
        <f t="shared" si="79"/>
        <v>196</v>
      </c>
      <c r="AZ129" s="126">
        <f>SUM(AZ125:AZ128)</f>
        <v>809</v>
      </c>
      <c r="BA129" s="127">
        <f>SUM(BA125:BA128)</f>
        <v>63</v>
      </c>
      <c r="BB129" s="127">
        <f>SUM(BB125:BB128)</f>
        <v>605</v>
      </c>
      <c r="BC129" s="128">
        <f>SUM(BC125:BC128)</f>
        <v>0</v>
      </c>
      <c r="BD129" s="129">
        <f t="shared" si="80"/>
        <v>1477</v>
      </c>
      <c r="BE129" s="126">
        <f>SUM(BE125:BE128)</f>
        <v>575</v>
      </c>
      <c r="BF129" s="127">
        <f>SUM(BF125:BF128)</f>
        <v>15</v>
      </c>
      <c r="BG129" s="127">
        <f>SUM(BG125:BG128)</f>
        <v>425</v>
      </c>
      <c r="BH129" s="128">
        <f>SUM(BH125:BH128)</f>
        <v>0</v>
      </c>
      <c r="BI129" s="129">
        <f t="shared" si="81"/>
        <v>1015</v>
      </c>
      <c r="BJ129" s="126">
        <f>SUM(BJ125:BJ128)</f>
        <v>47</v>
      </c>
      <c r="BK129" s="127">
        <f>SUM(BK125:BK128)</f>
        <v>3</v>
      </c>
      <c r="BL129" s="127">
        <f>SUM(BL125:BL128)</f>
        <v>31</v>
      </c>
      <c r="BM129" s="128">
        <f>SUM(BM125:BM128)</f>
        <v>0</v>
      </c>
      <c r="BN129" s="129">
        <f t="shared" si="82"/>
        <v>81</v>
      </c>
      <c r="BO129" s="131">
        <f>SUM(BO125:BO128)</f>
        <v>4827</v>
      </c>
      <c r="BP129" s="127">
        <f>SUM(BP125:BP128)</f>
        <v>235</v>
      </c>
      <c r="BQ129" s="127">
        <f>SUM(BQ125:BQ128)</f>
        <v>3595</v>
      </c>
      <c r="BR129" s="128">
        <f>SUM(BR125:BR128)</f>
        <v>0</v>
      </c>
      <c r="BS129" s="130">
        <f t="shared" si="12"/>
        <v>8657</v>
      </c>
    </row>
    <row r="130" spans="2:71" x14ac:dyDescent="0.3">
      <c r="B130" s="269"/>
      <c r="C130" s="230"/>
      <c r="D130" s="233"/>
      <c r="E130" s="239" t="s">
        <v>152</v>
      </c>
      <c r="F130" s="121" t="s">
        <v>111</v>
      </c>
      <c r="G130" s="32">
        <v>13</v>
      </c>
      <c r="H130" s="13">
        <v>3</v>
      </c>
      <c r="I130" s="13">
        <v>53</v>
      </c>
      <c r="J130" s="14"/>
      <c r="K130" s="15">
        <f t="shared" ref="K130:K140" si="84">SUM(G130:J130)</f>
        <v>69</v>
      </c>
      <c r="L130" s="32">
        <v>7</v>
      </c>
      <c r="M130" s="13">
        <v>2</v>
      </c>
      <c r="N130" s="13">
        <v>25</v>
      </c>
      <c r="O130" s="14"/>
      <c r="P130" s="15">
        <f t="shared" si="66"/>
        <v>34</v>
      </c>
      <c r="Q130" s="32">
        <v>44</v>
      </c>
      <c r="R130" s="13">
        <v>2</v>
      </c>
      <c r="S130" s="13">
        <v>67</v>
      </c>
      <c r="T130" s="14"/>
      <c r="U130" s="15">
        <f t="shared" si="67"/>
        <v>113</v>
      </c>
      <c r="V130" s="32">
        <v>6</v>
      </c>
      <c r="W130" s="13"/>
      <c r="X130" s="13">
        <v>12</v>
      </c>
      <c r="Y130" s="14"/>
      <c r="Z130" s="15">
        <f t="shared" si="68"/>
        <v>18</v>
      </c>
      <c r="AA130" s="32">
        <v>20</v>
      </c>
      <c r="AB130" s="13">
        <v>1</v>
      </c>
      <c r="AC130" s="13">
        <v>33</v>
      </c>
      <c r="AD130" s="14"/>
      <c r="AE130" s="15">
        <f t="shared" si="69"/>
        <v>54</v>
      </c>
      <c r="AF130" s="32">
        <v>39</v>
      </c>
      <c r="AG130" s="13"/>
      <c r="AH130" s="13">
        <v>47</v>
      </c>
      <c r="AI130" s="14"/>
      <c r="AJ130" s="15">
        <f t="shared" si="70"/>
        <v>86</v>
      </c>
      <c r="AK130" s="32"/>
      <c r="AL130" s="13"/>
      <c r="AM130" s="13"/>
      <c r="AN130" s="14"/>
      <c r="AO130" s="15">
        <f t="shared" si="77"/>
        <v>0</v>
      </c>
      <c r="AP130" s="32"/>
      <c r="AQ130" s="13"/>
      <c r="AR130" s="13"/>
      <c r="AS130" s="14"/>
      <c r="AT130" s="15">
        <f t="shared" si="78"/>
        <v>0</v>
      </c>
      <c r="AU130" s="32">
        <v>36</v>
      </c>
      <c r="AV130" s="13">
        <v>1</v>
      </c>
      <c r="AW130" s="13">
        <v>21</v>
      </c>
      <c r="AX130" s="14"/>
      <c r="AY130" s="15">
        <f t="shared" si="79"/>
        <v>58</v>
      </c>
      <c r="AZ130" s="32">
        <v>34</v>
      </c>
      <c r="BA130" s="13">
        <v>3</v>
      </c>
      <c r="BB130" s="13">
        <v>79</v>
      </c>
      <c r="BC130" s="14"/>
      <c r="BD130" s="15">
        <f t="shared" si="80"/>
        <v>116</v>
      </c>
      <c r="BE130" s="32">
        <v>8</v>
      </c>
      <c r="BF130" s="13">
        <v>5</v>
      </c>
      <c r="BG130" s="13">
        <v>28</v>
      </c>
      <c r="BH130" s="14"/>
      <c r="BI130" s="15">
        <f t="shared" si="81"/>
        <v>41</v>
      </c>
      <c r="BJ130" s="32">
        <v>3</v>
      </c>
      <c r="BK130" s="13">
        <v>1</v>
      </c>
      <c r="BL130" s="13">
        <v>10</v>
      </c>
      <c r="BM130" s="14"/>
      <c r="BN130" s="15">
        <f t="shared" si="82"/>
        <v>14</v>
      </c>
      <c r="BO130" s="66">
        <f>SUM(G130,L130,Q130,V130,AA130,AF130,AK130,AP130,AU130,AZ130,BE130,BJ130)</f>
        <v>210</v>
      </c>
      <c r="BP130" s="13">
        <f>SUM(H130,M130,R130,W130,AB130,AG130,AL130,AQ130,AV130,BA130,BF130,BK130)</f>
        <v>18</v>
      </c>
      <c r="BQ130" s="13">
        <f>SUM(I130,N130,S130,X130,AC130,AH130,AM130,AR130,AW130,BB130,BG130,BL130)</f>
        <v>375</v>
      </c>
      <c r="BR130" s="14">
        <f>SUM(J130,O130,T130,Y130,AD130,AI130,AN130,AS130,AX130,BC130,BH130,BM130)</f>
        <v>0</v>
      </c>
      <c r="BS130" s="33">
        <f t="shared" si="12"/>
        <v>603</v>
      </c>
    </row>
    <row r="131" spans="2:71" x14ac:dyDescent="0.3">
      <c r="B131" s="269"/>
      <c r="C131" s="230"/>
      <c r="D131" s="233"/>
      <c r="E131" s="239"/>
      <c r="F131" s="121" t="s">
        <v>112</v>
      </c>
      <c r="G131" s="32">
        <v>1</v>
      </c>
      <c r="H131" s="13"/>
      <c r="I131" s="13">
        <v>3</v>
      </c>
      <c r="J131" s="14"/>
      <c r="K131" s="15">
        <f t="shared" si="84"/>
        <v>4</v>
      </c>
      <c r="L131" s="32">
        <v>2</v>
      </c>
      <c r="M131" s="13"/>
      <c r="N131" s="13">
        <v>2</v>
      </c>
      <c r="O131" s="14"/>
      <c r="P131" s="15">
        <f t="shared" si="66"/>
        <v>4</v>
      </c>
      <c r="Q131" s="32">
        <v>10</v>
      </c>
      <c r="R131" s="13"/>
      <c r="S131" s="13">
        <v>14</v>
      </c>
      <c r="T131" s="14"/>
      <c r="U131" s="15">
        <f t="shared" si="67"/>
        <v>24</v>
      </c>
      <c r="V131" s="32">
        <v>1</v>
      </c>
      <c r="W131" s="13">
        <v>1</v>
      </c>
      <c r="X131" s="13">
        <v>1</v>
      </c>
      <c r="Y131" s="14"/>
      <c r="Z131" s="15">
        <f t="shared" si="68"/>
        <v>3</v>
      </c>
      <c r="AA131" s="32">
        <v>3</v>
      </c>
      <c r="AB131" s="13"/>
      <c r="AC131" s="13">
        <v>8</v>
      </c>
      <c r="AD131" s="14"/>
      <c r="AE131" s="15">
        <f t="shared" si="69"/>
        <v>11</v>
      </c>
      <c r="AF131" s="32">
        <v>12</v>
      </c>
      <c r="AG131" s="13"/>
      <c r="AH131" s="13">
        <v>14</v>
      </c>
      <c r="AI131" s="14"/>
      <c r="AJ131" s="15">
        <f t="shared" si="70"/>
        <v>26</v>
      </c>
      <c r="AK131" s="32"/>
      <c r="AL131" s="13"/>
      <c r="AM131" s="13"/>
      <c r="AN131" s="14"/>
      <c r="AO131" s="15">
        <f t="shared" si="77"/>
        <v>0</v>
      </c>
      <c r="AP131" s="32"/>
      <c r="AQ131" s="13"/>
      <c r="AR131" s="13"/>
      <c r="AS131" s="14"/>
      <c r="AT131" s="15">
        <f t="shared" si="78"/>
        <v>0</v>
      </c>
      <c r="AU131" s="32">
        <v>8</v>
      </c>
      <c r="AV131" s="13"/>
      <c r="AW131" s="13">
        <v>9</v>
      </c>
      <c r="AX131" s="14"/>
      <c r="AY131" s="15">
        <f t="shared" si="79"/>
        <v>17</v>
      </c>
      <c r="AZ131" s="32">
        <v>14</v>
      </c>
      <c r="BA131" s="13"/>
      <c r="BB131" s="13">
        <v>19</v>
      </c>
      <c r="BC131" s="14"/>
      <c r="BD131" s="15">
        <f t="shared" si="80"/>
        <v>33</v>
      </c>
      <c r="BE131" s="32">
        <v>4</v>
      </c>
      <c r="BF131" s="13">
        <v>1</v>
      </c>
      <c r="BG131" s="13">
        <v>8</v>
      </c>
      <c r="BH131" s="14"/>
      <c r="BI131" s="15">
        <f t="shared" si="81"/>
        <v>13</v>
      </c>
      <c r="BJ131" s="32">
        <v>1</v>
      </c>
      <c r="BK131" s="13"/>
      <c r="BL131" s="13">
        <v>3</v>
      </c>
      <c r="BM131" s="14"/>
      <c r="BN131" s="15">
        <f t="shared" si="82"/>
        <v>4</v>
      </c>
      <c r="BO131" s="66">
        <f>SUM(G131,L131,Q131,V131,AA131,AF131,AK131,AP131,AU131,AZ131,BE131,BJ131)</f>
        <v>56</v>
      </c>
      <c r="BP131" s="13">
        <f>SUM(H131,M131,R131,W131,AB131,AG131,AL131,AQ131,AV131,BA131,BF131,BK131)</f>
        <v>2</v>
      </c>
      <c r="BQ131" s="13">
        <f>SUM(I131,N131,S131,X131,AC131,AH131,AM131,AR131,AW131,BB131,BG131,BL131)</f>
        <v>81</v>
      </c>
      <c r="BR131" s="14">
        <f>SUM(J131,O131,T131,Y131,AD131,AI131,AN131,AS131,AX131,BC131,BH131,BM131)</f>
        <v>0</v>
      </c>
      <c r="BS131" s="33">
        <f t="shared" si="12"/>
        <v>139</v>
      </c>
    </row>
    <row r="132" spans="2:71" x14ac:dyDescent="0.3">
      <c r="B132" s="269"/>
      <c r="C132" s="230"/>
      <c r="D132" s="233"/>
      <c r="E132" s="239"/>
      <c r="F132" s="121" t="s">
        <v>657</v>
      </c>
      <c r="G132" s="32"/>
      <c r="H132" s="13"/>
      <c r="I132" s="13"/>
      <c r="J132" s="14"/>
      <c r="K132" s="15">
        <f t="shared" si="84"/>
        <v>0</v>
      </c>
      <c r="L132" s="32"/>
      <c r="M132" s="13"/>
      <c r="N132" s="13"/>
      <c r="O132" s="14"/>
      <c r="P132" s="15">
        <f t="shared" si="66"/>
        <v>0</v>
      </c>
      <c r="Q132" s="32"/>
      <c r="R132" s="13"/>
      <c r="S132" s="13"/>
      <c r="T132" s="14"/>
      <c r="U132" s="15">
        <f t="shared" si="67"/>
        <v>0</v>
      </c>
      <c r="V132" s="32"/>
      <c r="W132" s="13"/>
      <c r="X132" s="13"/>
      <c r="Y132" s="14"/>
      <c r="Z132" s="15">
        <f t="shared" si="68"/>
        <v>0</v>
      </c>
      <c r="AA132" s="32"/>
      <c r="AB132" s="13"/>
      <c r="AC132" s="13"/>
      <c r="AD132" s="14"/>
      <c r="AE132" s="15">
        <f t="shared" si="69"/>
        <v>0</v>
      </c>
      <c r="AF132" s="32"/>
      <c r="AG132" s="13"/>
      <c r="AH132" s="13"/>
      <c r="AI132" s="14"/>
      <c r="AJ132" s="15">
        <f t="shared" si="70"/>
        <v>0</v>
      </c>
      <c r="AK132" s="32">
        <v>29</v>
      </c>
      <c r="AL132" s="13">
        <v>7</v>
      </c>
      <c r="AM132" s="13">
        <v>58</v>
      </c>
      <c r="AN132" s="14"/>
      <c r="AO132" s="15">
        <f t="shared" si="77"/>
        <v>94</v>
      </c>
      <c r="AP132" s="32">
        <v>45</v>
      </c>
      <c r="AQ132" s="13">
        <v>5</v>
      </c>
      <c r="AR132" s="13">
        <v>117</v>
      </c>
      <c r="AS132" s="14"/>
      <c r="AT132" s="15">
        <f t="shared" si="78"/>
        <v>167</v>
      </c>
      <c r="AU132" s="32"/>
      <c r="AV132" s="13"/>
      <c r="AW132" s="13"/>
      <c r="AX132" s="14"/>
      <c r="AY132" s="15">
        <f t="shared" si="79"/>
        <v>0</v>
      </c>
      <c r="AZ132" s="32"/>
      <c r="BA132" s="13"/>
      <c r="BB132" s="13"/>
      <c r="BC132" s="14"/>
      <c r="BD132" s="15">
        <f t="shared" si="80"/>
        <v>0</v>
      </c>
      <c r="BE132" s="32"/>
      <c r="BF132" s="13"/>
      <c r="BG132" s="13"/>
      <c r="BH132" s="14"/>
      <c r="BI132" s="15">
        <f t="shared" si="81"/>
        <v>0</v>
      </c>
      <c r="BJ132" s="32"/>
      <c r="BK132" s="13"/>
      <c r="BL132" s="13"/>
      <c r="BM132" s="14"/>
      <c r="BN132" s="15">
        <f t="shared" si="82"/>
        <v>0</v>
      </c>
      <c r="BO132" s="66">
        <f>SUM(G132,L132,Q132,V132,AA132,AF132,AK132,AP132,AU132,AZ132,BE132,BJ132)</f>
        <v>74</v>
      </c>
      <c r="BP132" s="13">
        <f>SUM(H132,M132,R132,W132,AB132,AG132,AL132,AQ132,AV132,BA132,BF132,BK132)</f>
        <v>12</v>
      </c>
      <c r="BQ132" s="13">
        <f>SUM(I132,N132,S132,X132,AC132,AH132,AM132,AR132,AW132,BB132,BG132,BL132)</f>
        <v>175</v>
      </c>
      <c r="BR132" s="14">
        <f>SUM(J132,O132,T132,Y132,AD132,AI132,AN132,AS132,AX132,BC132,BH132,BM132)</f>
        <v>0</v>
      </c>
      <c r="BS132" s="33">
        <f t="shared" si="12"/>
        <v>261</v>
      </c>
    </row>
    <row r="133" spans="2:71" x14ac:dyDescent="0.3">
      <c r="B133" s="269"/>
      <c r="C133" s="230"/>
      <c r="D133" s="233"/>
      <c r="E133" s="239"/>
      <c r="F133" s="121" t="s">
        <v>658</v>
      </c>
      <c r="G133" s="32"/>
      <c r="H133" s="13"/>
      <c r="I133" s="13"/>
      <c r="J133" s="14"/>
      <c r="K133" s="15">
        <f t="shared" si="84"/>
        <v>0</v>
      </c>
      <c r="L133" s="32"/>
      <c r="M133" s="13"/>
      <c r="N133" s="13"/>
      <c r="O133" s="14"/>
      <c r="P133" s="15">
        <f t="shared" si="66"/>
        <v>0</v>
      </c>
      <c r="Q133" s="32"/>
      <c r="R133" s="13"/>
      <c r="S133" s="13"/>
      <c r="T133" s="14"/>
      <c r="U133" s="15">
        <f t="shared" si="67"/>
        <v>0</v>
      </c>
      <c r="V133" s="32"/>
      <c r="W133" s="13"/>
      <c r="X133" s="13"/>
      <c r="Y133" s="14"/>
      <c r="Z133" s="15">
        <f t="shared" si="68"/>
        <v>0</v>
      </c>
      <c r="AA133" s="32"/>
      <c r="AB133" s="13"/>
      <c r="AC133" s="13"/>
      <c r="AD133" s="14"/>
      <c r="AE133" s="15">
        <f t="shared" si="69"/>
        <v>0</v>
      </c>
      <c r="AF133" s="32"/>
      <c r="AG133" s="13"/>
      <c r="AH133" s="13"/>
      <c r="AI133" s="14"/>
      <c r="AJ133" s="15">
        <f t="shared" si="70"/>
        <v>0</v>
      </c>
      <c r="AK133" s="32">
        <v>12</v>
      </c>
      <c r="AL133" s="13">
        <v>2</v>
      </c>
      <c r="AM133" s="13">
        <v>18</v>
      </c>
      <c r="AN133" s="14"/>
      <c r="AO133" s="15">
        <f t="shared" si="77"/>
        <v>32</v>
      </c>
      <c r="AP133" s="32">
        <v>16</v>
      </c>
      <c r="AQ133" s="13"/>
      <c r="AR133" s="13">
        <v>68</v>
      </c>
      <c r="AS133" s="14"/>
      <c r="AT133" s="15">
        <f t="shared" si="78"/>
        <v>84</v>
      </c>
      <c r="AU133" s="32"/>
      <c r="AV133" s="13"/>
      <c r="AW133" s="13"/>
      <c r="AX133" s="14"/>
      <c r="AY133" s="15">
        <f t="shared" si="79"/>
        <v>0</v>
      </c>
      <c r="AZ133" s="32"/>
      <c r="BA133" s="13"/>
      <c r="BB133" s="13"/>
      <c r="BC133" s="14"/>
      <c r="BD133" s="15">
        <f t="shared" si="80"/>
        <v>0</v>
      </c>
      <c r="BE133" s="32"/>
      <c r="BF133" s="13"/>
      <c r="BG133" s="13"/>
      <c r="BH133" s="14"/>
      <c r="BI133" s="15">
        <f t="shared" si="81"/>
        <v>0</v>
      </c>
      <c r="BJ133" s="32"/>
      <c r="BK133" s="13"/>
      <c r="BL133" s="13"/>
      <c r="BM133" s="14"/>
      <c r="BN133" s="15">
        <f t="shared" si="82"/>
        <v>0</v>
      </c>
      <c r="BO133" s="66">
        <f>SUM(G133,L133,Q133,V133,AA133,AF133,AK133,AP133,AU133,AZ133,BE133,BJ133)</f>
        <v>28</v>
      </c>
      <c r="BP133" s="13">
        <f>SUM(H133,M133,R133,W133,AB133,AG133,AL133,AQ133,AV133,BA133,BF133,BK133)</f>
        <v>2</v>
      </c>
      <c r="BQ133" s="13">
        <f>SUM(I133,N133,S133,X133,AC133,AH133,AM133,AR133,AW133,BB133,BG133,BL133)</f>
        <v>86</v>
      </c>
      <c r="BR133" s="14">
        <f>SUM(J133,O133,T133,Y133,AD133,AI133,AN133,AS133,AX133,BC133,BH133,BM133)</f>
        <v>0</v>
      </c>
      <c r="BS133" s="33">
        <f t="shared" si="12"/>
        <v>116</v>
      </c>
    </row>
    <row r="134" spans="2:71" x14ac:dyDescent="0.3">
      <c r="B134" s="269"/>
      <c r="C134" s="230"/>
      <c r="D134" s="233"/>
      <c r="E134" s="239"/>
      <c r="F134" s="178" t="s">
        <v>659</v>
      </c>
      <c r="G134" s="179">
        <v>3</v>
      </c>
      <c r="H134" s="180">
        <v>9</v>
      </c>
      <c r="I134" s="180">
        <v>14</v>
      </c>
      <c r="J134" s="181"/>
      <c r="K134" s="182">
        <f t="shared" si="84"/>
        <v>26</v>
      </c>
      <c r="L134" s="179">
        <v>3</v>
      </c>
      <c r="M134" s="180">
        <v>9</v>
      </c>
      <c r="N134" s="180">
        <v>18</v>
      </c>
      <c r="O134" s="181"/>
      <c r="P134" s="182">
        <f t="shared" ref="P134:P147" si="85">SUM(L134:O134)</f>
        <v>30</v>
      </c>
      <c r="Q134" s="179"/>
      <c r="R134" s="180">
        <v>5</v>
      </c>
      <c r="S134" s="180">
        <v>12</v>
      </c>
      <c r="T134" s="181"/>
      <c r="U134" s="182">
        <f t="shared" ref="U134:U147" si="86">SUM(Q134:T134)</f>
        <v>17</v>
      </c>
      <c r="V134" s="179">
        <v>2</v>
      </c>
      <c r="W134" s="180">
        <v>2</v>
      </c>
      <c r="X134" s="180">
        <v>19</v>
      </c>
      <c r="Y134" s="181"/>
      <c r="Z134" s="182">
        <f t="shared" ref="Z134:Z147" si="87">SUM(V134:Y134)</f>
        <v>23</v>
      </c>
      <c r="AA134" s="179">
        <v>2</v>
      </c>
      <c r="AB134" s="180">
        <v>3</v>
      </c>
      <c r="AC134" s="180">
        <v>28</v>
      </c>
      <c r="AD134" s="181"/>
      <c r="AE134" s="182">
        <f t="shared" ref="AE134:AE147" si="88">SUM(AA134:AD134)</f>
        <v>33</v>
      </c>
      <c r="AF134" s="179">
        <v>6</v>
      </c>
      <c r="AG134" s="180">
        <v>4</v>
      </c>
      <c r="AH134" s="180">
        <v>25</v>
      </c>
      <c r="AI134" s="181"/>
      <c r="AJ134" s="182">
        <f t="shared" ref="AJ134:AJ147" si="89">SUM(AF134:AI134)</f>
        <v>35</v>
      </c>
      <c r="AK134" s="179"/>
      <c r="AL134" s="180"/>
      <c r="AM134" s="180"/>
      <c r="AN134" s="181"/>
      <c r="AO134" s="182">
        <f t="shared" si="77"/>
        <v>0</v>
      </c>
      <c r="AP134" s="179"/>
      <c r="AQ134" s="180"/>
      <c r="AR134" s="180"/>
      <c r="AS134" s="181"/>
      <c r="AT134" s="182">
        <f t="shared" si="78"/>
        <v>0</v>
      </c>
      <c r="AU134" s="179">
        <v>8</v>
      </c>
      <c r="AV134" s="180">
        <v>5</v>
      </c>
      <c r="AW134" s="180">
        <v>20</v>
      </c>
      <c r="AX134" s="181"/>
      <c r="AY134" s="182">
        <f t="shared" si="79"/>
        <v>33</v>
      </c>
      <c r="AZ134" s="179">
        <v>21</v>
      </c>
      <c r="BA134" s="180">
        <v>16</v>
      </c>
      <c r="BB134" s="180">
        <v>29</v>
      </c>
      <c r="BC134" s="181"/>
      <c r="BD134" s="182">
        <f t="shared" si="80"/>
        <v>66</v>
      </c>
      <c r="BE134" s="179">
        <v>4</v>
      </c>
      <c r="BF134" s="180">
        <v>4</v>
      </c>
      <c r="BG134" s="180">
        <v>17</v>
      </c>
      <c r="BH134" s="181"/>
      <c r="BI134" s="182">
        <f t="shared" si="81"/>
        <v>25</v>
      </c>
      <c r="BJ134" s="179">
        <v>2</v>
      </c>
      <c r="BK134" s="180">
        <v>5</v>
      </c>
      <c r="BL134" s="180">
        <v>12</v>
      </c>
      <c r="BM134" s="181"/>
      <c r="BN134" s="182">
        <f t="shared" si="82"/>
        <v>19</v>
      </c>
      <c r="BO134" s="184">
        <f>SUM(G134,L134,Q134,V134,AA134,AF134,AK134,AP134,AU134,AZ134,BE134,BJ134)</f>
        <v>51</v>
      </c>
      <c r="BP134" s="180">
        <f>SUM(H134,M134,R134,W134,AB134,AG134,AL134,AQ134,AV134,BA134,BF134,BK134)</f>
        <v>62</v>
      </c>
      <c r="BQ134" s="180">
        <f>SUM(I134,N134,S134,X134,AC134,AH134,AM134,AR134,AW134,BB134,BG134,BL134)</f>
        <v>194</v>
      </c>
      <c r="BR134" s="181">
        <f>SUM(J134,O134,T134,Y134,AD134,AI134,AN134,AS134,AX134,BC134,BH134,BM134)</f>
        <v>0</v>
      </c>
      <c r="BS134" s="183">
        <f t="shared" si="12"/>
        <v>307</v>
      </c>
    </row>
    <row r="135" spans="2:71" x14ac:dyDescent="0.3">
      <c r="B135" s="269"/>
      <c r="C135" s="230"/>
      <c r="D135" s="233"/>
      <c r="E135" s="239"/>
      <c r="F135" s="178" t="s">
        <v>660</v>
      </c>
      <c r="G135" s="179"/>
      <c r="H135" s="180"/>
      <c r="I135" s="180">
        <v>1</v>
      </c>
      <c r="J135" s="181"/>
      <c r="K135" s="182">
        <f t="shared" si="84"/>
        <v>1</v>
      </c>
      <c r="L135" s="179"/>
      <c r="M135" s="180"/>
      <c r="N135" s="180"/>
      <c r="O135" s="181"/>
      <c r="P135" s="182">
        <f t="shared" si="85"/>
        <v>0</v>
      </c>
      <c r="Q135" s="179"/>
      <c r="R135" s="180"/>
      <c r="S135" s="180">
        <v>2</v>
      </c>
      <c r="T135" s="181"/>
      <c r="U135" s="182">
        <f t="shared" si="86"/>
        <v>2</v>
      </c>
      <c r="V135" s="179"/>
      <c r="W135" s="180">
        <v>1</v>
      </c>
      <c r="X135" s="180">
        <v>2</v>
      </c>
      <c r="Y135" s="181"/>
      <c r="Z135" s="182">
        <f t="shared" si="87"/>
        <v>3</v>
      </c>
      <c r="AA135" s="179">
        <v>1</v>
      </c>
      <c r="AB135" s="180"/>
      <c r="AC135" s="180">
        <v>6</v>
      </c>
      <c r="AD135" s="181"/>
      <c r="AE135" s="182">
        <f t="shared" si="88"/>
        <v>7</v>
      </c>
      <c r="AF135" s="179"/>
      <c r="AG135" s="180">
        <v>1</v>
      </c>
      <c r="AH135" s="180">
        <v>2</v>
      </c>
      <c r="AI135" s="181"/>
      <c r="AJ135" s="182">
        <f t="shared" si="89"/>
        <v>3</v>
      </c>
      <c r="AK135" s="179"/>
      <c r="AL135" s="180"/>
      <c r="AM135" s="180"/>
      <c r="AN135" s="181"/>
      <c r="AO135" s="182">
        <f t="shared" si="77"/>
        <v>0</v>
      </c>
      <c r="AP135" s="179"/>
      <c r="AQ135" s="180"/>
      <c r="AR135" s="180"/>
      <c r="AS135" s="181"/>
      <c r="AT135" s="182">
        <f t="shared" si="78"/>
        <v>0</v>
      </c>
      <c r="AU135" s="179">
        <v>2</v>
      </c>
      <c r="AV135" s="180"/>
      <c r="AW135" s="180">
        <v>3</v>
      </c>
      <c r="AX135" s="181"/>
      <c r="AY135" s="182">
        <f t="shared" si="79"/>
        <v>5</v>
      </c>
      <c r="AZ135" s="179">
        <v>1</v>
      </c>
      <c r="BA135" s="180">
        <v>2</v>
      </c>
      <c r="BB135" s="180">
        <v>5</v>
      </c>
      <c r="BC135" s="181"/>
      <c r="BD135" s="182">
        <f t="shared" si="80"/>
        <v>8</v>
      </c>
      <c r="BE135" s="179"/>
      <c r="BF135" s="180"/>
      <c r="BG135" s="180">
        <v>2</v>
      </c>
      <c r="BH135" s="181"/>
      <c r="BI135" s="182">
        <f t="shared" si="81"/>
        <v>2</v>
      </c>
      <c r="BJ135" s="179"/>
      <c r="BK135" s="180"/>
      <c r="BL135" s="180">
        <v>1</v>
      </c>
      <c r="BM135" s="181"/>
      <c r="BN135" s="182">
        <f t="shared" si="82"/>
        <v>1</v>
      </c>
      <c r="BO135" s="184">
        <f>SUM(G135,L135,Q135,V135,AA135,AF135,AK135,AP135,AU135,AZ135,BE135,BJ135)</f>
        <v>4</v>
      </c>
      <c r="BP135" s="180">
        <f>SUM(H135,M135,R135,W135,AB135,AG135,AL135,AQ135,AV135,BA135,BF135,BK135)</f>
        <v>4</v>
      </c>
      <c r="BQ135" s="180">
        <f>SUM(I135,N135,S135,X135,AC135,AH135,AM135,AR135,AW135,BB135,BG135,BL135)</f>
        <v>24</v>
      </c>
      <c r="BR135" s="181">
        <f>SUM(J135,O135,T135,Y135,AD135,AI135,AN135,AS135,AX135,BC135,BH135,BM135)</f>
        <v>0</v>
      </c>
      <c r="BS135" s="183">
        <f t="shared" si="12"/>
        <v>32</v>
      </c>
    </row>
    <row r="136" spans="2:71" x14ac:dyDescent="0.3">
      <c r="B136" s="269"/>
      <c r="C136" s="230"/>
      <c r="D136" s="233"/>
      <c r="E136" s="239"/>
      <c r="F136" s="178" t="s">
        <v>661</v>
      </c>
      <c r="G136" s="179"/>
      <c r="H136" s="180"/>
      <c r="I136" s="180"/>
      <c r="J136" s="181"/>
      <c r="K136" s="182">
        <f t="shared" si="84"/>
        <v>0</v>
      </c>
      <c r="L136" s="179"/>
      <c r="M136" s="180"/>
      <c r="N136" s="180"/>
      <c r="O136" s="181"/>
      <c r="P136" s="182">
        <f t="shared" si="85"/>
        <v>0</v>
      </c>
      <c r="Q136" s="179"/>
      <c r="R136" s="180"/>
      <c r="S136" s="180"/>
      <c r="T136" s="181"/>
      <c r="U136" s="182">
        <f t="shared" si="86"/>
        <v>0</v>
      </c>
      <c r="V136" s="179"/>
      <c r="W136" s="180"/>
      <c r="X136" s="180"/>
      <c r="Y136" s="181"/>
      <c r="Z136" s="182">
        <f t="shared" si="87"/>
        <v>0</v>
      </c>
      <c r="AA136" s="179"/>
      <c r="AB136" s="180"/>
      <c r="AC136" s="180"/>
      <c r="AD136" s="181"/>
      <c r="AE136" s="182">
        <f t="shared" si="88"/>
        <v>0</v>
      </c>
      <c r="AF136" s="179"/>
      <c r="AG136" s="180"/>
      <c r="AH136" s="180"/>
      <c r="AI136" s="181"/>
      <c r="AJ136" s="182">
        <f t="shared" si="89"/>
        <v>0</v>
      </c>
      <c r="AK136" s="179">
        <v>16</v>
      </c>
      <c r="AL136" s="180">
        <v>33</v>
      </c>
      <c r="AM136" s="180">
        <v>84</v>
      </c>
      <c r="AN136" s="181"/>
      <c r="AO136" s="182">
        <f t="shared" si="77"/>
        <v>133</v>
      </c>
      <c r="AP136" s="179">
        <v>51</v>
      </c>
      <c r="AQ136" s="180">
        <v>29</v>
      </c>
      <c r="AR136" s="180">
        <v>137</v>
      </c>
      <c r="AS136" s="181"/>
      <c r="AT136" s="182">
        <f t="shared" si="78"/>
        <v>217</v>
      </c>
      <c r="AU136" s="179"/>
      <c r="AV136" s="180"/>
      <c r="AW136" s="180"/>
      <c r="AX136" s="181"/>
      <c r="AY136" s="182">
        <f t="shared" si="79"/>
        <v>0</v>
      </c>
      <c r="AZ136" s="179"/>
      <c r="BA136" s="180"/>
      <c r="BB136" s="180"/>
      <c r="BC136" s="181"/>
      <c r="BD136" s="182">
        <f t="shared" si="80"/>
        <v>0</v>
      </c>
      <c r="BE136" s="179"/>
      <c r="BF136" s="180"/>
      <c r="BG136" s="180"/>
      <c r="BH136" s="181"/>
      <c r="BI136" s="182">
        <f t="shared" si="81"/>
        <v>0</v>
      </c>
      <c r="BJ136" s="179"/>
      <c r="BK136" s="180"/>
      <c r="BL136" s="180"/>
      <c r="BM136" s="181"/>
      <c r="BN136" s="182">
        <f t="shared" si="82"/>
        <v>0</v>
      </c>
      <c r="BO136" s="184">
        <f>SUM(G136,L136,Q136,V136,AA136,AF136,AK136,AP136,AU136,AZ136,BE136,BJ136)</f>
        <v>67</v>
      </c>
      <c r="BP136" s="180">
        <f>SUM(H136,M136,R136,W136,AB136,AG136,AL136,AQ136,AV136,BA136,BF136,BK136)</f>
        <v>62</v>
      </c>
      <c r="BQ136" s="180">
        <f>SUM(I136,N136,S136,X136,AC136,AH136,AM136,AR136,AW136,BB136,BG136,BL136)</f>
        <v>221</v>
      </c>
      <c r="BR136" s="181">
        <f>SUM(J136,O136,T136,Y136,AD136,AI136,AN136,AS136,AX136,BC136,BH136,BM136)</f>
        <v>0</v>
      </c>
      <c r="BS136" s="183">
        <f t="shared" si="12"/>
        <v>350</v>
      </c>
    </row>
    <row r="137" spans="2:71" x14ac:dyDescent="0.3">
      <c r="B137" s="269"/>
      <c r="C137" s="230"/>
      <c r="D137" s="233"/>
      <c r="E137" s="239"/>
      <c r="F137" s="178" t="s">
        <v>662</v>
      </c>
      <c r="G137" s="179"/>
      <c r="H137" s="180"/>
      <c r="I137" s="180"/>
      <c r="J137" s="181"/>
      <c r="K137" s="182">
        <f t="shared" si="84"/>
        <v>0</v>
      </c>
      <c r="L137" s="179"/>
      <c r="M137" s="180"/>
      <c r="N137" s="180"/>
      <c r="O137" s="181"/>
      <c r="P137" s="182">
        <f t="shared" si="85"/>
        <v>0</v>
      </c>
      <c r="Q137" s="179"/>
      <c r="R137" s="180"/>
      <c r="S137" s="180"/>
      <c r="T137" s="181"/>
      <c r="U137" s="182">
        <f t="shared" si="86"/>
        <v>0</v>
      </c>
      <c r="V137" s="179"/>
      <c r="W137" s="180"/>
      <c r="X137" s="180"/>
      <c r="Y137" s="181"/>
      <c r="Z137" s="182">
        <f t="shared" si="87"/>
        <v>0</v>
      </c>
      <c r="AA137" s="179"/>
      <c r="AB137" s="180"/>
      <c r="AC137" s="180"/>
      <c r="AD137" s="181"/>
      <c r="AE137" s="182">
        <f t="shared" si="88"/>
        <v>0</v>
      </c>
      <c r="AF137" s="179"/>
      <c r="AG137" s="180"/>
      <c r="AH137" s="180"/>
      <c r="AI137" s="181"/>
      <c r="AJ137" s="182">
        <f t="shared" si="89"/>
        <v>0</v>
      </c>
      <c r="AK137" s="179"/>
      <c r="AL137" s="180">
        <v>2</v>
      </c>
      <c r="AM137" s="180">
        <v>9</v>
      </c>
      <c r="AN137" s="181"/>
      <c r="AO137" s="182">
        <f t="shared" si="77"/>
        <v>11</v>
      </c>
      <c r="AP137" s="179">
        <v>4</v>
      </c>
      <c r="AQ137" s="180">
        <v>5</v>
      </c>
      <c r="AR137" s="180">
        <v>20</v>
      </c>
      <c r="AS137" s="181"/>
      <c r="AT137" s="182">
        <f t="shared" si="78"/>
        <v>29</v>
      </c>
      <c r="AU137" s="179"/>
      <c r="AV137" s="180"/>
      <c r="AW137" s="180"/>
      <c r="AX137" s="181"/>
      <c r="AY137" s="182">
        <f t="shared" si="79"/>
        <v>0</v>
      </c>
      <c r="AZ137" s="179"/>
      <c r="BA137" s="180"/>
      <c r="BB137" s="180"/>
      <c r="BC137" s="181"/>
      <c r="BD137" s="182">
        <f t="shared" si="80"/>
        <v>0</v>
      </c>
      <c r="BE137" s="179"/>
      <c r="BF137" s="180"/>
      <c r="BG137" s="180"/>
      <c r="BH137" s="181"/>
      <c r="BI137" s="182">
        <f t="shared" si="81"/>
        <v>0</v>
      </c>
      <c r="BJ137" s="179"/>
      <c r="BK137" s="180"/>
      <c r="BL137" s="180"/>
      <c r="BM137" s="181"/>
      <c r="BN137" s="182">
        <f t="shared" si="82"/>
        <v>0</v>
      </c>
      <c r="BO137" s="184">
        <f>SUM(G137,L137,Q137,V137,AA137,AF137,AK137,AP137,AU137,AZ137,BE137,BJ137)</f>
        <v>4</v>
      </c>
      <c r="BP137" s="180">
        <f>SUM(H137,M137,R137,W137,AB137,AG137,AL137,AQ137,AV137,BA137,BF137,BK137)</f>
        <v>7</v>
      </c>
      <c r="BQ137" s="180">
        <f>SUM(I137,N137,S137,X137,AC137,AH137,AM137,AR137,AW137,BB137,BG137,BL137)</f>
        <v>29</v>
      </c>
      <c r="BR137" s="181">
        <f>SUM(J137,O137,T137,Y137,AD137,AI137,AN137,AS137,AX137,BC137,BH137,BM137)</f>
        <v>0</v>
      </c>
      <c r="BS137" s="183">
        <f t="shared" si="12"/>
        <v>40</v>
      </c>
    </row>
    <row r="138" spans="2:71" x14ac:dyDescent="0.3">
      <c r="B138" s="269"/>
      <c r="C138" s="230"/>
      <c r="D138" s="233"/>
      <c r="E138" s="239"/>
      <c r="F138" s="171" t="s">
        <v>442</v>
      </c>
      <c r="G138" s="172">
        <f>8+268</f>
        <v>276</v>
      </c>
      <c r="H138" s="173"/>
      <c r="I138" s="173"/>
      <c r="J138" s="174"/>
      <c r="K138" s="175">
        <f t="shared" si="84"/>
        <v>276</v>
      </c>
      <c r="L138" s="172">
        <v>221</v>
      </c>
      <c r="M138" s="173"/>
      <c r="N138" s="173"/>
      <c r="O138" s="174"/>
      <c r="P138" s="175">
        <f t="shared" si="85"/>
        <v>221</v>
      </c>
      <c r="Q138" s="172">
        <v>48</v>
      </c>
      <c r="R138" s="173"/>
      <c r="S138" s="173"/>
      <c r="T138" s="174"/>
      <c r="U138" s="175">
        <f t="shared" si="86"/>
        <v>48</v>
      </c>
      <c r="V138" s="172">
        <v>189</v>
      </c>
      <c r="W138" s="173"/>
      <c r="X138" s="173"/>
      <c r="Y138" s="174"/>
      <c r="Z138" s="175">
        <f t="shared" si="87"/>
        <v>189</v>
      </c>
      <c r="AA138" s="172">
        <v>555</v>
      </c>
      <c r="AB138" s="173"/>
      <c r="AC138" s="173"/>
      <c r="AD138" s="174"/>
      <c r="AE138" s="175">
        <f t="shared" si="88"/>
        <v>555</v>
      </c>
      <c r="AF138" s="172">
        <v>142</v>
      </c>
      <c r="AG138" s="173"/>
      <c r="AH138" s="173"/>
      <c r="AI138" s="174"/>
      <c r="AJ138" s="175">
        <f t="shared" si="89"/>
        <v>142</v>
      </c>
      <c r="AK138" s="172">
        <v>65</v>
      </c>
      <c r="AL138" s="173"/>
      <c r="AM138" s="173"/>
      <c r="AN138" s="174"/>
      <c r="AO138" s="175">
        <f t="shared" si="77"/>
        <v>65</v>
      </c>
      <c r="AP138" s="172">
        <v>143</v>
      </c>
      <c r="AQ138" s="173"/>
      <c r="AR138" s="173"/>
      <c r="AS138" s="174"/>
      <c r="AT138" s="175">
        <f t="shared" si="78"/>
        <v>143</v>
      </c>
      <c r="AU138" s="172"/>
      <c r="AV138" s="173"/>
      <c r="AW138" s="173"/>
      <c r="AX138" s="174"/>
      <c r="AY138" s="175">
        <f t="shared" si="79"/>
        <v>0</v>
      </c>
      <c r="AZ138" s="172"/>
      <c r="BA138" s="173"/>
      <c r="BB138" s="173"/>
      <c r="BC138" s="174"/>
      <c r="BD138" s="175">
        <f t="shared" si="80"/>
        <v>0</v>
      </c>
      <c r="BE138" s="172">
        <v>76</v>
      </c>
      <c r="BF138" s="173"/>
      <c r="BG138" s="173"/>
      <c r="BH138" s="174"/>
      <c r="BI138" s="175">
        <f t="shared" si="81"/>
        <v>76</v>
      </c>
      <c r="BJ138" s="172">
        <v>43</v>
      </c>
      <c r="BK138" s="173"/>
      <c r="BL138" s="173"/>
      <c r="BM138" s="174"/>
      <c r="BN138" s="175">
        <f t="shared" si="82"/>
        <v>43</v>
      </c>
      <c r="BO138" s="177">
        <f>SUM(G138,L138,Q138,V138,AA138,AF138,AK138,AP138,AU138,AZ138,BE138,BJ138)</f>
        <v>1758</v>
      </c>
      <c r="BP138" s="173">
        <f>SUM(H138,M138,R138,W138,AB138,AG138,AL138,AQ138,AV138,BA138,BF138,BK138)</f>
        <v>0</v>
      </c>
      <c r="BQ138" s="173">
        <f>SUM(I138,N138,S138,X138,AC138,AH138,AM138,AR138,AW138,BB138,BG138,BL138)</f>
        <v>0</v>
      </c>
      <c r="BR138" s="174">
        <f>SUM(J138,O138,T138,Y138,AD138,AI138,AN138,AS138,AX138,BC138,BH138,BM138)</f>
        <v>0</v>
      </c>
      <c r="BS138" s="176">
        <f t="shared" si="12"/>
        <v>1758</v>
      </c>
    </row>
    <row r="139" spans="2:71" x14ac:dyDescent="0.3">
      <c r="B139" s="269"/>
      <c r="C139" s="230"/>
      <c r="D139" s="233"/>
      <c r="E139" s="239"/>
      <c r="F139" s="178" t="s">
        <v>443</v>
      </c>
      <c r="G139" s="179">
        <f>8+267</f>
        <v>275</v>
      </c>
      <c r="H139" s="180"/>
      <c r="I139" s="180"/>
      <c r="J139" s="181"/>
      <c r="K139" s="182">
        <f t="shared" si="84"/>
        <v>275</v>
      </c>
      <c r="L139" s="179">
        <v>221</v>
      </c>
      <c r="M139" s="180"/>
      <c r="N139" s="180"/>
      <c r="O139" s="181"/>
      <c r="P139" s="182">
        <f t="shared" si="85"/>
        <v>221</v>
      </c>
      <c r="Q139" s="179">
        <v>48</v>
      </c>
      <c r="R139" s="180"/>
      <c r="S139" s="180"/>
      <c r="T139" s="181"/>
      <c r="U139" s="182">
        <f t="shared" si="86"/>
        <v>48</v>
      </c>
      <c r="V139" s="179">
        <v>188</v>
      </c>
      <c r="W139" s="180"/>
      <c r="X139" s="180"/>
      <c r="Y139" s="181"/>
      <c r="Z139" s="182">
        <f t="shared" si="87"/>
        <v>188</v>
      </c>
      <c r="AA139" s="179">
        <v>548</v>
      </c>
      <c r="AB139" s="180"/>
      <c r="AC139" s="180"/>
      <c r="AD139" s="181"/>
      <c r="AE139" s="182">
        <f t="shared" si="88"/>
        <v>548</v>
      </c>
      <c r="AF139" s="179">
        <v>139</v>
      </c>
      <c r="AG139" s="180"/>
      <c r="AH139" s="180"/>
      <c r="AI139" s="181"/>
      <c r="AJ139" s="182">
        <f t="shared" si="89"/>
        <v>139</v>
      </c>
      <c r="AK139" s="179">
        <v>63</v>
      </c>
      <c r="AL139" s="180"/>
      <c r="AM139" s="180"/>
      <c r="AN139" s="181"/>
      <c r="AO139" s="182">
        <f t="shared" si="77"/>
        <v>63</v>
      </c>
      <c r="AP139" s="179">
        <v>138</v>
      </c>
      <c r="AQ139" s="180"/>
      <c r="AR139" s="180"/>
      <c r="AS139" s="181"/>
      <c r="AT139" s="182">
        <f t="shared" si="78"/>
        <v>138</v>
      </c>
      <c r="AU139" s="179"/>
      <c r="AV139" s="180"/>
      <c r="AW139" s="180"/>
      <c r="AX139" s="181"/>
      <c r="AY139" s="182">
        <f t="shared" si="79"/>
        <v>0</v>
      </c>
      <c r="AZ139" s="179"/>
      <c r="BA139" s="180"/>
      <c r="BB139" s="180"/>
      <c r="BC139" s="181"/>
      <c r="BD139" s="182">
        <f t="shared" si="80"/>
        <v>0</v>
      </c>
      <c r="BE139" s="179">
        <v>74</v>
      </c>
      <c r="BF139" s="180"/>
      <c r="BG139" s="180"/>
      <c r="BH139" s="181"/>
      <c r="BI139" s="182">
        <f t="shared" si="81"/>
        <v>74</v>
      </c>
      <c r="BJ139" s="179">
        <v>42</v>
      </c>
      <c r="BK139" s="180"/>
      <c r="BL139" s="180"/>
      <c r="BM139" s="181"/>
      <c r="BN139" s="182">
        <f t="shared" si="82"/>
        <v>42</v>
      </c>
      <c r="BO139" s="184">
        <f>SUM(G139,L139,Q139,V139,AA139,AF139,AK139,AP139,AU139,AZ139,BE139,BJ139)</f>
        <v>1736</v>
      </c>
      <c r="BP139" s="180">
        <f>SUM(H139,M139,R139,W139,AB139,AG139,AL139,AQ139,AV139,BA139,BF139,BK139)</f>
        <v>0</v>
      </c>
      <c r="BQ139" s="180">
        <f>SUM(I139,N139,S139,X139,AC139,AH139,AM139,AR139,AW139,BB139,BG139,BL139)</f>
        <v>0</v>
      </c>
      <c r="BR139" s="181">
        <f>SUM(J139,O139,T139,Y139,AD139,AI139,AN139,AS139,AX139,BC139,BH139,BM139)</f>
        <v>0</v>
      </c>
      <c r="BS139" s="183">
        <f t="shared" si="12"/>
        <v>1736</v>
      </c>
    </row>
    <row r="140" spans="2:71" x14ac:dyDescent="0.3">
      <c r="B140" s="269"/>
      <c r="C140" s="230"/>
      <c r="D140" s="233"/>
      <c r="E140" s="239"/>
      <c r="F140" s="178" t="s">
        <v>444</v>
      </c>
      <c r="G140" s="179">
        <f>2+9</f>
        <v>11</v>
      </c>
      <c r="H140" s="180"/>
      <c r="I140" s="180"/>
      <c r="J140" s="181"/>
      <c r="K140" s="182">
        <f t="shared" si="84"/>
        <v>11</v>
      </c>
      <c r="L140" s="179">
        <v>7</v>
      </c>
      <c r="M140" s="180"/>
      <c r="N140" s="180"/>
      <c r="O140" s="181"/>
      <c r="P140" s="182">
        <f t="shared" si="85"/>
        <v>7</v>
      </c>
      <c r="Q140" s="179">
        <v>1</v>
      </c>
      <c r="R140" s="180"/>
      <c r="S140" s="180"/>
      <c r="T140" s="181"/>
      <c r="U140" s="182">
        <f t="shared" si="86"/>
        <v>1</v>
      </c>
      <c r="V140" s="179">
        <v>13</v>
      </c>
      <c r="W140" s="180"/>
      <c r="X140" s="180"/>
      <c r="Y140" s="181"/>
      <c r="Z140" s="182">
        <f t="shared" si="87"/>
        <v>13</v>
      </c>
      <c r="AA140" s="179">
        <v>62</v>
      </c>
      <c r="AB140" s="180"/>
      <c r="AC140" s="180"/>
      <c r="AD140" s="181"/>
      <c r="AE140" s="182">
        <f t="shared" si="88"/>
        <v>62</v>
      </c>
      <c r="AF140" s="179">
        <v>14</v>
      </c>
      <c r="AG140" s="180"/>
      <c r="AH140" s="180"/>
      <c r="AI140" s="181"/>
      <c r="AJ140" s="182">
        <f t="shared" si="89"/>
        <v>14</v>
      </c>
      <c r="AK140" s="179">
        <v>9</v>
      </c>
      <c r="AL140" s="180"/>
      <c r="AM140" s="180"/>
      <c r="AN140" s="181"/>
      <c r="AO140" s="182">
        <f t="shared" si="77"/>
        <v>9</v>
      </c>
      <c r="AP140" s="179">
        <v>30</v>
      </c>
      <c r="AQ140" s="180"/>
      <c r="AR140" s="180"/>
      <c r="AS140" s="181"/>
      <c r="AT140" s="182">
        <f t="shared" si="78"/>
        <v>30</v>
      </c>
      <c r="AU140" s="179"/>
      <c r="AV140" s="180"/>
      <c r="AW140" s="180"/>
      <c r="AX140" s="181"/>
      <c r="AY140" s="182">
        <f t="shared" si="79"/>
        <v>0</v>
      </c>
      <c r="AZ140" s="179"/>
      <c r="BA140" s="180"/>
      <c r="BB140" s="180"/>
      <c r="BC140" s="181"/>
      <c r="BD140" s="182">
        <f t="shared" si="80"/>
        <v>0</v>
      </c>
      <c r="BE140" s="179">
        <v>18</v>
      </c>
      <c r="BF140" s="180"/>
      <c r="BG140" s="180"/>
      <c r="BH140" s="181"/>
      <c r="BI140" s="182">
        <f t="shared" si="81"/>
        <v>18</v>
      </c>
      <c r="BJ140" s="179">
        <v>10</v>
      </c>
      <c r="BK140" s="180"/>
      <c r="BL140" s="180"/>
      <c r="BM140" s="181"/>
      <c r="BN140" s="182">
        <f t="shared" si="82"/>
        <v>10</v>
      </c>
      <c r="BO140" s="184">
        <f>SUM(G140,L140,Q140,V140,AA140,AF140,AK140,AP140,AU140,AZ140,BE140,BJ140)</f>
        <v>175</v>
      </c>
      <c r="BP140" s="180">
        <f>SUM(H140,M140,R140,W140,AB140,AG140,AL140,AQ140,AV140,BA140,BF140,BK140)</f>
        <v>0</v>
      </c>
      <c r="BQ140" s="180">
        <f>SUM(I140,N140,S140,X140,AC140,AH140,AM140,AR140,AW140,BB140,BG140,BL140)</f>
        <v>0</v>
      </c>
      <c r="BR140" s="181">
        <f>SUM(J140,O140,T140,Y140,AD140,AI140,AN140,AS140,AX140,BC140,BH140,BM140)</f>
        <v>0</v>
      </c>
      <c r="BS140" s="183">
        <f t="shared" si="12"/>
        <v>175</v>
      </c>
    </row>
    <row r="141" spans="2:71" x14ac:dyDescent="0.3">
      <c r="B141" s="269"/>
      <c r="C141" s="230"/>
      <c r="D141" s="233"/>
      <c r="E141" s="239"/>
      <c r="F141" s="171" t="s">
        <v>445</v>
      </c>
      <c r="G141" s="172">
        <f>2+9</f>
        <v>11</v>
      </c>
      <c r="H141" s="173"/>
      <c r="I141" s="173"/>
      <c r="J141" s="174"/>
      <c r="K141" s="175">
        <f t="shared" ref="K141" si="90">SUM(G141:J141)</f>
        <v>11</v>
      </c>
      <c r="L141" s="172">
        <v>7</v>
      </c>
      <c r="M141" s="173"/>
      <c r="N141" s="173"/>
      <c r="O141" s="174"/>
      <c r="P141" s="175">
        <f t="shared" si="85"/>
        <v>7</v>
      </c>
      <c r="Q141" s="172"/>
      <c r="R141" s="173"/>
      <c r="S141" s="173"/>
      <c r="T141" s="174"/>
      <c r="U141" s="175">
        <f t="shared" si="86"/>
        <v>0</v>
      </c>
      <c r="V141" s="172">
        <v>13</v>
      </c>
      <c r="W141" s="173"/>
      <c r="X141" s="173"/>
      <c r="Y141" s="174"/>
      <c r="Z141" s="175">
        <f t="shared" si="87"/>
        <v>13</v>
      </c>
      <c r="AA141" s="172">
        <v>62</v>
      </c>
      <c r="AB141" s="173"/>
      <c r="AC141" s="173"/>
      <c r="AD141" s="174"/>
      <c r="AE141" s="175">
        <f t="shared" si="88"/>
        <v>62</v>
      </c>
      <c r="AF141" s="172">
        <v>14</v>
      </c>
      <c r="AG141" s="173"/>
      <c r="AH141" s="173"/>
      <c r="AI141" s="174"/>
      <c r="AJ141" s="175">
        <f t="shared" si="89"/>
        <v>14</v>
      </c>
      <c r="AK141" s="172">
        <v>9</v>
      </c>
      <c r="AL141" s="173"/>
      <c r="AM141" s="173"/>
      <c r="AN141" s="174"/>
      <c r="AO141" s="175">
        <f t="shared" si="77"/>
        <v>9</v>
      </c>
      <c r="AP141" s="172">
        <v>30</v>
      </c>
      <c r="AQ141" s="173"/>
      <c r="AR141" s="173"/>
      <c r="AS141" s="174"/>
      <c r="AT141" s="175">
        <f t="shared" si="78"/>
        <v>30</v>
      </c>
      <c r="AU141" s="172"/>
      <c r="AV141" s="173"/>
      <c r="AW141" s="173"/>
      <c r="AX141" s="174"/>
      <c r="AY141" s="175">
        <f t="shared" si="79"/>
        <v>0</v>
      </c>
      <c r="AZ141" s="172"/>
      <c r="BA141" s="173"/>
      <c r="BB141" s="173"/>
      <c r="BC141" s="174"/>
      <c r="BD141" s="175">
        <f t="shared" si="80"/>
        <v>0</v>
      </c>
      <c r="BE141" s="172">
        <v>18</v>
      </c>
      <c r="BF141" s="173"/>
      <c r="BG141" s="173"/>
      <c r="BH141" s="174"/>
      <c r="BI141" s="175">
        <f t="shared" si="81"/>
        <v>18</v>
      </c>
      <c r="BJ141" s="172">
        <v>9</v>
      </c>
      <c r="BK141" s="173"/>
      <c r="BL141" s="173"/>
      <c r="BM141" s="174"/>
      <c r="BN141" s="175">
        <f t="shared" si="82"/>
        <v>9</v>
      </c>
      <c r="BO141" s="177">
        <f>SUM(G141,L141,Q141,V141,AA141,AF141,AK141,AP141,AU141,AZ141,BE141,BJ141)</f>
        <v>173</v>
      </c>
      <c r="BP141" s="173">
        <f>SUM(H141,M141,R141,W141,AB141,AG141,AL141,AQ141,AV141,BA141,BF141,BK141)</f>
        <v>0</v>
      </c>
      <c r="BQ141" s="173">
        <f>SUM(I141,N141,S141,X141,AC141,AH141,AM141,AR141,AW141,BB141,BG141,BL141)</f>
        <v>0</v>
      </c>
      <c r="BR141" s="174">
        <f>SUM(J141,O141,T141,Y141,AD141,AI141,AN141,AS141,AX141,BC141,BH141,BM141)</f>
        <v>0</v>
      </c>
      <c r="BS141" s="176">
        <f t="shared" si="12"/>
        <v>173</v>
      </c>
    </row>
    <row r="142" spans="2:71" x14ac:dyDescent="0.3">
      <c r="B142" s="269"/>
      <c r="C142" s="230"/>
      <c r="D142" s="233"/>
      <c r="E142" s="239"/>
      <c r="F142" s="121" t="s">
        <v>446</v>
      </c>
      <c r="G142" s="32">
        <v>585</v>
      </c>
      <c r="H142" s="13"/>
      <c r="I142" s="13"/>
      <c r="J142" s="14"/>
      <c r="K142" s="15">
        <f t="shared" ref="K142:K143" si="91">SUM(G142:J142)</f>
        <v>585</v>
      </c>
      <c r="L142" s="32">
        <v>399</v>
      </c>
      <c r="M142" s="13"/>
      <c r="N142" s="13"/>
      <c r="O142" s="14"/>
      <c r="P142" s="15">
        <f t="shared" si="85"/>
        <v>399</v>
      </c>
      <c r="Q142" s="32">
        <v>85</v>
      </c>
      <c r="R142" s="13"/>
      <c r="S142" s="13"/>
      <c r="T142" s="14"/>
      <c r="U142" s="15">
        <f t="shared" si="86"/>
        <v>85</v>
      </c>
      <c r="V142" s="32">
        <v>396</v>
      </c>
      <c r="W142" s="13"/>
      <c r="X142" s="13"/>
      <c r="Y142" s="14"/>
      <c r="Z142" s="15">
        <f t="shared" si="87"/>
        <v>396</v>
      </c>
      <c r="AA142" s="32">
        <v>779</v>
      </c>
      <c r="AB142" s="13"/>
      <c r="AC142" s="13"/>
      <c r="AD142" s="14"/>
      <c r="AE142" s="15">
        <f t="shared" si="88"/>
        <v>779</v>
      </c>
      <c r="AF142" s="32">
        <v>184</v>
      </c>
      <c r="AG142" s="13"/>
      <c r="AH142" s="13"/>
      <c r="AI142" s="14"/>
      <c r="AJ142" s="15">
        <f t="shared" si="89"/>
        <v>184</v>
      </c>
      <c r="AK142" s="32">
        <v>141</v>
      </c>
      <c r="AL142" s="13"/>
      <c r="AM142" s="13"/>
      <c r="AN142" s="14"/>
      <c r="AO142" s="15">
        <f t="shared" si="77"/>
        <v>141</v>
      </c>
      <c r="AP142" s="32">
        <v>270</v>
      </c>
      <c r="AQ142" s="13"/>
      <c r="AR142" s="13"/>
      <c r="AS142" s="14"/>
      <c r="AT142" s="15">
        <f t="shared" si="78"/>
        <v>270</v>
      </c>
      <c r="AU142" s="32"/>
      <c r="AV142" s="13"/>
      <c r="AW142" s="13"/>
      <c r="AX142" s="14"/>
      <c r="AY142" s="15">
        <f t="shared" si="79"/>
        <v>0</v>
      </c>
      <c r="AZ142" s="32"/>
      <c r="BA142" s="13"/>
      <c r="BB142" s="13"/>
      <c r="BC142" s="14"/>
      <c r="BD142" s="15">
        <f t="shared" si="80"/>
        <v>0</v>
      </c>
      <c r="BE142" s="32">
        <v>110</v>
      </c>
      <c r="BF142" s="13"/>
      <c r="BG142" s="13"/>
      <c r="BH142" s="14"/>
      <c r="BI142" s="15">
        <f t="shared" si="81"/>
        <v>110</v>
      </c>
      <c r="BJ142" s="32">
        <v>66</v>
      </c>
      <c r="BK142" s="13"/>
      <c r="BL142" s="13"/>
      <c r="BM142" s="14"/>
      <c r="BN142" s="15">
        <f t="shared" si="82"/>
        <v>66</v>
      </c>
      <c r="BO142" s="66">
        <f>SUM(G142,L142,Q142,V142,AA142,AF142,AK142,AP142,AU142,AZ142,BE142,BJ142)</f>
        <v>3015</v>
      </c>
      <c r="BP142" s="13">
        <f>SUM(H142,M142,R142,W142,AB142,AG142,AL142,AQ142,AV142,BA142,BF142,BK142)</f>
        <v>0</v>
      </c>
      <c r="BQ142" s="13">
        <f>SUM(I142,N142,S142,X142,AC142,AH142,AM142,AR142,AW142,BB142,BG142,BL142)</f>
        <v>0</v>
      </c>
      <c r="BR142" s="14">
        <f>SUM(J142,O142,T142,Y142,AD142,AI142,AN142,AS142,AX142,BC142,BH142,BM142)</f>
        <v>0</v>
      </c>
      <c r="BS142" s="33">
        <f t="shared" si="12"/>
        <v>3015</v>
      </c>
    </row>
    <row r="143" spans="2:71" x14ac:dyDescent="0.3">
      <c r="B143" s="269"/>
      <c r="C143" s="230"/>
      <c r="D143" s="233"/>
      <c r="E143" s="239"/>
      <c r="F143" s="121" t="s">
        <v>447</v>
      </c>
      <c r="G143" s="32">
        <v>587</v>
      </c>
      <c r="H143" s="13"/>
      <c r="I143" s="13"/>
      <c r="J143" s="14"/>
      <c r="K143" s="15">
        <f t="shared" si="91"/>
        <v>587</v>
      </c>
      <c r="L143" s="32">
        <v>399</v>
      </c>
      <c r="M143" s="13"/>
      <c r="N143" s="13"/>
      <c r="O143" s="14"/>
      <c r="P143" s="15">
        <f t="shared" si="85"/>
        <v>399</v>
      </c>
      <c r="Q143" s="32">
        <v>85</v>
      </c>
      <c r="R143" s="13"/>
      <c r="S143" s="13"/>
      <c r="T143" s="14"/>
      <c r="U143" s="15">
        <f t="shared" si="86"/>
        <v>85</v>
      </c>
      <c r="V143" s="32">
        <v>398</v>
      </c>
      <c r="W143" s="13"/>
      <c r="X143" s="13"/>
      <c r="Y143" s="14"/>
      <c r="Z143" s="15">
        <f t="shared" si="87"/>
        <v>398</v>
      </c>
      <c r="AA143" s="32">
        <v>781</v>
      </c>
      <c r="AB143" s="13"/>
      <c r="AC143" s="13"/>
      <c r="AD143" s="14"/>
      <c r="AE143" s="15">
        <f t="shared" si="88"/>
        <v>781</v>
      </c>
      <c r="AF143" s="32">
        <v>186</v>
      </c>
      <c r="AG143" s="13"/>
      <c r="AH143" s="13"/>
      <c r="AI143" s="14"/>
      <c r="AJ143" s="15">
        <f t="shared" si="89"/>
        <v>186</v>
      </c>
      <c r="AK143" s="32">
        <v>141</v>
      </c>
      <c r="AL143" s="13"/>
      <c r="AM143" s="13"/>
      <c r="AN143" s="14"/>
      <c r="AO143" s="15">
        <f t="shared" si="77"/>
        <v>141</v>
      </c>
      <c r="AP143" s="32">
        <v>270</v>
      </c>
      <c r="AQ143" s="13"/>
      <c r="AR143" s="13"/>
      <c r="AS143" s="14"/>
      <c r="AT143" s="15">
        <f t="shared" si="78"/>
        <v>270</v>
      </c>
      <c r="AU143" s="32"/>
      <c r="AV143" s="13"/>
      <c r="AW143" s="13"/>
      <c r="AX143" s="14"/>
      <c r="AY143" s="15">
        <f t="shared" si="79"/>
        <v>0</v>
      </c>
      <c r="AZ143" s="32"/>
      <c r="BA143" s="13"/>
      <c r="BB143" s="13"/>
      <c r="BC143" s="14"/>
      <c r="BD143" s="15">
        <f t="shared" si="80"/>
        <v>0</v>
      </c>
      <c r="BE143" s="32">
        <v>110</v>
      </c>
      <c r="BF143" s="13"/>
      <c r="BG143" s="13"/>
      <c r="BH143" s="14"/>
      <c r="BI143" s="15">
        <f t="shared" si="81"/>
        <v>110</v>
      </c>
      <c r="BJ143" s="32">
        <v>68</v>
      </c>
      <c r="BK143" s="13"/>
      <c r="BL143" s="13"/>
      <c r="BM143" s="14"/>
      <c r="BN143" s="15">
        <f t="shared" si="82"/>
        <v>68</v>
      </c>
      <c r="BO143" s="66">
        <f>SUM(G143,L143,Q143,V143,AA143,AF143,AK143,AP143,AU143,AZ143,BE143,BJ143)</f>
        <v>3025</v>
      </c>
      <c r="BP143" s="13">
        <f>SUM(H143,M143,R143,W143,AB143,AG143,AL143,AQ143,AV143,BA143,BF143,BK143)</f>
        <v>0</v>
      </c>
      <c r="BQ143" s="13">
        <f>SUM(I143,N143,S143,X143,AC143,AH143,AM143,AR143,AW143,BB143,BG143,BL143)</f>
        <v>0</v>
      </c>
      <c r="BR143" s="14">
        <f>SUM(J143,O143,T143,Y143,AD143,AI143,AN143,AS143,AX143,BC143,BH143,BM143)</f>
        <v>0</v>
      </c>
      <c r="BS143" s="33">
        <f t="shared" si="12"/>
        <v>3025</v>
      </c>
    </row>
    <row r="144" spans="2:71" x14ac:dyDescent="0.3">
      <c r="B144" s="269"/>
      <c r="C144" s="230"/>
      <c r="D144" s="233"/>
      <c r="E144" s="239"/>
      <c r="F144" s="121" t="s">
        <v>448</v>
      </c>
      <c r="G144" s="32">
        <v>50</v>
      </c>
      <c r="H144" s="13"/>
      <c r="I144" s="13"/>
      <c r="J144" s="14"/>
      <c r="K144" s="15">
        <f t="shared" ref="K144" si="92">SUM(G144:J144)</f>
        <v>50</v>
      </c>
      <c r="L144" s="32">
        <v>21</v>
      </c>
      <c r="M144" s="13"/>
      <c r="N144" s="13"/>
      <c r="O144" s="14"/>
      <c r="P144" s="15">
        <f t="shared" si="85"/>
        <v>21</v>
      </c>
      <c r="Q144" s="32">
        <v>5</v>
      </c>
      <c r="R144" s="13"/>
      <c r="S144" s="13"/>
      <c r="T144" s="14"/>
      <c r="U144" s="15">
        <f t="shared" si="86"/>
        <v>5</v>
      </c>
      <c r="V144" s="32">
        <v>81</v>
      </c>
      <c r="W144" s="13"/>
      <c r="X144" s="13"/>
      <c r="Y144" s="14"/>
      <c r="Z144" s="15">
        <f t="shared" si="87"/>
        <v>81</v>
      </c>
      <c r="AA144" s="32">
        <v>171</v>
      </c>
      <c r="AB144" s="13"/>
      <c r="AC144" s="13"/>
      <c r="AD144" s="14"/>
      <c r="AE144" s="15">
        <f t="shared" si="88"/>
        <v>171</v>
      </c>
      <c r="AF144" s="32">
        <v>56</v>
      </c>
      <c r="AG144" s="13"/>
      <c r="AH144" s="13"/>
      <c r="AI144" s="14"/>
      <c r="AJ144" s="15">
        <f t="shared" si="89"/>
        <v>56</v>
      </c>
      <c r="AK144" s="32">
        <v>45</v>
      </c>
      <c r="AL144" s="13"/>
      <c r="AM144" s="13"/>
      <c r="AN144" s="14"/>
      <c r="AO144" s="15">
        <f t="shared" si="77"/>
        <v>45</v>
      </c>
      <c r="AP144" s="32">
        <v>93</v>
      </c>
      <c r="AQ144" s="13"/>
      <c r="AR144" s="13"/>
      <c r="AS144" s="14"/>
      <c r="AT144" s="15">
        <f t="shared" si="78"/>
        <v>93</v>
      </c>
      <c r="AU144" s="32"/>
      <c r="AV144" s="13"/>
      <c r="AW144" s="13"/>
      <c r="AX144" s="14"/>
      <c r="AY144" s="15">
        <f t="shared" si="79"/>
        <v>0</v>
      </c>
      <c r="AZ144" s="32"/>
      <c r="BA144" s="13"/>
      <c r="BB144" s="13"/>
      <c r="BC144" s="14"/>
      <c r="BD144" s="15">
        <f t="shared" si="80"/>
        <v>0</v>
      </c>
      <c r="BE144" s="32">
        <v>34</v>
      </c>
      <c r="BF144" s="13"/>
      <c r="BG144" s="13"/>
      <c r="BH144" s="14"/>
      <c r="BI144" s="15">
        <f t="shared" si="81"/>
        <v>34</v>
      </c>
      <c r="BJ144" s="32">
        <v>14</v>
      </c>
      <c r="BK144" s="13"/>
      <c r="BL144" s="13"/>
      <c r="BM144" s="14"/>
      <c r="BN144" s="15">
        <f t="shared" si="82"/>
        <v>14</v>
      </c>
      <c r="BO144" s="66">
        <f>SUM(G144,L144,Q144,V144,AA144,AF144,AK144,AP144,AU144,AZ144,BE144,BJ144)</f>
        <v>570</v>
      </c>
      <c r="BP144" s="13">
        <f>SUM(H144,M144,R144,W144,AB144,AG144,AL144,AQ144,AV144,BA144,BF144,BK144)</f>
        <v>0</v>
      </c>
      <c r="BQ144" s="13">
        <f>SUM(I144,N144,S144,X144,AC144,AH144,AM144,AR144,AW144,BB144,BG144,BL144)</f>
        <v>0</v>
      </c>
      <c r="BR144" s="14">
        <f>SUM(J144,O144,T144,Y144,AD144,AI144,AN144,AS144,AX144,BC144,BH144,BM144)</f>
        <v>0</v>
      </c>
      <c r="BS144" s="33">
        <f t="shared" si="12"/>
        <v>570</v>
      </c>
    </row>
    <row r="145" spans="2:71" x14ac:dyDescent="0.3">
      <c r="B145" s="269"/>
      <c r="C145" s="230"/>
      <c r="D145" s="233"/>
      <c r="E145" s="239"/>
      <c r="F145" s="124" t="s">
        <v>449</v>
      </c>
      <c r="G145" s="36">
        <v>50</v>
      </c>
      <c r="H145" s="10"/>
      <c r="I145" s="10"/>
      <c r="J145" s="11"/>
      <c r="K145" s="12">
        <f t="shared" si="0"/>
        <v>50</v>
      </c>
      <c r="L145" s="36">
        <v>21</v>
      </c>
      <c r="M145" s="10"/>
      <c r="N145" s="10"/>
      <c r="O145" s="11"/>
      <c r="P145" s="12">
        <f t="shared" si="85"/>
        <v>21</v>
      </c>
      <c r="Q145" s="36">
        <v>5</v>
      </c>
      <c r="R145" s="10"/>
      <c r="S145" s="10"/>
      <c r="T145" s="11"/>
      <c r="U145" s="12">
        <f t="shared" si="86"/>
        <v>5</v>
      </c>
      <c r="V145" s="36">
        <v>81</v>
      </c>
      <c r="W145" s="10"/>
      <c r="X145" s="10"/>
      <c r="Y145" s="11"/>
      <c r="Z145" s="12">
        <f t="shared" si="87"/>
        <v>81</v>
      </c>
      <c r="AA145" s="36">
        <v>171</v>
      </c>
      <c r="AB145" s="10"/>
      <c r="AC145" s="10"/>
      <c r="AD145" s="11"/>
      <c r="AE145" s="12">
        <f t="shared" si="88"/>
        <v>171</v>
      </c>
      <c r="AF145" s="36">
        <v>56</v>
      </c>
      <c r="AG145" s="10"/>
      <c r="AH145" s="10"/>
      <c r="AI145" s="11"/>
      <c r="AJ145" s="12">
        <f t="shared" si="89"/>
        <v>56</v>
      </c>
      <c r="AK145" s="36">
        <v>45</v>
      </c>
      <c r="AL145" s="10"/>
      <c r="AM145" s="10"/>
      <c r="AN145" s="11"/>
      <c r="AO145" s="12">
        <f t="shared" si="77"/>
        <v>45</v>
      </c>
      <c r="AP145" s="36">
        <v>93</v>
      </c>
      <c r="AQ145" s="10"/>
      <c r="AR145" s="10"/>
      <c r="AS145" s="11"/>
      <c r="AT145" s="12">
        <f t="shared" si="78"/>
        <v>93</v>
      </c>
      <c r="AU145" s="36"/>
      <c r="AV145" s="10"/>
      <c r="AW145" s="10"/>
      <c r="AX145" s="11"/>
      <c r="AY145" s="12">
        <f t="shared" si="79"/>
        <v>0</v>
      </c>
      <c r="AZ145" s="36"/>
      <c r="BA145" s="10"/>
      <c r="BB145" s="10"/>
      <c r="BC145" s="11"/>
      <c r="BD145" s="12">
        <f t="shared" si="80"/>
        <v>0</v>
      </c>
      <c r="BE145" s="36">
        <v>34</v>
      </c>
      <c r="BF145" s="10"/>
      <c r="BG145" s="10"/>
      <c r="BH145" s="11"/>
      <c r="BI145" s="12">
        <f t="shared" si="81"/>
        <v>34</v>
      </c>
      <c r="BJ145" s="36">
        <v>16</v>
      </c>
      <c r="BK145" s="10"/>
      <c r="BL145" s="10"/>
      <c r="BM145" s="11"/>
      <c r="BN145" s="12">
        <f t="shared" si="82"/>
        <v>16</v>
      </c>
      <c r="BO145" s="71">
        <f>SUM(G145,L145,Q145,V145,AA145,AF145,AK145,AP145,AU145,AZ145,BE145,BJ145)</f>
        <v>572</v>
      </c>
      <c r="BP145" s="10">
        <f>SUM(H145,M145,R145,W145,AB145,AG145,AL145,AQ145,AV145,BA145,BF145,BK145)</f>
        <v>0</v>
      </c>
      <c r="BQ145" s="10">
        <f>SUM(I145,N145,S145,X145,AC145,AH145,AM145,AR145,AW145,BB145,BG145,BL145)</f>
        <v>0</v>
      </c>
      <c r="BR145" s="11">
        <f>SUM(J145,O145,T145,Y145,AD145,AI145,AN145,AS145,AX145,BC145,BH145,BM145)</f>
        <v>0</v>
      </c>
      <c r="BS145" s="37">
        <f t="shared" si="12"/>
        <v>572</v>
      </c>
    </row>
    <row r="146" spans="2:71" x14ac:dyDescent="0.3">
      <c r="B146" s="269"/>
      <c r="C146" s="230"/>
      <c r="D146" s="233"/>
      <c r="E146" s="240"/>
      <c r="F146" s="125" t="s">
        <v>54</v>
      </c>
      <c r="G146" s="126">
        <f>SUM(G130:G145)</f>
        <v>1862</v>
      </c>
      <c r="H146" s="127">
        <f>SUM(H130:H145)</f>
        <v>12</v>
      </c>
      <c r="I146" s="127">
        <f>SUM(I130:I145)</f>
        <v>71</v>
      </c>
      <c r="J146" s="128">
        <f>SUM(J130:J145)</f>
        <v>0</v>
      </c>
      <c r="K146" s="129">
        <f t="shared" si="0"/>
        <v>1945</v>
      </c>
      <c r="L146" s="126">
        <f>SUM(L130:L145)</f>
        <v>1308</v>
      </c>
      <c r="M146" s="127">
        <f>SUM(M130:M145)</f>
        <v>11</v>
      </c>
      <c r="N146" s="127">
        <f>SUM(N130:N145)</f>
        <v>45</v>
      </c>
      <c r="O146" s="128">
        <f>SUM(O130:O145)</f>
        <v>0</v>
      </c>
      <c r="P146" s="129">
        <f t="shared" si="85"/>
        <v>1364</v>
      </c>
      <c r="Q146" s="126">
        <f>SUM(Q130:Q145)</f>
        <v>331</v>
      </c>
      <c r="R146" s="127">
        <f>SUM(R130:R145)</f>
        <v>7</v>
      </c>
      <c r="S146" s="127">
        <f>SUM(S130:S145)</f>
        <v>95</v>
      </c>
      <c r="T146" s="128">
        <f>SUM(T130:T145)</f>
        <v>0</v>
      </c>
      <c r="U146" s="129">
        <f t="shared" si="86"/>
        <v>433</v>
      </c>
      <c r="V146" s="126">
        <f>SUM(V130:V145)</f>
        <v>1368</v>
      </c>
      <c r="W146" s="127">
        <f>SUM(W130:W145)</f>
        <v>4</v>
      </c>
      <c r="X146" s="127">
        <f>SUM(X130:X145)</f>
        <v>34</v>
      </c>
      <c r="Y146" s="128">
        <f>SUM(Y130:Y145)</f>
        <v>0</v>
      </c>
      <c r="Z146" s="129">
        <f t="shared" si="87"/>
        <v>1406</v>
      </c>
      <c r="AA146" s="126">
        <f>SUM(AA130:AA145)</f>
        <v>3155</v>
      </c>
      <c r="AB146" s="127">
        <f>SUM(AB130:AB145)</f>
        <v>4</v>
      </c>
      <c r="AC146" s="127">
        <f>SUM(AC130:AC145)</f>
        <v>75</v>
      </c>
      <c r="AD146" s="128">
        <f>SUM(AD130:AD145)</f>
        <v>0</v>
      </c>
      <c r="AE146" s="129">
        <f t="shared" si="88"/>
        <v>3234</v>
      </c>
      <c r="AF146" s="126">
        <f>SUM(AF130:AF145)</f>
        <v>848</v>
      </c>
      <c r="AG146" s="127">
        <f>SUM(AG130:AG145)</f>
        <v>5</v>
      </c>
      <c r="AH146" s="127">
        <f>SUM(AH130:AH145)</f>
        <v>88</v>
      </c>
      <c r="AI146" s="128">
        <f>SUM(AI130:AI145)</f>
        <v>0</v>
      </c>
      <c r="AJ146" s="129">
        <f t="shared" si="89"/>
        <v>941</v>
      </c>
      <c r="AK146" s="126">
        <f>SUM(AK130:AK145)</f>
        <v>575</v>
      </c>
      <c r="AL146" s="127">
        <f>SUM(AL130:AL145)</f>
        <v>44</v>
      </c>
      <c r="AM146" s="127">
        <f>SUM(AM130:AM145)</f>
        <v>169</v>
      </c>
      <c r="AN146" s="128">
        <f>SUM(AN130:AN145)</f>
        <v>0</v>
      </c>
      <c r="AO146" s="129">
        <f t="shared" si="77"/>
        <v>788</v>
      </c>
      <c r="AP146" s="126">
        <f>SUM(AP130:AP145)</f>
        <v>1183</v>
      </c>
      <c r="AQ146" s="127">
        <f>SUM(AQ130:AQ145)</f>
        <v>39</v>
      </c>
      <c r="AR146" s="127">
        <f>SUM(AR130:AR145)</f>
        <v>342</v>
      </c>
      <c r="AS146" s="128">
        <f>SUM(AS130:AS145)</f>
        <v>0</v>
      </c>
      <c r="AT146" s="129">
        <f t="shared" si="78"/>
        <v>1564</v>
      </c>
      <c r="AU146" s="126">
        <f>SUM(AU130:AU145)</f>
        <v>54</v>
      </c>
      <c r="AV146" s="127">
        <f>SUM(AV130:AV145)</f>
        <v>6</v>
      </c>
      <c r="AW146" s="127">
        <f>SUM(AW130:AW145)</f>
        <v>53</v>
      </c>
      <c r="AX146" s="128">
        <f>SUM(AX130:AX145)</f>
        <v>0</v>
      </c>
      <c r="AY146" s="129">
        <f t="shared" si="79"/>
        <v>113</v>
      </c>
      <c r="AZ146" s="126">
        <f>SUM(AZ130:AZ145)</f>
        <v>70</v>
      </c>
      <c r="BA146" s="127">
        <f>SUM(BA130:BA145)</f>
        <v>21</v>
      </c>
      <c r="BB146" s="127">
        <f>SUM(BB130:BB145)</f>
        <v>132</v>
      </c>
      <c r="BC146" s="128">
        <f>SUM(BC130:BC145)</f>
        <v>0</v>
      </c>
      <c r="BD146" s="129">
        <f t="shared" si="80"/>
        <v>223</v>
      </c>
      <c r="BE146" s="126">
        <f>SUM(BE130:BE145)</f>
        <v>490</v>
      </c>
      <c r="BF146" s="127">
        <f>SUM(BF130:BF145)</f>
        <v>10</v>
      </c>
      <c r="BG146" s="127">
        <f>SUM(BG130:BG145)</f>
        <v>55</v>
      </c>
      <c r="BH146" s="128">
        <f>SUM(BH130:BH145)</f>
        <v>0</v>
      </c>
      <c r="BI146" s="129">
        <f t="shared" si="81"/>
        <v>555</v>
      </c>
      <c r="BJ146" s="126">
        <f>SUM(BJ130:BJ145)</f>
        <v>274</v>
      </c>
      <c r="BK146" s="127">
        <f>SUM(BK130:BK145)</f>
        <v>6</v>
      </c>
      <c r="BL146" s="127">
        <f>SUM(BL130:BL145)</f>
        <v>26</v>
      </c>
      <c r="BM146" s="128">
        <f>SUM(BM130:BM145)</f>
        <v>0</v>
      </c>
      <c r="BN146" s="129">
        <f t="shared" si="82"/>
        <v>306</v>
      </c>
      <c r="BO146" s="131">
        <f>SUM(BO130:BO145)</f>
        <v>11518</v>
      </c>
      <c r="BP146" s="127">
        <f>SUM(BP130:BP145)</f>
        <v>169</v>
      </c>
      <c r="BQ146" s="127">
        <f>SUM(BQ130:BQ145)</f>
        <v>1185</v>
      </c>
      <c r="BR146" s="128">
        <f>SUM(BR130:BR145)</f>
        <v>0</v>
      </c>
      <c r="BS146" s="130">
        <f t="shared" si="12"/>
        <v>12872</v>
      </c>
    </row>
    <row r="147" spans="2:71" x14ac:dyDescent="0.3">
      <c r="B147" s="269"/>
      <c r="C147" s="230"/>
      <c r="D147" s="234"/>
      <c r="E147" s="236" t="s">
        <v>4</v>
      </c>
      <c r="F147" s="237"/>
      <c r="G147" s="38">
        <f>SUM(G31,G54,G73,G88,G95,G110,G117,G129,G146,G124)</f>
        <v>6983</v>
      </c>
      <c r="H147" s="19">
        <f>SUM(H31,H54,H73,H88,H95,H110,H117,H129,H146,H124)</f>
        <v>36</v>
      </c>
      <c r="I147" s="19">
        <f>SUM(I31,I54,I73,I88,I95,I110,I117,I129,I146,I124)</f>
        <v>301</v>
      </c>
      <c r="J147" s="20">
        <f>SUM(J31,J54,J73,J88,J95,J110,J117,J129,J146,J124)</f>
        <v>0</v>
      </c>
      <c r="K147" s="21">
        <f t="shared" si="0"/>
        <v>7320</v>
      </c>
      <c r="L147" s="38">
        <f>SUM(L31,L54,L73,L88,L95,L110,L117,L129,L146,L124)</f>
        <v>6290</v>
      </c>
      <c r="M147" s="19">
        <f>SUM(M31,M54,M73,M88,M95,M110,M117,M129,M146,M124)</f>
        <v>37</v>
      </c>
      <c r="N147" s="19">
        <f>SUM(N31,N54,N73,N88,N95,N110,N117,N129,N146,N124)</f>
        <v>284</v>
      </c>
      <c r="O147" s="20">
        <f>SUM(O31,O54,O73,O88,O95,O110,O117,O129,O146,O124)</f>
        <v>0</v>
      </c>
      <c r="P147" s="21">
        <f t="shared" si="85"/>
        <v>6611</v>
      </c>
      <c r="Q147" s="38">
        <f>SUM(Q31,Q54,Q73,Q88,Q95,Q110,Q117,Q129,Q146,Q124)</f>
        <v>8864</v>
      </c>
      <c r="R147" s="19">
        <f>SUM(R31,R54,R73,R88,R95,R110,R117,R129,R146,R124)</f>
        <v>13</v>
      </c>
      <c r="S147" s="19">
        <f>SUM(S31,S54,S73,S88,S95,S110,S117,S129,S146,S124)</f>
        <v>244</v>
      </c>
      <c r="T147" s="20">
        <f>SUM(T31,T54,T73,T88,T95,T110,T117,T129,T146,T124)</f>
        <v>0</v>
      </c>
      <c r="U147" s="21">
        <f t="shared" si="86"/>
        <v>9121</v>
      </c>
      <c r="V147" s="38">
        <f>SUM(V31,V54,V73,V88,V95,V110,V117,V129,V146,V124)</f>
        <v>18836</v>
      </c>
      <c r="W147" s="19">
        <f>SUM(W31,W54,W73,W88,W95,W110,W117,W129,W146,W124)</f>
        <v>22</v>
      </c>
      <c r="X147" s="19">
        <f>SUM(X31,X54,X73,X88,X95,X110,X117,X129,X146,X124)</f>
        <v>431</v>
      </c>
      <c r="Y147" s="20">
        <f>SUM(Y31,Y54,Y73,Y88,Y95,Y110,Y117,Y129,Y146,Y124)</f>
        <v>0</v>
      </c>
      <c r="Z147" s="21">
        <f t="shared" si="87"/>
        <v>19289</v>
      </c>
      <c r="AA147" s="38">
        <f>SUM(AA31,AA54,AA73,AA88,AA95,AA110,AA117,AA129,AA146,AA124)</f>
        <v>33181</v>
      </c>
      <c r="AB147" s="19">
        <f>SUM(AB31,AB54,AB73,AB88,AB95,AB110,AB117,AB129,AB146,AB124)</f>
        <v>38</v>
      </c>
      <c r="AC147" s="19">
        <f>SUM(AC31,AC54,AC73,AC88,AC95,AC110,AC117,AC129,AC146,AC124)</f>
        <v>837</v>
      </c>
      <c r="AD147" s="20">
        <f>SUM(AD31,AD54,AD73,AD88,AD95,AD110,AD117,AD129,AD146,AD124)</f>
        <v>0</v>
      </c>
      <c r="AE147" s="21">
        <f t="shared" si="88"/>
        <v>34056</v>
      </c>
      <c r="AF147" s="38">
        <f>SUM(AF31,AF54,AF73,AF88,AF95,AF110,AF117,AF129,AF146,AF124)</f>
        <v>19108</v>
      </c>
      <c r="AG147" s="19">
        <f>SUM(AG31,AG54,AG73,AG88,AG95,AG110,AG117,AG129,AG146,AG124)</f>
        <v>24</v>
      </c>
      <c r="AH147" s="19">
        <f>SUM(AH31,AH54,AH73,AH88,AH95,AH110,AH117,AH129,AH146,AH124)</f>
        <v>448</v>
      </c>
      <c r="AI147" s="20">
        <f>SUM(AI31,AI54,AI73,AI88,AI95,AI110,AI117,AI129,AI146,AI124)</f>
        <v>0</v>
      </c>
      <c r="AJ147" s="21">
        <f t="shared" si="89"/>
        <v>19580</v>
      </c>
      <c r="AK147" s="38">
        <f>SUM(AK31,AK54,AK73,AK88,AK95,AK110,AK117,AK129,AK146,AK124)</f>
        <v>4086</v>
      </c>
      <c r="AL147" s="19">
        <f>SUM(AL31,AL54,AL73,AL88,AL95,AL110,AL117,AL129,AL146,AL124)</f>
        <v>54</v>
      </c>
      <c r="AM147" s="19">
        <f>SUM(AM31,AM54,AM73,AM88,AM95,AM110,AM117,AM129,AM146,AM124)</f>
        <v>254</v>
      </c>
      <c r="AN147" s="20">
        <f>SUM(AN31,AN54,AN73,AN88,AN95,AN110,AN117,AN129,AN146,AN124)</f>
        <v>0</v>
      </c>
      <c r="AO147" s="21">
        <f t="shared" si="77"/>
        <v>4394</v>
      </c>
      <c r="AP147" s="38">
        <f>SUM(AP31,AP54,AP73,AP88,AP95,AP110,AP117,AP129,AP146,AP124)</f>
        <v>8803</v>
      </c>
      <c r="AQ147" s="19">
        <f>SUM(AQ31,AQ54,AQ73,AQ88,AQ95,AQ110,AQ117,AQ129,AQ146,AQ124)</f>
        <v>54</v>
      </c>
      <c r="AR147" s="19">
        <f>SUM(AR31,AR54,AR73,AR88,AR95,AR110,AR117,AR129,AR146,AR124)</f>
        <v>589</v>
      </c>
      <c r="AS147" s="20">
        <f>SUM(AS31,AS54,AS73,AS88,AS95,AS110,AS117,AS129,AS146,AS124)</f>
        <v>0</v>
      </c>
      <c r="AT147" s="21">
        <f t="shared" si="78"/>
        <v>9446</v>
      </c>
      <c r="AU147" s="38">
        <f>SUM(AU31,AU54,AU73,AU88,AU95,AU110,AU117,AU129,AU146,AU124)</f>
        <v>8793</v>
      </c>
      <c r="AV147" s="19">
        <f>SUM(AV31,AV54,AV73,AV88,AV95,AV110,AV117,AV129,AV146,AV124)</f>
        <v>8</v>
      </c>
      <c r="AW147" s="19">
        <f>SUM(AW31,AW54,AW73,AW88,AW95,AW110,AW117,AW129,AW146,AW124)</f>
        <v>118</v>
      </c>
      <c r="AX147" s="20">
        <f>SUM(AX31,AX54,AX73,AX88,AX95,AX110,AX117,AX129,AX146,AX124)</f>
        <v>0</v>
      </c>
      <c r="AY147" s="21">
        <f t="shared" si="79"/>
        <v>8919</v>
      </c>
      <c r="AZ147" s="38">
        <f>SUM(AZ31,AZ54,AZ73,AZ88,AZ95,AZ110,AZ117,AZ129,AZ146,AZ124)</f>
        <v>23829</v>
      </c>
      <c r="BA147" s="19">
        <f>SUM(BA31,BA54,BA73,BA88,BA95,BA110,BA117,BA129,BA146,BA124)</f>
        <v>84</v>
      </c>
      <c r="BB147" s="19">
        <f>SUM(BB31,BB54,BB73,BB88,BB95,BB110,BB117,BB129,BB146,BB124)</f>
        <v>737</v>
      </c>
      <c r="BC147" s="20">
        <f>SUM(BC31,BC54,BC73,BC88,BC95,BC110,BC117,BC129,BC146,BC124)</f>
        <v>0</v>
      </c>
      <c r="BD147" s="21">
        <f t="shared" si="80"/>
        <v>24650</v>
      </c>
      <c r="BE147" s="38">
        <f>SUM(BE31,BE54,BE73,BE88,BE95,BE110,BE117,BE129,BE146,BE124)</f>
        <v>19005</v>
      </c>
      <c r="BF147" s="19">
        <f>SUM(BF31,BF54,BF73,BF88,BF95,BF110,BF117,BF129,BF146,BF124)</f>
        <v>25</v>
      </c>
      <c r="BG147" s="19">
        <f>SUM(BG31,BG54,BG73,BG88,BG95,BG110,BG117,BG129,BG146,BG124)</f>
        <v>480</v>
      </c>
      <c r="BH147" s="20">
        <f>SUM(BH31,BH54,BH73,BH88,BH95,BH110,BH117,BH129,BH146,BH124)</f>
        <v>0</v>
      </c>
      <c r="BI147" s="21">
        <f t="shared" si="81"/>
        <v>19510</v>
      </c>
      <c r="BJ147" s="38">
        <f>SUM(BJ31,BJ54,BJ73,BJ88,BJ95,BJ110,BJ117,BJ129,BJ146,BJ124)</f>
        <v>6841</v>
      </c>
      <c r="BK147" s="19">
        <f>SUM(BK31,BK54,BK73,BK88,BK95,BK110,BK117,BK129,BK146,BK124)</f>
        <v>9</v>
      </c>
      <c r="BL147" s="19">
        <f>SUM(BL31,BL54,BL73,BL88,BL95,BL110,BL117,BL129,BL146,BL124)</f>
        <v>57</v>
      </c>
      <c r="BM147" s="20">
        <f>SUM(BM31,BM54,BM73,BM88,BM95,BM110,BM117,BM129,BM146,BM124)</f>
        <v>0</v>
      </c>
      <c r="BN147" s="21">
        <f t="shared" si="82"/>
        <v>6907</v>
      </c>
      <c r="BO147" s="38">
        <f>SUM(BO31,BO54,BO73,BO88,BO95,BO110,BO117,BO129,BO146,BO124)</f>
        <v>164619</v>
      </c>
      <c r="BP147" s="19">
        <f>SUM(BP31,BP54,BP73,BP88,BP95,BP110,BP117,BP129,BP146,BP124)</f>
        <v>404</v>
      </c>
      <c r="BQ147" s="19">
        <f>SUM(BQ31,BQ54,BQ73,BQ88,BQ95,BQ110,BQ117,BQ129,BQ146,BQ124)</f>
        <v>4780</v>
      </c>
      <c r="BR147" s="20">
        <f>SUM(BR31,BR54,BR73,BR88,BR95,BR110,BR117,BR129,BR146,BR124)</f>
        <v>0</v>
      </c>
      <c r="BS147" s="39">
        <f t="shared" si="12"/>
        <v>169803</v>
      </c>
    </row>
    <row r="148" spans="2:71" x14ac:dyDescent="0.3">
      <c r="B148" s="269"/>
      <c r="C148" s="231"/>
      <c r="D148" s="238" t="s">
        <v>4</v>
      </c>
      <c r="E148" s="238"/>
      <c r="F148" s="238"/>
      <c r="G148" s="40">
        <f>G147</f>
        <v>6983</v>
      </c>
      <c r="H148" s="22">
        <f>H147</f>
        <v>36</v>
      </c>
      <c r="I148" s="22">
        <f>I147</f>
        <v>301</v>
      </c>
      <c r="J148" s="23">
        <f>J147</f>
        <v>0</v>
      </c>
      <c r="K148" s="24">
        <f t="shared" ref="K148:K180" si="93">SUM(G148:J148)</f>
        <v>7320</v>
      </c>
      <c r="L148" s="40">
        <f>L147</f>
        <v>6290</v>
      </c>
      <c r="M148" s="22">
        <f>M147</f>
        <v>37</v>
      </c>
      <c r="N148" s="22">
        <f>N147</f>
        <v>284</v>
      </c>
      <c r="O148" s="23">
        <f>O147</f>
        <v>0</v>
      </c>
      <c r="P148" s="24">
        <f t="shared" ref="P148" si="94">SUM(L148:O148)</f>
        <v>6611</v>
      </c>
      <c r="Q148" s="40">
        <f>Q147</f>
        <v>8864</v>
      </c>
      <c r="R148" s="22">
        <f>R147</f>
        <v>13</v>
      </c>
      <c r="S148" s="22">
        <f>S147</f>
        <v>244</v>
      </c>
      <c r="T148" s="23">
        <f>T147</f>
        <v>0</v>
      </c>
      <c r="U148" s="24">
        <f t="shared" ref="U148" si="95">SUM(Q148:T148)</f>
        <v>9121</v>
      </c>
      <c r="V148" s="40">
        <f>V147</f>
        <v>18836</v>
      </c>
      <c r="W148" s="22">
        <f>W147</f>
        <v>22</v>
      </c>
      <c r="X148" s="22">
        <f>X147</f>
        <v>431</v>
      </c>
      <c r="Y148" s="23">
        <f>Y147</f>
        <v>0</v>
      </c>
      <c r="Z148" s="24">
        <f t="shared" ref="Z148" si="96">SUM(V148:Y148)</f>
        <v>19289</v>
      </c>
      <c r="AA148" s="40">
        <f>AA147</f>
        <v>33181</v>
      </c>
      <c r="AB148" s="22">
        <f>AB147</f>
        <v>38</v>
      </c>
      <c r="AC148" s="22">
        <f>AC147</f>
        <v>837</v>
      </c>
      <c r="AD148" s="23">
        <f>AD147</f>
        <v>0</v>
      </c>
      <c r="AE148" s="24">
        <f t="shared" ref="AE148" si="97">SUM(AA148:AD148)</f>
        <v>34056</v>
      </c>
      <c r="AF148" s="40">
        <f>AF147</f>
        <v>19108</v>
      </c>
      <c r="AG148" s="22">
        <f>AG147</f>
        <v>24</v>
      </c>
      <c r="AH148" s="22">
        <f>AH147</f>
        <v>448</v>
      </c>
      <c r="AI148" s="23">
        <f>AI147</f>
        <v>0</v>
      </c>
      <c r="AJ148" s="24">
        <f t="shared" ref="AJ148" si="98">SUM(AF148:AI148)</f>
        <v>19580</v>
      </c>
      <c r="AK148" s="40">
        <f>AK147</f>
        <v>4086</v>
      </c>
      <c r="AL148" s="22">
        <f>AL147</f>
        <v>54</v>
      </c>
      <c r="AM148" s="22">
        <f>AM147</f>
        <v>254</v>
      </c>
      <c r="AN148" s="23">
        <f>AN147</f>
        <v>0</v>
      </c>
      <c r="AO148" s="24">
        <f t="shared" ref="AO148" si="99">SUM(AK148:AN148)</f>
        <v>4394</v>
      </c>
      <c r="AP148" s="40">
        <f>AP147</f>
        <v>8803</v>
      </c>
      <c r="AQ148" s="22">
        <f>AQ147</f>
        <v>54</v>
      </c>
      <c r="AR148" s="22">
        <f>AR147</f>
        <v>589</v>
      </c>
      <c r="AS148" s="23">
        <f>AS147</f>
        <v>0</v>
      </c>
      <c r="AT148" s="24">
        <f t="shared" ref="AT148" si="100">SUM(AP148:AS148)</f>
        <v>9446</v>
      </c>
      <c r="AU148" s="40">
        <f>AU147</f>
        <v>8793</v>
      </c>
      <c r="AV148" s="22">
        <f>AV147</f>
        <v>8</v>
      </c>
      <c r="AW148" s="22">
        <f>AW147</f>
        <v>118</v>
      </c>
      <c r="AX148" s="23">
        <f>AX147</f>
        <v>0</v>
      </c>
      <c r="AY148" s="24">
        <f t="shared" ref="AY148" si="101">SUM(AU148:AX148)</f>
        <v>8919</v>
      </c>
      <c r="AZ148" s="40">
        <f>AZ147</f>
        <v>23829</v>
      </c>
      <c r="BA148" s="22">
        <f>BA147</f>
        <v>84</v>
      </c>
      <c r="BB148" s="22">
        <f>BB147</f>
        <v>737</v>
      </c>
      <c r="BC148" s="23">
        <f>BC147</f>
        <v>0</v>
      </c>
      <c r="BD148" s="24">
        <f t="shared" ref="BD148" si="102">SUM(AZ148:BC148)</f>
        <v>24650</v>
      </c>
      <c r="BE148" s="40">
        <f>BE147</f>
        <v>19005</v>
      </c>
      <c r="BF148" s="22">
        <f>BF147</f>
        <v>25</v>
      </c>
      <c r="BG148" s="22">
        <f>BG147</f>
        <v>480</v>
      </c>
      <c r="BH148" s="23">
        <f>BH147</f>
        <v>0</v>
      </c>
      <c r="BI148" s="24">
        <f t="shared" ref="BI148" si="103">SUM(BE148:BH148)</f>
        <v>19510</v>
      </c>
      <c r="BJ148" s="40">
        <f>BJ147</f>
        <v>6841</v>
      </c>
      <c r="BK148" s="22">
        <f>BK147</f>
        <v>9</v>
      </c>
      <c r="BL148" s="22">
        <f>BL147</f>
        <v>57</v>
      </c>
      <c r="BM148" s="23">
        <f>BM147</f>
        <v>0</v>
      </c>
      <c r="BN148" s="24">
        <f t="shared" ref="BN148" si="104">SUM(BJ148:BM148)</f>
        <v>6907</v>
      </c>
      <c r="BO148" s="68">
        <f>BO147</f>
        <v>164619</v>
      </c>
      <c r="BP148" s="22">
        <f>BP147</f>
        <v>404</v>
      </c>
      <c r="BQ148" s="22">
        <f>BQ147</f>
        <v>4780</v>
      </c>
      <c r="BR148" s="23">
        <f>BR147</f>
        <v>0</v>
      </c>
      <c r="BS148" s="41">
        <f t="shared" ref="BS148:BS185" si="105">SUM(BO148:BR148)</f>
        <v>169803</v>
      </c>
    </row>
    <row r="149" spans="2:71" x14ac:dyDescent="0.3">
      <c r="B149" s="269"/>
      <c r="C149" s="230" t="s">
        <v>201</v>
      </c>
      <c r="D149" s="233" t="s">
        <v>201</v>
      </c>
      <c r="E149" s="239" t="s">
        <v>153</v>
      </c>
      <c r="F149" s="121" t="s">
        <v>154</v>
      </c>
      <c r="G149" s="32">
        <v>90</v>
      </c>
      <c r="H149" s="13">
        <v>9</v>
      </c>
      <c r="I149" s="13">
        <v>104</v>
      </c>
      <c r="J149" s="14"/>
      <c r="K149" s="15">
        <f t="shared" si="93"/>
        <v>203</v>
      </c>
      <c r="L149" s="32">
        <v>39</v>
      </c>
      <c r="M149" s="13">
        <v>1</v>
      </c>
      <c r="N149" s="13">
        <v>59</v>
      </c>
      <c r="O149" s="14"/>
      <c r="P149" s="15">
        <f t="shared" ref="P149:P212" si="106">SUM(L149:O149)</f>
        <v>99</v>
      </c>
      <c r="Q149" s="32">
        <v>97</v>
      </c>
      <c r="R149" s="13">
        <v>4</v>
      </c>
      <c r="S149" s="13">
        <v>158</v>
      </c>
      <c r="T149" s="14"/>
      <c r="U149" s="15">
        <f t="shared" ref="U149:U212" si="107">SUM(Q149:T149)</f>
        <v>259</v>
      </c>
      <c r="V149" s="32">
        <v>2</v>
      </c>
      <c r="W149" s="13"/>
      <c r="X149" s="13">
        <v>4</v>
      </c>
      <c r="Y149" s="14"/>
      <c r="Z149" s="15">
        <f t="shared" ref="Z149:Z212" si="108">SUM(V149:Y149)</f>
        <v>6</v>
      </c>
      <c r="AA149" s="32"/>
      <c r="AB149" s="13"/>
      <c r="AC149" s="13"/>
      <c r="AD149" s="14"/>
      <c r="AE149" s="15">
        <f t="shared" ref="AE149:AE212" si="109">SUM(AA149:AD149)</f>
        <v>0</v>
      </c>
      <c r="AF149" s="32">
        <v>112</v>
      </c>
      <c r="AG149" s="13">
        <v>3</v>
      </c>
      <c r="AH149" s="13">
        <v>100</v>
      </c>
      <c r="AI149" s="14"/>
      <c r="AJ149" s="15">
        <f t="shared" ref="AJ149:AJ212" si="110">SUM(AF149:AI149)</f>
        <v>215</v>
      </c>
      <c r="AK149" s="32">
        <v>40</v>
      </c>
      <c r="AL149" s="13"/>
      <c r="AM149" s="13">
        <v>34</v>
      </c>
      <c r="AN149" s="14"/>
      <c r="AO149" s="15">
        <f t="shared" ref="AO149:AO212" si="111">SUM(AK149:AN149)</f>
        <v>74</v>
      </c>
      <c r="AP149" s="32">
        <v>81</v>
      </c>
      <c r="AQ149" s="13">
        <v>1</v>
      </c>
      <c r="AR149" s="13">
        <v>78</v>
      </c>
      <c r="AS149" s="14"/>
      <c r="AT149" s="15">
        <f t="shared" ref="AT149:AT212" si="112">SUM(AP149:AS149)</f>
        <v>160</v>
      </c>
      <c r="AU149" s="32"/>
      <c r="AV149" s="13"/>
      <c r="AW149" s="13"/>
      <c r="AX149" s="14"/>
      <c r="AY149" s="15">
        <f t="shared" ref="AY149:AY212" si="113">SUM(AU149:AX149)</f>
        <v>0</v>
      </c>
      <c r="AZ149" s="32"/>
      <c r="BA149" s="13"/>
      <c r="BB149" s="13"/>
      <c r="BC149" s="14"/>
      <c r="BD149" s="15">
        <f t="shared" ref="BD149:BD212" si="114">SUM(AZ149:BC149)</f>
        <v>0</v>
      </c>
      <c r="BE149" s="32">
        <v>49</v>
      </c>
      <c r="BF149" s="13"/>
      <c r="BG149" s="13">
        <v>66</v>
      </c>
      <c r="BH149" s="14"/>
      <c r="BI149" s="15">
        <f t="shared" ref="BI149:BI212" si="115">SUM(BE149:BH149)</f>
        <v>115</v>
      </c>
      <c r="BJ149" s="32">
        <v>47</v>
      </c>
      <c r="BK149" s="13">
        <v>2</v>
      </c>
      <c r="BL149" s="13">
        <v>39</v>
      </c>
      <c r="BM149" s="14"/>
      <c r="BN149" s="15">
        <f t="shared" ref="BN149:BN212" si="116">SUM(BJ149:BM149)</f>
        <v>88</v>
      </c>
      <c r="BO149" s="66">
        <f>SUM(G149,L149,Q149,V149,AA149,AF149,AK149,AP149,AU149,AZ149,BE149,BJ149)</f>
        <v>557</v>
      </c>
      <c r="BP149" s="13">
        <f>SUM(H149,M149,R149,W149,AB149,AG149,AL149,AQ149,AV149,BA149,BF149,BK149)</f>
        <v>20</v>
      </c>
      <c r="BQ149" s="13">
        <f>SUM(I149,N149,S149,X149,AC149,AH149,AM149,AR149,AW149,BB149,BG149,BL149)</f>
        <v>642</v>
      </c>
      <c r="BR149" s="14">
        <f>SUM(J149,O149,T149,Y149,AD149,AI149,AN149,AS149,AX149,BC149,BH149,BM149)</f>
        <v>0</v>
      </c>
      <c r="BS149" s="33">
        <f t="shared" si="105"/>
        <v>1219</v>
      </c>
    </row>
    <row r="150" spans="2:71" x14ac:dyDescent="0.3">
      <c r="B150" s="269"/>
      <c r="C150" s="230"/>
      <c r="D150" s="233"/>
      <c r="E150" s="239"/>
      <c r="F150" s="121" t="s">
        <v>155</v>
      </c>
      <c r="G150" s="32">
        <v>13</v>
      </c>
      <c r="H150" s="13"/>
      <c r="I150" s="13">
        <v>8</v>
      </c>
      <c r="J150" s="14"/>
      <c r="K150" s="15">
        <f t="shared" si="93"/>
        <v>21</v>
      </c>
      <c r="L150" s="32">
        <v>9</v>
      </c>
      <c r="M150" s="13"/>
      <c r="N150" s="13">
        <v>4</v>
      </c>
      <c r="O150" s="14"/>
      <c r="P150" s="15">
        <f t="shared" si="106"/>
        <v>13</v>
      </c>
      <c r="Q150" s="32">
        <v>36</v>
      </c>
      <c r="R150" s="13"/>
      <c r="S150" s="13">
        <v>38</v>
      </c>
      <c r="T150" s="14"/>
      <c r="U150" s="15">
        <f t="shared" si="107"/>
        <v>74</v>
      </c>
      <c r="V150" s="32">
        <v>1</v>
      </c>
      <c r="W150" s="13"/>
      <c r="X150" s="13"/>
      <c r="Y150" s="14"/>
      <c r="Z150" s="15">
        <f t="shared" si="108"/>
        <v>1</v>
      </c>
      <c r="AA150" s="32"/>
      <c r="AB150" s="13"/>
      <c r="AC150" s="13"/>
      <c r="AD150" s="14"/>
      <c r="AE150" s="15">
        <f t="shared" si="109"/>
        <v>0</v>
      </c>
      <c r="AF150" s="32">
        <v>36</v>
      </c>
      <c r="AG150" s="13"/>
      <c r="AH150" s="13">
        <v>15</v>
      </c>
      <c r="AI150" s="14"/>
      <c r="AJ150" s="15">
        <f t="shared" si="110"/>
        <v>51</v>
      </c>
      <c r="AK150" s="32">
        <v>13</v>
      </c>
      <c r="AL150" s="13">
        <v>1</v>
      </c>
      <c r="AM150" s="13">
        <v>15</v>
      </c>
      <c r="AN150" s="14"/>
      <c r="AO150" s="15">
        <f t="shared" si="111"/>
        <v>29</v>
      </c>
      <c r="AP150" s="32">
        <v>37</v>
      </c>
      <c r="AQ150" s="13">
        <v>1</v>
      </c>
      <c r="AR150" s="13">
        <v>39</v>
      </c>
      <c r="AS150" s="14"/>
      <c r="AT150" s="15">
        <f t="shared" si="112"/>
        <v>77</v>
      </c>
      <c r="AU150" s="32"/>
      <c r="AV150" s="13"/>
      <c r="AW150" s="13"/>
      <c r="AX150" s="14"/>
      <c r="AY150" s="15">
        <f t="shared" si="113"/>
        <v>0</v>
      </c>
      <c r="AZ150" s="32"/>
      <c r="BA150" s="13"/>
      <c r="BB150" s="13"/>
      <c r="BC150" s="14"/>
      <c r="BD150" s="15">
        <f t="shared" si="114"/>
        <v>0</v>
      </c>
      <c r="BE150" s="32">
        <v>21</v>
      </c>
      <c r="BF150" s="13">
        <v>1</v>
      </c>
      <c r="BG150" s="13">
        <v>19</v>
      </c>
      <c r="BH150" s="14"/>
      <c r="BI150" s="15">
        <f t="shared" si="115"/>
        <v>41</v>
      </c>
      <c r="BJ150" s="32">
        <v>10</v>
      </c>
      <c r="BK150" s="13">
        <v>1</v>
      </c>
      <c r="BL150" s="13">
        <v>9</v>
      </c>
      <c r="BM150" s="14"/>
      <c r="BN150" s="15">
        <f t="shared" si="116"/>
        <v>20</v>
      </c>
      <c r="BO150" s="66">
        <f>SUM(G150,L150,Q150,V150,AA150,AF150,AK150,AP150,AU150,AZ150,BE150,BJ150)</f>
        <v>176</v>
      </c>
      <c r="BP150" s="13">
        <f>SUM(H150,M150,R150,W150,AB150,AG150,AL150,AQ150,AV150,BA150,BF150,BK150)</f>
        <v>4</v>
      </c>
      <c r="BQ150" s="13">
        <f>SUM(I150,N150,S150,X150,AC150,AH150,AM150,AR150,AW150,BB150,BG150,BL150)</f>
        <v>147</v>
      </c>
      <c r="BR150" s="14">
        <f>SUM(J150,O150,T150,Y150,AD150,AI150,AN150,AS150,AX150,BC150,BH150,BM150)</f>
        <v>0</v>
      </c>
      <c r="BS150" s="33">
        <f t="shared" si="105"/>
        <v>327</v>
      </c>
    </row>
    <row r="151" spans="2:71" x14ac:dyDescent="0.3">
      <c r="B151" s="269"/>
      <c r="C151" s="230"/>
      <c r="D151" s="233"/>
      <c r="E151" s="239"/>
      <c r="F151" s="121" t="s">
        <v>156</v>
      </c>
      <c r="G151" s="32">
        <v>13</v>
      </c>
      <c r="H151" s="13">
        <v>1</v>
      </c>
      <c r="I151" s="13">
        <v>16</v>
      </c>
      <c r="J151" s="14"/>
      <c r="K151" s="15">
        <f t="shared" ref="K151:K158" si="117">SUM(G151:J151)</f>
        <v>30</v>
      </c>
      <c r="L151" s="32">
        <v>4</v>
      </c>
      <c r="M151" s="13"/>
      <c r="N151" s="13">
        <v>7</v>
      </c>
      <c r="O151" s="14"/>
      <c r="P151" s="15">
        <f t="shared" si="106"/>
        <v>11</v>
      </c>
      <c r="Q151" s="32">
        <v>7</v>
      </c>
      <c r="R151" s="13">
        <v>1</v>
      </c>
      <c r="S151" s="13">
        <v>19</v>
      </c>
      <c r="T151" s="14"/>
      <c r="U151" s="15">
        <f t="shared" si="107"/>
        <v>27</v>
      </c>
      <c r="V151" s="32"/>
      <c r="W151" s="13"/>
      <c r="X151" s="13">
        <v>1</v>
      </c>
      <c r="Y151" s="14"/>
      <c r="Z151" s="15">
        <f t="shared" si="108"/>
        <v>1</v>
      </c>
      <c r="AA151" s="32"/>
      <c r="AB151" s="13"/>
      <c r="AC151" s="13"/>
      <c r="AD151" s="14"/>
      <c r="AE151" s="15">
        <f t="shared" si="109"/>
        <v>0</v>
      </c>
      <c r="AF151" s="32">
        <v>11</v>
      </c>
      <c r="AG151" s="13"/>
      <c r="AH151" s="13">
        <v>19</v>
      </c>
      <c r="AI151" s="14"/>
      <c r="AJ151" s="15">
        <f t="shared" si="110"/>
        <v>30</v>
      </c>
      <c r="AK151" s="32">
        <v>7</v>
      </c>
      <c r="AL151" s="13"/>
      <c r="AM151" s="13">
        <v>6</v>
      </c>
      <c r="AN151" s="14"/>
      <c r="AO151" s="15">
        <f t="shared" si="111"/>
        <v>13</v>
      </c>
      <c r="AP151" s="32">
        <v>2</v>
      </c>
      <c r="AQ151" s="13">
        <v>1</v>
      </c>
      <c r="AR151" s="13">
        <v>26</v>
      </c>
      <c r="AS151" s="14"/>
      <c r="AT151" s="15">
        <f t="shared" si="112"/>
        <v>29</v>
      </c>
      <c r="AU151" s="32"/>
      <c r="AV151" s="13"/>
      <c r="AW151" s="13"/>
      <c r="AX151" s="14"/>
      <c r="AY151" s="15">
        <f t="shared" si="113"/>
        <v>0</v>
      </c>
      <c r="AZ151" s="32"/>
      <c r="BA151" s="13"/>
      <c r="BB151" s="13"/>
      <c r="BC151" s="14"/>
      <c r="BD151" s="15">
        <f t="shared" si="114"/>
        <v>0</v>
      </c>
      <c r="BE151" s="32">
        <v>8</v>
      </c>
      <c r="BF151" s="13">
        <v>1</v>
      </c>
      <c r="BG151" s="13">
        <v>7</v>
      </c>
      <c r="BH151" s="14"/>
      <c r="BI151" s="15">
        <f t="shared" si="115"/>
        <v>16</v>
      </c>
      <c r="BJ151" s="32">
        <v>1</v>
      </c>
      <c r="BK151" s="13"/>
      <c r="BL151" s="13">
        <v>5</v>
      </c>
      <c r="BM151" s="14"/>
      <c r="BN151" s="15">
        <f t="shared" si="116"/>
        <v>6</v>
      </c>
      <c r="BO151" s="66">
        <f>SUM(G151,L151,Q151,V151,AA151,AF151,AK151,AP151,AU151,AZ151,BE151,BJ151)</f>
        <v>53</v>
      </c>
      <c r="BP151" s="13">
        <f>SUM(H151,M151,R151,W151,AB151,AG151,AL151,AQ151,AV151,BA151,BF151,BK151)</f>
        <v>4</v>
      </c>
      <c r="BQ151" s="13">
        <f>SUM(I151,N151,S151,X151,AC151,AH151,AM151,AR151,AW151,BB151,BG151,BL151)</f>
        <v>106</v>
      </c>
      <c r="BR151" s="14">
        <f>SUM(J151,O151,T151,Y151,AD151,AI151,AN151,AS151,AX151,BC151,BH151,BM151)</f>
        <v>0</v>
      </c>
      <c r="BS151" s="33">
        <f t="shared" si="105"/>
        <v>163</v>
      </c>
    </row>
    <row r="152" spans="2:71" x14ac:dyDescent="0.3">
      <c r="B152" s="269"/>
      <c r="C152" s="230"/>
      <c r="D152" s="233"/>
      <c r="E152" s="239"/>
      <c r="F152" s="121" t="s">
        <v>157</v>
      </c>
      <c r="G152" s="32">
        <v>1</v>
      </c>
      <c r="H152" s="13"/>
      <c r="I152" s="13"/>
      <c r="J152" s="14"/>
      <c r="K152" s="15">
        <f t="shared" si="117"/>
        <v>1</v>
      </c>
      <c r="L152" s="32"/>
      <c r="M152" s="13"/>
      <c r="N152" s="13">
        <v>1</v>
      </c>
      <c r="O152" s="14"/>
      <c r="P152" s="15">
        <f t="shared" si="106"/>
        <v>1</v>
      </c>
      <c r="Q152" s="32">
        <v>4</v>
      </c>
      <c r="R152" s="13"/>
      <c r="S152" s="13">
        <v>6</v>
      </c>
      <c r="T152" s="14"/>
      <c r="U152" s="15">
        <f t="shared" si="107"/>
        <v>10</v>
      </c>
      <c r="V152" s="32"/>
      <c r="W152" s="13"/>
      <c r="X152" s="13"/>
      <c r="Y152" s="14"/>
      <c r="Z152" s="15">
        <f t="shared" si="108"/>
        <v>0</v>
      </c>
      <c r="AA152" s="32"/>
      <c r="AB152" s="13"/>
      <c r="AC152" s="13"/>
      <c r="AD152" s="14"/>
      <c r="AE152" s="15">
        <f t="shared" si="109"/>
        <v>0</v>
      </c>
      <c r="AF152" s="32">
        <v>3</v>
      </c>
      <c r="AG152" s="13"/>
      <c r="AH152" s="13">
        <v>5</v>
      </c>
      <c r="AI152" s="14"/>
      <c r="AJ152" s="15">
        <f t="shared" si="110"/>
        <v>8</v>
      </c>
      <c r="AK152" s="32">
        <v>4</v>
      </c>
      <c r="AL152" s="13">
        <v>1</v>
      </c>
      <c r="AM152" s="13">
        <v>2</v>
      </c>
      <c r="AN152" s="14"/>
      <c r="AO152" s="15">
        <f t="shared" si="111"/>
        <v>7</v>
      </c>
      <c r="AP152" s="32">
        <v>4</v>
      </c>
      <c r="AQ152" s="13"/>
      <c r="AR152" s="13">
        <v>10</v>
      </c>
      <c r="AS152" s="14"/>
      <c r="AT152" s="15">
        <f t="shared" si="112"/>
        <v>14</v>
      </c>
      <c r="AU152" s="32"/>
      <c r="AV152" s="13"/>
      <c r="AW152" s="13"/>
      <c r="AX152" s="14"/>
      <c r="AY152" s="15">
        <f t="shared" si="113"/>
        <v>0</v>
      </c>
      <c r="AZ152" s="32"/>
      <c r="BA152" s="13"/>
      <c r="BB152" s="13"/>
      <c r="BC152" s="14"/>
      <c r="BD152" s="15">
        <f t="shared" si="114"/>
        <v>0</v>
      </c>
      <c r="BE152" s="32">
        <v>2</v>
      </c>
      <c r="BF152" s="13"/>
      <c r="BG152" s="13">
        <v>6</v>
      </c>
      <c r="BH152" s="14"/>
      <c r="BI152" s="15">
        <f t="shared" si="115"/>
        <v>8</v>
      </c>
      <c r="BJ152" s="32">
        <v>1</v>
      </c>
      <c r="BK152" s="13"/>
      <c r="BL152" s="13">
        <v>1</v>
      </c>
      <c r="BM152" s="14"/>
      <c r="BN152" s="15">
        <f t="shared" si="116"/>
        <v>2</v>
      </c>
      <c r="BO152" s="66">
        <f>SUM(G152,L152,Q152,V152,AA152,AF152,AK152,AP152,AU152,AZ152,BE152,BJ152)</f>
        <v>19</v>
      </c>
      <c r="BP152" s="13">
        <f>SUM(H152,M152,R152,W152,AB152,AG152,AL152,AQ152,AV152,BA152,BF152,BK152)</f>
        <v>1</v>
      </c>
      <c r="BQ152" s="13">
        <f>SUM(I152,N152,S152,X152,AC152,AH152,AM152,AR152,AW152,BB152,BG152,BL152)</f>
        <v>31</v>
      </c>
      <c r="BR152" s="14">
        <f>SUM(J152,O152,T152,Y152,AD152,AI152,AN152,AS152,AX152,BC152,BH152,BM152)</f>
        <v>0</v>
      </c>
      <c r="BS152" s="33">
        <f t="shared" si="105"/>
        <v>51</v>
      </c>
    </row>
    <row r="153" spans="2:71" x14ac:dyDescent="0.3">
      <c r="B153" s="269"/>
      <c r="C153" s="230"/>
      <c r="D153" s="233"/>
      <c r="E153" s="239"/>
      <c r="F153" s="121" t="s">
        <v>663</v>
      </c>
      <c r="G153" s="32">
        <v>76</v>
      </c>
      <c r="H153" s="13">
        <v>5</v>
      </c>
      <c r="I153" s="13">
        <v>1</v>
      </c>
      <c r="J153" s="14"/>
      <c r="K153" s="15">
        <f t="shared" si="117"/>
        <v>82</v>
      </c>
      <c r="L153" s="32"/>
      <c r="M153" s="13"/>
      <c r="N153" s="13"/>
      <c r="O153" s="14"/>
      <c r="P153" s="15">
        <f t="shared" si="106"/>
        <v>0</v>
      </c>
      <c r="Q153" s="32"/>
      <c r="R153" s="13"/>
      <c r="S153" s="13"/>
      <c r="T153" s="14"/>
      <c r="U153" s="15">
        <f t="shared" si="107"/>
        <v>0</v>
      </c>
      <c r="V153" s="32"/>
      <c r="W153" s="13"/>
      <c r="X153" s="13"/>
      <c r="Y153" s="14"/>
      <c r="Z153" s="15">
        <f t="shared" si="108"/>
        <v>0</v>
      </c>
      <c r="AA153" s="32"/>
      <c r="AB153" s="13"/>
      <c r="AC153" s="13"/>
      <c r="AD153" s="14"/>
      <c r="AE153" s="15">
        <f t="shared" si="109"/>
        <v>0</v>
      </c>
      <c r="AF153" s="32"/>
      <c r="AG153" s="13"/>
      <c r="AH153" s="13"/>
      <c r="AI153" s="14"/>
      <c r="AJ153" s="15">
        <f t="shared" si="110"/>
        <v>0</v>
      </c>
      <c r="AK153" s="32"/>
      <c r="AL153" s="13"/>
      <c r="AM153" s="13"/>
      <c r="AN153" s="14"/>
      <c r="AO153" s="15">
        <f t="shared" si="111"/>
        <v>0</v>
      </c>
      <c r="AP153" s="32">
        <v>61</v>
      </c>
      <c r="AQ153" s="13">
        <v>2</v>
      </c>
      <c r="AR153" s="13">
        <v>4</v>
      </c>
      <c r="AS153" s="14"/>
      <c r="AT153" s="15">
        <f t="shared" si="112"/>
        <v>67</v>
      </c>
      <c r="AU153" s="32">
        <v>23</v>
      </c>
      <c r="AV153" s="13"/>
      <c r="AW153" s="13">
        <v>1</v>
      </c>
      <c r="AX153" s="14"/>
      <c r="AY153" s="15">
        <f t="shared" si="113"/>
        <v>24</v>
      </c>
      <c r="AZ153" s="32"/>
      <c r="BA153" s="13"/>
      <c r="BB153" s="13"/>
      <c r="BC153" s="14"/>
      <c r="BD153" s="15">
        <f t="shared" si="114"/>
        <v>0</v>
      </c>
      <c r="BE153" s="32"/>
      <c r="BF153" s="13"/>
      <c r="BG153" s="13"/>
      <c r="BH153" s="14"/>
      <c r="BI153" s="15">
        <f t="shared" si="115"/>
        <v>0</v>
      </c>
      <c r="BJ153" s="32"/>
      <c r="BK153" s="13"/>
      <c r="BL153" s="13"/>
      <c r="BM153" s="14"/>
      <c r="BN153" s="15">
        <f t="shared" si="116"/>
        <v>0</v>
      </c>
      <c r="BO153" s="66">
        <f>SUM(G153,L153,Q153,V153,AA153,AF153,AK153,AP153,AU153,AZ153,BE153,BJ153)</f>
        <v>160</v>
      </c>
      <c r="BP153" s="13">
        <f>SUM(H153,M153,R153,W153,AB153,AG153,AL153,AQ153,AV153,BA153,BF153,BK153)</f>
        <v>7</v>
      </c>
      <c r="BQ153" s="13">
        <f>SUM(I153,N153,S153,X153,AC153,AH153,AM153,AR153,AW153,BB153,BG153,BL153)</f>
        <v>6</v>
      </c>
      <c r="BR153" s="14">
        <f>SUM(J153,O153,T153,Y153,AD153,AI153,AN153,AS153,AX153,BC153,BH153,BM153)</f>
        <v>0</v>
      </c>
      <c r="BS153" s="33">
        <f t="shared" si="105"/>
        <v>173</v>
      </c>
    </row>
    <row r="154" spans="2:71" x14ac:dyDescent="0.3">
      <c r="B154" s="269"/>
      <c r="C154" s="230"/>
      <c r="D154" s="233"/>
      <c r="E154" s="239"/>
      <c r="F154" s="121" t="s">
        <v>664</v>
      </c>
      <c r="G154" s="32">
        <v>66</v>
      </c>
      <c r="H154" s="13">
        <v>7</v>
      </c>
      <c r="I154" s="13">
        <v>4</v>
      </c>
      <c r="J154" s="14"/>
      <c r="K154" s="15">
        <f t="shared" si="117"/>
        <v>77</v>
      </c>
      <c r="L154" s="32"/>
      <c r="M154" s="13"/>
      <c r="N154" s="13"/>
      <c r="O154" s="14"/>
      <c r="P154" s="15">
        <f t="shared" si="106"/>
        <v>0</v>
      </c>
      <c r="Q154" s="32"/>
      <c r="R154" s="13"/>
      <c r="S154" s="13"/>
      <c r="T154" s="14"/>
      <c r="U154" s="15">
        <f t="shared" si="107"/>
        <v>0</v>
      </c>
      <c r="V154" s="32"/>
      <c r="W154" s="13"/>
      <c r="X154" s="13"/>
      <c r="Y154" s="14"/>
      <c r="Z154" s="15">
        <f t="shared" si="108"/>
        <v>0</v>
      </c>
      <c r="AA154" s="32"/>
      <c r="AB154" s="13"/>
      <c r="AC154" s="13"/>
      <c r="AD154" s="14"/>
      <c r="AE154" s="15">
        <f t="shared" si="109"/>
        <v>0</v>
      </c>
      <c r="AF154" s="32"/>
      <c r="AG154" s="13"/>
      <c r="AH154" s="13"/>
      <c r="AI154" s="14"/>
      <c r="AJ154" s="15">
        <f t="shared" si="110"/>
        <v>0</v>
      </c>
      <c r="AK154" s="32"/>
      <c r="AL154" s="13"/>
      <c r="AM154" s="13"/>
      <c r="AN154" s="14"/>
      <c r="AO154" s="15">
        <f t="shared" si="111"/>
        <v>0</v>
      </c>
      <c r="AP154" s="32">
        <v>49</v>
      </c>
      <c r="AQ154" s="13"/>
      <c r="AR154" s="13">
        <v>6</v>
      </c>
      <c r="AS154" s="14"/>
      <c r="AT154" s="15">
        <f t="shared" si="112"/>
        <v>55</v>
      </c>
      <c r="AU154" s="32">
        <v>15</v>
      </c>
      <c r="AV154" s="13"/>
      <c r="AW154" s="13">
        <v>4</v>
      </c>
      <c r="AX154" s="14"/>
      <c r="AY154" s="15">
        <f t="shared" si="113"/>
        <v>19</v>
      </c>
      <c r="AZ154" s="32"/>
      <c r="BA154" s="13"/>
      <c r="BB154" s="13"/>
      <c r="BC154" s="14"/>
      <c r="BD154" s="15">
        <f t="shared" si="114"/>
        <v>0</v>
      </c>
      <c r="BE154" s="32"/>
      <c r="BF154" s="13"/>
      <c r="BG154" s="13"/>
      <c r="BH154" s="14"/>
      <c r="BI154" s="15">
        <f t="shared" si="115"/>
        <v>0</v>
      </c>
      <c r="BJ154" s="32"/>
      <c r="BK154" s="13"/>
      <c r="BL154" s="13"/>
      <c r="BM154" s="14"/>
      <c r="BN154" s="15">
        <f t="shared" si="116"/>
        <v>0</v>
      </c>
      <c r="BO154" s="66">
        <f>SUM(G154,L154,Q154,V154,AA154,AF154,AK154,AP154,AU154,AZ154,BE154,BJ154)</f>
        <v>130</v>
      </c>
      <c r="BP154" s="13">
        <f>SUM(H154,M154,R154,W154,AB154,AG154,AL154,AQ154,AV154,BA154,BF154,BK154)</f>
        <v>7</v>
      </c>
      <c r="BQ154" s="13">
        <f>SUM(I154,N154,S154,X154,AC154,AH154,AM154,AR154,AW154,BB154,BG154,BL154)</f>
        <v>14</v>
      </c>
      <c r="BR154" s="14">
        <f>SUM(J154,O154,T154,Y154,AD154,AI154,AN154,AS154,AX154,BC154,BH154,BM154)</f>
        <v>0</v>
      </c>
      <c r="BS154" s="33">
        <f t="shared" si="105"/>
        <v>151</v>
      </c>
    </row>
    <row r="155" spans="2:71" x14ac:dyDescent="0.3">
      <c r="B155" s="269"/>
      <c r="C155" s="230"/>
      <c r="D155" s="233"/>
      <c r="E155" s="239"/>
      <c r="F155" s="121" t="s">
        <v>203</v>
      </c>
      <c r="G155" s="32"/>
      <c r="H155" s="13"/>
      <c r="I155" s="13"/>
      <c r="J155" s="14"/>
      <c r="K155" s="15">
        <f t="shared" si="117"/>
        <v>0</v>
      </c>
      <c r="L155" s="32"/>
      <c r="M155" s="13"/>
      <c r="N155" s="13"/>
      <c r="O155" s="14"/>
      <c r="P155" s="15">
        <f t="shared" si="106"/>
        <v>0</v>
      </c>
      <c r="Q155" s="32"/>
      <c r="R155" s="13"/>
      <c r="S155" s="13"/>
      <c r="T155" s="14"/>
      <c r="U155" s="15">
        <f t="shared" si="107"/>
        <v>0</v>
      </c>
      <c r="V155" s="32">
        <v>370</v>
      </c>
      <c r="W155" s="13">
        <v>29</v>
      </c>
      <c r="X155" s="13">
        <v>939</v>
      </c>
      <c r="Y155" s="14"/>
      <c r="Z155" s="15">
        <f t="shared" si="108"/>
        <v>1338</v>
      </c>
      <c r="AA155" s="32">
        <v>939</v>
      </c>
      <c r="AB155" s="13">
        <v>17</v>
      </c>
      <c r="AC155" s="13">
        <v>1787</v>
      </c>
      <c r="AD155" s="14"/>
      <c r="AE155" s="15">
        <f t="shared" si="109"/>
        <v>2743</v>
      </c>
      <c r="AF155" s="32">
        <v>31</v>
      </c>
      <c r="AG155" s="13">
        <v>3</v>
      </c>
      <c r="AH155" s="13">
        <v>63</v>
      </c>
      <c r="AI155" s="14"/>
      <c r="AJ155" s="15">
        <f t="shared" si="110"/>
        <v>97</v>
      </c>
      <c r="AK155" s="32"/>
      <c r="AL155" s="13"/>
      <c r="AM155" s="13"/>
      <c r="AN155" s="14"/>
      <c r="AO155" s="15">
        <f t="shared" si="111"/>
        <v>0</v>
      </c>
      <c r="AP155" s="32"/>
      <c r="AQ155" s="13"/>
      <c r="AR155" s="13"/>
      <c r="AS155" s="14"/>
      <c r="AT155" s="15">
        <f t="shared" si="112"/>
        <v>0</v>
      </c>
      <c r="AU155" s="32">
        <v>482</v>
      </c>
      <c r="AV155" s="13">
        <v>24</v>
      </c>
      <c r="AW155" s="13">
        <v>589</v>
      </c>
      <c r="AX155" s="14"/>
      <c r="AY155" s="15">
        <f t="shared" si="113"/>
        <v>1095</v>
      </c>
      <c r="AZ155" s="32">
        <v>937</v>
      </c>
      <c r="BA155" s="13">
        <v>144</v>
      </c>
      <c r="BB155" s="13">
        <v>1510</v>
      </c>
      <c r="BC155" s="14"/>
      <c r="BD155" s="15">
        <f t="shared" si="114"/>
        <v>2591</v>
      </c>
      <c r="BE155" s="32">
        <v>30</v>
      </c>
      <c r="BF155" s="13">
        <v>3</v>
      </c>
      <c r="BG155" s="13">
        <v>78</v>
      </c>
      <c r="BH155" s="14"/>
      <c r="BI155" s="15">
        <f t="shared" si="115"/>
        <v>111</v>
      </c>
      <c r="BJ155" s="32"/>
      <c r="BK155" s="13"/>
      <c r="BL155" s="13"/>
      <c r="BM155" s="14"/>
      <c r="BN155" s="15">
        <f t="shared" si="116"/>
        <v>0</v>
      </c>
      <c r="BO155" s="66">
        <f>SUM(G155,L155,Q155,V155,AA155,AF155,AK155,AP155,AU155,AZ155,BE155,BJ155)</f>
        <v>2789</v>
      </c>
      <c r="BP155" s="13">
        <f>SUM(H155,M155,R155,W155,AB155,AG155,AL155,AQ155,AV155,BA155,BF155,BK155)</f>
        <v>220</v>
      </c>
      <c r="BQ155" s="13">
        <f>SUM(I155,N155,S155,X155,AC155,AH155,AM155,AR155,AW155,BB155,BG155,BL155)</f>
        <v>4966</v>
      </c>
      <c r="BR155" s="14">
        <f>SUM(J155,O155,T155,Y155,AD155,AI155,AN155,AS155,AX155,BC155,BH155,BM155)</f>
        <v>0</v>
      </c>
      <c r="BS155" s="33">
        <f t="shared" si="105"/>
        <v>7975</v>
      </c>
    </row>
    <row r="156" spans="2:71" x14ac:dyDescent="0.3">
      <c r="B156" s="269"/>
      <c r="C156" s="230"/>
      <c r="D156" s="233"/>
      <c r="E156" s="239"/>
      <c r="F156" s="132" t="s">
        <v>204</v>
      </c>
      <c r="G156" s="44"/>
      <c r="H156" s="45"/>
      <c r="I156" s="45"/>
      <c r="J156" s="46"/>
      <c r="K156" s="47">
        <f t="shared" si="117"/>
        <v>0</v>
      </c>
      <c r="L156" s="44"/>
      <c r="M156" s="45"/>
      <c r="N156" s="45"/>
      <c r="O156" s="46"/>
      <c r="P156" s="47">
        <f t="shared" si="106"/>
        <v>0</v>
      </c>
      <c r="Q156" s="44"/>
      <c r="R156" s="45"/>
      <c r="S156" s="45"/>
      <c r="T156" s="46"/>
      <c r="U156" s="47">
        <f t="shared" si="107"/>
        <v>0</v>
      </c>
      <c r="V156" s="44">
        <v>98</v>
      </c>
      <c r="W156" s="45">
        <v>4</v>
      </c>
      <c r="X156" s="45">
        <v>192</v>
      </c>
      <c r="Y156" s="46"/>
      <c r="Z156" s="47">
        <f t="shared" si="108"/>
        <v>294</v>
      </c>
      <c r="AA156" s="44">
        <v>207</v>
      </c>
      <c r="AB156" s="45">
        <v>14</v>
      </c>
      <c r="AC156" s="45">
        <v>393</v>
      </c>
      <c r="AD156" s="46"/>
      <c r="AE156" s="47">
        <f t="shared" si="109"/>
        <v>614</v>
      </c>
      <c r="AF156" s="44">
        <v>3</v>
      </c>
      <c r="AG156" s="45">
        <v>1</v>
      </c>
      <c r="AH156" s="45">
        <v>14</v>
      </c>
      <c r="AI156" s="46"/>
      <c r="AJ156" s="47">
        <f t="shared" si="110"/>
        <v>18</v>
      </c>
      <c r="AK156" s="44"/>
      <c r="AL156" s="45"/>
      <c r="AM156" s="45"/>
      <c r="AN156" s="46"/>
      <c r="AO156" s="47">
        <f t="shared" si="111"/>
        <v>0</v>
      </c>
      <c r="AP156" s="44"/>
      <c r="AQ156" s="45"/>
      <c r="AR156" s="45"/>
      <c r="AS156" s="46"/>
      <c r="AT156" s="47">
        <f t="shared" si="112"/>
        <v>0</v>
      </c>
      <c r="AU156" s="44">
        <v>189</v>
      </c>
      <c r="AV156" s="45">
        <v>8</v>
      </c>
      <c r="AW156" s="45">
        <v>213</v>
      </c>
      <c r="AX156" s="46"/>
      <c r="AY156" s="47">
        <f t="shared" si="113"/>
        <v>410</v>
      </c>
      <c r="AZ156" s="44">
        <v>357</v>
      </c>
      <c r="BA156" s="45">
        <v>56</v>
      </c>
      <c r="BB156" s="45">
        <v>423</v>
      </c>
      <c r="BC156" s="46"/>
      <c r="BD156" s="47">
        <f t="shared" si="114"/>
        <v>836</v>
      </c>
      <c r="BE156" s="44">
        <v>13</v>
      </c>
      <c r="BF156" s="45"/>
      <c r="BG156" s="45">
        <v>38</v>
      </c>
      <c r="BH156" s="46"/>
      <c r="BI156" s="47">
        <f t="shared" si="115"/>
        <v>51</v>
      </c>
      <c r="BJ156" s="44"/>
      <c r="BK156" s="45"/>
      <c r="BL156" s="45"/>
      <c r="BM156" s="46"/>
      <c r="BN156" s="47">
        <f t="shared" si="116"/>
        <v>0</v>
      </c>
      <c r="BO156" s="67">
        <f>SUM(G156,L156,Q156,V156,AA156,AF156,AK156,AP156,AU156,AZ156,BE156,BJ156)</f>
        <v>867</v>
      </c>
      <c r="BP156" s="45">
        <f>SUM(H156,M156,R156,W156,AB156,AG156,AL156,AQ156,AV156,BA156,BF156,BK156)</f>
        <v>83</v>
      </c>
      <c r="BQ156" s="45">
        <f>SUM(I156,N156,S156,X156,AC156,AH156,AM156,AR156,AW156,BB156,BG156,BL156)</f>
        <v>1273</v>
      </c>
      <c r="BR156" s="46">
        <f>SUM(J156,O156,T156,Y156,AD156,AI156,AN156,AS156,AX156,BC156,BH156,BM156)</f>
        <v>0</v>
      </c>
      <c r="BS156" s="48">
        <f t="shared" si="105"/>
        <v>2223</v>
      </c>
    </row>
    <row r="157" spans="2:71" x14ac:dyDescent="0.3">
      <c r="B157" s="269"/>
      <c r="C157" s="230"/>
      <c r="D157" s="233"/>
      <c r="E157" s="239"/>
      <c r="F157" s="123" t="s">
        <v>205</v>
      </c>
      <c r="G157" s="34"/>
      <c r="H157" s="16"/>
      <c r="I157" s="16"/>
      <c r="J157" s="17"/>
      <c r="K157" s="18">
        <f t="shared" si="117"/>
        <v>0</v>
      </c>
      <c r="L157" s="34"/>
      <c r="M157" s="16"/>
      <c r="N157" s="16"/>
      <c r="O157" s="17"/>
      <c r="P157" s="18">
        <f t="shared" si="106"/>
        <v>0</v>
      </c>
      <c r="Q157" s="34"/>
      <c r="R157" s="16"/>
      <c r="S157" s="16"/>
      <c r="T157" s="17"/>
      <c r="U157" s="18">
        <f t="shared" si="107"/>
        <v>0</v>
      </c>
      <c r="V157" s="34">
        <v>34</v>
      </c>
      <c r="W157" s="16">
        <v>3</v>
      </c>
      <c r="X157" s="16">
        <v>130</v>
      </c>
      <c r="Y157" s="17"/>
      <c r="Z157" s="18">
        <f t="shared" si="108"/>
        <v>167</v>
      </c>
      <c r="AA157" s="34">
        <v>70</v>
      </c>
      <c r="AB157" s="16">
        <v>3</v>
      </c>
      <c r="AC157" s="16">
        <v>383</v>
      </c>
      <c r="AD157" s="17"/>
      <c r="AE157" s="18">
        <f t="shared" si="109"/>
        <v>456</v>
      </c>
      <c r="AF157" s="34">
        <v>3</v>
      </c>
      <c r="AG157" s="16"/>
      <c r="AH157" s="16">
        <v>12</v>
      </c>
      <c r="AI157" s="17"/>
      <c r="AJ157" s="18">
        <f t="shared" si="110"/>
        <v>15</v>
      </c>
      <c r="AK157" s="34"/>
      <c r="AL157" s="16"/>
      <c r="AM157" s="16"/>
      <c r="AN157" s="17"/>
      <c r="AO157" s="18">
        <f t="shared" si="111"/>
        <v>0</v>
      </c>
      <c r="AP157" s="34"/>
      <c r="AQ157" s="16"/>
      <c r="AR157" s="16"/>
      <c r="AS157" s="17"/>
      <c r="AT157" s="18">
        <f t="shared" si="112"/>
        <v>0</v>
      </c>
      <c r="AU157" s="34">
        <v>49</v>
      </c>
      <c r="AV157" s="16">
        <v>1</v>
      </c>
      <c r="AW157" s="16">
        <v>133</v>
      </c>
      <c r="AX157" s="17"/>
      <c r="AY157" s="18">
        <f t="shared" si="113"/>
        <v>183</v>
      </c>
      <c r="AZ157" s="34">
        <v>72</v>
      </c>
      <c r="BA157" s="16">
        <v>6</v>
      </c>
      <c r="BB157" s="16">
        <v>351</v>
      </c>
      <c r="BC157" s="17"/>
      <c r="BD157" s="18">
        <f t="shared" si="114"/>
        <v>429</v>
      </c>
      <c r="BE157" s="34"/>
      <c r="BF157" s="16"/>
      <c r="BG157" s="16">
        <v>8</v>
      </c>
      <c r="BH157" s="17"/>
      <c r="BI157" s="18">
        <f t="shared" si="115"/>
        <v>8</v>
      </c>
      <c r="BJ157" s="34"/>
      <c r="BK157" s="16"/>
      <c r="BL157" s="16"/>
      <c r="BM157" s="17"/>
      <c r="BN157" s="18">
        <f t="shared" si="116"/>
        <v>0</v>
      </c>
      <c r="BO157" s="70">
        <f>SUM(G157,L157,Q157,V157,AA157,AF157,AK157,AP157,AU157,AZ157,BE157,BJ157)</f>
        <v>228</v>
      </c>
      <c r="BP157" s="16">
        <f>SUM(H157,M157,R157,W157,AB157,AG157,AL157,AQ157,AV157,BA157,BF157,BK157)</f>
        <v>13</v>
      </c>
      <c r="BQ157" s="16">
        <f>SUM(I157,N157,S157,X157,AC157,AH157,AM157,AR157,AW157,BB157,BG157,BL157)</f>
        <v>1017</v>
      </c>
      <c r="BR157" s="17">
        <f>SUM(J157,O157,T157,Y157,AD157,AI157,AN157,AS157,AX157,BC157,BH157,BM157)</f>
        <v>0</v>
      </c>
      <c r="BS157" s="35">
        <f t="shared" si="105"/>
        <v>1258</v>
      </c>
    </row>
    <row r="158" spans="2:71" x14ac:dyDescent="0.3">
      <c r="B158" s="269"/>
      <c r="C158" s="230"/>
      <c r="D158" s="233"/>
      <c r="E158" s="239"/>
      <c r="F158" s="122" t="s">
        <v>206</v>
      </c>
      <c r="G158" s="135"/>
      <c r="H158" s="136"/>
      <c r="I158" s="136"/>
      <c r="J158" s="137"/>
      <c r="K158" s="138">
        <f t="shared" si="117"/>
        <v>0</v>
      </c>
      <c r="L158" s="135"/>
      <c r="M158" s="136"/>
      <c r="N158" s="136"/>
      <c r="O158" s="137"/>
      <c r="P158" s="138">
        <f t="shared" si="106"/>
        <v>0</v>
      </c>
      <c r="Q158" s="135"/>
      <c r="R158" s="136"/>
      <c r="S158" s="136"/>
      <c r="T158" s="137"/>
      <c r="U158" s="138">
        <f t="shared" si="107"/>
        <v>0</v>
      </c>
      <c r="V158" s="135">
        <v>12</v>
      </c>
      <c r="W158" s="136"/>
      <c r="X158" s="136">
        <v>28</v>
      </c>
      <c r="Y158" s="137"/>
      <c r="Z158" s="138">
        <f t="shared" si="108"/>
        <v>40</v>
      </c>
      <c r="AA158" s="135">
        <v>23</v>
      </c>
      <c r="AB158" s="136">
        <v>2</v>
      </c>
      <c r="AC158" s="136">
        <v>85</v>
      </c>
      <c r="AD158" s="137"/>
      <c r="AE158" s="138">
        <f t="shared" si="109"/>
        <v>110</v>
      </c>
      <c r="AF158" s="135">
        <v>1</v>
      </c>
      <c r="AG158" s="136"/>
      <c r="AH158" s="136"/>
      <c r="AI158" s="137"/>
      <c r="AJ158" s="138">
        <f t="shared" si="110"/>
        <v>1</v>
      </c>
      <c r="AK158" s="135"/>
      <c r="AL158" s="136"/>
      <c r="AM158" s="136"/>
      <c r="AN158" s="137"/>
      <c r="AO158" s="138">
        <f t="shared" si="111"/>
        <v>0</v>
      </c>
      <c r="AP158" s="135"/>
      <c r="AQ158" s="136"/>
      <c r="AR158" s="136"/>
      <c r="AS158" s="137"/>
      <c r="AT158" s="138">
        <f t="shared" si="112"/>
        <v>0</v>
      </c>
      <c r="AU158" s="135">
        <v>29</v>
      </c>
      <c r="AV158" s="136"/>
      <c r="AW158" s="136">
        <v>52</v>
      </c>
      <c r="AX158" s="137"/>
      <c r="AY158" s="138">
        <f t="shared" si="113"/>
        <v>81</v>
      </c>
      <c r="AZ158" s="135">
        <v>34</v>
      </c>
      <c r="BA158" s="136">
        <v>8</v>
      </c>
      <c r="BB158" s="136">
        <v>118</v>
      </c>
      <c r="BC158" s="137"/>
      <c r="BD158" s="138">
        <f t="shared" si="114"/>
        <v>160</v>
      </c>
      <c r="BE158" s="135"/>
      <c r="BF158" s="136"/>
      <c r="BG158" s="136">
        <v>2</v>
      </c>
      <c r="BH158" s="137"/>
      <c r="BI158" s="138">
        <f t="shared" si="115"/>
        <v>2</v>
      </c>
      <c r="BJ158" s="135"/>
      <c r="BK158" s="136"/>
      <c r="BL158" s="136"/>
      <c r="BM158" s="137"/>
      <c r="BN158" s="138">
        <f t="shared" si="116"/>
        <v>0</v>
      </c>
      <c r="BO158" s="140">
        <f>SUM(G158,L158,Q158,V158,AA158,AF158,AK158,AP158,AU158,AZ158,BE158,BJ158)</f>
        <v>99</v>
      </c>
      <c r="BP158" s="136">
        <f>SUM(H158,M158,R158,W158,AB158,AG158,AL158,AQ158,AV158,BA158,BF158,BK158)</f>
        <v>10</v>
      </c>
      <c r="BQ158" s="136">
        <f>SUM(I158,N158,S158,X158,AC158,AH158,AM158,AR158,AW158,BB158,BG158,BL158)</f>
        <v>285</v>
      </c>
      <c r="BR158" s="137">
        <f>SUM(J158,O158,T158,Y158,AD158,AI158,AN158,AS158,AX158,BC158,BH158,BM158)</f>
        <v>0</v>
      </c>
      <c r="BS158" s="139">
        <f t="shared" si="105"/>
        <v>394</v>
      </c>
    </row>
    <row r="159" spans="2:71" x14ac:dyDescent="0.3">
      <c r="B159" s="269"/>
      <c r="C159" s="230"/>
      <c r="D159" s="233"/>
      <c r="E159" s="240"/>
      <c r="F159" s="125" t="s">
        <v>54</v>
      </c>
      <c r="G159" s="126">
        <f>SUM(G149:G158)</f>
        <v>259</v>
      </c>
      <c r="H159" s="127">
        <f t="shared" ref="H159:J159" si="118">SUM(H149:H158)</f>
        <v>22</v>
      </c>
      <c r="I159" s="127">
        <f t="shared" si="118"/>
        <v>133</v>
      </c>
      <c r="J159" s="128">
        <f t="shared" si="118"/>
        <v>0</v>
      </c>
      <c r="K159" s="129">
        <f t="shared" si="93"/>
        <v>414</v>
      </c>
      <c r="L159" s="126">
        <f>SUM(L149:L158)</f>
        <v>52</v>
      </c>
      <c r="M159" s="127">
        <f t="shared" ref="M159:O159" si="119">SUM(M149:M158)</f>
        <v>1</v>
      </c>
      <c r="N159" s="127">
        <f t="shared" si="119"/>
        <v>71</v>
      </c>
      <c r="O159" s="128">
        <f t="shared" si="119"/>
        <v>0</v>
      </c>
      <c r="P159" s="129">
        <f t="shared" si="106"/>
        <v>124</v>
      </c>
      <c r="Q159" s="126">
        <f>SUM(Q149:Q158)</f>
        <v>144</v>
      </c>
      <c r="R159" s="127">
        <f t="shared" ref="R159:T159" si="120">SUM(R149:R158)</f>
        <v>5</v>
      </c>
      <c r="S159" s="127">
        <f t="shared" si="120"/>
        <v>221</v>
      </c>
      <c r="T159" s="128">
        <f t="shared" si="120"/>
        <v>0</v>
      </c>
      <c r="U159" s="129">
        <f t="shared" si="107"/>
        <v>370</v>
      </c>
      <c r="V159" s="126">
        <f>SUM(V149:V158)</f>
        <v>517</v>
      </c>
      <c r="W159" s="127">
        <f t="shared" ref="W159:Y159" si="121">SUM(W149:W158)</f>
        <v>36</v>
      </c>
      <c r="X159" s="127">
        <f t="shared" si="121"/>
        <v>1294</v>
      </c>
      <c r="Y159" s="128">
        <f t="shared" si="121"/>
        <v>0</v>
      </c>
      <c r="Z159" s="129">
        <f t="shared" si="108"/>
        <v>1847</v>
      </c>
      <c r="AA159" s="126">
        <f>SUM(AA149:AA158)</f>
        <v>1239</v>
      </c>
      <c r="AB159" s="127">
        <f t="shared" ref="AB159:AD159" si="122">SUM(AB149:AB158)</f>
        <v>36</v>
      </c>
      <c r="AC159" s="127">
        <f t="shared" si="122"/>
        <v>2648</v>
      </c>
      <c r="AD159" s="128">
        <f t="shared" si="122"/>
        <v>0</v>
      </c>
      <c r="AE159" s="129">
        <f t="shared" si="109"/>
        <v>3923</v>
      </c>
      <c r="AF159" s="126">
        <f>SUM(AF149:AF158)</f>
        <v>200</v>
      </c>
      <c r="AG159" s="127">
        <f t="shared" ref="AG159:AI159" si="123">SUM(AG149:AG158)</f>
        <v>7</v>
      </c>
      <c r="AH159" s="127">
        <f t="shared" si="123"/>
        <v>228</v>
      </c>
      <c r="AI159" s="128">
        <f t="shared" si="123"/>
        <v>0</v>
      </c>
      <c r="AJ159" s="129">
        <f t="shared" si="110"/>
        <v>435</v>
      </c>
      <c r="AK159" s="126">
        <f>SUM(AK149:AK158)</f>
        <v>64</v>
      </c>
      <c r="AL159" s="127">
        <f t="shared" ref="AL159:AN159" si="124">SUM(AL149:AL158)</f>
        <v>2</v>
      </c>
      <c r="AM159" s="127">
        <f t="shared" si="124"/>
        <v>57</v>
      </c>
      <c r="AN159" s="128">
        <f t="shared" si="124"/>
        <v>0</v>
      </c>
      <c r="AO159" s="129">
        <f t="shared" si="111"/>
        <v>123</v>
      </c>
      <c r="AP159" s="126">
        <f>SUM(AP149:AP158)</f>
        <v>234</v>
      </c>
      <c r="AQ159" s="127">
        <f t="shared" ref="AQ159:AS159" si="125">SUM(AQ149:AQ158)</f>
        <v>5</v>
      </c>
      <c r="AR159" s="127">
        <f t="shared" si="125"/>
        <v>163</v>
      </c>
      <c r="AS159" s="128">
        <f t="shared" si="125"/>
        <v>0</v>
      </c>
      <c r="AT159" s="129">
        <f t="shared" si="112"/>
        <v>402</v>
      </c>
      <c r="AU159" s="126">
        <f>SUM(AU149:AU158)</f>
        <v>787</v>
      </c>
      <c r="AV159" s="127">
        <f t="shared" ref="AV159:AX159" si="126">SUM(AV149:AV158)</f>
        <v>33</v>
      </c>
      <c r="AW159" s="127">
        <f t="shared" si="126"/>
        <v>992</v>
      </c>
      <c r="AX159" s="128">
        <f t="shared" si="126"/>
        <v>0</v>
      </c>
      <c r="AY159" s="129">
        <f t="shared" si="113"/>
        <v>1812</v>
      </c>
      <c r="AZ159" s="126">
        <f>SUM(AZ149:AZ158)</f>
        <v>1400</v>
      </c>
      <c r="BA159" s="127">
        <f t="shared" ref="BA159:BC159" si="127">SUM(BA149:BA158)</f>
        <v>214</v>
      </c>
      <c r="BB159" s="127">
        <f t="shared" si="127"/>
        <v>2402</v>
      </c>
      <c r="BC159" s="128">
        <f t="shared" si="127"/>
        <v>0</v>
      </c>
      <c r="BD159" s="129">
        <f t="shared" si="114"/>
        <v>4016</v>
      </c>
      <c r="BE159" s="126">
        <f>SUM(BE149:BE158)</f>
        <v>123</v>
      </c>
      <c r="BF159" s="127">
        <f t="shared" ref="BF159:BH159" si="128">SUM(BF149:BF158)</f>
        <v>5</v>
      </c>
      <c r="BG159" s="127">
        <f t="shared" si="128"/>
        <v>224</v>
      </c>
      <c r="BH159" s="128">
        <f t="shared" si="128"/>
        <v>0</v>
      </c>
      <c r="BI159" s="129">
        <f t="shared" si="115"/>
        <v>352</v>
      </c>
      <c r="BJ159" s="126">
        <f>SUM(BJ149:BJ158)</f>
        <v>59</v>
      </c>
      <c r="BK159" s="127">
        <f t="shared" ref="BK159:BM159" si="129">SUM(BK149:BK158)</f>
        <v>3</v>
      </c>
      <c r="BL159" s="127">
        <f t="shared" si="129"/>
        <v>54</v>
      </c>
      <c r="BM159" s="128">
        <f t="shared" si="129"/>
        <v>0</v>
      </c>
      <c r="BN159" s="129">
        <f t="shared" si="116"/>
        <v>116</v>
      </c>
      <c r="BO159" s="131">
        <f>SUM(BO149:BO158)</f>
        <v>5078</v>
      </c>
      <c r="BP159" s="127">
        <f t="shared" ref="BP159:BR159" si="130">SUM(BP149:BP158)</f>
        <v>369</v>
      </c>
      <c r="BQ159" s="127">
        <f t="shared" si="130"/>
        <v>8487</v>
      </c>
      <c r="BR159" s="128">
        <f t="shared" si="130"/>
        <v>0</v>
      </c>
      <c r="BS159" s="130">
        <f t="shared" si="105"/>
        <v>13934</v>
      </c>
    </row>
    <row r="160" spans="2:71" x14ac:dyDescent="0.3">
      <c r="B160" s="269"/>
      <c r="C160" s="230"/>
      <c r="D160" s="233"/>
      <c r="E160" s="239" t="s">
        <v>200</v>
      </c>
      <c r="F160" s="121" t="s">
        <v>665</v>
      </c>
      <c r="G160" s="32"/>
      <c r="H160" s="13"/>
      <c r="I160" s="13"/>
      <c r="J160" s="14"/>
      <c r="K160" s="15">
        <f t="shared" ref="K160:K162" si="131">SUM(G160:J160)</f>
        <v>0</v>
      </c>
      <c r="L160" s="32"/>
      <c r="M160" s="13"/>
      <c r="N160" s="13"/>
      <c r="O160" s="14"/>
      <c r="P160" s="15">
        <f t="shared" si="106"/>
        <v>0</v>
      </c>
      <c r="Q160" s="32"/>
      <c r="R160" s="13"/>
      <c r="S160" s="13"/>
      <c r="T160" s="14"/>
      <c r="U160" s="15">
        <f t="shared" si="107"/>
        <v>0</v>
      </c>
      <c r="V160" s="32"/>
      <c r="W160" s="13"/>
      <c r="X160" s="13"/>
      <c r="Y160" s="14"/>
      <c r="Z160" s="15">
        <f t="shared" si="108"/>
        <v>0</v>
      </c>
      <c r="AA160" s="32">
        <v>68</v>
      </c>
      <c r="AB160" s="13"/>
      <c r="AC160" s="13">
        <v>116</v>
      </c>
      <c r="AD160" s="14"/>
      <c r="AE160" s="15">
        <f t="shared" si="109"/>
        <v>184</v>
      </c>
      <c r="AF160" s="32">
        <v>94</v>
      </c>
      <c r="AG160" s="13">
        <v>2</v>
      </c>
      <c r="AH160" s="13">
        <v>76</v>
      </c>
      <c r="AI160" s="14"/>
      <c r="AJ160" s="15">
        <f t="shared" si="110"/>
        <v>172</v>
      </c>
      <c r="AK160" s="32"/>
      <c r="AL160" s="13"/>
      <c r="AM160" s="13"/>
      <c r="AN160" s="14"/>
      <c r="AO160" s="15">
        <f t="shared" si="111"/>
        <v>0</v>
      </c>
      <c r="AP160" s="32">
        <v>83</v>
      </c>
      <c r="AQ160" s="13">
        <v>3</v>
      </c>
      <c r="AR160" s="13">
        <v>79</v>
      </c>
      <c r="AS160" s="14"/>
      <c r="AT160" s="15">
        <f t="shared" si="112"/>
        <v>165</v>
      </c>
      <c r="AU160" s="32">
        <v>58</v>
      </c>
      <c r="AV160" s="13"/>
      <c r="AW160" s="13">
        <v>77</v>
      </c>
      <c r="AX160" s="14"/>
      <c r="AY160" s="15">
        <f t="shared" si="113"/>
        <v>135</v>
      </c>
      <c r="AZ160" s="32"/>
      <c r="BA160" s="13"/>
      <c r="BB160" s="13"/>
      <c r="BC160" s="14"/>
      <c r="BD160" s="15">
        <f t="shared" si="114"/>
        <v>0</v>
      </c>
      <c r="BE160" s="32"/>
      <c r="BF160" s="13"/>
      <c r="BG160" s="13"/>
      <c r="BH160" s="14"/>
      <c r="BI160" s="15">
        <f t="shared" si="115"/>
        <v>0</v>
      </c>
      <c r="BJ160" s="32">
        <v>34</v>
      </c>
      <c r="BK160" s="13"/>
      <c r="BL160" s="13">
        <v>22</v>
      </c>
      <c r="BM160" s="14"/>
      <c r="BN160" s="15">
        <f t="shared" si="116"/>
        <v>56</v>
      </c>
      <c r="BO160" s="66">
        <f>SUM(G160,L160,Q160,V160,AA160,AF160,AK160,AP160,AU160,AZ160,BE160,BJ160)</f>
        <v>337</v>
      </c>
      <c r="BP160" s="13">
        <f>SUM(H160,M160,R160,W160,AB160,AG160,AL160,AQ160,AV160,BA160,BF160,BK160)</f>
        <v>5</v>
      </c>
      <c r="BQ160" s="13">
        <f>SUM(I160,N160,S160,X160,AC160,AH160,AM160,AR160,AW160,BB160,BG160,BL160)</f>
        <v>370</v>
      </c>
      <c r="BR160" s="14">
        <f>SUM(J160,O160,T160,Y160,AD160,AI160,AN160,AS160,AX160,BC160,BH160,BM160)</f>
        <v>0</v>
      </c>
      <c r="BS160" s="33">
        <f t="shared" si="105"/>
        <v>712</v>
      </c>
    </row>
    <row r="161" spans="2:71" x14ac:dyDescent="0.3">
      <c r="B161" s="269"/>
      <c r="C161" s="230"/>
      <c r="D161" s="233"/>
      <c r="E161" s="239"/>
      <c r="F161" s="121" t="s">
        <v>666</v>
      </c>
      <c r="G161" s="32"/>
      <c r="H161" s="13"/>
      <c r="I161" s="13"/>
      <c r="J161" s="14"/>
      <c r="K161" s="15">
        <f t="shared" si="131"/>
        <v>0</v>
      </c>
      <c r="L161" s="32"/>
      <c r="M161" s="13"/>
      <c r="N161" s="13"/>
      <c r="O161" s="14"/>
      <c r="P161" s="15">
        <f t="shared" si="106"/>
        <v>0</v>
      </c>
      <c r="Q161" s="32"/>
      <c r="R161" s="13"/>
      <c r="S161" s="13"/>
      <c r="T161" s="14"/>
      <c r="U161" s="15">
        <f t="shared" si="107"/>
        <v>0</v>
      </c>
      <c r="V161" s="32"/>
      <c r="W161" s="13"/>
      <c r="X161" s="13"/>
      <c r="Y161" s="14"/>
      <c r="Z161" s="15">
        <f t="shared" si="108"/>
        <v>0</v>
      </c>
      <c r="AA161" s="32">
        <v>13</v>
      </c>
      <c r="AB161" s="13"/>
      <c r="AC161" s="13">
        <v>29</v>
      </c>
      <c r="AD161" s="14"/>
      <c r="AE161" s="15">
        <f t="shared" si="109"/>
        <v>42</v>
      </c>
      <c r="AF161" s="32">
        <v>39</v>
      </c>
      <c r="AG161" s="13"/>
      <c r="AH161" s="13">
        <v>15</v>
      </c>
      <c r="AI161" s="14"/>
      <c r="AJ161" s="15">
        <f t="shared" si="110"/>
        <v>54</v>
      </c>
      <c r="AK161" s="32"/>
      <c r="AL161" s="13"/>
      <c r="AM161" s="13"/>
      <c r="AN161" s="14"/>
      <c r="AO161" s="15">
        <f t="shared" si="111"/>
        <v>0</v>
      </c>
      <c r="AP161" s="32">
        <v>32</v>
      </c>
      <c r="AQ161" s="13">
        <v>1</v>
      </c>
      <c r="AR161" s="13">
        <v>20</v>
      </c>
      <c r="AS161" s="14"/>
      <c r="AT161" s="15">
        <f t="shared" si="112"/>
        <v>53</v>
      </c>
      <c r="AU161" s="32">
        <v>17</v>
      </c>
      <c r="AV161" s="13"/>
      <c r="AW161" s="13">
        <v>38</v>
      </c>
      <c r="AX161" s="14"/>
      <c r="AY161" s="15">
        <f t="shared" si="113"/>
        <v>55</v>
      </c>
      <c r="AZ161" s="32"/>
      <c r="BA161" s="13"/>
      <c r="BB161" s="13"/>
      <c r="BC161" s="14"/>
      <c r="BD161" s="15">
        <f t="shared" si="114"/>
        <v>0</v>
      </c>
      <c r="BE161" s="32"/>
      <c r="BF161" s="13"/>
      <c r="BG161" s="13"/>
      <c r="BH161" s="14"/>
      <c r="BI161" s="15">
        <f t="shared" si="115"/>
        <v>0</v>
      </c>
      <c r="BJ161" s="32">
        <v>12</v>
      </c>
      <c r="BK161" s="13"/>
      <c r="BL161" s="13">
        <v>8</v>
      </c>
      <c r="BM161" s="14"/>
      <c r="BN161" s="15">
        <f t="shared" si="116"/>
        <v>20</v>
      </c>
      <c r="BO161" s="66">
        <f>SUM(G161,L161,Q161,V161,AA161,AF161,AK161,AP161,AU161,AZ161,BE161,BJ161)</f>
        <v>113</v>
      </c>
      <c r="BP161" s="13">
        <f>SUM(H161,M161,R161,W161,AB161,AG161,AL161,AQ161,AV161,BA161,BF161,BK161)</f>
        <v>1</v>
      </c>
      <c r="BQ161" s="13">
        <f>SUM(I161,N161,S161,X161,AC161,AH161,AM161,AR161,AW161,BB161,BG161,BL161)</f>
        <v>110</v>
      </c>
      <c r="BR161" s="14">
        <f>SUM(J161,O161,T161,Y161,AD161,AI161,AN161,AS161,AX161,BC161,BH161,BM161)</f>
        <v>0</v>
      </c>
      <c r="BS161" s="33">
        <f t="shared" si="105"/>
        <v>224</v>
      </c>
    </row>
    <row r="162" spans="2:71" x14ac:dyDescent="0.3">
      <c r="B162" s="269"/>
      <c r="C162" s="230"/>
      <c r="D162" s="233"/>
      <c r="E162" s="239"/>
      <c r="F162" s="121" t="s">
        <v>667</v>
      </c>
      <c r="G162" s="32"/>
      <c r="H162" s="13"/>
      <c r="I162" s="13"/>
      <c r="J162" s="14"/>
      <c r="K162" s="15">
        <f t="shared" si="131"/>
        <v>0</v>
      </c>
      <c r="L162" s="32"/>
      <c r="M162" s="13"/>
      <c r="N162" s="13"/>
      <c r="O162" s="14"/>
      <c r="P162" s="15">
        <f t="shared" si="106"/>
        <v>0</v>
      </c>
      <c r="Q162" s="32"/>
      <c r="R162" s="13"/>
      <c r="S162" s="13"/>
      <c r="T162" s="14"/>
      <c r="U162" s="15">
        <f t="shared" si="107"/>
        <v>0</v>
      </c>
      <c r="V162" s="32"/>
      <c r="W162" s="13"/>
      <c r="X162" s="13"/>
      <c r="Y162" s="14"/>
      <c r="Z162" s="15">
        <f t="shared" si="108"/>
        <v>0</v>
      </c>
      <c r="AA162" s="32">
        <v>5</v>
      </c>
      <c r="AB162" s="13">
        <v>1</v>
      </c>
      <c r="AC162" s="13">
        <v>30</v>
      </c>
      <c r="AD162" s="14"/>
      <c r="AE162" s="15">
        <f t="shared" si="109"/>
        <v>36</v>
      </c>
      <c r="AF162" s="32">
        <v>9</v>
      </c>
      <c r="AG162" s="13"/>
      <c r="AH162" s="13">
        <v>27</v>
      </c>
      <c r="AI162" s="14"/>
      <c r="AJ162" s="15">
        <f t="shared" si="110"/>
        <v>36</v>
      </c>
      <c r="AK162" s="32"/>
      <c r="AL162" s="13"/>
      <c r="AM162" s="13"/>
      <c r="AN162" s="14"/>
      <c r="AO162" s="15">
        <f t="shared" si="111"/>
        <v>0</v>
      </c>
      <c r="AP162" s="32">
        <v>17</v>
      </c>
      <c r="AQ162" s="13"/>
      <c r="AR162" s="13">
        <v>27</v>
      </c>
      <c r="AS162" s="14"/>
      <c r="AT162" s="15">
        <f t="shared" si="112"/>
        <v>44</v>
      </c>
      <c r="AU162" s="32">
        <v>6</v>
      </c>
      <c r="AV162" s="13">
        <v>2</v>
      </c>
      <c r="AW162" s="13">
        <v>5</v>
      </c>
      <c r="AX162" s="14"/>
      <c r="AY162" s="15">
        <f t="shared" si="113"/>
        <v>13</v>
      </c>
      <c r="AZ162" s="32"/>
      <c r="BA162" s="13"/>
      <c r="BB162" s="13"/>
      <c r="BC162" s="14"/>
      <c r="BD162" s="15">
        <f t="shared" si="114"/>
        <v>0</v>
      </c>
      <c r="BE162" s="32"/>
      <c r="BF162" s="13"/>
      <c r="BG162" s="13"/>
      <c r="BH162" s="14"/>
      <c r="BI162" s="15">
        <f t="shared" si="115"/>
        <v>0</v>
      </c>
      <c r="BJ162" s="32">
        <v>3</v>
      </c>
      <c r="BK162" s="13"/>
      <c r="BL162" s="13">
        <v>9</v>
      </c>
      <c r="BM162" s="14"/>
      <c r="BN162" s="15">
        <f t="shared" si="116"/>
        <v>12</v>
      </c>
      <c r="BO162" s="66">
        <f>SUM(G162,L162,Q162,V162,AA162,AF162,AK162,AP162,AU162,AZ162,BE162,BJ162)</f>
        <v>40</v>
      </c>
      <c r="BP162" s="13">
        <f>SUM(H162,M162,R162,W162,AB162,AG162,AL162,AQ162,AV162,BA162,BF162,BK162)</f>
        <v>3</v>
      </c>
      <c r="BQ162" s="13">
        <f>SUM(I162,N162,S162,X162,AC162,AH162,AM162,AR162,AW162,BB162,BG162,BL162)</f>
        <v>98</v>
      </c>
      <c r="BR162" s="14">
        <f>SUM(J162,O162,T162,Y162,AD162,AI162,AN162,AS162,AX162,BC162,BH162,BM162)</f>
        <v>0</v>
      </c>
      <c r="BS162" s="33">
        <f t="shared" si="105"/>
        <v>141</v>
      </c>
    </row>
    <row r="163" spans="2:71" x14ac:dyDescent="0.3">
      <c r="B163" s="269"/>
      <c r="C163" s="230"/>
      <c r="D163" s="233"/>
      <c r="E163" s="239"/>
      <c r="F163" s="121" t="s">
        <v>668</v>
      </c>
      <c r="G163" s="32"/>
      <c r="H163" s="13"/>
      <c r="I163" s="13"/>
      <c r="J163" s="14"/>
      <c r="K163" s="15">
        <f t="shared" si="93"/>
        <v>0</v>
      </c>
      <c r="L163" s="32"/>
      <c r="M163" s="13"/>
      <c r="N163" s="13"/>
      <c r="O163" s="14"/>
      <c r="P163" s="15">
        <f t="shared" si="106"/>
        <v>0</v>
      </c>
      <c r="Q163" s="32"/>
      <c r="R163" s="13"/>
      <c r="S163" s="13"/>
      <c r="T163" s="14"/>
      <c r="U163" s="15">
        <f t="shared" si="107"/>
        <v>0</v>
      </c>
      <c r="V163" s="32"/>
      <c r="W163" s="13"/>
      <c r="X163" s="13"/>
      <c r="Y163" s="14"/>
      <c r="Z163" s="15">
        <f t="shared" si="108"/>
        <v>0</v>
      </c>
      <c r="AA163" s="32">
        <v>1</v>
      </c>
      <c r="AB163" s="13"/>
      <c r="AC163" s="13">
        <v>4</v>
      </c>
      <c r="AD163" s="14"/>
      <c r="AE163" s="15">
        <f t="shared" si="109"/>
        <v>5</v>
      </c>
      <c r="AF163" s="32">
        <v>4</v>
      </c>
      <c r="AG163" s="13"/>
      <c r="AH163" s="13">
        <v>9</v>
      </c>
      <c r="AI163" s="14"/>
      <c r="AJ163" s="15">
        <f t="shared" si="110"/>
        <v>13</v>
      </c>
      <c r="AK163" s="32"/>
      <c r="AL163" s="13"/>
      <c r="AM163" s="13"/>
      <c r="AN163" s="14"/>
      <c r="AO163" s="15">
        <f t="shared" si="111"/>
        <v>0</v>
      </c>
      <c r="AP163" s="32">
        <v>3</v>
      </c>
      <c r="AQ163" s="13"/>
      <c r="AR163" s="13">
        <v>12</v>
      </c>
      <c r="AS163" s="14"/>
      <c r="AT163" s="15">
        <f t="shared" si="112"/>
        <v>15</v>
      </c>
      <c r="AU163" s="32">
        <v>3</v>
      </c>
      <c r="AV163" s="13"/>
      <c r="AW163" s="13">
        <v>1</v>
      </c>
      <c r="AX163" s="14"/>
      <c r="AY163" s="15">
        <f t="shared" si="113"/>
        <v>4</v>
      </c>
      <c r="AZ163" s="32"/>
      <c r="BA163" s="13"/>
      <c r="BB163" s="13"/>
      <c r="BC163" s="14"/>
      <c r="BD163" s="15">
        <f t="shared" si="114"/>
        <v>0</v>
      </c>
      <c r="BE163" s="32"/>
      <c r="BF163" s="13"/>
      <c r="BG163" s="13"/>
      <c r="BH163" s="14"/>
      <c r="BI163" s="15">
        <f t="shared" si="115"/>
        <v>0</v>
      </c>
      <c r="BJ163" s="32">
        <v>2</v>
      </c>
      <c r="BK163" s="13"/>
      <c r="BL163" s="13">
        <v>4</v>
      </c>
      <c r="BM163" s="14"/>
      <c r="BN163" s="15">
        <f t="shared" si="116"/>
        <v>6</v>
      </c>
      <c r="BO163" s="66">
        <f>SUM(G163,L163,Q163,V163,AA163,AF163,AK163,AP163,AU163,AZ163,BE163,BJ163)</f>
        <v>13</v>
      </c>
      <c r="BP163" s="13">
        <f>SUM(H163,M163,R163,W163,AB163,AG163,AL163,AQ163,AV163,BA163,BF163,BK163)</f>
        <v>0</v>
      </c>
      <c r="BQ163" s="13">
        <f>SUM(I163,N163,S163,X163,AC163,AH163,AM163,AR163,AW163,BB163,BG163,BL163)</f>
        <v>30</v>
      </c>
      <c r="BR163" s="14">
        <f>SUM(J163,O163,T163,Y163,AD163,AI163,AN163,AS163,AX163,BC163,BH163,BM163)</f>
        <v>0</v>
      </c>
      <c r="BS163" s="33">
        <f t="shared" si="105"/>
        <v>43</v>
      </c>
    </row>
    <row r="164" spans="2:71" x14ac:dyDescent="0.3">
      <c r="B164" s="269"/>
      <c r="C164" s="230"/>
      <c r="D164" s="233"/>
      <c r="E164" s="239"/>
      <c r="F164" s="121" t="s">
        <v>203</v>
      </c>
      <c r="G164" s="32">
        <v>334</v>
      </c>
      <c r="H164" s="13">
        <v>3</v>
      </c>
      <c r="I164" s="13">
        <v>187</v>
      </c>
      <c r="J164" s="14"/>
      <c r="K164" s="15">
        <f t="shared" si="93"/>
        <v>524</v>
      </c>
      <c r="L164" s="32">
        <v>186</v>
      </c>
      <c r="M164" s="13">
        <v>10</v>
      </c>
      <c r="N164" s="13">
        <v>183</v>
      </c>
      <c r="O164" s="14"/>
      <c r="P164" s="15">
        <f t="shared" si="106"/>
        <v>379</v>
      </c>
      <c r="Q164" s="32">
        <v>376</v>
      </c>
      <c r="R164" s="13">
        <v>10</v>
      </c>
      <c r="S164" s="13">
        <v>444</v>
      </c>
      <c r="T164" s="14"/>
      <c r="U164" s="15">
        <f t="shared" si="107"/>
        <v>830</v>
      </c>
      <c r="V164" s="32">
        <v>348</v>
      </c>
      <c r="W164" s="13">
        <v>12</v>
      </c>
      <c r="X164" s="13">
        <v>595</v>
      </c>
      <c r="Y164" s="14"/>
      <c r="Z164" s="15">
        <f t="shared" si="108"/>
        <v>955</v>
      </c>
      <c r="AA164" s="32">
        <v>783</v>
      </c>
      <c r="AB164" s="13">
        <v>13</v>
      </c>
      <c r="AC164" s="13">
        <v>445</v>
      </c>
      <c r="AD164" s="14"/>
      <c r="AE164" s="15">
        <f t="shared" si="109"/>
        <v>1241</v>
      </c>
      <c r="AF164" s="32"/>
      <c r="AG164" s="13"/>
      <c r="AH164" s="13"/>
      <c r="AI164" s="14"/>
      <c r="AJ164" s="15">
        <f t="shared" si="110"/>
        <v>0</v>
      </c>
      <c r="AK164" s="32">
        <v>109</v>
      </c>
      <c r="AL164" s="13">
        <v>4</v>
      </c>
      <c r="AM164" s="13">
        <v>71</v>
      </c>
      <c r="AN164" s="14"/>
      <c r="AO164" s="15">
        <f t="shared" si="111"/>
        <v>184</v>
      </c>
      <c r="AP164" s="32">
        <v>275</v>
      </c>
      <c r="AQ164" s="13">
        <v>13</v>
      </c>
      <c r="AR164" s="13">
        <v>210</v>
      </c>
      <c r="AS164" s="14"/>
      <c r="AT164" s="15">
        <f t="shared" si="112"/>
        <v>498</v>
      </c>
      <c r="AU164" s="32"/>
      <c r="AV164" s="13"/>
      <c r="AW164" s="13"/>
      <c r="AX164" s="14"/>
      <c r="AY164" s="15">
        <f t="shared" si="113"/>
        <v>0</v>
      </c>
      <c r="AZ164" s="32">
        <v>573</v>
      </c>
      <c r="BA164" s="13">
        <v>44</v>
      </c>
      <c r="BB164" s="13">
        <v>821</v>
      </c>
      <c r="BC164" s="14"/>
      <c r="BD164" s="15">
        <f t="shared" si="114"/>
        <v>1438</v>
      </c>
      <c r="BE164" s="32">
        <v>192</v>
      </c>
      <c r="BF164" s="13">
        <v>13</v>
      </c>
      <c r="BG164" s="13">
        <v>234</v>
      </c>
      <c r="BH164" s="14"/>
      <c r="BI164" s="15">
        <f t="shared" si="115"/>
        <v>439</v>
      </c>
      <c r="BJ164" s="32"/>
      <c r="BK164" s="13"/>
      <c r="BL164" s="13"/>
      <c r="BM164" s="14"/>
      <c r="BN164" s="15">
        <f t="shared" si="116"/>
        <v>0</v>
      </c>
      <c r="BO164" s="66">
        <f>SUM(G164,L164,Q164,V164,AA164,AF164,AK164,AP164,AU164,AZ164,BE164,BJ164)</f>
        <v>3176</v>
      </c>
      <c r="BP164" s="13">
        <f>SUM(H164,M164,R164,W164,AB164,AG164,AL164,AQ164,AV164,BA164,BF164,BK164)</f>
        <v>122</v>
      </c>
      <c r="BQ164" s="13">
        <f>SUM(I164,N164,S164,X164,AC164,AH164,AM164,AR164,AW164,BB164,BG164,BL164)</f>
        <v>3190</v>
      </c>
      <c r="BR164" s="14">
        <f>SUM(J164,O164,T164,Y164,AD164,AI164,AN164,AS164,AX164,BC164,BH164,BM164)</f>
        <v>0</v>
      </c>
      <c r="BS164" s="33">
        <f t="shared" si="105"/>
        <v>6488</v>
      </c>
    </row>
    <row r="165" spans="2:71" x14ac:dyDescent="0.3">
      <c r="B165" s="269"/>
      <c r="C165" s="230"/>
      <c r="D165" s="233"/>
      <c r="E165" s="239"/>
      <c r="F165" s="121" t="s">
        <v>204</v>
      </c>
      <c r="G165" s="32">
        <v>30</v>
      </c>
      <c r="H165" s="13"/>
      <c r="I165" s="13">
        <v>14</v>
      </c>
      <c r="J165" s="14"/>
      <c r="K165" s="15">
        <f t="shared" si="93"/>
        <v>44</v>
      </c>
      <c r="L165" s="32">
        <v>26</v>
      </c>
      <c r="M165" s="13"/>
      <c r="N165" s="13">
        <v>13</v>
      </c>
      <c r="O165" s="14"/>
      <c r="P165" s="15">
        <f t="shared" si="106"/>
        <v>39</v>
      </c>
      <c r="Q165" s="32">
        <v>98</v>
      </c>
      <c r="R165" s="13">
        <v>1</v>
      </c>
      <c r="S165" s="13">
        <v>79</v>
      </c>
      <c r="T165" s="14"/>
      <c r="U165" s="15">
        <f t="shared" si="107"/>
        <v>178</v>
      </c>
      <c r="V165" s="32">
        <v>88</v>
      </c>
      <c r="W165" s="13">
        <v>1</v>
      </c>
      <c r="X165" s="13">
        <v>129</v>
      </c>
      <c r="Y165" s="14"/>
      <c r="Z165" s="15">
        <f t="shared" si="108"/>
        <v>218</v>
      </c>
      <c r="AA165" s="32">
        <v>170</v>
      </c>
      <c r="AB165" s="13">
        <v>2</v>
      </c>
      <c r="AC165" s="13">
        <v>83</v>
      </c>
      <c r="AD165" s="14"/>
      <c r="AE165" s="15">
        <f t="shared" si="109"/>
        <v>255</v>
      </c>
      <c r="AF165" s="32"/>
      <c r="AG165" s="13"/>
      <c r="AH165" s="13"/>
      <c r="AI165" s="14"/>
      <c r="AJ165" s="15">
        <f t="shared" si="110"/>
        <v>0</v>
      </c>
      <c r="AK165" s="32">
        <v>44</v>
      </c>
      <c r="AL165" s="13">
        <v>1</v>
      </c>
      <c r="AM165" s="13">
        <v>23</v>
      </c>
      <c r="AN165" s="14"/>
      <c r="AO165" s="15">
        <f t="shared" si="111"/>
        <v>68</v>
      </c>
      <c r="AP165" s="32">
        <v>120</v>
      </c>
      <c r="AQ165" s="13">
        <v>8</v>
      </c>
      <c r="AR165" s="13">
        <v>70</v>
      </c>
      <c r="AS165" s="14"/>
      <c r="AT165" s="15">
        <f t="shared" si="112"/>
        <v>198</v>
      </c>
      <c r="AU165" s="32"/>
      <c r="AV165" s="13"/>
      <c r="AW165" s="13"/>
      <c r="AX165" s="14"/>
      <c r="AY165" s="15">
        <f t="shared" si="113"/>
        <v>0</v>
      </c>
      <c r="AZ165" s="32">
        <v>165</v>
      </c>
      <c r="BA165" s="13">
        <v>14</v>
      </c>
      <c r="BB165" s="13">
        <v>279</v>
      </c>
      <c r="BC165" s="14"/>
      <c r="BD165" s="15">
        <f t="shared" si="114"/>
        <v>458</v>
      </c>
      <c r="BE165" s="32">
        <v>84</v>
      </c>
      <c r="BF165" s="13">
        <v>3</v>
      </c>
      <c r="BG165" s="13">
        <v>87</v>
      </c>
      <c r="BH165" s="14"/>
      <c r="BI165" s="15">
        <f t="shared" si="115"/>
        <v>174</v>
      </c>
      <c r="BJ165" s="32"/>
      <c r="BK165" s="13"/>
      <c r="BL165" s="13"/>
      <c r="BM165" s="14"/>
      <c r="BN165" s="15">
        <f t="shared" si="116"/>
        <v>0</v>
      </c>
      <c r="BO165" s="66">
        <f>SUM(G165,L165,Q165,V165,AA165,AF165,AK165,AP165,AU165,AZ165,BE165,BJ165)</f>
        <v>825</v>
      </c>
      <c r="BP165" s="13">
        <f>SUM(H165,M165,R165,W165,AB165,AG165,AL165,AQ165,AV165,BA165,BF165,BK165)</f>
        <v>30</v>
      </c>
      <c r="BQ165" s="13">
        <f>SUM(I165,N165,S165,X165,AC165,AH165,AM165,AR165,AW165,BB165,BG165,BL165)</f>
        <v>777</v>
      </c>
      <c r="BR165" s="14">
        <f>SUM(J165,O165,T165,Y165,AD165,AI165,AN165,AS165,AX165,BC165,BH165,BM165)</f>
        <v>0</v>
      </c>
      <c r="BS165" s="33">
        <f t="shared" si="105"/>
        <v>1632</v>
      </c>
    </row>
    <row r="166" spans="2:71" x14ac:dyDescent="0.3">
      <c r="B166" s="269"/>
      <c r="C166" s="230"/>
      <c r="D166" s="233"/>
      <c r="E166" s="239"/>
      <c r="F166" s="121" t="s">
        <v>205</v>
      </c>
      <c r="G166" s="32">
        <v>32</v>
      </c>
      <c r="H166" s="13">
        <v>2</v>
      </c>
      <c r="I166" s="13">
        <v>78</v>
      </c>
      <c r="J166" s="14"/>
      <c r="K166" s="15">
        <f t="shared" si="93"/>
        <v>112</v>
      </c>
      <c r="L166" s="32">
        <v>25</v>
      </c>
      <c r="M166" s="13">
        <v>1</v>
      </c>
      <c r="N166" s="13">
        <v>48</v>
      </c>
      <c r="O166" s="14"/>
      <c r="P166" s="15">
        <f t="shared" si="106"/>
        <v>74</v>
      </c>
      <c r="Q166" s="32">
        <v>59</v>
      </c>
      <c r="R166" s="13">
        <v>2</v>
      </c>
      <c r="S166" s="13">
        <v>129</v>
      </c>
      <c r="T166" s="14"/>
      <c r="U166" s="15">
        <f t="shared" si="107"/>
        <v>190</v>
      </c>
      <c r="V166" s="32">
        <v>62</v>
      </c>
      <c r="W166" s="13">
        <v>8</v>
      </c>
      <c r="X166" s="13">
        <v>120</v>
      </c>
      <c r="Y166" s="14"/>
      <c r="Z166" s="15">
        <f t="shared" si="108"/>
        <v>190</v>
      </c>
      <c r="AA166" s="193">
        <f>63+1</f>
        <v>64</v>
      </c>
      <c r="AB166" s="13">
        <v>4</v>
      </c>
      <c r="AC166" s="13">
        <v>310</v>
      </c>
      <c r="AD166" s="14"/>
      <c r="AE166" s="15">
        <f t="shared" si="109"/>
        <v>378</v>
      </c>
      <c r="AF166" s="32"/>
      <c r="AG166" s="13"/>
      <c r="AH166" s="13"/>
      <c r="AI166" s="14"/>
      <c r="AJ166" s="15">
        <f t="shared" si="110"/>
        <v>0</v>
      </c>
      <c r="AK166" s="32">
        <v>20</v>
      </c>
      <c r="AL166" s="13">
        <v>1</v>
      </c>
      <c r="AM166" s="13">
        <v>42</v>
      </c>
      <c r="AN166" s="14"/>
      <c r="AO166" s="15">
        <f t="shared" si="111"/>
        <v>63</v>
      </c>
      <c r="AP166" s="32">
        <v>24</v>
      </c>
      <c r="AQ166" s="13">
        <v>1</v>
      </c>
      <c r="AR166" s="13">
        <v>79</v>
      </c>
      <c r="AS166" s="14"/>
      <c r="AT166" s="15">
        <f t="shared" si="112"/>
        <v>104</v>
      </c>
      <c r="AU166" s="32"/>
      <c r="AV166" s="13"/>
      <c r="AW166" s="13"/>
      <c r="AX166" s="14"/>
      <c r="AY166" s="15">
        <f t="shared" si="113"/>
        <v>0</v>
      </c>
      <c r="AZ166" s="32">
        <v>58</v>
      </c>
      <c r="BA166" s="13">
        <v>7</v>
      </c>
      <c r="BB166" s="13">
        <v>195</v>
      </c>
      <c r="BC166" s="14"/>
      <c r="BD166" s="15">
        <f t="shared" si="114"/>
        <v>260</v>
      </c>
      <c r="BE166" s="32">
        <v>31</v>
      </c>
      <c r="BF166" s="13">
        <v>1</v>
      </c>
      <c r="BG166" s="13">
        <v>48</v>
      </c>
      <c r="BH166" s="14"/>
      <c r="BI166" s="15">
        <f t="shared" si="115"/>
        <v>80</v>
      </c>
      <c r="BJ166" s="32"/>
      <c r="BK166" s="13"/>
      <c r="BL166" s="13"/>
      <c r="BM166" s="14"/>
      <c r="BN166" s="15">
        <f t="shared" si="116"/>
        <v>0</v>
      </c>
      <c r="BO166" s="66">
        <f>SUM(G166,L166,Q166,V166,AA166,AF166,AK166,AP166,AU166,AZ166,BE166,BJ166)</f>
        <v>375</v>
      </c>
      <c r="BP166" s="13">
        <f>SUM(H166,M166,R166,W166,AB166,AG166,AL166,AQ166,AV166,BA166,BF166,BK166)</f>
        <v>27</v>
      </c>
      <c r="BQ166" s="13">
        <f>SUM(I166,N166,S166,X166,AC166,AH166,AM166,AR166,AW166,BB166,BG166,BL166)</f>
        <v>1049</v>
      </c>
      <c r="BR166" s="14">
        <f>SUM(J166,O166,T166,Y166,AD166,AI166,AN166,AS166,AX166,BC166,BH166,BM166)</f>
        <v>0</v>
      </c>
      <c r="BS166" s="33">
        <f t="shared" si="105"/>
        <v>1451</v>
      </c>
    </row>
    <row r="167" spans="2:71" x14ac:dyDescent="0.3">
      <c r="B167" s="269"/>
      <c r="C167" s="230"/>
      <c r="D167" s="233"/>
      <c r="E167" s="239"/>
      <c r="F167" s="122" t="s">
        <v>206</v>
      </c>
      <c r="G167" s="135">
        <v>7</v>
      </c>
      <c r="H167" s="136"/>
      <c r="I167" s="136">
        <v>4</v>
      </c>
      <c r="J167" s="137"/>
      <c r="K167" s="138">
        <f t="shared" ref="K167" si="132">SUM(G167:J167)</f>
        <v>11</v>
      </c>
      <c r="L167" s="135">
        <v>4</v>
      </c>
      <c r="M167" s="136"/>
      <c r="N167" s="136">
        <v>8</v>
      </c>
      <c r="O167" s="137"/>
      <c r="P167" s="138">
        <f t="shared" si="106"/>
        <v>12</v>
      </c>
      <c r="Q167" s="135">
        <v>22</v>
      </c>
      <c r="R167" s="136">
        <v>1</v>
      </c>
      <c r="S167" s="136">
        <v>32</v>
      </c>
      <c r="T167" s="137"/>
      <c r="U167" s="138">
        <f t="shared" si="107"/>
        <v>55</v>
      </c>
      <c r="V167" s="135">
        <v>7</v>
      </c>
      <c r="W167" s="136"/>
      <c r="X167" s="136">
        <v>23</v>
      </c>
      <c r="Y167" s="137"/>
      <c r="Z167" s="138">
        <f t="shared" si="108"/>
        <v>30</v>
      </c>
      <c r="AA167" s="135">
        <v>26</v>
      </c>
      <c r="AB167" s="136"/>
      <c r="AC167" s="136">
        <v>61</v>
      </c>
      <c r="AD167" s="137"/>
      <c r="AE167" s="138">
        <f t="shared" si="109"/>
        <v>87</v>
      </c>
      <c r="AF167" s="135"/>
      <c r="AG167" s="136"/>
      <c r="AH167" s="136"/>
      <c r="AI167" s="137"/>
      <c r="AJ167" s="138">
        <f t="shared" si="110"/>
        <v>0</v>
      </c>
      <c r="AK167" s="135">
        <v>7</v>
      </c>
      <c r="AL167" s="136">
        <v>1</v>
      </c>
      <c r="AM167" s="136">
        <v>23</v>
      </c>
      <c r="AN167" s="137"/>
      <c r="AO167" s="138">
        <f t="shared" si="111"/>
        <v>31</v>
      </c>
      <c r="AP167" s="135">
        <v>14</v>
      </c>
      <c r="AQ167" s="136">
        <v>1</v>
      </c>
      <c r="AR167" s="136">
        <v>23</v>
      </c>
      <c r="AS167" s="137"/>
      <c r="AT167" s="138">
        <f t="shared" si="112"/>
        <v>38</v>
      </c>
      <c r="AU167" s="135"/>
      <c r="AV167" s="136"/>
      <c r="AW167" s="136"/>
      <c r="AX167" s="137"/>
      <c r="AY167" s="138">
        <f t="shared" si="113"/>
        <v>0</v>
      </c>
      <c r="AZ167" s="135">
        <v>15</v>
      </c>
      <c r="BA167" s="136">
        <v>2</v>
      </c>
      <c r="BB167" s="136">
        <v>53</v>
      </c>
      <c r="BC167" s="137"/>
      <c r="BD167" s="138">
        <f t="shared" si="114"/>
        <v>70</v>
      </c>
      <c r="BE167" s="135">
        <v>17</v>
      </c>
      <c r="BF167" s="136"/>
      <c r="BG167" s="136">
        <v>14</v>
      </c>
      <c r="BH167" s="137"/>
      <c r="BI167" s="138">
        <f t="shared" si="115"/>
        <v>31</v>
      </c>
      <c r="BJ167" s="135"/>
      <c r="BK167" s="136"/>
      <c r="BL167" s="136"/>
      <c r="BM167" s="137"/>
      <c r="BN167" s="138">
        <f t="shared" si="116"/>
        <v>0</v>
      </c>
      <c r="BO167" s="140">
        <f>SUM(G167,L167,Q167,V167,AA167,AF167,AK167,AP167,AU167,AZ167,BE167,BJ167)</f>
        <v>119</v>
      </c>
      <c r="BP167" s="136">
        <f>SUM(H167,M167,R167,W167,AB167,AG167,AL167,AQ167,AV167,BA167,BF167,BK167)</f>
        <v>5</v>
      </c>
      <c r="BQ167" s="136">
        <f>SUM(I167,N167,S167,X167,AC167,AH167,AM167,AR167,AW167,BB167,BG167,BL167)</f>
        <v>241</v>
      </c>
      <c r="BR167" s="137">
        <f>SUM(J167,O167,T167,Y167,AD167,AI167,AN167,AS167,AX167,BC167,BH167,BM167)</f>
        <v>0</v>
      </c>
      <c r="BS167" s="139">
        <f t="shared" si="105"/>
        <v>365</v>
      </c>
    </row>
    <row r="168" spans="2:71" x14ac:dyDescent="0.3">
      <c r="B168" s="269"/>
      <c r="C168" s="230"/>
      <c r="D168" s="233"/>
      <c r="E168" s="240"/>
      <c r="F168" s="125" t="s">
        <v>54</v>
      </c>
      <c r="G168" s="126">
        <f>SUM(G160:G167)</f>
        <v>403</v>
      </c>
      <c r="H168" s="127">
        <f>SUM(H160:H167)</f>
        <v>5</v>
      </c>
      <c r="I168" s="127">
        <f>SUM(I160:I167)</f>
        <v>283</v>
      </c>
      <c r="J168" s="128">
        <f>SUM(J160:J167)</f>
        <v>0</v>
      </c>
      <c r="K168" s="129">
        <f t="shared" si="93"/>
        <v>691</v>
      </c>
      <c r="L168" s="126">
        <f>SUM(L160:L167)</f>
        <v>241</v>
      </c>
      <c r="M168" s="127">
        <f>SUM(M160:M167)</f>
        <v>11</v>
      </c>
      <c r="N168" s="127">
        <f>SUM(N160:N167)</f>
        <v>252</v>
      </c>
      <c r="O168" s="128">
        <f>SUM(O160:O167)</f>
        <v>0</v>
      </c>
      <c r="P168" s="129">
        <f t="shared" si="106"/>
        <v>504</v>
      </c>
      <c r="Q168" s="126">
        <f>SUM(Q160:Q167)</f>
        <v>555</v>
      </c>
      <c r="R168" s="127">
        <f>SUM(R160:R167)</f>
        <v>14</v>
      </c>
      <c r="S168" s="127">
        <f>SUM(S160:S167)</f>
        <v>684</v>
      </c>
      <c r="T168" s="128">
        <f>SUM(T160:T167)</f>
        <v>0</v>
      </c>
      <c r="U168" s="129">
        <f t="shared" si="107"/>
        <v>1253</v>
      </c>
      <c r="V168" s="126">
        <f>SUM(V160:V167)</f>
        <v>505</v>
      </c>
      <c r="W168" s="127">
        <f>SUM(W160:W167)</f>
        <v>21</v>
      </c>
      <c r="X168" s="127">
        <f>SUM(X160:X167)</f>
        <v>867</v>
      </c>
      <c r="Y168" s="128">
        <f>SUM(Y160:Y167)</f>
        <v>0</v>
      </c>
      <c r="Z168" s="129">
        <f t="shared" si="108"/>
        <v>1393</v>
      </c>
      <c r="AA168" s="126">
        <f>SUM(AA160:AA167)</f>
        <v>1130</v>
      </c>
      <c r="AB168" s="127">
        <f>SUM(AB160:AB167)</f>
        <v>20</v>
      </c>
      <c r="AC168" s="127">
        <f>SUM(AC160:AC167)</f>
        <v>1078</v>
      </c>
      <c r="AD168" s="128">
        <f>SUM(AD160:AD167)</f>
        <v>0</v>
      </c>
      <c r="AE168" s="129">
        <f t="shared" si="109"/>
        <v>2228</v>
      </c>
      <c r="AF168" s="126">
        <f>SUM(AF160:AF167)</f>
        <v>146</v>
      </c>
      <c r="AG168" s="127">
        <f>SUM(AG160:AG167)</f>
        <v>2</v>
      </c>
      <c r="AH168" s="127">
        <f>SUM(AH160:AH167)</f>
        <v>127</v>
      </c>
      <c r="AI168" s="128">
        <f>SUM(AI160:AI167)</f>
        <v>0</v>
      </c>
      <c r="AJ168" s="129">
        <f t="shared" si="110"/>
        <v>275</v>
      </c>
      <c r="AK168" s="126">
        <f>SUM(AK160:AK167)</f>
        <v>180</v>
      </c>
      <c r="AL168" s="127">
        <f>SUM(AL160:AL167)</f>
        <v>7</v>
      </c>
      <c r="AM168" s="127">
        <f>SUM(AM160:AM167)</f>
        <v>159</v>
      </c>
      <c r="AN168" s="128">
        <f>SUM(AN160:AN167)</f>
        <v>0</v>
      </c>
      <c r="AO168" s="129">
        <f t="shared" si="111"/>
        <v>346</v>
      </c>
      <c r="AP168" s="126">
        <f>SUM(AP160:AP167)</f>
        <v>568</v>
      </c>
      <c r="AQ168" s="127">
        <f>SUM(AQ160:AQ167)</f>
        <v>27</v>
      </c>
      <c r="AR168" s="127">
        <f>SUM(AR160:AR167)</f>
        <v>520</v>
      </c>
      <c r="AS168" s="128">
        <f>SUM(AS160:AS167)</f>
        <v>0</v>
      </c>
      <c r="AT168" s="129">
        <f t="shared" si="112"/>
        <v>1115</v>
      </c>
      <c r="AU168" s="126">
        <f>SUM(AU160:AU167)</f>
        <v>84</v>
      </c>
      <c r="AV168" s="127">
        <f>SUM(AV160:AV167)</f>
        <v>2</v>
      </c>
      <c r="AW168" s="127">
        <f>SUM(AW160:AW167)</f>
        <v>121</v>
      </c>
      <c r="AX168" s="128">
        <f>SUM(AX160:AX167)</f>
        <v>0</v>
      </c>
      <c r="AY168" s="129">
        <f t="shared" si="113"/>
        <v>207</v>
      </c>
      <c r="AZ168" s="126">
        <f>SUM(AZ160:AZ167)</f>
        <v>811</v>
      </c>
      <c r="BA168" s="127">
        <f>SUM(BA160:BA167)</f>
        <v>67</v>
      </c>
      <c r="BB168" s="127">
        <f>SUM(BB160:BB167)</f>
        <v>1348</v>
      </c>
      <c r="BC168" s="128">
        <f>SUM(BC160:BC167)</f>
        <v>0</v>
      </c>
      <c r="BD168" s="129">
        <f t="shared" si="114"/>
        <v>2226</v>
      </c>
      <c r="BE168" s="126">
        <f>SUM(BE160:BE167)</f>
        <v>324</v>
      </c>
      <c r="BF168" s="127">
        <f>SUM(BF160:BF167)</f>
        <v>17</v>
      </c>
      <c r="BG168" s="127">
        <f>SUM(BG160:BG167)</f>
        <v>383</v>
      </c>
      <c r="BH168" s="128">
        <f>SUM(BH160:BH167)</f>
        <v>0</v>
      </c>
      <c r="BI168" s="129">
        <f t="shared" si="115"/>
        <v>724</v>
      </c>
      <c r="BJ168" s="126">
        <f>SUM(BJ160:BJ167)</f>
        <v>51</v>
      </c>
      <c r="BK168" s="127">
        <f>SUM(BK160:BK167)</f>
        <v>0</v>
      </c>
      <c r="BL168" s="127">
        <f>SUM(BL160:BL167)</f>
        <v>43</v>
      </c>
      <c r="BM168" s="128">
        <f>SUM(BM160:BM167)</f>
        <v>0</v>
      </c>
      <c r="BN168" s="129">
        <f t="shared" si="116"/>
        <v>94</v>
      </c>
      <c r="BO168" s="131">
        <f>SUM(BO160:BO167)</f>
        <v>4998</v>
      </c>
      <c r="BP168" s="127">
        <f>SUM(BP160:BP167)</f>
        <v>193</v>
      </c>
      <c r="BQ168" s="127">
        <f>SUM(BQ160:BQ167)</f>
        <v>5865</v>
      </c>
      <c r="BR168" s="128">
        <f>SUM(BR160:BR167)</f>
        <v>0</v>
      </c>
      <c r="BS168" s="130">
        <f t="shared" si="105"/>
        <v>11056</v>
      </c>
    </row>
    <row r="169" spans="2:71" x14ac:dyDescent="0.3">
      <c r="B169" s="269"/>
      <c r="C169" s="230"/>
      <c r="D169" s="233"/>
      <c r="E169" s="241" t="s">
        <v>58</v>
      </c>
      <c r="F169" s="120" t="s">
        <v>59</v>
      </c>
      <c r="G169" s="30">
        <v>216</v>
      </c>
      <c r="H169" s="7">
        <v>8</v>
      </c>
      <c r="I169" s="7">
        <v>113</v>
      </c>
      <c r="J169" s="8"/>
      <c r="K169" s="9">
        <f t="shared" si="93"/>
        <v>337</v>
      </c>
      <c r="L169" s="30">
        <v>112</v>
      </c>
      <c r="M169" s="7">
        <v>8</v>
      </c>
      <c r="N169" s="7">
        <v>127</v>
      </c>
      <c r="O169" s="8"/>
      <c r="P169" s="9">
        <f t="shared" si="106"/>
        <v>247</v>
      </c>
      <c r="Q169" s="30">
        <v>244</v>
      </c>
      <c r="R169" s="7">
        <v>6</v>
      </c>
      <c r="S169" s="7">
        <v>371</v>
      </c>
      <c r="T169" s="8"/>
      <c r="U169" s="9">
        <f t="shared" si="107"/>
        <v>621</v>
      </c>
      <c r="V169" s="30">
        <v>174</v>
      </c>
      <c r="W169" s="7">
        <v>9</v>
      </c>
      <c r="X169" s="7">
        <v>378</v>
      </c>
      <c r="Y169" s="8"/>
      <c r="Z169" s="9">
        <f t="shared" si="108"/>
        <v>561</v>
      </c>
      <c r="AA169" s="30">
        <v>333</v>
      </c>
      <c r="AB169" s="7">
        <v>11</v>
      </c>
      <c r="AC169" s="7">
        <v>646</v>
      </c>
      <c r="AD169" s="8"/>
      <c r="AE169" s="9">
        <f t="shared" si="109"/>
        <v>990</v>
      </c>
      <c r="AF169" s="30">
        <v>151</v>
      </c>
      <c r="AG169" s="7">
        <v>5</v>
      </c>
      <c r="AH169" s="7">
        <v>185</v>
      </c>
      <c r="AI169" s="8"/>
      <c r="AJ169" s="9">
        <f t="shared" si="110"/>
        <v>341</v>
      </c>
      <c r="AK169" s="30">
        <v>74</v>
      </c>
      <c r="AL169" s="7">
        <v>5</v>
      </c>
      <c r="AM169" s="7">
        <v>50</v>
      </c>
      <c r="AN169" s="8"/>
      <c r="AO169" s="9">
        <f t="shared" si="111"/>
        <v>129</v>
      </c>
      <c r="AP169" s="30">
        <v>154</v>
      </c>
      <c r="AQ169" s="7">
        <v>6</v>
      </c>
      <c r="AR169" s="7">
        <v>135</v>
      </c>
      <c r="AS169" s="8"/>
      <c r="AT169" s="9">
        <f t="shared" si="112"/>
        <v>295</v>
      </c>
      <c r="AU169" s="30">
        <v>188</v>
      </c>
      <c r="AV169" s="7">
        <v>14</v>
      </c>
      <c r="AW169" s="7">
        <v>237</v>
      </c>
      <c r="AX169" s="8"/>
      <c r="AY169" s="9">
        <f t="shared" si="113"/>
        <v>439</v>
      </c>
      <c r="AZ169" s="30">
        <v>338</v>
      </c>
      <c r="BA169" s="7">
        <v>37</v>
      </c>
      <c r="BB169" s="7">
        <v>529</v>
      </c>
      <c r="BC169" s="8"/>
      <c r="BD169" s="9">
        <f t="shared" si="114"/>
        <v>904</v>
      </c>
      <c r="BE169" s="30">
        <v>101</v>
      </c>
      <c r="BF169" s="7">
        <v>4</v>
      </c>
      <c r="BG169" s="7">
        <v>157</v>
      </c>
      <c r="BH169" s="8"/>
      <c r="BI169" s="9">
        <f t="shared" si="115"/>
        <v>262</v>
      </c>
      <c r="BJ169" s="30">
        <v>53</v>
      </c>
      <c r="BK169" s="7">
        <v>11</v>
      </c>
      <c r="BL169" s="7">
        <v>45</v>
      </c>
      <c r="BM169" s="8"/>
      <c r="BN169" s="9">
        <f t="shared" si="116"/>
        <v>109</v>
      </c>
      <c r="BO169" s="65">
        <f>SUM(G169,L169,Q169,V169,AA169,AF169,AK169,AP169,AU169,AZ169,BE169,BJ169)</f>
        <v>2138</v>
      </c>
      <c r="BP169" s="7">
        <f>SUM(H169,M169,R169,W169,AB169,AG169,AL169,AQ169,AV169,BA169,BF169,BK169)</f>
        <v>124</v>
      </c>
      <c r="BQ169" s="7">
        <f>SUM(I169,N169,S169,X169,AC169,AH169,AM169,AR169,AW169,BB169,BG169,BL169)</f>
        <v>2973</v>
      </c>
      <c r="BR169" s="8">
        <f>SUM(J169,O169,T169,Y169,AD169,AI169,AN169,AS169,AX169,BC169,BH169,BM169)</f>
        <v>0</v>
      </c>
      <c r="BS169" s="31">
        <f t="shared" si="105"/>
        <v>5235</v>
      </c>
    </row>
    <row r="170" spans="2:71" x14ac:dyDescent="0.3">
      <c r="B170" s="269"/>
      <c r="C170" s="230"/>
      <c r="D170" s="233"/>
      <c r="E170" s="239"/>
      <c r="F170" s="121" t="s">
        <v>60</v>
      </c>
      <c r="G170" s="32">
        <v>28</v>
      </c>
      <c r="H170" s="13"/>
      <c r="I170" s="13">
        <v>2</v>
      </c>
      <c r="J170" s="14"/>
      <c r="K170" s="15">
        <f t="shared" si="93"/>
        <v>30</v>
      </c>
      <c r="L170" s="32">
        <v>11</v>
      </c>
      <c r="M170" s="13"/>
      <c r="N170" s="13">
        <v>11</v>
      </c>
      <c r="O170" s="14"/>
      <c r="P170" s="15">
        <f t="shared" si="106"/>
        <v>22</v>
      </c>
      <c r="Q170" s="32">
        <v>54</v>
      </c>
      <c r="R170" s="13"/>
      <c r="S170" s="13">
        <v>51</v>
      </c>
      <c r="T170" s="14"/>
      <c r="U170" s="15">
        <f t="shared" si="107"/>
        <v>105</v>
      </c>
      <c r="V170" s="32">
        <v>46</v>
      </c>
      <c r="W170" s="13">
        <v>2</v>
      </c>
      <c r="X170" s="13">
        <v>105</v>
      </c>
      <c r="Y170" s="14"/>
      <c r="Z170" s="15">
        <f t="shared" si="108"/>
        <v>153</v>
      </c>
      <c r="AA170" s="32">
        <v>70</v>
      </c>
      <c r="AB170" s="13">
        <v>3</v>
      </c>
      <c r="AC170" s="13">
        <v>130</v>
      </c>
      <c r="AD170" s="14"/>
      <c r="AE170" s="15">
        <f t="shared" si="109"/>
        <v>203</v>
      </c>
      <c r="AF170" s="32">
        <v>60</v>
      </c>
      <c r="AG170" s="13"/>
      <c r="AH170" s="13">
        <v>38</v>
      </c>
      <c r="AI170" s="14"/>
      <c r="AJ170" s="15">
        <f t="shared" si="110"/>
        <v>98</v>
      </c>
      <c r="AK170" s="32">
        <v>18</v>
      </c>
      <c r="AL170" s="13">
        <v>3</v>
      </c>
      <c r="AM170" s="13">
        <v>15</v>
      </c>
      <c r="AN170" s="14"/>
      <c r="AO170" s="15">
        <f t="shared" si="111"/>
        <v>36</v>
      </c>
      <c r="AP170" s="32">
        <v>45</v>
      </c>
      <c r="AQ170" s="13">
        <v>1</v>
      </c>
      <c r="AR170" s="13">
        <v>70</v>
      </c>
      <c r="AS170" s="14"/>
      <c r="AT170" s="15">
        <f t="shared" si="112"/>
        <v>116</v>
      </c>
      <c r="AU170" s="32">
        <v>57</v>
      </c>
      <c r="AV170" s="13">
        <v>1</v>
      </c>
      <c r="AW170" s="13">
        <v>74</v>
      </c>
      <c r="AX170" s="14"/>
      <c r="AY170" s="15">
        <f t="shared" si="113"/>
        <v>132</v>
      </c>
      <c r="AZ170" s="32">
        <v>116</v>
      </c>
      <c r="BA170" s="13">
        <v>12</v>
      </c>
      <c r="BB170" s="13">
        <v>159</v>
      </c>
      <c r="BC170" s="14"/>
      <c r="BD170" s="15">
        <f t="shared" si="114"/>
        <v>287</v>
      </c>
      <c r="BE170" s="32">
        <v>39</v>
      </c>
      <c r="BF170" s="13">
        <v>3</v>
      </c>
      <c r="BG170" s="13">
        <v>65</v>
      </c>
      <c r="BH170" s="14"/>
      <c r="BI170" s="15">
        <f t="shared" si="115"/>
        <v>107</v>
      </c>
      <c r="BJ170" s="32">
        <v>22</v>
      </c>
      <c r="BK170" s="13">
        <v>1</v>
      </c>
      <c r="BL170" s="13">
        <v>8</v>
      </c>
      <c r="BM170" s="14"/>
      <c r="BN170" s="15">
        <f t="shared" si="116"/>
        <v>31</v>
      </c>
      <c r="BO170" s="66">
        <f>SUM(G170,L170,Q170,V170,AA170,AF170,AK170,AP170,AU170,AZ170,BE170,BJ170)</f>
        <v>566</v>
      </c>
      <c r="BP170" s="13">
        <f>SUM(H170,M170,R170,W170,AB170,AG170,AL170,AQ170,AV170,BA170,BF170,BK170)</f>
        <v>26</v>
      </c>
      <c r="BQ170" s="13">
        <f>SUM(I170,N170,S170,X170,AC170,AH170,AM170,AR170,AW170,BB170,BG170,BL170)</f>
        <v>728</v>
      </c>
      <c r="BR170" s="14">
        <f>SUM(J170,O170,T170,Y170,AD170,AI170,AN170,AS170,AX170,BC170,BH170,BM170)</f>
        <v>0</v>
      </c>
      <c r="BS170" s="33">
        <f t="shared" si="105"/>
        <v>1320</v>
      </c>
    </row>
    <row r="171" spans="2:71" x14ac:dyDescent="0.3">
      <c r="B171" s="269"/>
      <c r="C171" s="230"/>
      <c r="D171" s="233"/>
      <c r="E171" s="239"/>
      <c r="F171" s="121" t="s">
        <v>61</v>
      </c>
      <c r="G171" s="32">
        <v>26</v>
      </c>
      <c r="H171" s="13">
        <v>3</v>
      </c>
      <c r="I171" s="13">
        <v>19</v>
      </c>
      <c r="J171" s="14"/>
      <c r="K171" s="15">
        <f t="shared" ref="K171:K172" si="133">SUM(G171:J171)</f>
        <v>48</v>
      </c>
      <c r="L171" s="32">
        <v>11</v>
      </c>
      <c r="M171" s="13">
        <v>1</v>
      </c>
      <c r="N171" s="13">
        <v>8</v>
      </c>
      <c r="O171" s="14"/>
      <c r="P171" s="15">
        <f t="shared" si="106"/>
        <v>20</v>
      </c>
      <c r="Q171" s="32">
        <v>13</v>
      </c>
      <c r="R171" s="13"/>
      <c r="S171" s="13">
        <v>22</v>
      </c>
      <c r="T171" s="14"/>
      <c r="U171" s="15">
        <f t="shared" si="107"/>
        <v>35</v>
      </c>
      <c r="V171" s="32">
        <v>10</v>
      </c>
      <c r="W171" s="13"/>
      <c r="X171" s="13">
        <v>19</v>
      </c>
      <c r="Y171" s="14"/>
      <c r="Z171" s="15">
        <f t="shared" si="108"/>
        <v>29</v>
      </c>
      <c r="AA171" s="32">
        <v>29</v>
      </c>
      <c r="AB171" s="13"/>
      <c r="AC171" s="13">
        <v>49</v>
      </c>
      <c r="AD171" s="14"/>
      <c r="AE171" s="15">
        <f t="shared" si="109"/>
        <v>78</v>
      </c>
      <c r="AF171" s="32">
        <v>24</v>
      </c>
      <c r="AG171" s="13"/>
      <c r="AH171" s="13">
        <v>11</v>
      </c>
      <c r="AI171" s="14"/>
      <c r="AJ171" s="15">
        <f t="shared" si="110"/>
        <v>35</v>
      </c>
      <c r="AK171" s="32">
        <v>3</v>
      </c>
      <c r="AL171" s="13"/>
      <c r="AM171" s="13">
        <v>5</v>
      </c>
      <c r="AN171" s="14"/>
      <c r="AO171" s="15">
        <f t="shared" si="111"/>
        <v>8</v>
      </c>
      <c r="AP171" s="32">
        <v>10</v>
      </c>
      <c r="AQ171" s="13"/>
      <c r="AR171" s="13">
        <v>15</v>
      </c>
      <c r="AS171" s="14"/>
      <c r="AT171" s="15">
        <f t="shared" si="112"/>
        <v>25</v>
      </c>
      <c r="AU171" s="32">
        <v>17</v>
      </c>
      <c r="AV171" s="13"/>
      <c r="AW171" s="13">
        <v>17</v>
      </c>
      <c r="AX171" s="14"/>
      <c r="AY171" s="15">
        <f t="shared" si="113"/>
        <v>34</v>
      </c>
      <c r="AZ171" s="32">
        <v>25</v>
      </c>
      <c r="BA171" s="13"/>
      <c r="BB171" s="13">
        <v>29</v>
      </c>
      <c r="BC171" s="14"/>
      <c r="BD171" s="15">
        <f t="shared" si="114"/>
        <v>54</v>
      </c>
      <c r="BE171" s="32">
        <v>9</v>
      </c>
      <c r="BF171" s="13"/>
      <c r="BG171" s="13">
        <v>7</v>
      </c>
      <c r="BH171" s="14"/>
      <c r="BI171" s="15">
        <f t="shared" si="115"/>
        <v>16</v>
      </c>
      <c r="BJ171" s="32">
        <v>4</v>
      </c>
      <c r="BK171" s="13"/>
      <c r="BL171" s="13">
        <v>3</v>
      </c>
      <c r="BM171" s="14"/>
      <c r="BN171" s="15">
        <f t="shared" si="116"/>
        <v>7</v>
      </c>
      <c r="BO171" s="66">
        <f>SUM(G171,L171,Q171,V171,AA171,AF171,AK171,AP171,AU171,AZ171,BE171,BJ171)</f>
        <v>181</v>
      </c>
      <c r="BP171" s="13">
        <f>SUM(H171,M171,R171,W171,AB171,AG171,AL171,AQ171,AV171,BA171,BF171,BK171)</f>
        <v>4</v>
      </c>
      <c r="BQ171" s="13">
        <f>SUM(I171,N171,S171,X171,AC171,AH171,AM171,AR171,AW171,BB171,BG171,BL171)</f>
        <v>204</v>
      </c>
      <c r="BR171" s="14">
        <f>SUM(J171,O171,T171,Y171,AD171,AI171,AN171,AS171,AX171,BC171,BH171,BM171)</f>
        <v>0</v>
      </c>
      <c r="BS171" s="33">
        <f t="shared" si="105"/>
        <v>389</v>
      </c>
    </row>
    <row r="172" spans="2:71" x14ac:dyDescent="0.3">
      <c r="B172" s="269"/>
      <c r="C172" s="230"/>
      <c r="D172" s="233"/>
      <c r="E172" s="239"/>
      <c r="F172" s="121" t="s">
        <v>62</v>
      </c>
      <c r="G172" s="32">
        <v>2</v>
      </c>
      <c r="H172" s="13"/>
      <c r="I172" s="13"/>
      <c r="J172" s="14"/>
      <c r="K172" s="15">
        <f t="shared" si="133"/>
        <v>2</v>
      </c>
      <c r="L172" s="32"/>
      <c r="M172" s="13"/>
      <c r="N172" s="13">
        <v>2</v>
      </c>
      <c r="O172" s="14"/>
      <c r="P172" s="15">
        <f t="shared" si="106"/>
        <v>2</v>
      </c>
      <c r="Q172" s="32">
        <v>6</v>
      </c>
      <c r="R172" s="13"/>
      <c r="S172" s="13">
        <v>2</v>
      </c>
      <c r="T172" s="14"/>
      <c r="U172" s="15">
        <f t="shared" si="107"/>
        <v>8</v>
      </c>
      <c r="V172" s="32">
        <v>2</v>
      </c>
      <c r="W172" s="13"/>
      <c r="X172" s="13">
        <v>6</v>
      </c>
      <c r="Y172" s="14"/>
      <c r="Z172" s="15">
        <f t="shared" si="108"/>
        <v>8</v>
      </c>
      <c r="AA172" s="32">
        <v>12</v>
      </c>
      <c r="AB172" s="13"/>
      <c r="AC172" s="13">
        <v>7</v>
      </c>
      <c r="AD172" s="14"/>
      <c r="AE172" s="15">
        <f t="shared" si="109"/>
        <v>19</v>
      </c>
      <c r="AF172" s="32">
        <v>8</v>
      </c>
      <c r="AG172" s="13"/>
      <c r="AH172" s="13">
        <v>4</v>
      </c>
      <c r="AI172" s="14"/>
      <c r="AJ172" s="15">
        <f t="shared" si="110"/>
        <v>12</v>
      </c>
      <c r="AK172" s="32">
        <v>5</v>
      </c>
      <c r="AL172" s="13"/>
      <c r="AM172" s="13"/>
      <c r="AN172" s="14"/>
      <c r="AO172" s="15">
        <f t="shared" si="111"/>
        <v>5</v>
      </c>
      <c r="AP172" s="32">
        <v>4</v>
      </c>
      <c r="AQ172" s="13"/>
      <c r="AR172" s="13">
        <v>3</v>
      </c>
      <c r="AS172" s="14"/>
      <c r="AT172" s="15">
        <f t="shared" si="112"/>
        <v>7</v>
      </c>
      <c r="AU172" s="32">
        <v>1</v>
      </c>
      <c r="AV172" s="13"/>
      <c r="AW172" s="13">
        <v>7</v>
      </c>
      <c r="AX172" s="14"/>
      <c r="AY172" s="15">
        <f t="shared" si="113"/>
        <v>8</v>
      </c>
      <c r="AZ172" s="32">
        <v>8</v>
      </c>
      <c r="BA172" s="13"/>
      <c r="BB172" s="13">
        <v>12</v>
      </c>
      <c r="BC172" s="14"/>
      <c r="BD172" s="15">
        <f t="shared" si="114"/>
        <v>20</v>
      </c>
      <c r="BE172" s="32">
        <v>1</v>
      </c>
      <c r="BF172" s="13"/>
      <c r="BG172" s="13">
        <v>5</v>
      </c>
      <c r="BH172" s="14"/>
      <c r="BI172" s="15">
        <f t="shared" si="115"/>
        <v>6</v>
      </c>
      <c r="BJ172" s="32">
        <v>2</v>
      </c>
      <c r="BK172" s="13"/>
      <c r="BL172" s="13">
        <v>2</v>
      </c>
      <c r="BM172" s="14"/>
      <c r="BN172" s="15">
        <f t="shared" si="116"/>
        <v>4</v>
      </c>
      <c r="BO172" s="66">
        <f>SUM(G172,L172,Q172,V172,AA172,AF172,AK172,AP172,AU172,AZ172,BE172,BJ172)</f>
        <v>51</v>
      </c>
      <c r="BP172" s="13">
        <f>SUM(H172,M172,R172,W172,AB172,AG172,AL172,AQ172,AV172,BA172,BF172,BK172)</f>
        <v>0</v>
      </c>
      <c r="BQ172" s="13">
        <f>SUM(I172,N172,S172,X172,AC172,AH172,AM172,AR172,AW172,BB172,BG172,BL172)</f>
        <v>50</v>
      </c>
      <c r="BR172" s="14">
        <f>SUM(J172,O172,T172,Y172,AD172,AI172,AN172,AS172,AX172,BC172,BH172,BM172)</f>
        <v>0</v>
      </c>
      <c r="BS172" s="33">
        <f t="shared" si="105"/>
        <v>101</v>
      </c>
    </row>
    <row r="173" spans="2:71" x14ac:dyDescent="0.3">
      <c r="B173" s="269"/>
      <c r="C173" s="230"/>
      <c r="D173" s="233"/>
      <c r="E173" s="239"/>
      <c r="F173" s="121" t="s">
        <v>156</v>
      </c>
      <c r="G173" s="32">
        <v>14</v>
      </c>
      <c r="H173" s="13">
        <v>1</v>
      </c>
      <c r="I173" s="13">
        <v>16</v>
      </c>
      <c r="J173" s="14"/>
      <c r="K173" s="15">
        <f t="shared" si="93"/>
        <v>31</v>
      </c>
      <c r="L173" s="32">
        <v>6</v>
      </c>
      <c r="M173" s="13">
        <v>1</v>
      </c>
      <c r="N173" s="13">
        <v>9</v>
      </c>
      <c r="O173" s="14"/>
      <c r="P173" s="15">
        <f t="shared" si="106"/>
        <v>16</v>
      </c>
      <c r="Q173" s="32">
        <v>12</v>
      </c>
      <c r="R173" s="13">
        <v>1</v>
      </c>
      <c r="S173" s="13">
        <v>25</v>
      </c>
      <c r="T173" s="14"/>
      <c r="U173" s="15">
        <f t="shared" si="107"/>
        <v>38</v>
      </c>
      <c r="V173" s="32">
        <v>7</v>
      </c>
      <c r="W173" s="13">
        <v>1</v>
      </c>
      <c r="X173" s="13">
        <v>12</v>
      </c>
      <c r="Y173" s="14"/>
      <c r="Z173" s="15">
        <f t="shared" si="108"/>
        <v>20</v>
      </c>
      <c r="AA173" s="32">
        <v>12</v>
      </c>
      <c r="AB173" s="13">
        <v>1</v>
      </c>
      <c r="AC173" s="13">
        <v>65</v>
      </c>
      <c r="AD173" s="14"/>
      <c r="AE173" s="15">
        <f t="shared" si="109"/>
        <v>78</v>
      </c>
      <c r="AF173" s="32">
        <v>9</v>
      </c>
      <c r="AG173" s="13"/>
      <c r="AH173" s="13">
        <v>35</v>
      </c>
      <c r="AI173" s="14"/>
      <c r="AJ173" s="15">
        <f t="shared" si="110"/>
        <v>44</v>
      </c>
      <c r="AK173" s="32">
        <v>6</v>
      </c>
      <c r="AL173" s="13">
        <v>1</v>
      </c>
      <c r="AM173" s="13">
        <v>14</v>
      </c>
      <c r="AN173" s="14"/>
      <c r="AO173" s="15">
        <f t="shared" si="111"/>
        <v>21</v>
      </c>
      <c r="AP173" s="32">
        <v>10</v>
      </c>
      <c r="AQ173" s="13">
        <v>2</v>
      </c>
      <c r="AR173" s="13">
        <v>29</v>
      </c>
      <c r="AS173" s="14"/>
      <c r="AT173" s="15">
        <f t="shared" si="112"/>
        <v>41</v>
      </c>
      <c r="AU173" s="32">
        <v>11</v>
      </c>
      <c r="AV173" s="13">
        <v>1</v>
      </c>
      <c r="AW173" s="13">
        <v>14</v>
      </c>
      <c r="AX173" s="14"/>
      <c r="AY173" s="15">
        <f t="shared" si="113"/>
        <v>26</v>
      </c>
      <c r="AZ173" s="32">
        <v>9</v>
      </c>
      <c r="BA173" s="13">
        <v>1</v>
      </c>
      <c r="BB173" s="13">
        <v>36</v>
      </c>
      <c r="BC173" s="14"/>
      <c r="BD173" s="15">
        <f t="shared" si="114"/>
        <v>46</v>
      </c>
      <c r="BE173" s="32">
        <v>7</v>
      </c>
      <c r="BF173" s="13"/>
      <c r="BG173" s="13">
        <v>21</v>
      </c>
      <c r="BH173" s="14"/>
      <c r="BI173" s="15">
        <f t="shared" si="115"/>
        <v>28</v>
      </c>
      <c r="BJ173" s="32">
        <v>3</v>
      </c>
      <c r="BK173" s="13"/>
      <c r="BL173" s="13">
        <v>7</v>
      </c>
      <c r="BM173" s="14"/>
      <c r="BN173" s="15">
        <f t="shared" si="116"/>
        <v>10</v>
      </c>
      <c r="BO173" s="66">
        <f>SUM(G173,L173,Q173,V173,AA173,AF173,AK173,AP173,AU173,AZ173,BE173,BJ173)</f>
        <v>106</v>
      </c>
      <c r="BP173" s="13">
        <f>SUM(H173,M173,R173,W173,AB173,AG173,AL173,AQ173,AV173,BA173,BF173,BK173)</f>
        <v>10</v>
      </c>
      <c r="BQ173" s="13">
        <f>SUM(I173,N173,S173,X173,AC173,AH173,AM173,AR173,AW173,BB173,BG173,BL173)</f>
        <v>283</v>
      </c>
      <c r="BR173" s="14">
        <f>SUM(J173,O173,T173,Y173,AD173,AI173,AN173,AS173,AX173,BC173,BH173,BM173)</f>
        <v>0</v>
      </c>
      <c r="BS173" s="33">
        <f t="shared" si="105"/>
        <v>399</v>
      </c>
    </row>
    <row r="174" spans="2:71" x14ac:dyDescent="0.3">
      <c r="B174" s="269"/>
      <c r="C174" s="230"/>
      <c r="D174" s="233"/>
      <c r="E174" s="239"/>
      <c r="F174" s="123" t="s">
        <v>157</v>
      </c>
      <c r="G174" s="34"/>
      <c r="H174" s="16"/>
      <c r="I174" s="16">
        <v>3</v>
      </c>
      <c r="J174" s="17"/>
      <c r="K174" s="18">
        <f t="shared" si="93"/>
        <v>3</v>
      </c>
      <c r="L174" s="34"/>
      <c r="M174" s="16"/>
      <c r="N174" s="16"/>
      <c r="O174" s="17"/>
      <c r="P174" s="18">
        <f t="shared" si="106"/>
        <v>0</v>
      </c>
      <c r="Q174" s="34">
        <v>4</v>
      </c>
      <c r="R174" s="16"/>
      <c r="S174" s="16">
        <v>5</v>
      </c>
      <c r="T174" s="17"/>
      <c r="U174" s="18">
        <f t="shared" si="107"/>
        <v>9</v>
      </c>
      <c r="V174" s="34">
        <v>3</v>
      </c>
      <c r="W174" s="16"/>
      <c r="X174" s="16">
        <v>3</v>
      </c>
      <c r="Y174" s="17"/>
      <c r="Z174" s="18">
        <f t="shared" si="108"/>
        <v>6</v>
      </c>
      <c r="AA174" s="34">
        <v>5</v>
      </c>
      <c r="AB174" s="16"/>
      <c r="AC174" s="16">
        <v>13</v>
      </c>
      <c r="AD174" s="17"/>
      <c r="AE174" s="18">
        <f t="shared" si="109"/>
        <v>18</v>
      </c>
      <c r="AF174" s="34">
        <v>2</v>
      </c>
      <c r="AG174" s="16"/>
      <c r="AH174" s="16">
        <v>4</v>
      </c>
      <c r="AI174" s="17"/>
      <c r="AJ174" s="18">
        <f t="shared" si="110"/>
        <v>6</v>
      </c>
      <c r="AK174" s="34">
        <v>4</v>
      </c>
      <c r="AL174" s="16"/>
      <c r="AM174" s="16">
        <v>4</v>
      </c>
      <c r="AN174" s="17"/>
      <c r="AO174" s="18">
        <f t="shared" si="111"/>
        <v>8</v>
      </c>
      <c r="AP174" s="34"/>
      <c r="AQ174" s="16"/>
      <c r="AR174" s="16">
        <v>5</v>
      </c>
      <c r="AS174" s="17"/>
      <c r="AT174" s="18">
        <f t="shared" si="112"/>
        <v>5</v>
      </c>
      <c r="AU174" s="34">
        <v>3</v>
      </c>
      <c r="AV174" s="16"/>
      <c r="AW174" s="16">
        <v>3</v>
      </c>
      <c r="AX174" s="17"/>
      <c r="AY174" s="18">
        <f t="shared" si="113"/>
        <v>6</v>
      </c>
      <c r="AZ174" s="34">
        <v>9</v>
      </c>
      <c r="BA174" s="16"/>
      <c r="BB174" s="16">
        <v>15</v>
      </c>
      <c r="BC174" s="17"/>
      <c r="BD174" s="18">
        <f t="shared" si="114"/>
        <v>24</v>
      </c>
      <c r="BE174" s="34">
        <v>3</v>
      </c>
      <c r="BF174" s="16">
        <v>1</v>
      </c>
      <c r="BG174" s="16">
        <v>3</v>
      </c>
      <c r="BH174" s="17"/>
      <c r="BI174" s="18">
        <f t="shared" si="115"/>
        <v>7</v>
      </c>
      <c r="BJ174" s="34">
        <v>5</v>
      </c>
      <c r="BK174" s="16"/>
      <c r="BL174" s="16">
        <v>2</v>
      </c>
      <c r="BM174" s="17"/>
      <c r="BN174" s="18">
        <f t="shared" si="116"/>
        <v>7</v>
      </c>
      <c r="BO174" s="70">
        <f>SUM(G174,L174,Q174,V174,AA174,AF174,AK174,AP174,AU174,AZ174,BE174,BJ174)</f>
        <v>38</v>
      </c>
      <c r="BP174" s="16">
        <f>SUM(H174,M174,R174,W174,AB174,AG174,AL174,AQ174,AV174,BA174,BF174,BK174)</f>
        <v>1</v>
      </c>
      <c r="BQ174" s="16">
        <f>SUM(I174,N174,S174,X174,AC174,AH174,AM174,AR174,AW174,BB174,BG174,BL174)</f>
        <v>60</v>
      </c>
      <c r="BR174" s="17">
        <f>SUM(J174,O174,T174,Y174,AD174,AI174,AN174,AS174,AX174,BC174,BH174,BM174)</f>
        <v>0</v>
      </c>
      <c r="BS174" s="35">
        <f t="shared" si="105"/>
        <v>99</v>
      </c>
    </row>
    <row r="175" spans="2:71" x14ac:dyDescent="0.3">
      <c r="B175" s="269"/>
      <c r="C175" s="230"/>
      <c r="D175" s="233"/>
      <c r="E175" s="239"/>
      <c r="F175" s="123" t="s">
        <v>173</v>
      </c>
      <c r="G175" s="34"/>
      <c r="H175" s="16"/>
      <c r="I175" s="16"/>
      <c r="J175" s="17"/>
      <c r="K175" s="18">
        <f t="shared" si="93"/>
        <v>0</v>
      </c>
      <c r="L175" s="34"/>
      <c r="M175" s="16"/>
      <c r="N175" s="16"/>
      <c r="O175" s="17"/>
      <c r="P175" s="18">
        <f t="shared" si="106"/>
        <v>0</v>
      </c>
      <c r="Q175" s="34"/>
      <c r="R175" s="16"/>
      <c r="S175" s="16"/>
      <c r="T175" s="17"/>
      <c r="U175" s="18">
        <f t="shared" si="107"/>
        <v>0</v>
      </c>
      <c r="V175" s="34"/>
      <c r="W175" s="16"/>
      <c r="X175" s="16"/>
      <c r="Y175" s="17"/>
      <c r="Z175" s="18">
        <f t="shared" si="108"/>
        <v>0</v>
      </c>
      <c r="AA175" s="34"/>
      <c r="AB175" s="16"/>
      <c r="AC175" s="16"/>
      <c r="AD175" s="17"/>
      <c r="AE175" s="18">
        <f t="shared" si="109"/>
        <v>0</v>
      </c>
      <c r="AF175" s="34"/>
      <c r="AG175" s="16"/>
      <c r="AH175" s="16"/>
      <c r="AI175" s="17"/>
      <c r="AJ175" s="18">
        <f t="shared" si="110"/>
        <v>0</v>
      </c>
      <c r="AK175" s="34">
        <v>11</v>
      </c>
      <c r="AL175" s="16">
        <v>1</v>
      </c>
      <c r="AM175" s="16">
        <v>7</v>
      </c>
      <c r="AN175" s="17"/>
      <c r="AO175" s="18">
        <f t="shared" si="111"/>
        <v>19</v>
      </c>
      <c r="AP175" s="34">
        <v>16</v>
      </c>
      <c r="AQ175" s="16">
        <v>2</v>
      </c>
      <c r="AR175" s="16">
        <v>23</v>
      </c>
      <c r="AS175" s="17"/>
      <c r="AT175" s="18">
        <f t="shared" si="112"/>
        <v>41</v>
      </c>
      <c r="AU175" s="34">
        <v>28</v>
      </c>
      <c r="AV175" s="16"/>
      <c r="AW175" s="16">
        <v>19</v>
      </c>
      <c r="AX175" s="17"/>
      <c r="AY175" s="18">
        <f t="shared" si="113"/>
        <v>47</v>
      </c>
      <c r="AZ175" s="34">
        <v>24</v>
      </c>
      <c r="BA175" s="16">
        <v>1</v>
      </c>
      <c r="BB175" s="16">
        <v>16</v>
      </c>
      <c r="BC175" s="17"/>
      <c r="BD175" s="18">
        <f t="shared" si="114"/>
        <v>41</v>
      </c>
      <c r="BE175" s="34">
        <v>31</v>
      </c>
      <c r="BF175" s="16">
        <v>5</v>
      </c>
      <c r="BG175" s="16">
        <v>19</v>
      </c>
      <c r="BH175" s="17"/>
      <c r="BI175" s="18">
        <f t="shared" si="115"/>
        <v>55</v>
      </c>
      <c r="BJ175" s="34"/>
      <c r="BK175" s="16"/>
      <c r="BL175" s="16"/>
      <c r="BM175" s="17"/>
      <c r="BN175" s="18">
        <f t="shared" si="116"/>
        <v>0</v>
      </c>
      <c r="BO175" s="70">
        <f>SUM(G175,L175,Q175,V175,AA175,AF175,AK175,AP175,AU175,AZ175,BE175,BJ175)</f>
        <v>110</v>
      </c>
      <c r="BP175" s="16">
        <f>SUM(H175,M175,R175,W175,AB175,AG175,AL175,AQ175,AV175,BA175,BF175,BK175)</f>
        <v>9</v>
      </c>
      <c r="BQ175" s="16">
        <f>SUM(I175,N175,S175,X175,AC175,AH175,AM175,AR175,AW175,BB175,BG175,BL175)</f>
        <v>84</v>
      </c>
      <c r="BR175" s="17">
        <f>SUM(J175,O175,T175,Y175,AD175,AI175,AN175,AS175,AX175,BC175,BH175,BM175)</f>
        <v>0</v>
      </c>
      <c r="BS175" s="35">
        <f t="shared" si="105"/>
        <v>203</v>
      </c>
    </row>
    <row r="176" spans="2:71" x14ac:dyDescent="0.3">
      <c r="B176" s="269"/>
      <c r="C176" s="230"/>
      <c r="D176" s="233"/>
      <c r="E176" s="239"/>
      <c r="F176" s="121" t="s">
        <v>174</v>
      </c>
      <c r="G176" s="32"/>
      <c r="H176" s="13"/>
      <c r="I176" s="13"/>
      <c r="J176" s="14"/>
      <c r="K176" s="15">
        <f t="shared" si="93"/>
        <v>0</v>
      </c>
      <c r="L176" s="32"/>
      <c r="M176" s="13"/>
      <c r="N176" s="13"/>
      <c r="O176" s="14"/>
      <c r="P176" s="15">
        <f t="shared" si="106"/>
        <v>0</v>
      </c>
      <c r="Q176" s="32"/>
      <c r="R176" s="13"/>
      <c r="S176" s="13"/>
      <c r="T176" s="14"/>
      <c r="U176" s="15">
        <f t="shared" si="107"/>
        <v>0</v>
      </c>
      <c r="V176" s="32"/>
      <c r="W176" s="13"/>
      <c r="X176" s="13"/>
      <c r="Y176" s="14"/>
      <c r="Z176" s="15">
        <f t="shared" si="108"/>
        <v>0</v>
      </c>
      <c r="AA176" s="32"/>
      <c r="AB176" s="13"/>
      <c r="AC176" s="13"/>
      <c r="AD176" s="14"/>
      <c r="AE176" s="15">
        <f t="shared" si="109"/>
        <v>0</v>
      </c>
      <c r="AF176" s="32"/>
      <c r="AG176" s="13"/>
      <c r="AH176" s="13"/>
      <c r="AI176" s="14"/>
      <c r="AJ176" s="15">
        <f t="shared" si="110"/>
        <v>0</v>
      </c>
      <c r="AK176" s="32">
        <v>1</v>
      </c>
      <c r="AL176" s="13"/>
      <c r="AM176" s="13"/>
      <c r="AN176" s="14"/>
      <c r="AO176" s="15">
        <f t="shared" si="111"/>
        <v>1</v>
      </c>
      <c r="AP176" s="32">
        <v>10</v>
      </c>
      <c r="AQ176" s="13"/>
      <c r="AR176" s="13">
        <v>6</v>
      </c>
      <c r="AS176" s="14"/>
      <c r="AT176" s="15">
        <f t="shared" si="112"/>
        <v>16</v>
      </c>
      <c r="AU176" s="32">
        <v>5</v>
      </c>
      <c r="AV176" s="13"/>
      <c r="AW176" s="13">
        <v>3</v>
      </c>
      <c r="AX176" s="14"/>
      <c r="AY176" s="15">
        <f t="shared" si="113"/>
        <v>8</v>
      </c>
      <c r="AZ176" s="32">
        <v>10</v>
      </c>
      <c r="BA176" s="13"/>
      <c r="BB176" s="13">
        <v>1</v>
      </c>
      <c r="BC176" s="14"/>
      <c r="BD176" s="15">
        <f t="shared" si="114"/>
        <v>11</v>
      </c>
      <c r="BE176" s="32">
        <v>17</v>
      </c>
      <c r="BF176" s="13">
        <v>2</v>
      </c>
      <c r="BG176" s="13">
        <v>3</v>
      </c>
      <c r="BH176" s="14"/>
      <c r="BI176" s="15">
        <f t="shared" si="115"/>
        <v>22</v>
      </c>
      <c r="BJ176" s="32"/>
      <c r="BK176" s="13"/>
      <c r="BL176" s="13"/>
      <c r="BM176" s="14"/>
      <c r="BN176" s="15">
        <f t="shared" si="116"/>
        <v>0</v>
      </c>
      <c r="BO176" s="66">
        <f>SUM(G176,L176,Q176,V176,AA176,AF176,AK176,AP176,AU176,AZ176,BE176,BJ176)</f>
        <v>43</v>
      </c>
      <c r="BP176" s="13">
        <f>SUM(H176,M176,R176,W176,AB176,AG176,AL176,AQ176,AV176,BA176,BF176,BK176)</f>
        <v>2</v>
      </c>
      <c r="BQ176" s="13">
        <f>SUM(I176,N176,S176,X176,AC176,AH176,AM176,AR176,AW176,BB176,BG176,BL176)</f>
        <v>13</v>
      </c>
      <c r="BR176" s="14">
        <f>SUM(J176,O176,T176,Y176,AD176,AI176,AN176,AS176,AX176,BC176,BH176,BM176)</f>
        <v>0</v>
      </c>
      <c r="BS176" s="33">
        <f t="shared" si="105"/>
        <v>58</v>
      </c>
    </row>
    <row r="177" spans="2:71" x14ac:dyDescent="0.3">
      <c r="B177" s="269"/>
      <c r="C177" s="230"/>
      <c r="D177" s="233"/>
      <c r="E177" s="239"/>
      <c r="F177" s="121" t="s">
        <v>158</v>
      </c>
      <c r="G177" s="32"/>
      <c r="H177" s="13"/>
      <c r="I177" s="13"/>
      <c r="J177" s="14"/>
      <c r="K177" s="15">
        <f t="shared" si="93"/>
        <v>0</v>
      </c>
      <c r="L177" s="32"/>
      <c r="M177" s="13"/>
      <c r="N177" s="13"/>
      <c r="O177" s="14"/>
      <c r="P177" s="15">
        <f t="shared" si="106"/>
        <v>0</v>
      </c>
      <c r="Q177" s="32"/>
      <c r="R177" s="13"/>
      <c r="S177" s="13"/>
      <c r="T177" s="14"/>
      <c r="U177" s="15">
        <f t="shared" si="107"/>
        <v>0</v>
      </c>
      <c r="V177" s="32"/>
      <c r="W177" s="13"/>
      <c r="X177" s="13"/>
      <c r="Y177" s="14"/>
      <c r="Z177" s="15">
        <f t="shared" si="108"/>
        <v>0</v>
      </c>
      <c r="AA177" s="32"/>
      <c r="AB177" s="13"/>
      <c r="AC177" s="13"/>
      <c r="AD177" s="14"/>
      <c r="AE177" s="15">
        <f t="shared" si="109"/>
        <v>0</v>
      </c>
      <c r="AF177" s="32"/>
      <c r="AG177" s="13"/>
      <c r="AH177" s="13"/>
      <c r="AI177" s="14"/>
      <c r="AJ177" s="15">
        <f t="shared" si="110"/>
        <v>0</v>
      </c>
      <c r="AK177" s="32">
        <v>2</v>
      </c>
      <c r="AL177" s="13"/>
      <c r="AM177" s="13">
        <v>2</v>
      </c>
      <c r="AN177" s="14"/>
      <c r="AO177" s="15">
        <f t="shared" si="111"/>
        <v>4</v>
      </c>
      <c r="AP177" s="32">
        <v>1</v>
      </c>
      <c r="AQ177" s="13"/>
      <c r="AR177" s="13">
        <v>11</v>
      </c>
      <c r="AS177" s="14"/>
      <c r="AT177" s="15">
        <f t="shared" si="112"/>
        <v>12</v>
      </c>
      <c r="AU177" s="32">
        <v>2</v>
      </c>
      <c r="AV177" s="13"/>
      <c r="AW177" s="13">
        <v>11</v>
      </c>
      <c r="AX177" s="14"/>
      <c r="AY177" s="15">
        <f t="shared" si="113"/>
        <v>13</v>
      </c>
      <c r="AZ177" s="32">
        <v>4</v>
      </c>
      <c r="BA177" s="13"/>
      <c r="BB177" s="13">
        <v>8</v>
      </c>
      <c r="BC177" s="14"/>
      <c r="BD177" s="15">
        <f t="shared" si="114"/>
        <v>12</v>
      </c>
      <c r="BE177" s="32">
        <v>5</v>
      </c>
      <c r="BF177" s="13">
        <v>1</v>
      </c>
      <c r="BG177" s="13">
        <v>5</v>
      </c>
      <c r="BH177" s="14"/>
      <c r="BI177" s="15">
        <f t="shared" si="115"/>
        <v>11</v>
      </c>
      <c r="BJ177" s="32"/>
      <c r="BK177" s="13"/>
      <c r="BL177" s="13"/>
      <c r="BM177" s="14"/>
      <c r="BN177" s="15">
        <f t="shared" si="116"/>
        <v>0</v>
      </c>
      <c r="BO177" s="66">
        <f>SUM(G177,L177,Q177,V177,AA177,AF177,AK177,AP177,AU177,AZ177,BE177,BJ177)</f>
        <v>14</v>
      </c>
      <c r="BP177" s="13">
        <f>SUM(H177,M177,R177,W177,AB177,AG177,AL177,AQ177,AV177,BA177,BF177,BK177)</f>
        <v>1</v>
      </c>
      <c r="BQ177" s="13">
        <f>SUM(I177,N177,S177,X177,AC177,AH177,AM177,AR177,AW177,BB177,BG177,BL177)</f>
        <v>37</v>
      </c>
      <c r="BR177" s="14">
        <f>SUM(J177,O177,T177,Y177,AD177,AI177,AN177,AS177,AX177,BC177,BH177,BM177)</f>
        <v>0</v>
      </c>
      <c r="BS177" s="33">
        <f t="shared" si="105"/>
        <v>52</v>
      </c>
    </row>
    <row r="178" spans="2:71" x14ac:dyDescent="0.3">
      <c r="B178" s="269"/>
      <c r="C178" s="230"/>
      <c r="D178" s="233"/>
      <c r="E178" s="239"/>
      <c r="F178" s="133" t="s">
        <v>159</v>
      </c>
      <c r="G178" s="49"/>
      <c r="H178" s="50"/>
      <c r="I178" s="50"/>
      <c r="J178" s="51"/>
      <c r="K178" s="52">
        <f t="shared" si="93"/>
        <v>0</v>
      </c>
      <c r="L178" s="49"/>
      <c r="M178" s="50"/>
      <c r="N178" s="50"/>
      <c r="O178" s="51"/>
      <c r="P178" s="52">
        <f t="shared" si="106"/>
        <v>0</v>
      </c>
      <c r="Q178" s="49"/>
      <c r="R178" s="50"/>
      <c r="S178" s="50"/>
      <c r="T178" s="51"/>
      <c r="U178" s="52">
        <f t="shared" si="107"/>
        <v>0</v>
      </c>
      <c r="V178" s="49"/>
      <c r="W178" s="50"/>
      <c r="X178" s="50"/>
      <c r="Y178" s="51"/>
      <c r="Z178" s="52">
        <f t="shared" si="108"/>
        <v>0</v>
      </c>
      <c r="AA178" s="49"/>
      <c r="AB178" s="50"/>
      <c r="AC178" s="50"/>
      <c r="AD178" s="51"/>
      <c r="AE178" s="52">
        <f t="shared" si="109"/>
        <v>0</v>
      </c>
      <c r="AF178" s="49"/>
      <c r="AG178" s="50"/>
      <c r="AH178" s="50"/>
      <c r="AI178" s="51"/>
      <c r="AJ178" s="52">
        <f t="shared" si="110"/>
        <v>0</v>
      </c>
      <c r="AK178" s="49"/>
      <c r="AL178" s="50"/>
      <c r="AM178" s="50"/>
      <c r="AN178" s="51"/>
      <c r="AO178" s="52">
        <f t="shared" si="111"/>
        <v>0</v>
      </c>
      <c r="AP178" s="49">
        <v>3</v>
      </c>
      <c r="AQ178" s="50">
        <v>1</v>
      </c>
      <c r="AR178" s="50">
        <v>3</v>
      </c>
      <c r="AS178" s="51"/>
      <c r="AT178" s="52">
        <f t="shared" si="112"/>
        <v>7</v>
      </c>
      <c r="AU178" s="49">
        <v>3</v>
      </c>
      <c r="AV178" s="50"/>
      <c r="AW178" s="50">
        <v>2</v>
      </c>
      <c r="AX178" s="51"/>
      <c r="AY178" s="52">
        <f t="shared" si="113"/>
        <v>5</v>
      </c>
      <c r="AZ178" s="49">
        <v>2</v>
      </c>
      <c r="BA178" s="50">
        <v>2</v>
      </c>
      <c r="BB178" s="50">
        <v>3</v>
      </c>
      <c r="BC178" s="51"/>
      <c r="BD178" s="52">
        <f t="shared" si="114"/>
        <v>7</v>
      </c>
      <c r="BE178" s="49">
        <v>6</v>
      </c>
      <c r="BF178" s="50"/>
      <c r="BG178" s="50">
        <v>6</v>
      </c>
      <c r="BH178" s="51"/>
      <c r="BI178" s="52">
        <f t="shared" si="115"/>
        <v>12</v>
      </c>
      <c r="BJ178" s="49"/>
      <c r="BK178" s="50"/>
      <c r="BL178" s="50"/>
      <c r="BM178" s="51"/>
      <c r="BN178" s="52">
        <f t="shared" si="116"/>
        <v>0</v>
      </c>
      <c r="BO178" s="167">
        <f>SUM(G178,L178,Q178,V178,AA178,AF178,AK178,AP178,AU178,AZ178,BE178,BJ178)</f>
        <v>14</v>
      </c>
      <c r="BP178" s="50">
        <f>SUM(H178,M178,R178,W178,AB178,AG178,AL178,AQ178,AV178,BA178,BF178,BK178)</f>
        <v>3</v>
      </c>
      <c r="BQ178" s="50">
        <f>SUM(I178,N178,S178,X178,AC178,AH178,AM178,AR178,AW178,BB178,BG178,BL178)</f>
        <v>14</v>
      </c>
      <c r="BR178" s="51">
        <f>SUM(J178,O178,T178,Y178,AD178,AI178,AN178,AS178,AX178,BC178,BH178,BM178)</f>
        <v>0</v>
      </c>
      <c r="BS178" s="53">
        <f t="shared" si="105"/>
        <v>31</v>
      </c>
    </row>
    <row r="179" spans="2:71" x14ac:dyDescent="0.3">
      <c r="B179" s="269"/>
      <c r="C179" s="230"/>
      <c r="D179" s="233"/>
      <c r="E179" s="240"/>
      <c r="F179" s="279" t="s">
        <v>54</v>
      </c>
      <c r="G179" s="280">
        <f>SUM(G169:G178)</f>
        <v>286</v>
      </c>
      <c r="H179" s="281">
        <f>SUM(H169:H178)</f>
        <v>12</v>
      </c>
      <c r="I179" s="281">
        <f>SUM(I169:I178)</f>
        <v>153</v>
      </c>
      <c r="J179" s="282">
        <f>SUM(J169:J178)</f>
        <v>0</v>
      </c>
      <c r="K179" s="283">
        <f t="shared" si="93"/>
        <v>451</v>
      </c>
      <c r="L179" s="280">
        <f>SUM(L169:L178)</f>
        <v>140</v>
      </c>
      <c r="M179" s="281">
        <f>SUM(M169:M178)</f>
        <v>10</v>
      </c>
      <c r="N179" s="281">
        <f>SUM(N169:N178)</f>
        <v>157</v>
      </c>
      <c r="O179" s="282">
        <f>SUM(O169:O178)</f>
        <v>0</v>
      </c>
      <c r="P179" s="283">
        <f t="shared" si="106"/>
        <v>307</v>
      </c>
      <c r="Q179" s="280">
        <f>SUM(Q169:Q178)</f>
        <v>333</v>
      </c>
      <c r="R179" s="281">
        <f>SUM(R169:R178)</f>
        <v>7</v>
      </c>
      <c r="S179" s="281">
        <f>SUM(S169:S178)</f>
        <v>476</v>
      </c>
      <c r="T179" s="282">
        <f>SUM(T169:T178)</f>
        <v>0</v>
      </c>
      <c r="U179" s="283">
        <f t="shared" si="107"/>
        <v>816</v>
      </c>
      <c r="V179" s="280">
        <f>SUM(V169:V178)</f>
        <v>242</v>
      </c>
      <c r="W179" s="281">
        <f>SUM(W169:W178)</f>
        <v>12</v>
      </c>
      <c r="X179" s="281">
        <f>SUM(X169:X178)</f>
        <v>523</v>
      </c>
      <c r="Y179" s="282">
        <f>SUM(Y169:Y178)</f>
        <v>0</v>
      </c>
      <c r="Z179" s="283">
        <f t="shared" si="108"/>
        <v>777</v>
      </c>
      <c r="AA179" s="280">
        <f>SUM(AA169:AA178)</f>
        <v>461</v>
      </c>
      <c r="AB179" s="281">
        <f>SUM(AB169:AB178)</f>
        <v>15</v>
      </c>
      <c r="AC179" s="281">
        <f>SUM(AC169:AC178)</f>
        <v>910</v>
      </c>
      <c r="AD179" s="282">
        <f>SUM(AD169:AD178)</f>
        <v>0</v>
      </c>
      <c r="AE179" s="283">
        <f t="shared" si="109"/>
        <v>1386</v>
      </c>
      <c r="AF179" s="280">
        <f>SUM(AF169:AF178)</f>
        <v>254</v>
      </c>
      <c r="AG179" s="281">
        <f>SUM(AG169:AG178)</f>
        <v>5</v>
      </c>
      <c r="AH179" s="281">
        <f>SUM(AH169:AH178)</f>
        <v>277</v>
      </c>
      <c r="AI179" s="282">
        <f>SUM(AI169:AI178)</f>
        <v>0</v>
      </c>
      <c r="AJ179" s="283">
        <f t="shared" si="110"/>
        <v>536</v>
      </c>
      <c r="AK179" s="280">
        <f>SUM(AK169:AK178)</f>
        <v>124</v>
      </c>
      <c r="AL179" s="281">
        <f>SUM(AL169:AL178)</f>
        <v>10</v>
      </c>
      <c r="AM179" s="281">
        <f>SUM(AM169:AM178)</f>
        <v>97</v>
      </c>
      <c r="AN179" s="282">
        <f>SUM(AN169:AN178)</f>
        <v>0</v>
      </c>
      <c r="AO179" s="283">
        <f t="shared" si="111"/>
        <v>231</v>
      </c>
      <c r="AP179" s="280">
        <f>SUM(AP169:AP178)</f>
        <v>253</v>
      </c>
      <c r="AQ179" s="281">
        <f>SUM(AQ169:AQ178)</f>
        <v>12</v>
      </c>
      <c r="AR179" s="281">
        <f>SUM(AR169:AR178)</f>
        <v>300</v>
      </c>
      <c r="AS179" s="282">
        <f>SUM(AS169:AS178)</f>
        <v>0</v>
      </c>
      <c r="AT179" s="283">
        <f t="shared" si="112"/>
        <v>565</v>
      </c>
      <c r="AU179" s="280">
        <f>SUM(AU169:AU178)</f>
        <v>315</v>
      </c>
      <c r="AV179" s="281">
        <f>SUM(AV169:AV178)</f>
        <v>16</v>
      </c>
      <c r="AW179" s="281">
        <f>SUM(AW169:AW178)</f>
        <v>387</v>
      </c>
      <c r="AX179" s="282">
        <f>SUM(AX169:AX178)</f>
        <v>0</v>
      </c>
      <c r="AY179" s="283">
        <f t="shared" si="113"/>
        <v>718</v>
      </c>
      <c r="AZ179" s="280">
        <f>SUM(AZ169:AZ178)</f>
        <v>545</v>
      </c>
      <c r="BA179" s="281">
        <f>SUM(BA169:BA178)</f>
        <v>53</v>
      </c>
      <c r="BB179" s="281">
        <f>SUM(BB169:BB178)</f>
        <v>808</v>
      </c>
      <c r="BC179" s="282">
        <f>SUM(BC169:BC178)</f>
        <v>0</v>
      </c>
      <c r="BD179" s="283">
        <f t="shared" si="114"/>
        <v>1406</v>
      </c>
      <c r="BE179" s="280">
        <f>SUM(BE169:BE178)</f>
        <v>219</v>
      </c>
      <c r="BF179" s="281">
        <f>SUM(BF169:BF178)</f>
        <v>16</v>
      </c>
      <c r="BG179" s="281">
        <f>SUM(BG169:BG178)</f>
        <v>291</v>
      </c>
      <c r="BH179" s="282">
        <f>SUM(BH169:BH178)</f>
        <v>0</v>
      </c>
      <c r="BI179" s="283">
        <f t="shared" si="115"/>
        <v>526</v>
      </c>
      <c r="BJ179" s="280">
        <f>SUM(BJ169:BJ178)</f>
        <v>89</v>
      </c>
      <c r="BK179" s="281">
        <f>SUM(BK169:BK178)</f>
        <v>12</v>
      </c>
      <c r="BL179" s="281">
        <f>SUM(BL169:BL178)</f>
        <v>67</v>
      </c>
      <c r="BM179" s="282">
        <f>SUM(BM169:BM178)</f>
        <v>0</v>
      </c>
      <c r="BN179" s="283">
        <f t="shared" si="116"/>
        <v>168</v>
      </c>
      <c r="BO179" s="285">
        <f>SUM(BO169:BO178)</f>
        <v>3261</v>
      </c>
      <c r="BP179" s="281">
        <f>SUM(BP169:BP178)</f>
        <v>180</v>
      </c>
      <c r="BQ179" s="281">
        <f>SUM(BQ169:BQ178)</f>
        <v>4446</v>
      </c>
      <c r="BR179" s="282">
        <f>SUM(BR169:BR178)</f>
        <v>0</v>
      </c>
      <c r="BS179" s="284">
        <f t="shared" si="105"/>
        <v>7887</v>
      </c>
    </row>
    <row r="180" spans="2:71" x14ac:dyDescent="0.3">
      <c r="B180" s="269"/>
      <c r="C180" s="230"/>
      <c r="D180" s="234"/>
      <c r="E180" s="236" t="s">
        <v>4</v>
      </c>
      <c r="F180" s="237"/>
      <c r="G180" s="38">
        <f>SUM(G159,G168,G179)</f>
        <v>948</v>
      </c>
      <c r="H180" s="19">
        <f>SUM(H159,H168,H179)</f>
        <v>39</v>
      </c>
      <c r="I180" s="19">
        <f>SUM(I159,I168,I179)</f>
        <v>569</v>
      </c>
      <c r="J180" s="20">
        <f>SUM(J159,J168,J179)</f>
        <v>0</v>
      </c>
      <c r="K180" s="21">
        <f t="shared" si="93"/>
        <v>1556</v>
      </c>
      <c r="L180" s="38">
        <f>SUM(L159,L168,L179)</f>
        <v>433</v>
      </c>
      <c r="M180" s="19">
        <f>SUM(M159,M168,M179)</f>
        <v>22</v>
      </c>
      <c r="N180" s="19">
        <f>SUM(N159,N168,N179)</f>
        <v>480</v>
      </c>
      <c r="O180" s="20">
        <f>SUM(O159,O168,O179)</f>
        <v>0</v>
      </c>
      <c r="P180" s="21">
        <f t="shared" si="106"/>
        <v>935</v>
      </c>
      <c r="Q180" s="38">
        <f>SUM(Q159,Q168,Q179)</f>
        <v>1032</v>
      </c>
      <c r="R180" s="19">
        <f>SUM(R159,R168,R179)</f>
        <v>26</v>
      </c>
      <c r="S180" s="19">
        <f>SUM(S159,S168,S179)</f>
        <v>1381</v>
      </c>
      <c r="T180" s="20">
        <f>SUM(T159,T168,T179)</f>
        <v>0</v>
      </c>
      <c r="U180" s="21">
        <f t="shared" si="107"/>
        <v>2439</v>
      </c>
      <c r="V180" s="38">
        <f>SUM(V159,V168,V179)</f>
        <v>1264</v>
      </c>
      <c r="W180" s="19">
        <f>SUM(W159,W168,W179)</f>
        <v>69</v>
      </c>
      <c r="X180" s="19">
        <f>SUM(X159,X168,X179)</f>
        <v>2684</v>
      </c>
      <c r="Y180" s="20">
        <f>SUM(Y159,Y168,Y179)</f>
        <v>0</v>
      </c>
      <c r="Z180" s="21">
        <f t="shared" si="108"/>
        <v>4017</v>
      </c>
      <c r="AA180" s="38">
        <f>SUM(AA159,AA168,AA179)</f>
        <v>2830</v>
      </c>
      <c r="AB180" s="19">
        <f>SUM(AB159,AB168,AB179)</f>
        <v>71</v>
      </c>
      <c r="AC180" s="19">
        <f>SUM(AC159,AC168,AC179)</f>
        <v>4636</v>
      </c>
      <c r="AD180" s="20">
        <f>SUM(AD159,AD168,AD179)</f>
        <v>0</v>
      </c>
      <c r="AE180" s="21">
        <f t="shared" si="109"/>
        <v>7537</v>
      </c>
      <c r="AF180" s="38">
        <f>SUM(AF159,AF168,AF179)</f>
        <v>600</v>
      </c>
      <c r="AG180" s="19">
        <f>SUM(AG159,AG168,AG179)</f>
        <v>14</v>
      </c>
      <c r="AH180" s="19">
        <f>SUM(AH159,AH168,AH179)</f>
        <v>632</v>
      </c>
      <c r="AI180" s="20">
        <f>SUM(AI159,AI168,AI179)</f>
        <v>0</v>
      </c>
      <c r="AJ180" s="21">
        <f t="shared" si="110"/>
        <v>1246</v>
      </c>
      <c r="AK180" s="38">
        <f>SUM(AK159,AK168,AK179)</f>
        <v>368</v>
      </c>
      <c r="AL180" s="19">
        <f>SUM(AL159,AL168,AL179)</f>
        <v>19</v>
      </c>
      <c r="AM180" s="19">
        <f>SUM(AM159,AM168,AM179)</f>
        <v>313</v>
      </c>
      <c r="AN180" s="20">
        <f>SUM(AN159,AN168,AN179)</f>
        <v>0</v>
      </c>
      <c r="AO180" s="21">
        <f t="shared" si="111"/>
        <v>700</v>
      </c>
      <c r="AP180" s="38">
        <f>SUM(AP159,AP168,AP179)</f>
        <v>1055</v>
      </c>
      <c r="AQ180" s="19">
        <f>SUM(AQ159,AQ168,AQ179)</f>
        <v>44</v>
      </c>
      <c r="AR180" s="19">
        <f>SUM(AR159,AR168,AR179)</f>
        <v>983</v>
      </c>
      <c r="AS180" s="20">
        <f>SUM(AS159,AS168,AS179)</f>
        <v>0</v>
      </c>
      <c r="AT180" s="21">
        <f t="shared" si="112"/>
        <v>2082</v>
      </c>
      <c r="AU180" s="38">
        <f>SUM(AU159,AU168,AU179)</f>
        <v>1186</v>
      </c>
      <c r="AV180" s="19">
        <f>SUM(AV159,AV168,AV179)</f>
        <v>51</v>
      </c>
      <c r="AW180" s="19">
        <f>SUM(AW159,AW168,AW179)</f>
        <v>1500</v>
      </c>
      <c r="AX180" s="20">
        <f>SUM(AX159,AX168,AX179)</f>
        <v>0</v>
      </c>
      <c r="AY180" s="21">
        <f t="shared" si="113"/>
        <v>2737</v>
      </c>
      <c r="AZ180" s="38">
        <f>SUM(AZ159,AZ168,AZ179)</f>
        <v>2756</v>
      </c>
      <c r="BA180" s="19">
        <f>SUM(BA159,BA168,BA179)</f>
        <v>334</v>
      </c>
      <c r="BB180" s="19">
        <f>SUM(BB159,BB168,BB179)</f>
        <v>4558</v>
      </c>
      <c r="BC180" s="20">
        <f>SUM(BC159,BC168,BC179)</f>
        <v>0</v>
      </c>
      <c r="BD180" s="21">
        <f t="shared" si="114"/>
        <v>7648</v>
      </c>
      <c r="BE180" s="38">
        <f>SUM(BE159,BE168,BE179)</f>
        <v>666</v>
      </c>
      <c r="BF180" s="19">
        <f>SUM(BF159,BF168,BF179)</f>
        <v>38</v>
      </c>
      <c r="BG180" s="19">
        <f>SUM(BG159,BG168,BG179)</f>
        <v>898</v>
      </c>
      <c r="BH180" s="20">
        <f>SUM(BH159,BH168,BH179)</f>
        <v>0</v>
      </c>
      <c r="BI180" s="21">
        <f t="shared" si="115"/>
        <v>1602</v>
      </c>
      <c r="BJ180" s="38">
        <f>SUM(BJ159,BJ168,BJ179)</f>
        <v>199</v>
      </c>
      <c r="BK180" s="19">
        <f>SUM(BK159,BK168,BK179)</f>
        <v>15</v>
      </c>
      <c r="BL180" s="19">
        <f>SUM(BL159,BL168,BL179)</f>
        <v>164</v>
      </c>
      <c r="BM180" s="20">
        <f>SUM(BM159,BM168,BM179)</f>
        <v>0</v>
      </c>
      <c r="BN180" s="21">
        <f t="shared" si="116"/>
        <v>378</v>
      </c>
      <c r="BO180" s="69">
        <f>SUM(BO159,BO168,BO179)</f>
        <v>13337</v>
      </c>
      <c r="BP180" s="19">
        <f>SUM(BP159,BP168,BP179)</f>
        <v>742</v>
      </c>
      <c r="BQ180" s="19">
        <f>SUM(BQ159,BQ168,BQ179)</f>
        <v>18798</v>
      </c>
      <c r="BR180" s="20">
        <f>SUM(BR159,BR168,BR179)</f>
        <v>0</v>
      </c>
      <c r="BS180" s="39">
        <f t="shared" si="105"/>
        <v>32877</v>
      </c>
    </row>
    <row r="181" spans="2:71" x14ac:dyDescent="0.3">
      <c r="B181" s="269"/>
      <c r="C181" s="231"/>
      <c r="D181" s="238" t="s">
        <v>4</v>
      </c>
      <c r="E181" s="238"/>
      <c r="F181" s="238"/>
      <c r="G181" s="40">
        <f>G180</f>
        <v>948</v>
      </c>
      <c r="H181" s="22">
        <f>H180</f>
        <v>39</v>
      </c>
      <c r="I181" s="22">
        <f>I180</f>
        <v>569</v>
      </c>
      <c r="J181" s="23">
        <f>J180</f>
        <v>0</v>
      </c>
      <c r="K181" s="166">
        <f t="shared" ref="K181:K278" si="134">SUM(G181:J181)</f>
        <v>1556</v>
      </c>
      <c r="L181" s="40">
        <f>L180</f>
        <v>433</v>
      </c>
      <c r="M181" s="22">
        <f>M180</f>
        <v>22</v>
      </c>
      <c r="N181" s="22">
        <f>N180</f>
        <v>480</v>
      </c>
      <c r="O181" s="23">
        <f>O180</f>
        <v>0</v>
      </c>
      <c r="P181" s="166">
        <f t="shared" si="106"/>
        <v>935</v>
      </c>
      <c r="Q181" s="40">
        <f>Q180</f>
        <v>1032</v>
      </c>
      <c r="R181" s="22">
        <f>R180</f>
        <v>26</v>
      </c>
      <c r="S181" s="22">
        <f>S180</f>
        <v>1381</v>
      </c>
      <c r="T181" s="23">
        <f>T180</f>
        <v>0</v>
      </c>
      <c r="U181" s="166">
        <f t="shared" si="107"/>
        <v>2439</v>
      </c>
      <c r="V181" s="40">
        <f>V180</f>
        <v>1264</v>
      </c>
      <c r="W181" s="22">
        <f>W180</f>
        <v>69</v>
      </c>
      <c r="X181" s="22">
        <f>X180</f>
        <v>2684</v>
      </c>
      <c r="Y181" s="23">
        <f>Y180</f>
        <v>0</v>
      </c>
      <c r="Z181" s="166">
        <f t="shared" si="108"/>
        <v>4017</v>
      </c>
      <c r="AA181" s="40">
        <f>AA180</f>
        <v>2830</v>
      </c>
      <c r="AB181" s="22">
        <f>AB180</f>
        <v>71</v>
      </c>
      <c r="AC181" s="22">
        <f>AC180</f>
        <v>4636</v>
      </c>
      <c r="AD181" s="23">
        <f>AD180</f>
        <v>0</v>
      </c>
      <c r="AE181" s="166">
        <f t="shared" si="109"/>
        <v>7537</v>
      </c>
      <c r="AF181" s="40">
        <f>AF180</f>
        <v>600</v>
      </c>
      <c r="AG181" s="22">
        <f>AG180</f>
        <v>14</v>
      </c>
      <c r="AH181" s="22">
        <f>AH180</f>
        <v>632</v>
      </c>
      <c r="AI181" s="23">
        <f>AI180</f>
        <v>0</v>
      </c>
      <c r="AJ181" s="166">
        <f t="shared" si="110"/>
        <v>1246</v>
      </c>
      <c r="AK181" s="40">
        <f>AK180</f>
        <v>368</v>
      </c>
      <c r="AL181" s="22">
        <f>AL180</f>
        <v>19</v>
      </c>
      <c r="AM181" s="22">
        <f>AM180</f>
        <v>313</v>
      </c>
      <c r="AN181" s="23">
        <f>AN180</f>
        <v>0</v>
      </c>
      <c r="AO181" s="166">
        <f t="shared" si="111"/>
        <v>700</v>
      </c>
      <c r="AP181" s="40">
        <f>AP180</f>
        <v>1055</v>
      </c>
      <c r="AQ181" s="22">
        <f>AQ180</f>
        <v>44</v>
      </c>
      <c r="AR181" s="22">
        <f>AR180</f>
        <v>983</v>
      </c>
      <c r="AS181" s="23">
        <f>AS180</f>
        <v>0</v>
      </c>
      <c r="AT181" s="166">
        <f t="shared" si="112"/>
        <v>2082</v>
      </c>
      <c r="AU181" s="40">
        <f>AU180</f>
        <v>1186</v>
      </c>
      <c r="AV181" s="22">
        <f>AV180</f>
        <v>51</v>
      </c>
      <c r="AW181" s="22">
        <f>AW180</f>
        <v>1500</v>
      </c>
      <c r="AX181" s="23">
        <f>AX180</f>
        <v>0</v>
      </c>
      <c r="AY181" s="166">
        <f t="shared" si="113"/>
        <v>2737</v>
      </c>
      <c r="AZ181" s="40">
        <f>AZ180</f>
        <v>2756</v>
      </c>
      <c r="BA181" s="22">
        <f>BA180</f>
        <v>334</v>
      </c>
      <c r="BB181" s="22">
        <f>BB180</f>
        <v>4558</v>
      </c>
      <c r="BC181" s="23">
        <f>BC180</f>
        <v>0</v>
      </c>
      <c r="BD181" s="166">
        <f t="shared" si="114"/>
        <v>7648</v>
      </c>
      <c r="BE181" s="40">
        <f>BE180</f>
        <v>666</v>
      </c>
      <c r="BF181" s="22">
        <f>BF180</f>
        <v>38</v>
      </c>
      <c r="BG181" s="22">
        <f>BG180</f>
        <v>898</v>
      </c>
      <c r="BH181" s="23">
        <f>BH180</f>
        <v>0</v>
      </c>
      <c r="BI181" s="166">
        <f t="shared" si="115"/>
        <v>1602</v>
      </c>
      <c r="BJ181" s="40">
        <f>BJ180</f>
        <v>199</v>
      </c>
      <c r="BK181" s="22">
        <f>BK180</f>
        <v>15</v>
      </c>
      <c r="BL181" s="22">
        <f>BL180</f>
        <v>164</v>
      </c>
      <c r="BM181" s="23">
        <f>BM180</f>
        <v>0</v>
      </c>
      <c r="BN181" s="166">
        <f t="shared" si="116"/>
        <v>378</v>
      </c>
      <c r="BO181" s="68">
        <f>BO180</f>
        <v>13337</v>
      </c>
      <c r="BP181" s="22">
        <f>BP180</f>
        <v>742</v>
      </c>
      <c r="BQ181" s="22">
        <f>BQ180</f>
        <v>18798</v>
      </c>
      <c r="BR181" s="23">
        <f>BR180</f>
        <v>0</v>
      </c>
      <c r="BS181" s="41">
        <f t="shared" si="105"/>
        <v>32877</v>
      </c>
    </row>
    <row r="182" spans="2:71" x14ac:dyDescent="0.3">
      <c r="B182" s="269"/>
      <c r="C182" s="229" t="s">
        <v>0</v>
      </c>
      <c r="D182" s="232" t="s">
        <v>0</v>
      </c>
      <c r="E182" s="219" t="s">
        <v>63</v>
      </c>
      <c r="F182" s="120" t="s">
        <v>124</v>
      </c>
      <c r="G182" s="30">
        <v>8</v>
      </c>
      <c r="H182" s="7"/>
      <c r="I182" s="7"/>
      <c r="J182" s="8"/>
      <c r="K182" s="9">
        <f t="shared" si="134"/>
        <v>8</v>
      </c>
      <c r="L182" s="30">
        <v>6</v>
      </c>
      <c r="M182" s="7"/>
      <c r="N182" s="7"/>
      <c r="O182" s="8"/>
      <c r="P182" s="9">
        <f t="shared" si="106"/>
        <v>6</v>
      </c>
      <c r="Q182" s="30">
        <v>6</v>
      </c>
      <c r="R182" s="7"/>
      <c r="S182" s="7"/>
      <c r="T182" s="8"/>
      <c r="U182" s="9">
        <f t="shared" si="107"/>
        <v>6</v>
      </c>
      <c r="V182" s="30">
        <v>6</v>
      </c>
      <c r="W182" s="7"/>
      <c r="X182" s="7">
        <v>2</v>
      </c>
      <c r="Y182" s="8"/>
      <c r="Z182" s="9">
        <f t="shared" si="108"/>
        <v>8</v>
      </c>
      <c r="AA182" s="30">
        <v>25</v>
      </c>
      <c r="AB182" s="7"/>
      <c r="AC182" s="7"/>
      <c r="AD182" s="8"/>
      <c r="AE182" s="9">
        <f t="shared" si="109"/>
        <v>25</v>
      </c>
      <c r="AF182" s="30">
        <v>6</v>
      </c>
      <c r="AG182" s="7"/>
      <c r="AH182" s="7"/>
      <c r="AI182" s="8"/>
      <c r="AJ182" s="9">
        <f t="shared" si="110"/>
        <v>6</v>
      </c>
      <c r="AK182" s="30">
        <v>3</v>
      </c>
      <c r="AL182" s="7"/>
      <c r="AM182" s="7"/>
      <c r="AN182" s="8"/>
      <c r="AO182" s="9">
        <f t="shared" si="111"/>
        <v>3</v>
      </c>
      <c r="AP182" s="30">
        <v>5</v>
      </c>
      <c r="AQ182" s="7"/>
      <c r="AR182" s="7"/>
      <c r="AS182" s="8"/>
      <c r="AT182" s="9">
        <f t="shared" si="112"/>
        <v>5</v>
      </c>
      <c r="AU182" s="30">
        <v>4</v>
      </c>
      <c r="AV182" s="7"/>
      <c r="AW182" s="7"/>
      <c r="AX182" s="8"/>
      <c r="AY182" s="9">
        <f t="shared" si="113"/>
        <v>4</v>
      </c>
      <c r="AZ182" s="30">
        <v>10</v>
      </c>
      <c r="BA182" s="7"/>
      <c r="BB182" s="7"/>
      <c r="BC182" s="8"/>
      <c r="BD182" s="9">
        <f t="shared" si="114"/>
        <v>10</v>
      </c>
      <c r="BE182" s="30">
        <v>4</v>
      </c>
      <c r="BF182" s="7"/>
      <c r="BG182" s="7"/>
      <c r="BH182" s="8"/>
      <c r="BI182" s="9">
        <f t="shared" si="115"/>
        <v>4</v>
      </c>
      <c r="BJ182" s="30">
        <v>1</v>
      </c>
      <c r="BK182" s="7"/>
      <c r="BL182" s="7"/>
      <c r="BM182" s="8"/>
      <c r="BN182" s="9">
        <f t="shared" si="116"/>
        <v>1</v>
      </c>
      <c r="BO182" s="65">
        <f>SUM(G182,L182,Q182,V182,AA182,AF182,AK182,AP182,AU182,AZ182,BE182,BJ182)</f>
        <v>84</v>
      </c>
      <c r="BP182" s="7">
        <f>SUM(H182,M182,R182,W182,AB182,AG182,AL182,AQ182,AV182,BA182,BF182,BK182)</f>
        <v>0</v>
      </c>
      <c r="BQ182" s="7">
        <f>SUM(I182,N182,S182,X182,AC182,AH182,AM182,AR182,AW182,BB182,BG182,BL182)</f>
        <v>2</v>
      </c>
      <c r="BR182" s="8">
        <f>SUM(J182,O182,T182,Y182,AD182,AI182,AN182,AS182,AX182,BC182,BH182,BM182)</f>
        <v>0</v>
      </c>
      <c r="BS182" s="31">
        <f t="shared" si="105"/>
        <v>86</v>
      </c>
    </row>
    <row r="183" spans="2:71" x14ac:dyDescent="0.3">
      <c r="B183" s="269"/>
      <c r="C183" s="230"/>
      <c r="D183" s="233"/>
      <c r="E183" s="220"/>
      <c r="F183" s="123" t="s">
        <v>125</v>
      </c>
      <c r="G183" s="34"/>
      <c r="H183" s="16"/>
      <c r="I183" s="16"/>
      <c r="J183" s="17"/>
      <c r="K183" s="18">
        <f t="shared" si="134"/>
        <v>0</v>
      </c>
      <c r="L183" s="34"/>
      <c r="M183" s="16"/>
      <c r="N183" s="16"/>
      <c r="O183" s="17"/>
      <c r="P183" s="18">
        <f t="shared" si="106"/>
        <v>0</v>
      </c>
      <c r="Q183" s="34">
        <v>1</v>
      </c>
      <c r="R183" s="16"/>
      <c r="S183" s="16"/>
      <c r="T183" s="17"/>
      <c r="U183" s="18">
        <f t="shared" si="107"/>
        <v>1</v>
      </c>
      <c r="V183" s="34">
        <v>1</v>
      </c>
      <c r="W183" s="16"/>
      <c r="X183" s="16"/>
      <c r="Y183" s="17"/>
      <c r="Z183" s="18">
        <f t="shared" si="108"/>
        <v>1</v>
      </c>
      <c r="AA183" s="34">
        <v>4</v>
      </c>
      <c r="AB183" s="16"/>
      <c r="AC183" s="16"/>
      <c r="AD183" s="17"/>
      <c r="AE183" s="18">
        <f t="shared" si="109"/>
        <v>4</v>
      </c>
      <c r="AF183" s="34">
        <v>4</v>
      </c>
      <c r="AG183" s="16"/>
      <c r="AH183" s="16"/>
      <c r="AI183" s="17"/>
      <c r="AJ183" s="18">
        <f t="shared" si="110"/>
        <v>4</v>
      </c>
      <c r="AK183" s="34">
        <v>1</v>
      </c>
      <c r="AL183" s="16"/>
      <c r="AM183" s="16"/>
      <c r="AN183" s="17"/>
      <c r="AO183" s="18">
        <f t="shared" si="111"/>
        <v>1</v>
      </c>
      <c r="AP183" s="34">
        <v>4</v>
      </c>
      <c r="AQ183" s="16"/>
      <c r="AR183" s="16"/>
      <c r="AS183" s="17"/>
      <c r="AT183" s="18">
        <f t="shared" si="112"/>
        <v>4</v>
      </c>
      <c r="AU183" s="34">
        <v>1</v>
      </c>
      <c r="AV183" s="16"/>
      <c r="AW183" s="16"/>
      <c r="AX183" s="17"/>
      <c r="AY183" s="18">
        <f t="shared" si="113"/>
        <v>1</v>
      </c>
      <c r="AZ183" s="34">
        <v>6</v>
      </c>
      <c r="BA183" s="16"/>
      <c r="BB183" s="16"/>
      <c r="BC183" s="17"/>
      <c r="BD183" s="18">
        <f t="shared" si="114"/>
        <v>6</v>
      </c>
      <c r="BE183" s="34">
        <v>1</v>
      </c>
      <c r="BF183" s="16"/>
      <c r="BG183" s="16"/>
      <c r="BH183" s="17"/>
      <c r="BI183" s="18">
        <f t="shared" si="115"/>
        <v>1</v>
      </c>
      <c r="BJ183" s="34">
        <v>1</v>
      </c>
      <c r="BK183" s="16"/>
      <c r="BL183" s="16"/>
      <c r="BM183" s="17"/>
      <c r="BN183" s="18">
        <f t="shared" si="116"/>
        <v>1</v>
      </c>
      <c r="BO183" s="70">
        <f>SUM(G183,L183,Q183,V183,AA183,AF183,AK183,AP183,AU183,AZ183,BE183,BJ183)</f>
        <v>24</v>
      </c>
      <c r="BP183" s="16">
        <f>SUM(H183,M183,R183,W183,AB183,AG183,AL183,AQ183,AV183,BA183,BF183,BK183)</f>
        <v>0</v>
      </c>
      <c r="BQ183" s="16">
        <f>SUM(I183,N183,S183,X183,AC183,AH183,AM183,AR183,AW183,BB183,BG183,BL183)</f>
        <v>0</v>
      </c>
      <c r="BR183" s="17">
        <f>SUM(J183,O183,T183,Y183,AD183,AI183,AN183,AS183,AX183,BC183,BH183,BM183)</f>
        <v>0</v>
      </c>
      <c r="BS183" s="35">
        <f t="shared" si="105"/>
        <v>24</v>
      </c>
    </row>
    <row r="184" spans="2:71" x14ac:dyDescent="0.3">
      <c r="B184" s="269"/>
      <c r="C184" s="230"/>
      <c r="D184" s="233"/>
      <c r="E184" s="220"/>
      <c r="F184" s="123" t="s">
        <v>117</v>
      </c>
      <c r="G184" s="34">
        <v>2</v>
      </c>
      <c r="H184" s="16"/>
      <c r="I184" s="16"/>
      <c r="J184" s="17"/>
      <c r="K184" s="18">
        <f t="shared" si="134"/>
        <v>2</v>
      </c>
      <c r="L184" s="34"/>
      <c r="M184" s="16"/>
      <c r="N184" s="16"/>
      <c r="O184" s="17"/>
      <c r="P184" s="18">
        <f t="shared" si="106"/>
        <v>0</v>
      </c>
      <c r="Q184" s="34"/>
      <c r="R184" s="16"/>
      <c r="S184" s="16"/>
      <c r="T184" s="17"/>
      <c r="U184" s="18">
        <f t="shared" si="107"/>
        <v>0</v>
      </c>
      <c r="V184" s="34">
        <v>22</v>
      </c>
      <c r="W184" s="16"/>
      <c r="X184" s="16"/>
      <c r="Y184" s="17"/>
      <c r="Z184" s="18">
        <f t="shared" si="108"/>
        <v>22</v>
      </c>
      <c r="AA184" s="34"/>
      <c r="AB184" s="16"/>
      <c r="AC184" s="16"/>
      <c r="AD184" s="17"/>
      <c r="AE184" s="18">
        <f t="shared" si="109"/>
        <v>0</v>
      </c>
      <c r="AF184" s="34"/>
      <c r="AG184" s="16"/>
      <c r="AH184" s="16"/>
      <c r="AI184" s="17"/>
      <c r="AJ184" s="18">
        <f t="shared" si="110"/>
        <v>0</v>
      </c>
      <c r="AK184" s="34"/>
      <c r="AL184" s="16"/>
      <c r="AM184" s="16"/>
      <c r="AN184" s="17"/>
      <c r="AO184" s="18">
        <f t="shared" si="111"/>
        <v>0</v>
      </c>
      <c r="AP184" s="34"/>
      <c r="AQ184" s="16"/>
      <c r="AR184" s="16"/>
      <c r="AS184" s="17"/>
      <c r="AT184" s="18">
        <f t="shared" si="112"/>
        <v>0</v>
      </c>
      <c r="AU184" s="34"/>
      <c r="AV184" s="16"/>
      <c r="AW184" s="16"/>
      <c r="AX184" s="17"/>
      <c r="AY184" s="18">
        <f t="shared" si="113"/>
        <v>0</v>
      </c>
      <c r="AZ184" s="34"/>
      <c r="BA184" s="16"/>
      <c r="BB184" s="16"/>
      <c r="BC184" s="17"/>
      <c r="BD184" s="18">
        <f t="shared" si="114"/>
        <v>0</v>
      </c>
      <c r="BE184" s="34"/>
      <c r="BF184" s="16"/>
      <c r="BG184" s="16"/>
      <c r="BH184" s="17"/>
      <c r="BI184" s="18">
        <f t="shared" si="115"/>
        <v>0</v>
      </c>
      <c r="BJ184" s="34"/>
      <c r="BK184" s="16"/>
      <c r="BL184" s="16"/>
      <c r="BM184" s="17"/>
      <c r="BN184" s="18">
        <f t="shared" si="116"/>
        <v>0</v>
      </c>
      <c r="BO184" s="70">
        <f>SUM(G184,L184,Q184,V184,AA184,AF184,AK184,AP184,AU184,AZ184,BE184,BJ184)</f>
        <v>24</v>
      </c>
      <c r="BP184" s="16">
        <f>SUM(H184,M184,R184,W184,AB184,AG184,AL184,AQ184,AV184,BA184,BF184,BK184)</f>
        <v>0</v>
      </c>
      <c r="BQ184" s="16">
        <f>SUM(I184,N184,S184,X184,AC184,AH184,AM184,AR184,AW184,BB184,BG184,BL184)</f>
        <v>0</v>
      </c>
      <c r="BR184" s="17">
        <f>SUM(J184,O184,T184,Y184,AD184,AI184,AN184,AS184,AX184,BC184,BH184,BM184)</f>
        <v>0</v>
      </c>
      <c r="BS184" s="35">
        <f t="shared" si="105"/>
        <v>24</v>
      </c>
    </row>
    <row r="185" spans="2:71" x14ac:dyDescent="0.3">
      <c r="B185" s="269"/>
      <c r="C185" s="230"/>
      <c r="D185" s="233"/>
      <c r="E185" s="220"/>
      <c r="F185" s="123" t="s">
        <v>138</v>
      </c>
      <c r="G185" s="34"/>
      <c r="H185" s="16"/>
      <c r="I185" s="16"/>
      <c r="J185" s="17"/>
      <c r="K185" s="18">
        <f t="shared" si="134"/>
        <v>0</v>
      </c>
      <c r="L185" s="34"/>
      <c r="M185" s="16"/>
      <c r="N185" s="16"/>
      <c r="O185" s="17"/>
      <c r="P185" s="18">
        <f t="shared" si="106"/>
        <v>0</v>
      </c>
      <c r="Q185" s="34"/>
      <c r="R185" s="16"/>
      <c r="S185" s="16"/>
      <c r="T185" s="17"/>
      <c r="U185" s="18">
        <f t="shared" si="107"/>
        <v>0</v>
      </c>
      <c r="V185" s="34"/>
      <c r="W185" s="16"/>
      <c r="X185" s="16"/>
      <c r="Y185" s="17"/>
      <c r="Z185" s="18">
        <f t="shared" si="108"/>
        <v>0</v>
      </c>
      <c r="AA185" s="34"/>
      <c r="AB185" s="16"/>
      <c r="AC185" s="16"/>
      <c r="AD185" s="17"/>
      <c r="AE185" s="18">
        <f t="shared" si="109"/>
        <v>0</v>
      </c>
      <c r="AF185" s="34"/>
      <c r="AG185" s="16"/>
      <c r="AH185" s="16">
        <v>1</v>
      </c>
      <c r="AI185" s="17"/>
      <c r="AJ185" s="18">
        <f t="shared" si="110"/>
        <v>1</v>
      </c>
      <c r="AK185" s="34"/>
      <c r="AL185" s="16"/>
      <c r="AM185" s="16"/>
      <c r="AN185" s="17"/>
      <c r="AO185" s="18">
        <f t="shared" si="111"/>
        <v>0</v>
      </c>
      <c r="AP185" s="34">
        <v>1</v>
      </c>
      <c r="AQ185" s="16"/>
      <c r="AR185" s="16"/>
      <c r="AS185" s="17"/>
      <c r="AT185" s="18">
        <f t="shared" si="112"/>
        <v>1</v>
      </c>
      <c r="AU185" s="34"/>
      <c r="AV185" s="16"/>
      <c r="AW185" s="16"/>
      <c r="AX185" s="17"/>
      <c r="AY185" s="18">
        <f t="shared" si="113"/>
        <v>0</v>
      </c>
      <c r="AZ185" s="34"/>
      <c r="BA185" s="16"/>
      <c r="BB185" s="16"/>
      <c r="BC185" s="17"/>
      <c r="BD185" s="18">
        <f t="shared" si="114"/>
        <v>0</v>
      </c>
      <c r="BE185" s="34"/>
      <c r="BF185" s="16"/>
      <c r="BG185" s="16"/>
      <c r="BH185" s="17"/>
      <c r="BI185" s="18">
        <f t="shared" si="115"/>
        <v>0</v>
      </c>
      <c r="BJ185" s="34"/>
      <c r="BK185" s="16"/>
      <c r="BL185" s="16"/>
      <c r="BM185" s="17"/>
      <c r="BN185" s="18">
        <f t="shared" si="116"/>
        <v>0</v>
      </c>
      <c r="BO185" s="70">
        <f>SUM(G185,L185,Q185,V185,AA185,AF185,AK185,AP185,AU185,AZ185,BE185,BJ185)</f>
        <v>1</v>
      </c>
      <c r="BP185" s="16">
        <f>SUM(H185,M185,R185,W185,AB185,AG185,AL185,AQ185,AV185,BA185,BF185,BK185)</f>
        <v>0</v>
      </c>
      <c r="BQ185" s="16">
        <f>SUM(I185,N185,S185,X185,AC185,AH185,AM185,AR185,AW185,BB185,BG185,BL185)</f>
        <v>1</v>
      </c>
      <c r="BR185" s="17">
        <f>SUM(J185,O185,T185,Y185,AD185,AI185,AN185,AS185,AX185,BC185,BH185,BM185)</f>
        <v>0</v>
      </c>
      <c r="BS185" s="35">
        <f t="shared" si="105"/>
        <v>2</v>
      </c>
    </row>
    <row r="186" spans="2:71" x14ac:dyDescent="0.3">
      <c r="B186" s="269"/>
      <c r="C186" s="230"/>
      <c r="D186" s="233"/>
      <c r="E186" s="220"/>
      <c r="F186" s="123" t="s">
        <v>296</v>
      </c>
      <c r="G186" s="34">
        <v>102</v>
      </c>
      <c r="H186" s="16">
        <v>13</v>
      </c>
      <c r="I186" s="16">
        <v>31</v>
      </c>
      <c r="J186" s="17"/>
      <c r="K186" s="18">
        <f t="shared" si="134"/>
        <v>146</v>
      </c>
      <c r="L186" s="34">
        <v>97</v>
      </c>
      <c r="M186" s="16">
        <v>20</v>
      </c>
      <c r="N186" s="16">
        <v>60</v>
      </c>
      <c r="O186" s="17"/>
      <c r="P186" s="18">
        <f t="shared" si="106"/>
        <v>177</v>
      </c>
      <c r="Q186" s="34">
        <v>135</v>
      </c>
      <c r="R186" s="16">
        <v>13</v>
      </c>
      <c r="S186" s="16">
        <v>87</v>
      </c>
      <c r="T186" s="17"/>
      <c r="U186" s="18">
        <f t="shared" si="107"/>
        <v>235</v>
      </c>
      <c r="V186" s="34">
        <v>259</v>
      </c>
      <c r="W186" s="16">
        <v>33</v>
      </c>
      <c r="X186" s="16">
        <v>65</v>
      </c>
      <c r="Y186" s="17"/>
      <c r="Z186" s="18">
        <f t="shared" si="108"/>
        <v>357</v>
      </c>
      <c r="AA186" s="34">
        <v>285</v>
      </c>
      <c r="AB186" s="16">
        <v>31</v>
      </c>
      <c r="AC186" s="16">
        <v>186</v>
      </c>
      <c r="AD186" s="17"/>
      <c r="AE186" s="18">
        <f t="shared" si="109"/>
        <v>502</v>
      </c>
      <c r="AF186" s="34">
        <v>145</v>
      </c>
      <c r="AG186" s="16">
        <v>22</v>
      </c>
      <c r="AH186" s="16">
        <v>89</v>
      </c>
      <c r="AI186" s="17"/>
      <c r="AJ186" s="18">
        <f t="shared" si="110"/>
        <v>256</v>
      </c>
      <c r="AK186" s="34">
        <v>51</v>
      </c>
      <c r="AL186" s="16">
        <v>5</v>
      </c>
      <c r="AM186" s="16">
        <v>14</v>
      </c>
      <c r="AN186" s="17"/>
      <c r="AO186" s="18">
        <f t="shared" si="111"/>
        <v>70</v>
      </c>
      <c r="AP186" s="34">
        <v>90</v>
      </c>
      <c r="AQ186" s="16">
        <v>17</v>
      </c>
      <c r="AR186" s="16">
        <v>43</v>
      </c>
      <c r="AS186" s="17"/>
      <c r="AT186" s="18">
        <f t="shared" si="112"/>
        <v>150</v>
      </c>
      <c r="AU186" s="34">
        <v>83</v>
      </c>
      <c r="AV186" s="16">
        <v>7</v>
      </c>
      <c r="AW186" s="16">
        <v>55</v>
      </c>
      <c r="AX186" s="17"/>
      <c r="AY186" s="18">
        <f t="shared" si="113"/>
        <v>145</v>
      </c>
      <c r="AZ186" s="34">
        <v>216</v>
      </c>
      <c r="BA186" s="16">
        <v>25</v>
      </c>
      <c r="BB186" s="16">
        <v>142</v>
      </c>
      <c r="BC186" s="17"/>
      <c r="BD186" s="18">
        <f t="shared" si="114"/>
        <v>383</v>
      </c>
      <c r="BE186" s="34">
        <v>122</v>
      </c>
      <c r="BF186" s="16">
        <v>20</v>
      </c>
      <c r="BG186" s="16">
        <v>71</v>
      </c>
      <c r="BH186" s="17"/>
      <c r="BI186" s="18">
        <f t="shared" si="115"/>
        <v>213</v>
      </c>
      <c r="BJ186" s="34">
        <v>56</v>
      </c>
      <c r="BK186" s="16">
        <v>6</v>
      </c>
      <c r="BL186" s="16">
        <v>25</v>
      </c>
      <c r="BM186" s="17"/>
      <c r="BN186" s="18">
        <f t="shared" si="116"/>
        <v>87</v>
      </c>
      <c r="BO186" s="70">
        <f>SUM(G186,L186,Q186,V186,AA186,AF186,AK186,AP186,AU186,AZ186,BE186,BJ186)</f>
        <v>1641</v>
      </c>
      <c r="BP186" s="16">
        <f>SUM(H186,M186,R186,W186,AB186,AG186,AL186,AQ186,AV186,BA186,BF186,BK186)</f>
        <v>212</v>
      </c>
      <c r="BQ186" s="16">
        <f>SUM(I186,N186,S186,X186,AC186,AH186,AM186,AR186,AW186,BB186,BG186,BL186)</f>
        <v>868</v>
      </c>
      <c r="BR186" s="17">
        <f>SUM(J186,O186,T186,Y186,AD186,AI186,AN186,AS186,AX186,BC186,BH186,BM186)</f>
        <v>0</v>
      </c>
      <c r="BS186" s="35">
        <f t="shared" ref="BS186:BS278" si="135">SUM(BO186:BR186)</f>
        <v>2721</v>
      </c>
    </row>
    <row r="187" spans="2:71" x14ac:dyDescent="0.3">
      <c r="B187" s="269"/>
      <c r="C187" s="230"/>
      <c r="D187" s="233"/>
      <c r="E187" s="220"/>
      <c r="F187" s="123" t="s">
        <v>297</v>
      </c>
      <c r="G187" s="34">
        <v>12</v>
      </c>
      <c r="H187" s="16">
        <v>1</v>
      </c>
      <c r="I187" s="16">
        <v>6</v>
      </c>
      <c r="J187" s="17"/>
      <c r="K187" s="18">
        <f t="shared" si="134"/>
        <v>19</v>
      </c>
      <c r="L187" s="34">
        <v>8</v>
      </c>
      <c r="M187" s="16"/>
      <c r="N187" s="16">
        <v>3</v>
      </c>
      <c r="O187" s="17"/>
      <c r="P187" s="18">
        <f t="shared" si="106"/>
        <v>11</v>
      </c>
      <c r="Q187" s="34">
        <v>22</v>
      </c>
      <c r="R187" s="16"/>
      <c r="S187" s="16">
        <v>10</v>
      </c>
      <c r="T187" s="17"/>
      <c r="U187" s="18">
        <f t="shared" si="107"/>
        <v>32</v>
      </c>
      <c r="V187" s="34">
        <v>23</v>
      </c>
      <c r="W187" s="16">
        <v>2</v>
      </c>
      <c r="X187" s="16">
        <v>14</v>
      </c>
      <c r="Y187" s="17"/>
      <c r="Z187" s="18">
        <f t="shared" si="108"/>
        <v>39</v>
      </c>
      <c r="AA187" s="34">
        <v>19</v>
      </c>
      <c r="AB187" s="16">
        <v>3</v>
      </c>
      <c r="AC187" s="16">
        <v>29</v>
      </c>
      <c r="AD187" s="17"/>
      <c r="AE187" s="18">
        <f t="shared" si="109"/>
        <v>51</v>
      </c>
      <c r="AF187" s="34">
        <v>13</v>
      </c>
      <c r="AG187" s="16">
        <v>2</v>
      </c>
      <c r="AH187" s="16">
        <v>12</v>
      </c>
      <c r="AI187" s="17"/>
      <c r="AJ187" s="18">
        <f t="shared" si="110"/>
        <v>27</v>
      </c>
      <c r="AK187" s="34">
        <v>7</v>
      </c>
      <c r="AL187" s="16"/>
      <c r="AM187" s="16">
        <v>7</v>
      </c>
      <c r="AN187" s="17"/>
      <c r="AO187" s="18">
        <f t="shared" si="111"/>
        <v>14</v>
      </c>
      <c r="AP187" s="34">
        <v>22</v>
      </c>
      <c r="AQ187" s="16">
        <v>1</v>
      </c>
      <c r="AR187" s="16">
        <v>10</v>
      </c>
      <c r="AS187" s="17"/>
      <c r="AT187" s="18">
        <f t="shared" si="112"/>
        <v>33</v>
      </c>
      <c r="AU187" s="34">
        <v>17</v>
      </c>
      <c r="AV187" s="16">
        <v>2</v>
      </c>
      <c r="AW187" s="16">
        <v>17</v>
      </c>
      <c r="AX187" s="17"/>
      <c r="AY187" s="18">
        <f t="shared" si="113"/>
        <v>36</v>
      </c>
      <c r="AZ187" s="34">
        <v>43</v>
      </c>
      <c r="BA187" s="16">
        <v>6</v>
      </c>
      <c r="BB187" s="16">
        <v>40</v>
      </c>
      <c r="BC187" s="17"/>
      <c r="BD187" s="18">
        <f t="shared" si="114"/>
        <v>89</v>
      </c>
      <c r="BE187" s="34">
        <v>20</v>
      </c>
      <c r="BF187" s="16">
        <v>2</v>
      </c>
      <c r="BG187" s="16">
        <v>31</v>
      </c>
      <c r="BH187" s="17"/>
      <c r="BI187" s="18">
        <f t="shared" si="115"/>
        <v>53</v>
      </c>
      <c r="BJ187" s="34">
        <v>12</v>
      </c>
      <c r="BK187" s="16">
        <v>2</v>
      </c>
      <c r="BL187" s="16">
        <v>3</v>
      </c>
      <c r="BM187" s="17"/>
      <c r="BN187" s="18">
        <f t="shared" si="116"/>
        <v>17</v>
      </c>
      <c r="BO187" s="70">
        <f>SUM(G187,L187,Q187,V187,AA187,AF187,AK187,AP187,AU187,AZ187,BE187,BJ187)</f>
        <v>218</v>
      </c>
      <c r="BP187" s="16">
        <f>SUM(H187,M187,R187,W187,AB187,AG187,AL187,AQ187,AV187,BA187,BF187,BK187)</f>
        <v>21</v>
      </c>
      <c r="BQ187" s="16">
        <f>SUM(I187,N187,S187,X187,AC187,AH187,AM187,AR187,AW187,BB187,BG187,BL187)</f>
        <v>182</v>
      </c>
      <c r="BR187" s="17">
        <f>SUM(J187,O187,T187,Y187,AD187,AI187,AN187,AS187,AX187,BC187,BH187,BM187)</f>
        <v>0</v>
      </c>
      <c r="BS187" s="35">
        <f t="shared" si="135"/>
        <v>421</v>
      </c>
    </row>
    <row r="188" spans="2:71" x14ac:dyDescent="0.3">
      <c r="B188" s="269"/>
      <c r="C188" s="230"/>
      <c r="D188" s="233"/>
      <c r="E188" s="220"/>
      <c r="F188" s="123" t="s">
        <v>298</v>
      </c>
      <c r="G188" s="34">
        <v>48</v>
      </c>
      <c r="H188" s="16">
        <v>8</v>
      </c>
      <c r="I188" s="16">
        <v>38</v>
      </c>
      <c r="J188" s="17"/>
      <c r="K188" s="18">
        <f t="shared" si="134"/>
        <v>94</v>
      </c>
      <c r="L188" s="34">
        <v>56</v>
      </c>
      <c r="M188" s="16">
        <v>2</v>
      </c>
      <c r="N188" s="16">
        <v>32</v>
      </c>
      <c r="O188" s="17"/>
      <c r="P188" s="18">
        <f t="shared" si="106"/>
        <v>90</v>
      </c>
      <c r="Q188" s="34">
        <v>81</v>
      </c>
      <c r="R188" s="16">
        <v>8</v>
      </c>
      <c r="S188" s="16">
        <v>55</v>
      </c>
      <c r="T188" s="17"/>
      <c r="U188" s="18">
        <f t="shared" si="107"/>
        <v>144</v>
      </c>
      <c r="V188" s="34">
        <v>154</v>
      </c>
      <c r="W188" s="16">
        <v>7</v>
      </c>
      <c r="X188" s="16">
        <v>45</v>
      </c>
      <c r="Y188" s="17"/>
      <c r="Z188" s="18">
        <f t="shared" si="108"/>
        <v>206</v>
      </c>
      <c r="AA188" s="34">
        <v>172</v>
      </c>
      <c r="AB188" s="16">
        <v>10</v>
      </c>
      <c r="AC188" s="16">
        <v>110</v>
      </c>
      <c r="AD188" s="17"/>
      <c r="AE188" s="18">
        <f t="shared" si="109"/>
        <v>292</v>
      </c>
      <c r="AF188" s="34">
        <v>90</v>
      </c>
      <c r="AG188" s="16">
        <v>12</v>
      </c>
      <c r="AH188" s="16">
        <v>42</v>
      </c>
      <c r="AI188" s="17"/>
      <c r="AJ188" s="18">
        <f t="shared" si="110"/>
        <v>144</v>
      </c>
      <c r="AK188" s="34">
        <v>23</v>
      </c>
      <c r="AL188" s="16">
        <v>2</v>
      </c>
      <c r="AM188" s="16">
        <v>11</v>
      </c>
      <c r="AN188" s="17"/>
      <c r="AO188" s="18">
        <f t="shared" si="111"/>
        <v>36</v>
      </c>
      <c r="AP188" s="34">
        <v>64</v>
      </c>
      <c r="AQ188" s="16">
        <v>7</v>
      </c>
      <c r="AR188" s="16">
        <v>31</v>
      </c>
      <c r="AS188" s="17"/>
      <c r="AT188" s="18">
        <f t="shared" si="112"/>
        <v>102</v>
      </c>
      <c r="AU188" s="34">
        <v>61</v>
      </c>
      <c r="AV188" s="16">
        <v>4</v>
      </c>
      <c r="AW188" s="16">
        <v>15</v>
      </c>
      <c r="AX188" s="17"/>
      <c r="AY188" s="18">
        <f t="shared" si="113"/>
        <v>80</v>
      </c>
      <c r="AZ188" s="34">
        <v>136</v>
      </c>
      <c r="BA188" s="16">
        <v>17</v>
      </c>
      <c r="BB188" s="16">
        <v>58</v>
      </c>
      <c r="BC188" s="17"/>
      <c r="BD188" s="18">
        <f t="shared" si="114"/>
        <v>211</v>
      </c>
      <c r="BE188" s="34">
        <v>65</v>
      </c>
      <c r="BF188" s="16">
        <v>8</v>
      </c>
      <c r="BG188" s="16">
        <v>26</v>
      </c>
      <c r="BH188" s="17"/>
      <c r="BI188" s="18">
        <f t="shared" si="115"/>
        <v>99</v>
      </c>
      <c r="BJ188" s="34">
        <v>34</v>
      </c>
      <c r="BK188" s="16">
        <v>3</v>
      </c>
      <c r="BL188" s="16">
        <v>11</v>
      </c>
      <c r="BM188" s="17"/>
      <c r="BN188" s="18">
        <f t="shared" si="116"/>
        <v>48</v>
      </c>
      <c r="BO188" s="70">
        <f>SUM(G188,L188,Q188,V188,AA188,AF188,AK188,AP188,AU188,AZ188,BE188,BJ188)</f>
        <v>984</v>
      </c>
      <c r="BP188" s="16">
        <f>SUM(H188,M188,R188,W188,AB188,AG188,AL188,AQ188,AV188,BA188,BF188,BK188)</f>
        <v>88</v>
      </c>
      <c r="BQ188" s="16">
        <f>SUM(I188,N188,S188,X188,AC188,AH188,AM188,AR188,AW188,BB188,BG188,BL188)</f>
        <v>474</v>
      </c>
      <c r="BR188" s="17">
        <f>SUM(J188,O188,T188,Y188,AD188,AI188,AN188,AS188,AX188,BC188,BH188,BM188)</f>
        <v>0</v>
      </c>
      <c r="BS188" s="35">
        <f t="shared" si="135"/>
        <v>1546</v>
      </c>
    </row>
    <row r="189" spans="2:71" x14ac:dyDescent="0.3">
      <c r="B189" s="269"/>
      <c r="C189" s="230"/>
      <c r="D189" s="233"/>
      <c r="E189" s="220"/>
      <c r="F189" s="123" t="s">
        <v>299</v>
      </c>
      <c r="G189" s="34">
        <v>7</v>
      </c>
      <c r="H189" s="16">
        <v>2</v>
      </c>
      <c r="I189" s="16">
        <v>2</v>
      </c>
      <c r="J189" s="17"/>
      <c r="K189" s="18">
        <f t="shared" si="134"/>
        <v>11</v>
      </c>
      <c r="L189" s="34">
        <v>6</v>
      </c>
      <c r="M189" s="16"/>
      <c r="N189" s="16">
        <v>1</v>
      </c>
      <c r="O189" s="17"/>
      <c r="P189" s="18">
        <f t="shared" si="106"/>
        <v>7</v>
      </c>
      <c r="Q189" s="34">
        <v>13</v>
      </c>
      <c r="R189" s="16">
        <v>1</v>
      </c>
      <c r="S189" s="16">
        <v>4</v>
      </c>
      <c r="T189" s="17"/>
      <c r="U189" s="18">
        <f t="shared" si="107"/>
        <v>18</v>
      </c>
      <c r="V189" s="34">
        <v>19</v>
      </c>
      <c r="W189" s="16"/>
      <c r="X189" s="16">
        <v>8</v>
      </c>
      <c r="Y189" s="17"/>
      <c r="Z189" s="18">
        <f t="shared" si="108"/>
        <v>27</v>
      </c>
      <c r="AA189" s="34">
        <v>13</v>
      </c>
      <c r="AB189" s="16">
        <v>1</v>
      </c>
      <c r="AC189" s="16">
        <v>14</v>
      </c>
      <c r="AD189" s="17"/>
      <c r="AE189" s="18">
        <f t="shared" si="109"/>
        <v>28</v>
      </c>
      <c r="AF189" s="34">
        <v>5</v>
      </c>
      <c r="AG189" s="16">
        <v>4</v>
      </c>
      <c r="AH189" s="16">
        <v>6</v>
      </c>
      <c r="AI189" s="17"/>
      <c r="AJ189" s="18">
        <f t="shared" si="110"/>
        <v>15</v>
      </c>
      <c r="AK189" s="34">
        <v>2</v>
      </c>
      <c r="AL189" s="16">
        <v>1</v>
      </c>
      <c r="AM189" s="16">
        <v>2</v>
      </c>
      <c r="AN189" s="17"/>
      <c r="AO189" s="18">
        <f t="shared" si="111"/>
        <v>5</v>
      </c>
      <c r="AP189" s="34">
        <v>10</v>
      </c>
      <c r="AQ189" s="16">
        <v>1</v>
      </c>
      <c r="AR189" s="16">
        <v>9</v>
      </c>
      <c r="AS189" s="17"/>
      <c r="AT189" s="18">
        <f t="shared" si="112"/>
        <v>20</v>
      </c>
      <c r="AU189" s="34">
        <v>8</v>
      </c>
      <c r="AV189" s="16">
        <v>1</v>
      </c>
      <c r="AW189" s="16">
        <v>11</v>
      </c>
      <c r="AX189" s="17"/>
      <c r="AY189" s="18">
        <f t="shared" si="113"/>
        <v>20</v>
      </c>
      <c r="AZ189" s="34">
        <v>28</v>
      </c>
      <c r="BA189" s="16"/>
      <c r="BB189" s="16">
        <v>23</v>
      </c>
      <c r="BC189" s="17"/>
      <c r="BD189" s="18">
        <f t="shared" si="114"/>
        <v>51</v>
      </c>
      <c r="BE189" s="34">
        <v>19</v>
      </c>
      <c r="BF189" s="16">
        <v>1</v>
      </c>
      <c r="BG189" s="16">
        <v>16</v>
      </c>
      <c r="BH189" s="17"/>
      <c r="BI189" s="18">
        <f t="shared" si="115"/>
        <v>36</v>
      </c>
      <c r="BJ189" s="34">
        <v>4</v>
      </c>
      <c r="BK189" s="16"/>
      <c r="BL189" s="16">
        <v>3</v>
      </c>
      <c r="BM189" s="17"/>
      <c r="BN189" s="18">
        <f t="shared" si="116"/>
        <v>7</v>
      </c>
      <c r="BO189" s="70">
        <f>SUM(G189,L189,Q189,V189,AA189,AF189,AK189,AP189,AU189,AZ189,BE189,BJ189)</f>
        <v>134</v>
      </c>
      <c r="BP189" s="16">
        <f>SUM(H189,M189,R189,W189,AB189,AG189,AL189,AQ189,AV189,BA189,BF189,BK189)</f>
        <v>12</v>
      </c>
      <c r="BQ189" s="16">
        <f>SUM(I189,N189,S189,X189,AC189,AH189,AM189,AR189,AW189,BB189,BG189,BL189)</f>
        <v>99</v>
      </c>
      <c r="BR189" s="17">
        <f>SUM(J189,O189,T189,Y189,AD189,AI189,AN189,AS189,AX189,BC189,BH189,BM189)</f>
        <v>0</v>
      </c>
      <c r="BS189" s="35">
        <f t="shared" si="135"/>
        <v>245</v>
      </c>
    </row>
    <row r="190" spans="2:71" x14ac:dyDescent="0.3">
      <c r="B190" s="269"/>
      <c r="C190" s="230"/>
      <c r="D190" s="233"/>
      <c r="E190" s="220"/>
      <c r="F190" s="123" t="s">
        <v>208</v>
      </c>
      <c r="G190" s="34">
        <v>37</v>
      </c>
      <c r="H190" s="16">
        <v>17</v>
      </c>
      <c r="I190" s="16">
        <v>24</v>
      </c>
      <c r="J190" s="17"/>
      <c r="K190" s="18">
        <f t="shared" si="134"/>
        <v>78</v>
      </c>
      <c r="L190" s="34">
        <v>14</v>
      </c>
      <c r="M190" s="16">
        <v>14</v>
      </c>
      <c r="N190" s="16">
        <v>20</v>
      </c>
      <c r="O190" s="17"/>
      <c r="P190" s="18">
        <f t="shared" si="106"/>
        <v>48</v>
      </c>
      <c r="Q190" s="34">
        <v>18</v>
      </c>
      <c r="R190" s="16">
        <v>1</v>
      </c>
      <c r="S190" s="16">
        <v>19</v>
      </c>
      <c r="T190" s="17"/>
      <c r="U190" s="18">
        <f t="shared" si="107"/>
        <v>38</v>
      </c>
      <c r="V190" s="34">
        <v>8</v>
      </c>
      <c r="W190" s="16"/>
      <c r="X190" s="16">
        <v>17</v>
      </c>
      <c r="Y190" s="17"/>
      <c r="Z190" s="18">
        <f t="shared" si="108"/>
        <v>25</v>
      </c>
      <c r="AA190" s="34">
        <v>23</v>
      </c>
      <c r="AB190" s="16"/>
      <c r="AC190" s="16">
        <v>38</v>
      </c>
      <c r="AD190" s="17"/>
      <c r="AE190" s="18">
        <f t="shared" si="109"/>
        <v>61</v>
      </c>
      <c r="AF190" s="34"/>
      <c r="AG190" s="16"/>
      <c r="AH190" s="16"/>
      <c r="AI190" s="17"/>
      <c r="AJ190" s="18">
        <f t="shared" si="110"/>
        <v>0</v>
      </c>
      <c r="AK190" s="34"/>
      <c r="AL190" s="16"/>
      <c r="AM190" s="16"/>
      <c r="AN190" s="17"/>
      <c r="AO190" s="18">
        <f t="shared" si="111"/>
        <v>0</v>
      </c>
      <c r="AP190" s="34"/>
      <c r="AQ190" s="16"/>
      <c r="AR190" s="16"/>
      <c r="AS190" s="17"/>
      <c r="AT190" s="18">
        <f t="shared" si="112"/>
        <v>0</v>
      </c>
      <c r="AU190" s="34"/>
      <c r="AV190" s="16"/>
      <c r="AW190" s="16"/>
      <c r="AX190" s="17"/>
      <c r="AY190" s="18">
        <f t="shared" si="113"/>
        <v>0</v>
      </c>
      <c r="AZ190" s="34"/>
      <c r="BA190" s="16"/>
      <c r="BB190" s="16"/>
      <c r="BC190" s="17"/>
      <c r="BD190" s="18">
        <f t="shared" si="114"/>
        <v>0</v>
      </c>
      <c r="BE190" s="34"/>
      <c r="BF190" s="16"/>
      <c r="BG190" s="16"/>
      <c r="BH190" s="17"/>
      <c r="BI190" s="18">
        <f t="shared" si="115"/>
        <v>0</v>
      </c>
      <c r="BJ190" s="34"/>
      <c r="BK190" s="16"/>
      <c r="BL190" s="16"/>
      <c r="BM190" s="17"/>
      <c r="BN190" s="18">
        <f t="shared" si="116"/>
        <v>0</v>
      </c>
      <c r="BO190" s="70">
        <f>SUM(G190,L190,Q190,V190,AA190,AF190,AK190,AP190,AU190,AZ190,BE190,BJ190)</f>
        <v>100</v>
      </c>
      <c r="BP190" s="16">
        <f>SUM(H190,M190,R190,W190,AB190,AG190,AL190,AQ190,AV190,BA190,BF190,BK190)</f>
        <v>32</v>
      </c>
      <c r="BQ190" s="16">
        <f>SUM(I190,N190,S190,X190,AC190,AH190,AM190,AR190,AW190,BB190,BG190,BL190)</f>
        <v>118</v>
      </c>
      <c r="BR190" s="17">
        <f>SUM(J190,O190,T190,Y190,AD190,AI190,AN190,AS190,AX190,BC190,BH190,BM190)</f>
        <v>0</v>
      </c>
      <c r="BS190" s="35">
        <f t="shared" si="135"/>
        <v>250</v>
      </c>
    </row>
    <row r="191" spans="2:71" x14ac:dyDescent="0.3">
      <c r="B191" s="269"/>
      <c r="C191" s="230"/>
      <c r="D191" s="233"/>
      <c r="E191" s="220"/>
      <c r="F191" s="123" t="s">
        <v>209</v>
      </c>
      <c r="G191" s="34">
        <v>4</v>
      </c>
      <c r="H191" s="16">
        <v>2</v>
      </c>
      <c r="I191" s="16">
        <v>1</v>
      </c>
      <c r="J191" s="17"/>
      <c r="K191" s="18">
        <f t="shared" si="134"/>
        <v>7</v>
      </c>
      <c r="L191" s="34">
        <v>3</v>
      </c>
      <c r="M191" s="16"/>
      <c r="N191" s="16"/>
      <c r="O191" s="17"/>
      <c r="P191" s="18">
        <f t="shared" si="106"/>
        <v>3</v>
      </c>
      <c r="Q191" s="34">
        <v>6</v>
      </c>
      <c r="R191" s="16"/>
      <c r="S191" s="16">
        <v>4</v>
      </c>
      <c r="T191" s="17"/>
      <c r="U191" s="18">
        <f t="shared" si="107"/>
        <v>10</v>
      </c>
      <c r="V191" s="34">
        <v>1</v>
      </c>
      <c r="W191" s="16"/>
      <c r="X191" s="16">
        <v>1</v>
      </c>
      <c r="Y191" s="17"/>
      <c r="Z191" s="18">
        <f t="shared" si="108"/>
        <v>2</v>
      </c>
      <c r="AA191" s="34">
        <v>5</v>
      </c>
      <c r="AB191" s="16">
        <v>1</v>
      </c>
      <c r="AC191" s="16">
        <v>13</v>
      </c>
      <c r="AD191" s="17"/>
      <c r="AE191" s="18">
        <f t="shared" si="109"/>
        <v>19</v>
      </c>
      <c r="AF191" s="34"/>
      <c r="AG191" s="16"/>
      <c r="AH191" s="16"/>
      <c r="AI191" s="17"/>
      <c r="AJ191" s="18">
        <f t="shared" si="110"/>
        <v>0</v>
      </c>
      <c r="AK191" s="34"/>
      <c r="AL191" s="16"/>
      <c r="AM191" s="16"/>
      <c r="AN191" s="17"/>
      <c r="AO191" s="18">
        <f t="shared" si="111"/>
        <v>0</v>
      </c>
      <c r="AP191" s="34"/>
      <c r="AQ191" s="16"/>
      <c r="AR191" s="16"/>
      <c r="AS191" s="17"/>
      <c r="AT191" s="18">
        <f t="shared" si="112"/>
        <v>0</v>
      </c>
      <c r="AU191" s="34"/>
      <c r="AV191" s="16"/>
      <c r="AW191" s="16"/>
      <c r="AX191" s="17"/>
      <c r="AY191" s="18">
        <f t="shared" si="113"/>
        <v>0</v>
      </c>
      <c r="AZ191" s="34"/>
      <c r="BA191" s="16"/>
      <c r="BB191" s="16"/>
      <c r="BC191" s="17"/>
      <c r="BD191" s="18">
        <f t="shared" si="114"/>
        <v>0</v>
      </c>
      <c r="BE191" s="34"/>
      <c r="BF191" s="16"/>
      <c r="BG191" s="16"/>
      <c r="BH191" s="17"/>
      <c r="BI191" s="18">
        <f t="shared" si="115"/>
        <v>0</v>
      </c>
      <c r="BJ191" s="34"/>
      <c r="BK191" s="16"/>
      <c r="BL191" s="16"/>
      <c r="BM191" s="17"/>
      <c r="BN191" s="18">
        <f t="shared" si="116"/>
        <v>0</v>
      </c>
      <c r="BO191" s="70">
        <f>SUM(G191,L191,Q191,V191,AA191,AF191,AK191,AP191,AU191,AZ191,BE191,BJ191)</f>
        <v>19</v>
      </c>
      <c r="BP191" s="16">
        <f>SUM(H191,M191,R191,W191,AB191,AG191,AL191,AQ191,AV191,BA191,BF191,BK191)</f>
        <v>3</v>
      </c>
      <c r="BQ191" s="16">
        <f>SUM(I191,N191,S191,X191,AC191,AH191,AM191,AR191,AW191,BB191,BG191,BL191)</f>
        <v>19</v>
      </c>
      <c r="BR191" s="17">
        <f>SUM(J191,O191,T191,Y191,AD191,AI191,AN191,AS191,AX191,BC191,BH191,BM191)</f>
        <v>0</v>
      </c>
      <c r="BS191" s="35">
        <f t="shared" si="135"/>
        <v>41</v>
      </c>
    </row>
    <row r="192" spans="2:71" x14ac:dyDescent="0.3">
      <c r="B192" s="269"/>
      <c r="C192" s="230"/>
      <c r="D192" s="233"/>
      <c r="E192" s="220"/>
      <c r="F192" s="123" t="s">
        <v>210</v>
      </c>
      <c r="G192" s="34">
        <v>27</v>
      </c>
      <c r="H192" s="16">
        <v>8</v>
      </c>
      <c r="I192" s="16">
        <v>25</v>
      </c>
      <c r="J192" s="17"/>
      <c r="K192" s="18">
        <f t="shared" si="134"/>
        <v>60</v>
      </c>
      <c r="L192" s="34">
        <v>11</v>
      </c>
      <c r="M192" s="16"/>
      <c r="N192" s="16">
        <v>9</v>
      </c>
      <c r="O192" s="17"/>
      <c r="P192" s="18">
        <f t="shared" si="106"/>
        <v>20</v>
      </c>
      <c r="Q192" s="34">
        <v>20</v>
      </c>
      <c r="R192" s="16">
        <v>3</v>
      </c>
      <c r="S192" s="16">
        <v>25</v>
      </c>
      <c r="T192" s="17"/>
      <c r="U192" s="18">
        <f t="shared" si="107"/>
        <v>48</v>
      </c>
      <c r="V192" s="34">
        <v>6</v>
      </c>
      <c r="W192" s="16"/>
      <c r="X192" s="16">
        <v>12</v>
      </c>
      <c r="Y192" s="17"/>
      <c r="Z192" s="18">
        <f t="shared" si="108"/>
        <v>18</v>
      </c>
      <c r="AA192" s="34">
        <v>16</v>
      </c>
      <c r="AB192" s="16"/>
      <c r="AC192" s="16">
        <v>33</v>
      </c>
      <c r="AD192" s="17"/>
      <c r="AE192" s="18">
        <f t="shared" si="109"/>
        <v>49</v>
      </c>
      <c r="AF192" s="34"/>
      <c r="AG192" s="16"/>
      <c r="AH192" s="16"/>
      <c r="AI192" s="17"/>
      <c r="AJ192" s="18">
        <f t="shared" si="110"/>
        <v>0</v>
      </c>
      <c r="AK192" s="34"/>
      <c r="AL192" s="16"/>
      <c r="AM192" s="16"/>
      <c r="AN192" s="17"/>
      <c r="AO192" s="18">
        <f t="shared" si="111"/>
        <v>0</v>
      </c>
      <c r="AP192" s="34"/>
      <c r="AQ192" s="16"/>
      <c r="AR192" s="16"/>
      <c r="AS192" s="17"/>
      <c r="AT192" s="18">
        <f t="shared" si="112"/>
        <v>0</v>
      </c>
      <c r="AU192" s="34"/>
      <c r="AV192" s="16"/>
      <c r="AW192" s="16"/>
      <c r="AX192" s="17"/>
      <c r="AY192" s="18">
        <f t="shared" si="113"/>
        <v>0</v>
      </c>
      <c r="AZ192" s="34"/>
      <c r="BA192" s="16"/>
      <c r="BB192" s="16"/>
      <c r="BC192" s="17"/>
      <c r="BD192" s="18">
        <f t="shared" si="114"/>
        <v>0</v>
      </c>
      <c r="BE192" s="34"/>
      <c r="BF192" s="16"/>
      <c r="BG192" s="16"/>
      <c r="BH192" s="17"/>
      <c r="BI192" s="18">
        <f t="shared" si="115"/>
        <v>0</v>
      </c>
      <c r="BJ192" s="34"/>
      <c r="BK192" s="16"/>
      <c r="BL192" s="16"/>
      <c r="BM192" s="17"/>
      <c r="BN192" s="18">
        <f t="shared" si="116"/>
        <v>0</v>
      </c>
      <c r="BO192" s="70">
        <f>SUM(G192,L192,Q192,V192,AA192,AF192,AK192,AP192,AU192,AZ192,BE192,BJ192)</f>
        <v>80</v>
      </c>
      <c r="BP192" s="16">
        <f>SUM(H192,M192,R192,W192,AB192,AG192,AL192,AQ192,AV192,BA192,BF192,BK192)</f>
        <v>11</v>
      </c>
      <c r="BQ192" s="16">
        <f>SUM(I192,N192,S192,X192,AC192,AH192,AM192,AR192,AW192,BB192,BG192,BL192)</f>
        <v>104</v>
      </c>
      <c r="BR192" s="17">
        <f>SUM(J192,O192,T192,Y192,AD192,AI192,AN192,AS192,AX192,BC192,BH192,BM192)</f>
        <v>0</v>
      </c>
      <c r="BS192" s="35">
        <f t="shared" si="135"/>
        <v>195</v>
      </c>
    </row>
    <row r="193" spans="2:71" x14ac:dyDescent="0.3">
      <c r="B193" s="269"/>
      <c r="C193" s="230"/>
      <c r="D193" s="233"/>
      <c r="E193" s="220"/>
      <c r="F193" s="123" t="s">
        <v>211</v>
      </c>
      <c r="G193" s="34">
        <v>4</v>
      </c>
      <c r="H193" s="16">
        <v>1</v>
      </c>
      <c r="I193" s="16">
        <v>2</v>
      </c>
      <c r="J193" s="17"/>
      <c r="K193" s="18">
        <f t="shared" si="134"/>
        <v>7</v>
      </c>
      <c r="L193" s="34">
        <v>1</v>
      </c>
      <c r="M193" s="16"/>
      <c r="N193" s="16">
        <v>2</v>
      </c>
      <c r="O193" s="17"/>
      <c r="P193" s="18">
        <f t="shared" si="106"/>
        <v>3</v>
      </c>
      <c r="Q193" s="34">
        <v>7</v>
      </c>
      <c r="R193" s="16"/>
      <c r="S193" s="16">
        <v>9</v>
      </c>
      <c r="T193" s="17"/>
      <c r="U193" s="18">
        <f t="shared" si="107"/>
        <v>16</v>
      </c>
      <c r="V193" s="34"/>
      <c r="W193" s="16"/>
      <c r="X193" s="16"/>
      <c r="Y193" s="17"/>
      <c r="Z193" s="18">
        <f t="shared" si="108"/>
        <v>0</v>
      </c>
      <c r="AA193" s="34">
        <v>2</v>
      </c>
      <c r="AB193" s="16"/>
      <c r="AC193" s="16">
        <v>9</v>
      </c>
      <c r="AD193" s="17"/>
      <c r="AE193" s="18">
        <f t="shared" si="109"/>
        <v>11</v>
      </c>
      <c r="AF193" s="34"/>
      <c r="AG193" s="16"/>
      <c r="AH193" s="16"/>
      <c r="AI193" s="17"/>
      <c r="AJ193" s="18">
        <f t="shared" si="110"/>
        <v>0</v>
      </c>
      <c r="AK193" s="34"/>
      <c r="AL193" s="16"/>
      <c r="AM193" s="16"/>
      <c r="AN193" s="17"/>
      <c r="AO193" s="18">
        <f t="shared" si="111"/>
        <v>0</v>
      </c>
      <c r="AP193" s="34"/>
      <c r="AQ193" s="16"/>
      <c r="AR193" s="16"/>
      <c r="AS193" s="17"/>
      <c r="AT193" s="18">
        <f t="shared" si="112"/>
        <v>0</v>
      </c>
      <c r="AU193" s="34"/>
      <c r="AV193" s="16"/>
      <c r="AW193" s="16"/>
      <c r="AX193" s="17"/>
      <c r="AY193" s="18">
        <f t="shared" si="113"/>
        <v>0</v>
      </c>
      <c r="AZ193" s="34"/>
      <c r="BA193" s="16"/>
      <c r="BB193" s="16"/>
      <c r="BC193" s="17"/>
      <c r="BD193" s="18">
        <f t="shared" si="114"/>
        <v>0</v>
      </c>
      <c r="BE193" s="34"/>
      <c r="BF193" s="16"/>
      <c r="BG193" s="16"/>
      <c r="BH193" s="17"/>
      <c r="BI193" s="18">
        <f t="shared" si="115"/>
        <v>0</v>
      </c>
      <c r="BJ193" s="34"/>
      <c r="BK193" s="16"/>
      <c r="BL193" s="16"/>
      <c r="BM193" s="17"/>
      <c r="BN193" s="18">
        <f t="shared" si="116"/>
        <v>0</v>
      </c>
      <c r="BO193" s="70">
        <f>SUM(G193,L193,Q193,V193,AA193,AF193,AK193,AP193,AU193,AZ193,BE193,BJ193)</f>
        <v>14</v>
      </c>
      <c r="BP193" s="16">
        <f>SUM(H193,M193,R193,W193,AB193,AG193,AL193,AQ193,AV193,BA193,BF193,BK193)</f>
        <v>1</v>
      </c>
      <c r="BQ193" s="16">
        <f>SUM(I193,N193,S193,X193,AC193,AH193,AM193,AR193,AW193,BB193,BG193,BL193)</f>
        <v>22</v>
      </c>
      <c r="BR193" s="17">
        <f>SUM(J193,O193,T193,Y193,AD193,AI193,AN193,AS193,AX193,BC193,BH193,BM193)</f>
        <v>0</v>
      </c>
      <c r="BS193" s="35">
        <f t="shared" si="135"/>
        <v>37</v>
      </c>
    </row>
    <row r="194" spans="2:71" x14ac:dyDescent="0.3">
      <c r="B194" s="269"/>
      <c r="C194" s="230"/>
      <c r="D194" s="233"/>
      <c r="E194" s="220"/>
      <c r="F194" s="121" t="s">
        <v>669</v>
      </c>
      <c r="G194" s="32"/>
      <c r="H194" s="13"/>
      <c r="I194" s="13"/>
      <c r="J194" s="14"/>
      <c r="K194" s="15">
        <f t="shared" si="134"/>
        <v>0</v>
      </c>
      <c r="L194" s="32"/>
      <c r="M194" s="13"/>
      <c r="N194" s="13"/>
      <c r="O194" s="14"/>
      <c r="P194" s="15">
        <f t="shared" si="106"/>
        <v>0</v>
      </c>
      <c r="Q194" s="32"/>
      <c r="R194" s="13"/>
      <c r="S194" s="13"/>
      <c r="T194" s="14"/>
      <c r="U194" s="15">
        <f t="shared" si="107"/>
        <v>0</v>
      </c>
      <c r="V194" s="32"/>
      <c r="W194" s="13"/>
      <c r="X194" s="13"/>
      <c r="Y194" s="14"/>
      <c r="Z194" s="15">
        <f t="shared" si="108"/>
        <v>0</v>
      </c>
      <c r="AA194" s="32"/>
      <c r="AB194" s="13"/>
      <c r="AC194" s="13"/>
      <c r="AD194" s="14"/>
      <c r="AE194" s="15">
        <f t="shared" si="109"/>
        <v>0</v>
      </c>
      <c r="AF194" s="32">
        <v>114</v>
      </c>
      <c r="AG194" s="13"/>
      <c r="AH194" s="13"/>
      <c r="AI194" s="14"/>
      <c r="AJ194" s="15">
        <f t="shared" si="110"/>
        <v>114</v>
      </c>
      <c r="AK194" s="32">
        <v>48</v>
      </c>
      <c r="AL194" s="13"/>
      <c r="AM194" s="13"/>
      <c r="AN194" s="14"/>
      <c r="AO194" s="15">
        <f t="shared" si="111"/>
        <v>48</v>
      </c>
      <c r="AP194" s="32">
        <v>107</v>
      </c>
      <c r="AQ194" s="13"/>
      <c r="AR194" s="13"/>
      <c r="AS194" s="14"/>
      <c r="AT194" s="15">
        <f t="shared" si="112"/>
        <v>107</v>
      </c>
      <c r="AU194" s="32">
        <v>151</v>
      </c>
      <c r="AV194" s="13"/>
      <c r="AW194" s="13"/>
      <c r="AX194" s="14"/>
      <c r="AY194" s="15">
        <f t="shared" si="113"/>
        <v>151</v>
      </c>
      <c r="AZ194" s="32">
        <v>239</v>
      </c>
      <c r="BA194" s="13"/>
      <c r="BB194" s="13"/>
      <c r="BC194" s="14"/>
      <c r="BD194" s="15">
        <f t="shared" si="114"/>
        <v>239</v>
      </c>
      <c r="BE194" s="32">
        <v>109</v>
      </c>
      <c r="BF194" s="13"/>
      <c r="BG194" s="13"/>
      <c r="BH194" s="14"/>
      <c r="BI194" s="15">
        <f t="shared" si="115"/>
        <v>109</v>
      </c>
      <c r="BJ194" s="32">
        <v>58</v>
      </c>
      <c r="BK194" s="13"/>
      <c r="BL194" s="13"/>
      <c r="BM194" s="14"/>
      <c r="BN194" s="15">
        <f t="shared" si="116"/>
        <v>58</v>
      </c>
      <c r="BO194" s="66">
        <f>SUM(G194,L194,Q194,V194,AA194,AF194,AK194,AP194,AU194,AZ194,BE194,BJ194)</f>
        <v>826</v>
      </c>
      <c r="BP194" s="13">
        <f>SUM(H194,M194,R194,W194,AB194,AG194,AL194,AQ194,AV194,BA194,BF194,BK194)</f>
        <v>0</v>
      </c>
      <c r="BQ194" s="13">
        <f>SUM(I194,N194,S194,X194,AC194,AH194,AM194,AR194,AW194,BB194,BG194,BL194)</f>
        <v>0</v>
      </c>
      <c r="BR194" s="14">
        <f>SUM(J194,O194,T194,Y194,AD194,AI194,AN194,AS194,AX194,BC194,BH194,BM194)</f>
        <v>0</v>
      </c>
      <c r="BS194" s="33">
        <f t="shared" si="135"/>
        <v>826</v>
      </c>
    </row>
    <row r="195" spans="2:71" x14ac:dyDescent="0.3">
      <c r="B195" s="269"/>
      <c r="C195" s="230"/>
      <c r="D195" s="233"/>
      <c r="E195" s="220"/>
      <c r="F195" s="121" t="s">
        <v>670</v>
      </c>
      <c r="G195" s="32"/>
      <c r="H195" s="13"/>
      <c r="I195" s="13"/>
      <c r="J195" s="14"/>
      <c r="K195" s="15">
        <f t="shared" si="134"/>
        <v>0</v>
      </c>
      <c r="L195" s="32"/>
      <c r="M195" s="13"/>
      <c r="N195" s="13"/>
      <c r="O195" s="14"/>
      <c r="P195" s="15">
        <f t="shared" si="106"/>
        <v>0</v>
      </c>
      <c r="Q195" s="32"/>
      <c r="R195" s="13"/>
      <c r="S195" s="13"/>
      <c r="T195" s="14"/>
      <c r="U195" s="15">
        <f t="shared" si="107"/>
        <v>0</v>
      </c>
      <c r="V195" s="32"/>
      <c r="W195" s="13"/>
      <c r="X195" s="13"/>
      <c r="Y195" s="14"/>
      <c r="Z195" s="15">
        <f t="shared" si="108"/>
        <v>0</v>
      </c>
      <c r="AA195" s="32"/>
      <c r="AB195" s="13"/>
      <c r="AC195" s="13"/>
      <c r="AD195" s="14"/>
      <c r="AE195" s="15">
        <f t="shared" si="109"/>
        <v>0</v>
      </c>
      <c r="AF195" s="32">
        <v>24</v>
      </c>
      <c r="AG195" s="13"/>
      <c r="AH195" s="13"/>
      <c r="AI195" s="14"/>
      <c r="AJ195" s="15">
        <f t="shared" si="110"/>
        <v>24</v>
      </c>
      <c r="AK195" s="32">
        <v>17</v>
      </c>
      <c r="AL195" s="13"/>
      <c r="AM195" s="13"/>
      <c r="AN195" s="14"/>
      <c r="AO195" s="15">
        <f t="shared" si="111"/>
        <v>17</v>
      </c>
      <c r="AP195" s="32">
        <v>35</v>
      </c>
      <c r="AQ195" s="13"/>
      <c r="AR195" s="13"/>
      <c r="AS195" s="14"/>
      <c r="AT195" s="15">
        <f t="shared" si="112"/>
        <v>35</v>
      </c>
      <c r="AU195" s="32">
        <v>55</v>
      </c>
      <c r="AV195" s="13"/>
      <c r="AW195" s="13"/>
      <c r="AX195" s="14"/>
      <c r="AY195" s="15">
        <f t="shared" si="113"/>
        <v>55</v>
      </c>
      <c r="AZ195" s="32">
        <v>68</v>
      </c>
      <c r="BA195" s="13"/>
      <c r="BB195" s="13"/>
      <c r="BC195" s="14"/>
      <c r="BD195" s="15">
        <f t="shared" si="114"/>
        <v>68</v>
      </c>
      <c r="BE195" s="32">
        <v>27</v>
      </c>
      <c r="BF195" s="13"/>
      <c r="BG195" s="13"/>
      <c r="BH195" s="14"/>
      <c r="BI195" s="15">
        <f t="shared" si="115"/>
        <v>27</v>
      </c>
      <c r="BJ195" s="32">
        <v>10</v>
      </c>
      <c r="BK195" s="13"/>
      <c r="BL195" s="13"/>
      <c r="BM195" s="14"/>
      <c r="BN195" s="15">
        <f t="shared" si="116"/>
        <v>10</v>
      </c>
      <c r="BO195" s="66">
        <f>SUM(G195,L195,Q195,V195,AA195,AF195,AK195,AP195,AU195,AZ195,BE195,BJ195)</f>
        <v>236</v>
      </c>
      <c r="BP195" s="13">
        <f>SUM(H195,M195,R195,W195,AB195,AG195,AL195,AQ195,AV195,BA195,BF195,BK195)</f>
        <v>0</v>
      </c>
      <c r="BQ195" s="13">
        <f>SUM(I195,N195,S195,X195,AC195,AH195,AM195,AR195,AW195,BB195,BG195,BL195)</f>
        <v>0</v>
      </c>
      <c r="BR195" s="14">
        <f>SUM(J195,O195,T195,Y195,AD195,AI195,AN195,AS195,AX195,BC195,BH195,BM195)</f>
        <v>0</v>
      </c>
      <c r="BS195" s="33">
        <f t="shared" si="135"/>
        <v>236</v>
      </c>
    </row>
    <row r="196" spans="2:71" x14ac:dyDescent="0.3">
      <c r="B196" s="269"/>
      <c r="C196" s="230"/>
      <c r="D196" s="233"/>
      <c r="E196" s="220"/>
      <c r="F196" s="121" t="s">
        <v>671</v>
      </c>
      <c r="G196" s="32"/>
      <c r="H196" s="13"/>
      <c r="I196" s="13"/>
      <c r="J196" s="14"/>
      <c r="K196" s="15">
        <f t="shared" si="134"/>
        <v>0</v>
      </c>
      <c r="L196" s="32"/>
      <c r="M196" s="13"/>
      <c r="N196" s="13"/>
      <c r="O196" s="14"/>
      <c r="P196" s="15">
        <f t="shared" si="106"/>
        <v>0</v>
      </c>
      <c r="Q196" s="32"/>
      <c r="R196" s="13"/>
      <c r="S196" s="13"/>
      <c r="T196" s="14"/>
      <c r="U196" s="15">
        <f t="shared" si="107"/>
        <v>0</v>
      </c>
      <c r="V196" s="32"/>
      <c r="W196" s="13"/>
      <c r="X196" s="13"/>
      <c r="Y196" s="14"/>
      <c r="Z196" s="15">
        <f t="shared" si="108"/>
        <v>0</v>
      </c>
      <c r="AA196" s="32"/>
      <c r="AB196" s="13"/>
      <c r="AC196" s="13"/>
      <c r="AD196" s="14"/>
      <c r="AE196" s="15">
        <f t="shared" si="109"/>
        <v>0</v>
      </c>
      <c r="AF196" s="32">
        <v>125</v>
      </c>
      <c r="AG196" s="13"/>
      <c r="AH196" s="13"/>
      <c r="AI196" s="14"/>
      <c r="AJ196" s="15">
        <f t="shared" si="110"/>
        <v>125</v>
      </c>
      <c r="AK196" s="32">
        <v>54</v>
      </c>
      <c r="AL196" s="13"/>
      <c r="AM196" s="13"/>
      <c r="AN196" s="14"/>
      <c r="AO196" s="15">
        <f t="shared" si="111"/>
        <v>54</v>
      </c>
      <c r="AP196" s="32">
        <v>126</v>
      </c>
      <c r="AQ196" s="13"/>
      <c r="AR196" s="13"/>
      <c r="AS196" s="14"/>
      <c r="AT196" s="15">
        <f t="shared" si="112"/>
        <v>126</v>
      </c>
      <c r="AU196" s="32">
        <v>168</v>
      </c>
      <c r="AV196" s="13"/>
      <c r="AW196" s="13"/>
      <c r="AX196" s="14"/>
      <c r="AY196" s="15">
        <f t="shared" si="113"/>
        <v>168</v>
      </c>
      <c r="AZ196" s="32">
        <v>288</v>
      </c>
      <c r="BA196" s="13"/>
      <c r="BB196" s="13"/>
      <c r="BC196" s="14"/>
      <c r="BD196" s="15">
        <f t="shared" si="114"/>
        <v>288</v>
      </c>
      <c r="BE196" s="32">
        <v>98</v>
      </c>
      <c r="BF196" s="13"/>
      <c r="BG196" s="13"/>
      <c r="BH196" s="14"/>
      <c r="BI196" s="15">
        <f t="shared" si="115"/>
        <v>98</v>
      </c>
      <c r="BJ196" s="32">
        <v>61</v>
      </c>
      <c r="BK196" s="13"/>
      <c r="BL196" s="13"/>
      <c r="BM196" s="14"/>
      <c r="BN196" s="15">
        <f t="shared" si="116"/>
        <v>61</v>
      </c>
      <c r="BO196" s="66">
        <f>SUM(G196,L196,Q196,V196,AA196,AF196,AK196,AP196,AU196,AZ196,BE196,BJ196)</f>
        <v>920</v>
      </c>
      <c r="BP196" s="13">
        <f>SUM(H196,M196,R196,W196,AB196,AG196,AL196,AQ196,AV196,BA196,BF196,BK196)</f>
        <v>0</v>
      </c>
      <c r="BQ196" s="13">
        <f>SUM(I196,N196,S196,X196,AC196,AH196,AM196,AR196,AW196,BB196,BG196,BL196)</f>
        <v>0</v>
      </c>
      <c r="BR196" s="14">
        <f>SUM(J196,O196,T196,Y196,AD196,AI196,AN196,AS196,AX196,BC196,BH196,BM196)</f>
        <v>0</v>
      </c>
      <c r="BS196" s="33">
        <f t="shared" si="135"/>
        <v>920</v>
      </c>
    </row>
    <row r="197" spans="2:71" x14ac:dyDescent="0.3">
      <c r="B197" s="269"/>
      <c r="C197" s="230"/>
      <c r="D197" s="233"/>
      <c r="E197" s="220"/>
      <c r="F197" s="121" t="s">
        <v>672</v>
      </c>
      <c r="G197" s="32"/>
      <c r="H197" s="13"/>
      <c r="I197" s="13"/>
      <c r="J197" s="14"/>
      <c r="K197" s="15">
        <f t="shared" si="134"/>
        <v>0</v>
      </c>
      <c r="L197" s="32"/>
      <c r="M197" s="13"/>
      <c r="N197" s="13"/>
      <c r="O197" s="14"/>
      <c r="P197" s="15">
        <f t="shared" si="106"/>
        <v>0</v>
      </c>
      <c r="Q197" s="32"/>
      <c r="R197" s="13"/>
      <c r="S197" s="13"/>
      <c r="T197" s="14"/>
      <c r="U197" s="15">
        <f t="shared" si="107"/>
        <v>0</v>
      </c>
      <c r="V197" s="32"/>
      <c r="W197" s="13"/>
      <c r="X197" s="13"/>
      <c r="Y197" s="14"/>
      <c r="Z197" s="15">
        <f t="shared" si="108"/>
        <v>0</v>
      </c>
      <c r="AA197" s="32"/>
      <c r="AB197" s="13"/>
      <c r="AC197" s="13"/>
      <c r="AD197" s="14"/>
      <c r="AE197" s="15">
        <f t="shared" si="109"/>
        <v>0</v>
      </c>
      <c r="AF197" s="32">
        <v>34</v>
      </c>
      <c r="AG197" s="13"/>
      <c r="AH197" s="13"/>
      <c r="AI197" s="14"/>
      <c r="AJ197" s="15">
        <f t="shared" si="110"/>
        <v>34</v>
      </c>
      <c r="AK197" s="32">
        <v>21</v>
      </c>
      <c r="AL197" s="13"/>
      <c r="AM197" s="13"/>
      <c r="AN197" s="14"/>
      <c r="AO197" s="15">
        <f t="shared" si="111"/>
        <v>21</v>
      </c>
      <c r="AP197" s="32">
        <v>45</v>
      </c>
      <c r="AQ197" s="13"/>
      <c r="AR197" s="13"/>
      <c r="AS197" s="14"/>
      <c r="AT197" s="15">
        <f t="shared" si="112"/>
        <v>45</v>
      </c>
      <c r="AU197" s="32">
        <v>41</v>
      </c>
      <c r="AV197" s="13"/>
      <c r="AW197" s="13"/>
      <c r="AX197" s="14"/>
      <c r="AY197" s="15">
        <f t="shared" si="113"/>
        <v>41</v>
      </c>
      <c r="AZ197" s="32">
        <v>78</v>
      </c>
      <c r="BA197" s="13"/>
      <c r="BB197" s="13"/>
      <c r="BC197" s="14"/>
      <c r="BD197" s="15">
        <f t="shared" si="114"/>
        <v>78</v>
      </c>
      <c r="BE197" s="32">
        <v>26</v>
      </c>
      <c r="BF197" s="13"/>
      <c r="BG197" s="13"/>
      <c r="BH197" s="14"/>
      <c r="BI197" s="15">
        <f t="shared" si="115"/>
        <v>26</v>
      </c>
      <c r="BJ197" s="32">
        <v>7</v>
      </c>
      <c r="BK197" s="13"/>
      <c r="BL197" s="13"/>
      <c r="BM197" s="14"/>
      <c r="BN197" s="15">
        <f t="shared" si="116"/>
        <v>7</v>
      </c>
      <c r="BO197" s="66">
        <f>SUM(G197,L197,Q197,V197,AA197,AF197,AK197,AP197,AU197,AZ197,BE197,BJ197)</f>
        <v>252</v>
      </c>
      <c r="BP197" s="13">
        <f>SUM(H197,M197,R197,W197,AB197,AG197,AL197,AQ197,AV197,BA197,BF197,BK197)</f>
        <v>0</v>
      </c>
      <c r="BQ197" s="13">
        <f>SUM(I197,N197,S197,X197,AC197,AH197,AM197,AR197,AW197,BB197,BG197,BL197)</f>
        <v>0</v>
      </c>
      <c r="BR197" s="14">
        <f>SUM(J197,O197,T197,Y197,AD197,AI197,AN197,AS197,AX197,BC197,BH197,BM197)</f>
        <v>0</v>
      </c>
      <c r="BS197" s="33">
        <f t="shared" si="135"/>
        <v>252</v>
      </c>
    </row>
    <row r="198" spans="2:71" x14ac:dyDescent="0.3">
      <c r="B198" s="269"/>
      <c r="C198" s="230"/>
      <c r="D198" s="233"/>
      <c r="E198" s="220"/>
      <c r="F198" s="171" t="s">
        <v>673</v>
      </c>
      <c r="G198" s="172">
        <v>2</v>
      </c>
      <c r="H198" s="173">
        <v>4</v>
      </c>
      <c r="I198" s="173">
        <v>2</v>
      </c>
      <c r="J198" s="174"/>
      <c r="K198" s="175">
        <f t="shared" si="134"/>
        <v>8</v>
      </c>
      <c r="L198" s="172">
        <v>5</v>
      </c>
      <c r="M198" s="173"/>
      <c r="N198" s="173">
        <v>3</v>
      </c>
      <c r="O198" s="174"/>
      <c r="P198" s="175">
        <f t="shared" si="106"/>
        <v>8</v>
      </c>
      <c r="Q198" s="172">
        <v>7</v>
      </c>
      <c r="R198" s="173">
        <v>2</v>
      </c>
      <c r="S198" s="173">
        <v>13</v>
      </c>
      <c r="T198" s="174"/>
      <c r="U198" s="175">
        <f t="shared" si="107"/>
        <v>22</v>
      </c>
      <c r="V198" s="172">
        <v>9</v>
      </c>
      <c r="W198" s="173"/>
      <c r="X198" s="173">
        <v>8</v>
      </c>
      <c r="Y198" s="174"/>
      <c r="Z198" s="175">
        <f t="shared" si="108"/>
        <v>17</v>
      </c>
      <c r="AA198" s="172">
        <v>16</v>
      </c>
      <c r="AB198" s="173">
        <v>2</v>
      </c>
      <c r="AC198" s="173">
        <v>18</v>
      </c>
      <c r="AD198" s="174"/>
      <c r="AE198" s="175">
        <f t="shared" si="109"/>
        <v>36</v>
      </c>
      <c r="AF198" s="172"/>
      <c r="AG198" s="173"/>
      <c r="AH198" s="173"/>
      <c r="AI198" s="174"/>
      <c r="AJ198" s="175">
        <f t="shared" si="110"/>
        <v>0</v>
      </c>
      <c r="AK198" s="172"/>
      <c r="AL198" s="173"/>
      <c r="AM198" s="173"/>
      <c r="AN198" s="174"/>
      <c r="AO198" s="175">
        <f t="shared" si="111"/>
        <v>0</v>
      </c>
      <c r="AP198" s="172"/>
      <c r="AQ198" s="173"/>
      <c r="AR198" s="173"/>
      <c r="AS198" s="174"/>
      <c r="AT198" s="175">
        <f t="shared" si="112"/>
        <v>0</v>
      </c>
      <c r="AU198" s="172"/>
      <c r="AV198" s="173"/>
      <c r="AW198" s="173"/>
      <c r="AX198" s="174"/>
      <c r="AY198" s="175">
        <f t="shared" si="113"/>
        <v>0</v>
      </c>
      <c r="AZ198" s="172"/>
      <c r="BA198" s="173"/>
      <c r="BB198" s="173"/>
      <c r="BC198" s="174"/>
      <c r="BD198" s="175">
        <f t="shared" si="114"/>
        <v>0</v>
      </c>
      <c r="BE198" s="172"/>
      <c r="BF198" s="173"/>
      <c r="BG198" s="173"/>
      <c r="BH198" s="174"/>
      <c r="BI198" s="175">
        <f t="shared" si="115"/>
        <v>0</v>
      </c>
      <c r="BJ198" s="172"/>
      <c r="BK198" s="173"/>
      <c r="BL198" s="173"/>
      <c r="BM198" s="174"/>
      <c r="BN198" s="175">
        <f t="shared" si="116"/>
        <v>0</v>
      </c>
      <c r="BO198" s="177">
        <f>SUM(G198,L198,Q198,V198,AA198,AF198,AK198,AP198,AU198,AZ198,BE198,BJ198)</f>
        <v>39</v>
      </c>
      <c r="BP198" s="173">
        <f>SUM(H198,M198,R198,W198,AB198,AG198,AL198,AQ198,AV198,BA198,BF198,BK198)</f>
        <v>8</v>
      </c>
      <c r="BQ198" s="173">
        <f>SUM(I198,N198,S198,X198,AC198,AH198,AM198,AR198,AW198,BB198,BG198,BL198)</f>
        <v>44</v>
      </c>
      <c r="BR198" s="174">
        <f>SUM(J198,O198,T198,Y198,AD198,AI198,AN198,AS198,AX198,BC198,BH198,BM198)</f>
        <v>0</v>
      </c>
      <c r="BS198" s="176">
        <f t="shared" si="135"/>
        <v>91</v>
      </c>
    </row>
    <row r="199" spans="2:71" x14ac:dyDescent="0.3">
      <c r="B199" s="269"/>
      <c r="C199" s="230"/>
      <c r="D199" s="233"/>
      <c r="E199" s="220"/>
      <c r="F199" s="171" t="s">
        <v>674</v>
      </c>
      <c r="G199" s="172"/>
      <c r="H199" s="173"/>
      <c r="I199" s="173">
        <v>1</v>
      </c>
      <c r="J199" s="174"/>
      <c r="K199" s="175">
        <f t="shared" si="134"/>
        <v>1</v>
      </c>
      <c r="L199" s="172"/>
      <c r="M199" s="173"/>
      <c r="N199" s="173"/>
      <c r="O199" s="174"/>
      <c r="P199" s="175">
        <f t="shared" si="106"/>
        <v>0</v>
      </c>
      <c r="Q199" s="172">
        <v>2</v>
      </c>
      <c r="R199" s="173"/>
      <c r="S199" s="173">
        <v>1</v>
      </c>
      <c r="T199" s="174"/>
      <c r="U199" s="175">
        <f t="shared" si="107"/>
        <v>3</v>
      </c>
      <c r="V199" s="172"/>
      <c r="W199" s="173"/>
      <c r="X199" s="173">
        <v>1</v>
      </c>
      <c r="Y199" s="174"/>
      <c r="Z199" s="175">
        <f t="shared" si="108"/>
        <v>1</v>
      </c>
      <c r="AA199" s="172">
        <v>2</v>
      </c>
      <c r="AB199" s="173"/>
      <c r="AC199" s="173">
        <v>3</v>
      </c>
      <c r="AD199" s="174"/>
      <c r="AE199" s="175">
        <f t="shared" si="109"/>
        <v>5</v>
      </c>
      <c r="AF199" s="172"/>
      <c r="AG199" s="173"/>
      <c r="AH199" s="173"/>
      <c r="AI199" s="174"/>
      <c r="AJ199" s="175">
        <f t="shared" si="110"/>
        <v>0</v>
      </c>
      <c r="AK199" s="172"/>
      <c r="AL199" s="173"/>
      <c r="AM199" s="173"/>
      <c r="AN199" s="174"/>
      <c r="AO199" s="175">
        <f t="shared" si="111"/>
        <v>0</v>
      </c>
      <c r="AP199" s="172"/>
      <c r="AQ199" s="173"/>
      <c r="AR199" s="173"/>
      <c r="AS199" s="174"/>
      <c r="AT199" s="175">
        <f t="shared" si="112"/>
        <v>0</v>
      </c>
      <c r="AU199" s="172"/>
      <c r="AV199" s="173"/>
      <c r="AW199" s="173"/>
      <c r="AX199" s="174"/>
      <c r="AY199" s="175">
        <f t="shared" si="113"/>
        <v>0</v>
      </c>
      <c r="AZ199" s="172"/>
      <c r="BA199" s="173"/>
      <c r="BB199" s="173"/>
      <c r="BC199" s="174"/>
      <c r="BD199" s="175">
        <f t="shared" si="114"/>
        <v>0</v>
      </c>
      <c r="BE199" s="172"/>
      <c r="BF199" s="173"/>
      <c r="BG199" s="173"/>
      <c r="BH199" s="174"/>
      <c r="BI199" s="175">
        <f t="shared" si="115"/>
        <v>0</v>
      </c>
      <c r="BJ199" s="172"/>
      <c r="BK199" s="173"/>
      <c r="BL199" s="173"/>
      <c r="BM199" s="174"/>
      <c r="BN199" s="175">
        <f t="shared" si="116"/>
        <v>0</v>
      </c>
      <c r="BO199" s="177">
        <f>SUM(G199,L199,Q199,V199,AA199,AF199,AK199,AP199,AU199,AZ199,BE199,BJ199)</f>
        <v>4</v>
      </c>
      <c r="BP199" s="173">
        <f>SUM(H199,M199,R199,W199,AB199,AG199,AL199,AQ199,AV199,BA199,BF199,BK199)</f>
        <v>0</v>
      </c>
      <c r="BQ199" s="173">
        <f>SUM(I199,N199,S199,X199,AC199,AH199,AM199,AR199,AW199,BB199,BG199,BL199)</f>
        <v>6</v>
      </c>
      <c r="BR199" s="174">
        <f>SUM(J199,O199,T199,Y199,AD199,AI199,AN199,AS199,AX199,BC199,BH199,BM199)</f>
        <v>0</v>
      </c>
      <c r="BS199" s="176">
        <f t="shared" si="135"/>
        <v>10</v>
      </c>
    </row>
    <row r="200" spans="2:71" x14ac:dyDescent="0.3">
      <c r="B200" s="269"/>
      <c r="C200" s="230"/>
      <c r="D200" s="233"/>
      <c r="E200" s="220"/>
      <c r="F200" s="178" t="s">
        <v>675</v>
      </c>
      <c r="G200" s="179"/>
      <c r="H200" s="180"/>
      <c r="I200" s="180"/>
      <c r="J200" s="181"/>
      <c r="K200" s="182">
        <f t="shared" si="134"/>
        <v>0</v>
      </c>
      <c r="L200" s="179"/>
      <c r="M200" s="180"/>
      <c r="N200" s="180"/>
      <c r="O200" s="181"/>
      <c r="P200" s="182">
        <f t="shared" si="106"/>
        <v>0</v>
      </c>
      <c r="Q200" s="179"/>
      <c r="R200" s="180"/>
      <c r="S200" s="180"/>
      <c r="T200" s="181"/>
      <c r="U200" s="182">
        <f t="shared" si="107"/>
        <v>0</v>
      </c>
      <c r="V200" s="179"/>
      <c r="W200" s="180"/>
      <c r="X200" s="180"/>
      <c r="Y200" s="181"/>
      <c r="Z200" s="182">
        <f t="shared" si="108"/>
        <v>0</v>
      </c>
      <c r="AA200" s="179"/>
      <c r="AB200" s="180"/>
      <c r="AC200" s="180"/>
      <c r="AD200" s="181"/>
      <c r="AE200" s="182">
        <f t="shared" si="109"/>
        <v>0</v>
      </c>
      <c r="AF200" s="179">
        <v>67</v>
      </c>
      <c r="AG200" s="180"/>
      <c r="AH200" s="180"/>
      <c r="AI200" s="181"/>
      <c r="AJ200" s="182">
        <f t="shared" si="110"/>
        <v>67</v>
      </c>
      <c r="AK200" s="179">
        <v>43</v>
      </c>
      <c r="AL200" s="180"/>
      <c r="AM200" s="180"/>
      <c r="AN200" s="181"/>
      <c r="AO200" s="182">
        <f t="shared" si="111"/>
        <v>43</v>
      </c>
      <c r="AP200" s="179">
        <v>38</v>
      </c>
      <c r="AQ200" s="180"/>
      <c r="AR200" s="180"/>
      <c r="AS200" s="181"/>
      <c r="AT200" s="182">
        <f t="shared" si="112"/>
        <v>38</v>
      </c>
      <c r="AU200" s="179">
        <v>99</v>
      </c>
      <c r="AV200" s="180"/>
      <c r="AW200" s="180"/>
      <c r="AX200" s="181"/>
      <c r="AY200" s="182">
        <f t="shared" si="113"/>
        <v>99</v>
      </c>
      <c r="AZ200" s="179">
        <v>158</v>
      </c>
      <c r="BA200" s="180"/>
      <c r="BB200" s="180"/>
      <c r="BC200" s="181"/>
      <c r="BD200" s="182">
        <f t="shared" si="114"/>
        <v>158</v>
      </c>
      <c r="BE200" s="179">
        <v>62</v>
      </c>
      <c r="BF200" s="180"/>
      <c r="BG200" s="180"/>
      <c r="BH200" s="181"/>
      <c r="BI200" s="182">
        <f t="shared" si="115"/>
        <v>62</v>
      </c>
      <c r="BJ200" s="179">
        <v>22</v>
      </c>
      <c r="BK200" s="180"/>
      <c r="BL200" s="180"/>
      <c r="BM200" s="181"/>
      <c r="BN200" s="182">
        <f t="shared" si="116"/>
        <v>22</v>
      </c>
      <c r="BO200" s="184">
        <f>SUM(G200,L200,Q200,V200,AA200,AF200,AK200,AP200,AU200,AZ200,BE200,BJ200)</f>
        <v>489</v>
      </c>
      <c r="BP200" s="180">
        <f>SUM(H200,M200,R200,W200,AB200,AG200,AL200,AQ200,AV200,BA200,BF200,BK200)</f>
        <v>0</v>
      </c>
      <c r="BQ200" s="180">
        <f>SUM(I200,N200,S200,X200,AC200,AH200,AM200,AR200,AW200,BB200,BG200,BL200)</f>
        <v>0</v>
      </c>
      <c r="BR200" s="181">
        <f>SUM(J200,O200,T200,Y200,AD200,AI200,AN200,AS200,AX200,BC200,BH200,BM200)</f>
        <v>0</v>
      </c>
      <c r="BS200" s="183">
        <f t="shared" si="135"/>
        <v>489</v>
      </c>
    </row>
    <row r="201" spans="2:71" x14ac:dyDescent="0.3">
      <c r="B201" s="269"/>
      <c r="C201" s="230"/>
      <c r="D201" s="233"/>
      <c r="E201" s="220"/>
      <c r="F201" s="178" t="s">
        <v>676</v>
      </c>
      <c r="G201" s="179"/>
      <c r="H201" s="180"/>
      <c r="I201" s="180"/>
      <c r="J201" s="181"/>
      <c r="K201" s="182">
        <f t="shared" si="134"/>
        <v>0</v>
      </c>
      <c r="L201" s="179"/>
      <c r="M201" s="180"/>
      <c r="N201" s="180"/>
      <c r="O201" s="181"/>
      <c r="P201" s="182">
        <f t="shared" si="106"/>
        <v>0</v>
      </c>
      <c r="Q201" s="179"/>
      <c r="R201" s="180"/>
      <c r="S201" s="180"/>
      <c r="T201" s="181"/>
      <c r="U201" s="182">
        <f t="shared" si="107"/>
        <v>0</v>
      </c>
      <c r="V201" s="179"/>
      <c r="W201" s="180"/>
      <c r="X201" s="180"/>
      <c r="Y201" s="181"/>
      <c r="Z201" s="182">
        <f t="shared" si="108"/>
        <v>0</v>
      </c>
      <c r="AA201" s="179"/>
      <c r="AB201" s="180"/>
      <c r="AC201" s="180"/>
      <c r="AD201" s="181"/>
      <c r="AE201" s="182">
        <f t="shared" si="109"/>
        <v>0</v>
      </c>
      <c r="AF201" s="179">
        <v>13</v>
      </c>
      <c r="AG201" s="180"/>
      <c r="AH201" s="180"/>
      <c r="AI201" s="181"/>
      <c r="AJ201" s="182">
        <f t="shared" si="110"/>
        <v>13</v>
      </c>
      <c r="AK201" s="179">
        <v>13</v>
      </c>
      <c r="AL201" s="180"/>
      <c r="AM201" s="180"/>
      <c r="AN201" s="181"/>
      <c r="AO201" s="182">
        <f t="shared" si="111"/>
        <v>13</v>
      </c>
      <c r="AP201" s="179">
        <v>38</v>
      </c>
      <c r="AQ201" s="180"/>
      <c r="AR201" s="180"/>
      <c r="AS201" s="181"/>
      <c r="AT201" s="182">
        <f t="shared" si="112"/>
        <v>38</v>
      </c>
      <c r="AU201" s="179">
        <v>22</v>
      </c>
      <c r="AV201" s="180"/>
      <c r="AW201" s="180"/>
      <c r="AX201" s="181"/>
      <c r="AY201" s="182">
        <f t="shared" si="113"/>
        <v>22</v>
      </c>
      <c r="AZ201" s="179">
        <v>46</v>
      </c>
      <c r="BA201" s="180"/>
      <c r="BB201" s="180"/>
      <c r="BC201" s="181"/>
      <c r="BD201" s="182">
        <f t="shared" si="114"/>
        <v>46</v>
      </c>
      <c r="BE201" s="179">
        <v>23</v>
      </c>
      <c r="BF201" s="180"/>
      <c r="BG201" s="180"/>
      <c r="BH201" s="181"/>
      <c r="BI201" s="182">
        <f t="shared" si="115"/>
        <v>23</v>
      </c>
      <c r="BJ201" s="179">
        <v>3</v>
      </c>
      <c r="BK201" s="180"/>
      <c r="BL201" s="180"/>
      <c r="BM201" s="181"/>
      <c r="BN201" s="182">
        <f t="shared" si="116"/>
        <v>3</v>
      </c>
      <c r="BO201" s="184">
        <f>SUM(G201,L201,Q201,V201,AA201,AF201,AK201,AP201,AU201,AZ201,BE201,BJ201)</f>
        <v>158</v>
      </c>
      <c r="BP201" s="180">
        <f>SUM(H201,M201,R201,W201,AB201,AG201,AL201,AQ201,AV201,BA201,BF201,BK201)</f>
        <v>0</v>
      </c>
      <c r="BQ201" s="180">
        <f>SUM(I201,N201,S201,X201,AC201,AH201,AM201,AR201,AW201,BB201,BG201,BL201)</f>
        <v>0</v>
      </c>
      <c r="BR201" s="181">
        <f>SUM(J201,O201,T201,Y201,AD201,AI201,AN201,AS201,AX201,BC201,BH201,BM201)</f>
        <v>0</v>
      </c>
      <c r="BS201" s="183">
        <f t="shared" si="135"/>
        <v>158</v>
      </c>
    </row>
    <row r="202" spans="2:71" x14ac:dyDescent="0.3">
      <c r="B202" s="269"/>
      <c r="C202" s="230"/>
      <c r="D202" s="233"/>
      <c r="E202" s="220"/>
      <c r="F202" s="123" t="s">
        <v>113</v>
      </c>
      <c r="G202" s="34">
        <v>72</v>
      </c>
      <c r="H202" s="16">
        <v>3</v>
      </c>
      <c r="I202" s="16">
        <v>5</v>
      </c>
      <c r="J202" s="17"/>
      <c r="K202" s="18">
        <f t="shared" si="134"/>
        <v>80</v>
      </c>
      <c r="L202" s="34">
        <v>543</v>
      </c>
      <c r="M202" s="16">
        <v>69</v>
      </c>
      <c r="N202" s="16">
        <v>73</v>
      </c>
      <c r="O202" s="17"/>
      <c r="P202" s="18">
        <f t="shared" si="106"/>
        <v>685</v>
      </c>
      <c r="Q202" s="34">
        <v>535</v>
      </c>
      <c r="R202" s="16">
        <v>42</v>
      </c>
      <c r="S202" s="16">
        <v>104</v>
      </c>
      <c r="T202" s="17"/>
      <c r="U202" s="18">
        <f t="shared" si="107"/>
        <v>681</v>
      </c>
      <c r="V202" s="34">
        <v>595</v>
      </c>
      <c r="W202" s="16">
        <v>36</v>
      </c>
      <c r="X202" s="16">
        <v>82</v>
      </c>
      <c r="Y202" s="17"/>
      <c r="Z202" s="18">
        <f t="shared" si="108"/>
        <v>713</v>
      </c>
      <c r="AA202" s="34">
        <v>1042</v>
      </c>
      <c r="AB202" s="16">
        <v>39</v>
      </c>
      <c r="AC202" s="16">
        <v>132</v>
      </c>
      <c r="AD202" s="17"/>
      <c r="AE202" s="18">
        <f t="shared" si="109"/>
        <v>1213</v>
      </c>
      <c r="AF202" s="34">
        <v>55</v>
      </c>
      <c r="AG202" s="16">
        <v>4</v>
      </c>
      <c r="AH202" s="16"/>
      <c r="AI202" s="17"/>
      <c r="AJ202" s="18">
        <f t="shared" si="110"/>
        <v>59</v>
      </c>
      <c r="AK202" s="34"/>
      <c r="AL202" s="16"/>
      <c r="AM202" s="16"/>
      <c r="AN202" s="17"/>
      <c r="AO202" s="18">
        <f t="shared" si="111"/>
        <v>0</v>
      </c>
      <c r="AP202" s="34"/>
      <c r="AQ202" s="16"/>
      <c r="AR202" s="16"/>
      <c r="AS202" s="17"/>
      <c r="AT202" s="18">
        <f t="shared" si="112"/>
        <v>0</v>
      </c>
      <c r="AU202" s="34"/>
      <c r="AV202" s="16"/>
      <c r="AW202" s="16"/>
      <c r="AX202" s="17"/>
      <c r="AY202" s="18">
        <f t="shared" si="113"/>
        <v>0</v>
      </c>
      <c r="AZ202" s="34"/>
      <c r="BA202" s="16"/>
      <c r="BB202" s="16"/>
      <c r="BC202" s="17"/>
      <c r="BD202" s="18">
        <f t="shared" si="114"/>
        <v>0</v>
      </c>
      <c r="BE202" s="34"/>
      <c r="BF202" s="16"/>
      <c r="BG202" s="16"/>
      <c r="BH202" s="17"/>
      <c r="BI202" s="18">
        <f t="shared" si="115"/>
        <v>0</v>
      </c>
      <c r="BJ202" s="34"/>
      <c r="BK202" s="16"/>
      <c r="BL202" s="16"/>
      <c r="BM202" s="17"/>
      <c r="BN202" s="18">
        <f t="shared" si="116"/>
        <v>0</v>
      </c>
      <c r="BO202" s="70">
        <f>SUM(G202,L202,Q202,V202,AA202,AF202,AK202,AP202,AU202,AZ202,BE202,BJ202)</f>
        <v>2842</v>
      </c>
      <c r="BP202" s="16">
        <f>SUM(H202,M202,R202,W202,AB202,AG202,AL202,AQ202,AV202,BA202,BF202,BK202)</f>
        <v>193</v>
      </c>
      <c r="BQ202" s="16">
        <f>SUM(I202,N202,S202,X202,AC202,AH202,AM202,AR202,AW202,BB202,BG202,BL202)</f>
        <v>396</v>
      </c>
      <c r="BR202" s="17">
        <f>SUM(J202,O202,T202,Y202,AD202,AI202,AN202,AS202,AX202,BC202,BH202,BM202)</f>
        <v>0</v>
      </c>
      <c r="BS202" s="35">
        <f t="shared" si="135"/>
        <v>3431</v>
      </c>
    </row>
    <row r="203" spans="2:71" x14ac:dyDescent="0.3">
      <c r="B203" s="269"/>
      <c r="C203" s="230"/>
      <c r="D203" s="233"/>
      <c r="E203" s="220"/>
      <c r="F203" s="123" t="s">
        <v>115</v>
      </c>
      <c r="G203" s="34">
        <v>1</v>
      </c>
      <c r="H203" s="16"/>
      <c r="I203" s="16"/>
      <c r="J203" s="17"/>
      <c r="K203" s="18">
        <f t="shared" si="134"/>
        <v>1</v>
      </c>
      <c r="L203" s="34">
        <v>18</v>
      </c>
      <c r="M203" s="16">
        <v>1</v>
      </c>
      <c r="N203" s="16">
        <v>1</v>
      </c>
      <c r="O203" s="17"/>
      <c r="P203" s="18">
        <f t="shared" si="106"/>
        <v>20</v>
      </c>
      <c r="Q203" s="34">
        <v>62</v>
      </c>
      <c r="R203" s="16">
        <v>3</v>
      </c>
      <c r="S203" s="16">
        <v>12</v>
      </c>
      <c r="T203" s="17"/>
      <c r="U203" s="18">
        <f t="shared" si="107"/>
        <v>77</v>
      </c>
      <c r="V203" s="34">
        <v>46</v>
      </c>
      <c r="W203" s="16">
        <v>2</v>
      </c>
      <c r="X203" s="16">
        <v>4</v>
      </c>
      <c r="Y203" s="17"/>
      <c r="Z203" s="18">
        <f t="shared" si="108"/>
        <v>52</v>
      </c>
      <c r="AA203" s="34">
        <v>83</v>
      </c>
      <c r="AB203" s="16">
        <v>1</v>
      </c>
      <c r="AC203" s="16">
        <v>6</v>
      </c>
      <c r="AD203" s="17"/>
      <c r="AE203" s="18">
        <f t="shared" si="109"/>
        <v>90</v>
      </c>
      <c r="AF203" s="34">
        <v>9</v>
      </c>
      <c r="AG203" s="16"/>
      <c r="AH203" s="16"/>
      <c r="AI203" s="17"/>
      <c r="AJ203" s="18">
        <f t="shared" si="110"/>
        <v>9</v>
      </c>
      <c r="AK203" s="34"/>
      <c r="AL203" s="16"/>
      <c r="AM203" s="16"/>
      <c r="AN203" s="17"/>
      <c r="AO203" s="18">
        <f t="shared" si="111"/>
        <v>0</v>
      </c>
      <c r="AP203" s="34"/>
      <c r="AQ203" s="16"/>
      <c r="AR203" s="16"/>
      <c r="AS203" s="17"/>
      <c r="AT203" s="18">
        <f t="shared" si="112"/>
        <v>0</v>
      </c>
      <c r="AU203" s="34"/>
      <c r="AV203" s="16"/>
      <c r="AW203" s="16"/>
      <c r="AX203" s="17"/>
      <c r="AY203" s="18">
        <f t="shared" si="113"/>
        <v>0</v>
      </c>
      <c r="AZ203" s="34"/>
      <c r="BA203" s="16"/>
      <c r="BB203" s="16"/>
      <c r="BC203" s="17"/>
      <c r="BD203" s="18">
        <f t="shared" si="114"/>
        <v>0</v>
      </c>
      <c r="BE203" s="34"/>
      <c r="BF203" s="16"/>
      <c r="BG203" s="16"/>
      <c r="BH203" s="17"/>
      <c r="BI203" s="18">
        <f t="shared" si="115"/>
        <v>0</v>
      </c>
      <c r="BJ203" s="34"/>
      <c r="BK203" s="16"/>
      <c r="BL203" s="16"/>
      <c r="BM203" s="17"/>
      <c r="BN203" s="18">
        <f t="shared" si="116"/>
        <v>0</v>
      </c>
      <c r="BO203" s="70">
        <f>SUM(G203,L203,Q203,V203,AA203,AF203,AK203,AP203,AU203,AZ203,BE203,BJ203)</f>
        <v>219</v>
      </c>
      <c r="BP203" s="16">
        <f>SUM(H203,M203,R203,W203,AB203,AG203,AL203,AQ203,AV203,BA203,BF203,BK203)</f>
        <v>7</v>
      </c>
      <c r="BQ203" s="16">
        <f>SUM(I203,N203,S203,X203,AC203,AH203,AM203,AR203,AW203,BB203,BG203,BL203)</f>
        <v>23</v>
      </c>
      <c r="BR203" s="17">
        <f>SUM(J203,O203,T203,Y203,AD203,AI203,AN203,AS203,AX203,BC203,BH203,BM203)</f>
        <v>0</v>
      </c>
      <c r="BS203" s="35">
        <f t="shared" si="135"/>
        <v>249</v>
      </c>
    </row>
    <row r="204" spans="2:71" x14ac:dyDescent="0.3">
      <c r="B204" s="269"/>
      <c r="C204" s="230"/>
      <c r="D204" s="233"/>
      <c r="E204" s="220"/>
      <c r="F204" s="123" t="s">
        <v>116</v>
      </c>
      <c r="G204" s="34">
        <v>47</v>
      </c>
      <c r="H204" s="16">
        <v>1</v>
      </c>
      <c r="I204" s="16">
        <v>5</v>
      </c>
      <c r="J204" s="17"/>
      <c r="K204" s="18">
        <f t="shared" si="134"/>
        <v>53</v>
      </c>
      <c r="L204" s="34">
        <v>395</v>
      </c>
      <c r="M204" s="16">
        <v>25</v>
      </c>
      <c r="N204" s="16">
        <v>71</v>
      </c>
      <c r="O204" s="17"/>
      <c r="P204" s="18">
        <f t="shared" si="106"/>
        <v>491</v>
      </c>
      <c r="Q204" s="34">
        <v>384</v>
      </c>
      <c r="R204" s="16">
        <v>14</v>
      </c>
      <c r="S204" s="16">
        <v>109</v>
      </c>
      <c r="T204" s="17"/>
      <c r="U204" s="18">
        <f t="shared" si="107"/>
        <v>507</v>
      </c>
      <c r="V204" s="34">
        <v>404</v>
      </c>
      <c r="W204" s="16">
        <v>16</v>
      </c>
      <c r="X204" s="16">
        <v>63</v>
      </c>
      <c r="Y204" s="17"/>
      <c r="Z204" s="18">
        <f t="shared" si="108"/>
        <v>483</v>
      </c>
      <c r="AA204" s="34">
        <v>686</v>
      </c>
      <c r="AB204" s="16">
        <v>14</v>
      </c>
      <c r="AC204" s="16">
        <v>126</v>
      </c>
      <c r="AD204" s="17"/>
      <c r="AE204" s="18">
        <f t="shared" si="109"/>
        <v>826</v>
      </c>
      <c r="AF204" s="34">
        <v>29</v>
      </c>
      <c r="AG204" s="16">
        <v>1</v>
      </c>
      <c r="AH204" s="16">
        <v>2</v>
      </c>
      <c r="AI204" s="17"/>
      <c r="AJ204" s="18">
        <f t="shared" si="110"/>
        <v>32</v>
      </c>
      <c r="AK204" s="34"/>
      <c r="AL204" s="16"/>
      <c r="AM204" s="16"/>
      <c r="AN204" s="17"/>
      <c r="AO204" s="18">
        <f t="shared" si="111"/>
        <v>0</v>
      </c>
      <c r="AP204" s="34"/>
      <c r="AQ204" s="16"/>
      <c r="AR204" s="16"/>
      <c r="AS204" s="17"/>
      <c r="AT204" s="18">
        <f t="shared" si="112"/>
        <v>0</v>
      </c>
      <c r="AU204" s="34"/>
      <c r="AV204" s="16"/>
      <c r="AW204" s="16"/>
      <c r="AX204" s="17"/>
      <c r="AY204" s="18">
        <f t="shared" si="113"/>
        <v>0</v>
      </c>
      <c r="AZ204" s="34"/>
      <c r="BA204" s="16"/>
      <c r="BB204" s="16"/>
      <c r="BC204" s="17"/>
      <c r="BD204" s="18">
        <f t="shared" si="114"/>
        <v>0</v>
      </c>
      <c r="BE204" s="34"/>
      <c r="BF204" s="16"/>
      <c r="BG204" s="16"/>
      <c r="BH204" s="17"/>
      <c r="BI204" s="18">
        <f t="shared" si="115"/>
        <v>0</v>
      </c>
      <c r="BJ204" s="34"/>
      <c r="BK204" s="16"/>
      <c r="BL204" s="16"/>
      <c r="BM204" s="17"/>
      <c r="BN204" s="18">
        <f t="shared" si="116"/>
        <v>0</v>
      </c>
      <c r="BO204" s="70">
        <f>SUM(G204,L204,Q204,V204,AA204,AF204,AK204,AP204,AU204,AZ204,BE204,BJ204)</f>
        <v>1945</v>
      </c>
      <c r="BP204" s="16">
        <f>SUM(H204,M204,R204,W204,AB204,AG204,AL204,AQ204,AV204,BA204,BF204,BK204)</f>
        <v>71</v>
      </c>
      <c r="BQ204" s="16">
        <f>SUM(I204,N204,S204,X204,AC204,AH204,AM204,AR204,AW204,BB204,BG204,BL204)</f>
        <v>376</v>
      </c>
      <c r="BR204" s="17">
        <f>SUM(J204,O204,T204,Y204,AD204,AI204,AN204,AS204,AX204,BC204,BH204,BM204)</f>
        <v>0</v>
      </c>
      <c r="BS204" s="35">
        <f t="shared" si="135"/>
        <v>2392</v>
      </c>
    </row>
    <row r="205" spans="2:71" x14ac:dyDescent="0.3">
      <c r="B205" s="269"/>
      <c r="C205" s="230"/>
      <c r="D205" s="233"/>
      <c r="E205" s="220"/>
      <c r="F205" s="123" t="s">
        <v>114</v>
      </c>
      <c r="G205" s="34">
        <v>1</v>
      </c>
      <c r="H205" s="16"/>
      <c r="I205" s="16"/>
      <c r="J205" s="17"/>
      <c r="K205" s="18">
        <f t="shared" si="134"/>
        <v>1</v>
      </c>
      <c r="L205" s="34">
        <v>14</v>
      </c>
      <c r="M205" s="16">
        <v>1</v>
      </c>
      <c r="N205" s="16">
        <v>1</v>
      </c>
      <c r="O205" s="17"/>
      <c r="P205" s="18">
        <f t="shared" si="106"/>
        <v>16</v>
      </c>
      <c r="Q205" s="34">
        <v>32</v>
      </c>
      <c r="R205" s="16">
        <v>2</v>
      </c>
      <c r="S205" s="16">
        <v>15</v>
      </c>
      <c r="T205" s="17"/>
      <c r="U205" s="18">
        <f t="shared" si="107"/>
        <v>49</v>
      </c>
      <c r="V205" s="34">
        <v>27</v>
      </c>
      <c r="W205" s="16">
        <v>1</v>
      </c>
      <c r="X205" s="16">
        <v>6</v>
      </c>
      <c r="Y205" s="17"/>
      <c r="Z205" s="18">
        <f t="shared" si="108"/>
        <v>34</v>
      </c>
      <c r="AA205" s="34">
        <v>51</v>
      </c>
      <c r="AB205" s="16">
        <v>1</v>
      </c>
      <c r="AC205" s="16">
        <v>4</v>
      </c>
      <c r="AD205" s="17"/>
      <c r="AE205" s="18">
        <f t="shared" si="109"/>
        <v>56</v>
      </c>
      <c r="AF205" s="34">
        <v>7</v>
      </c>
      <c r="AG205" s="16"/>
      <c r="AH205" s="16"/>
      <c r="AI205" s="17"/>
      <c r="AJ205" s="18">
        <f t="shared" si="110"/>
        <v>7</v>
      </c>
      <c r="AK205" s="34"/>
      <c r="AL205" s="16"/>
      <c r="AM205" s="16"/>
      <c r="AN205" s="17"/>
      <c r="AO205" s="18">
        <f t="shared" si="111"/>
        <v>0</v>
      </c>
      <c r="AP205" s="34"/>
      <c r="AQ205" s="16"/>
      <c r="AR205" s="16"/>
      <c r="AS205" s="17"/>
      <c r="AT205" s="18">
        <f t="shared" si="112"/>
        <v>0</v>
      </c>
      <c r="AU205" s="34"/>
      <c r="AV205" s="16"/>
      <c r="AW205" s="16"/>
      <c r="AX205" s="17"/>
      <c r="AY205" s="18">
        <f t="shared" si="113"/>
        <v>0</v>
      </c>
      <c r="AZ205" s="34"/>
      <c r="BA205" s="16"/>
      <c r="BB205" s="16"/>
      <c r="BC205" s="17"/>
      <c r="BD205" s="18">
        <f t="shared" si="114"/>
        <v>0</v>
      </c>
      <c r="BE205" s="34"/>
      <c r="BF205" s="16"/>
      <c r="BG205" s="16"/>
      <c r="BH205" s="17"/>
      <c r="BI205" s="18">
        <f t="shared" si="115"/>
        <v>0</v>
      </c>
      <c r="BJ205" s="34"/>
      <c r="BK205" s="16"/>
      <c r="BL205" s="16"/>
      <c r="BM205" s="17"/>
      <c r="BN205" s="18">
        <f t="shared" si="116"/>
        <v>0</v>
      </c>
      <c r="BO205" s="70">
        <f>SUM(G205,L205,Q205,V205,AA205,AF205,AK205,AP205,AU205,AZ205,BE205,BJ205)</f>
        <v>132</v>
      </c>
      <c r="BP205" s="16">
        <f>SUM(H205,M205,R205,W205,AB205,AG205,AL205,AQ205,AV205,BA205,BF205,BK205)</f>
        <v>5</v>
      </c>
      <c r="BQ205" s="16">
        <f>SUM(I205,N205,S205,X205,AC205,AH205,AM205,AR205,AW205,BB205,BG205,BL205)</f>
        <v>26</v>
      </c>
      <c r="BR205" s="17">
        <f>SUM(J205,O205,T205,Y205,AD205,AI205,AN205,AS205,AX205,BC205,BH205,BM205)</f>
        <v>0</v>
      </c>
      <c r="BS205" s="35">
        <f t="shared" si="135"/>
        <v>163</v>
      </c>
    </row>
    <row r="206" spans="2:71" x14ac:dyDescent="0.3">
      <c r="B206" s="269"/>
      <c r="C206" s="230"/>
      <c r="D206" s="233"/>
      <c r="E206" s="220"/>
      <c r="F206" s="121" t="s">
        <v>677</v>
      </c>
      <c r="G206" s="32"/>
      <c r="H206" s="13"/>
      <c r="I206" s="13"/>
      <c r="J206" s="14"/>
      <c r="K206" s="15">
        <f t="shared" si="134"/>
        <v>0</v>
      </c>
      <c r="L206" s="32"/>
      <c r="M206" s="13"/>
      <c r="N206" s="13"/>
      <c r="O206" s="14"/>
      <c r="P206" s="15">
        <f t="shared" si="106"/>
        <v>0</v>
      </c>
      <c r="Q206" s="32"/>
      <c r="R206" s="13"/>
      <c r="S206" s="13"/>
      <c r="T206" s="14"/>
      <c r="U206" s="15">
        <f t="shared" si="107"/>
        <v>0</v>
      </c>
      <c r="V206" s="32"/>
      <c r="W206" s="13"/>
      <c r="X206" s="13"/>
      <c r="Y206" s="14"/>
      <c r="Z206" s="15">
        <f t="shared" si="108"/>
        <v>0</v>
      </c>
      <c r="AA206" s="32"/>
      <c r="AB206" s="13"/>
      <c r="AC206" s="13"/>
      <c r="AD206" s="14"/>
      <c r="AE206" s="15">
        <f t="shared" si="109"/>
        <v>0</v>
      </c>
      <c r="AF206" s="32">
        <v>350</v>
      </c>
      <c r="AG206" s="13">
        <v>6</v>
      </c>
      <c r="AH206" s="13">
        <v>35</v>
      </c>
      <c r="AI206" s="14"/>
      <c r="AJ206" s="15">
        <f t="shared" si="110"/>
        <v>391</v>
      </c>
      <c r="AK206" s="32">
        <v>139</v>
      </c>
      <c r="AL206" s="13">
        <v>2</v>
      </c>
      <c r="AM206" s="13">
        <v>26</v>
      </c>
      <c r="AN206" s="14"/>
      <c r="AO206" s="15">
        <f t="shared" si="111"/>
        <v>167</v>
      </c>
      <c r="AP206" s="32">
        <v>218</v>
      </c>
      <c r="AQ206" s="13">
        <v>6</v>
      </c>
      <c r="AR206" s="13">
        <v>32</v>
      </c>
      <c r="AS206" s="14"/>
      <c r="AT206" s="15">
        <f t="shared" si="112"/>
        <v>256</v>
      </c>
      <c r="AU206" s="32">
        <v>222</v>
      </c>
      <c r="AV206" s="13">
        <v>6</v>
      </c>
      <c r="AW206" s="13">
        <v>27</v>
      </c>
      <c r="AX206" s="14"/>
      <c r="AY206" s="15">
        <f t="shared" si="113"/>
        <v>255</v>
      </c>
      <c r="AZ206" s="32">
        <v>505</v>
      </c>
      <c r="BA206" s="13">
        <v>34</v>
      </c>
      <c r="BB206" s="13">
        <v>56</v>
      </c>
      <c r="BC206" s="14"/>
      <c r="BD206" s="15">
        <f t="shared" si="114"/>
        <v>595</v>
      </c>
      <c r="BE206" s="32">
        <v>325</v>
      </c>
      <c r="BF206" s="13">
        <v>8</v>
      </c>
      <c r="BG206" s="13">
        <v>34</v>
      </c>
      <c r="BH206" s="14"/>
      <c r="BI206" s="15">
        <f t="shared" si="115"/>
        <v>367</v>
      </c>
      <c r="BJ206" s="32">
        <v>128</v>
      </c>
      <c r="BK206" s="13">
        <v>12</v>
      </c>
      <c r="BL206" s="13">
        <v>4</v>
      </c>
      <c r="BM206" s="14"/>
      <c r="BN206" s="15">
        <f t="shared" si="116"/>
        <v>144</v>
      </c>
      <c r="BO206" s="66">
        <f>SUM(G206,L206,Q206,V206,AA206,AF206,AK206,AP206,AU206,AZ206,BE206,BJ206)</f>
        <v>1887</v>
      </c>
      <c r="BP206" s="13">
        <f>SUM(H206,M206,R206,W206,AB206,AG206,AL206,AQ206,AV206,BA206,BF206,BK206)</f>
        <v>74</v>
      </c>
      <c r="BQ206" s="13">
        <f>SUM(I206,N206,S206,X206,AC206,AH206,AM206,AR206,AW206,BB206,BG206,BL206)</f>
        <v>214</v>
      </c>
      <c r="BR206" s="14">
        <f>SUM(J206,O206,T206,Y206,AD206,AI206,AN206,AS206,AX206,BC206,BH206,BM206)</f>
        <v>0</v>
      </c>
      <c r="BS206" s="33">
        <f t="shared" si="135"/>
        <v>2175</v>
      </c>
    </row>
    <row r="207" spans="2:71" x14ac:dyDescent="0.3">
      <c r="B207" s="269"/>
      <c r="C207" s="230"/>
      <c r="D207" s="233"/>
      <c r="E207" s="220"/>
      <c r="F207" s="121" t="s">
        <v>678</v>
      </c>
      <c r="G207" s="32"/>
      <c r="H207" s="13"/>
      <c r="I207" s="13"/>
      <c r="J207" s="14"/>
      <c r="K207" s="15">
        <f t="shared" si="134"/>
        <v>0</v>
      </c>
      <c r="L207" s="32"/>
      <c r="M207" s="13"/>
      <c r="N207" s="13"/>
      <c r="O207" s="14"/>
      <c r="P207" s="15">
        <f t="shared" si="106"/>
        <v>0</v>
      </c>
      <c r="Q207" s="32"/>
      <c r="R207" s="13"/>
      <c r="S207" s="13"/>
      <c r="T207" s="14"/>
      <c r="U207" s="15">
        <f t="shared" si="107"/>
        <v>0</v>
      </c>
      <c r="V207" s="32"/>
      <c r="W207" s="13"/>
      <c r="X207" s="13"/>
      <c r="Y207" s="14"/>
      <c r="Z207" s="15">
        <f t="shared" si="108"/>
        <v>0</v>
      </c>
      <c r="AA207" s="32"/>
      <c r="AB207" s="13"/>
      <c r="AC207" s="13"/>
      <c r="AD207" s="14"/>
      <c r="AE207" s="15">
        <f t="shared" si="109"/>
        <v>0</v>
      </c>
      <c r="AF207" s="32">
        <v>31</v>
      </c>
      <c r="AG207" s="13">
        <v>1</v>
      </c>
      <c r="AH207" s="13">
        <v>4</v>
      </c>
      <c r="AI207" s="14"/>
      <c r="AJ207" s="15">
        <f t="shared" si="110"/>
        <v>36</v>
      </c>
      <c r="AK207" s="32">
        <v>13</v>
      </c>
      <c r="AL207" s="13">
        <v>3</v>
      </c>
      <c r="AM207" s="13"/>
      <c r="AN207" s="14"/>
      <c r="AO207" s="15">
        <f t="shared" si="111"/>
        <v>16</v>
      </c>
      <c r="AP207" s="32">
        <v>38</v>
      </c>
      <c r="AQ207" s="13"/>
      <c r="AR207" s="13">
        <v>4</v>
      </c>
      <c r="AS207" s="14"/>
      <c r="AT207" s="15">
        <f t="shared" si="112"/>
        <v>42</v>
      </c>
      <c r="AU207" s="32">
        <v>30</v>
      </c>
      <c r="AV207" s="13"/>
      <c r="AW207" s="13"/>
      <c r="AX207" s="14"/>
      <c r="AY207" s="15">
        <f t="shared" si="113"/>
        <v>30</v>
      </c>
      <c r="AZ207" s="32">
        <v>50</v>
      </c>
      <c r="BA207" s="13"/>
      <c r="BB207" s="13">
        <v>4</v>
      </c>
      <c r="BC207" s="14"/>
      <c r="BD207" s="15">
        <f t="shared" si="114"/>
        <v>54</v>
      </c>
      <c r="BE207" s="32">
        <v>14</v>
      </c>
      <c r="BF207" s="13"/>
      <c r="BG207" s="13">
        <v>1</v>
      </c>
      <c r="BH207" s="14"/>
      <c r="BI207" s="15">
        <f t="shared" si="115"/>
        <v>15</v>
      </c>
      <c r="BJ207" s="32">
        <v>9</v>
      </c>
      <c r="BK207" s="13"/>
      <c r="BL207" s="13">
        <v>1</v>
      </c>
      <c r="BM207" s="14"/>
      <c r="BN207" s="15">
        <f t="shared" si="116"/>
        <v>10</v>
      </c>
      <c r="BO207" s="66">
        <f>SUM(G207,L207,Q207,V207,AA207,AF207,AK207,AP207,AU207,AZ207,BE207,BJ207)</f>
        <v>185</v>
      </c>
      <c r="BP207" s="13">
        <f>SUM(H207,M207,R207,W207,AB207,AG207,AL207,AQ207,AV207,BA207,BF207,BK207)</f>
        <v>4</v>
      </c>
      <c r="BQ207" s="13">
        <f>SUM(I207,N207,S207,X207,AC207,AH207,AM207,AR207,AW207,BB207,BG207,BL207)</f>
        <v>14</v>
      </c>
      <c r="BR207" s="14">
        <f>SUM(J207,O207,T207,Y207,AD207,AI207,AN207,AS207,AX207,BC207,BH207,BM207)</f>
        <v>0</v>
      </c>
      <c r="BS207" s="33">
        <f t="shared" si="135"/>
        <v>203</v>
      </c>
    </row>
    <row r="208" spans="2:71" x14ac:dyDescent="0.3">
      <c r="B208" s="269"/>
      <c r="C208" s="230"/>
      <c r="D208" s="233"/>
      <c r="E208" s="220"/>
      <c r="F208" s="121" t="s">
        <v>679</v>
      </c>
      <c r="G208" s="32"/>
      <c r="H208" s="13"/>
      <c r="I208" s="13"/>
      <c r="J208" s="14"/>
      <c r="K208" s="15">
        <f t="shared" si="134"/>
        <v>0</v>
      </c>
      <c r="L208" s="32"/>
      <c r="M208" s="13"/>
      <c r="N208" s="13"/>
      <c r="O208" s="14"/>
      <c r="P208" s="15">
        <f t="shared" si="106"/>
        <v>0</v>
      </c>
      <c r="Q208" s="32"/>
      <c r="R208" s="13"/>
      <c r="S208" s="13"/>
      <c r="T208" s="14"/>
      <c r="U208" s="15">
        <f t="shared" si="107"/>
        <v>0</v>
      </c>
      <c r="V208" s="32"/>
      <c r="W208" s="13"/>
      <c r="X208" s="13"/>
      <c r="Y208" s="14"/>
      <c r="Z208" s="15">
        <f t="shared" si="108"/>
        <v>0</v>
      </c>
      <c r="AA208" s="32"/>
      <c r="AB208" s="13"/>
      <c r="AC208" s="13"/>
      <c r="AD208" s="14"/>
      <c r="AE208" s="15">
        <f t="shared" si="109"/>
        <v>0</v>
      </c>
      <c r="AF208" s="32">
        <v>214</v>
      </c>
      <c r="AG208" s="13">
        <v>5</v>
      </c>
      <c r="AH208" s="13">
        <v>27</v>
      </c>
      <c r="AI208" s="14"/>
      <c r="AJ208" s="15">
        <f t="shared" si="110"/>
        <v>246</v>
      </c>
      <c r="AK208" s="32">
        <v>75</v>
      </c>
      <c r="AL208" s="13"/>
      <c r="AM208" s="13">
        <v>17</v>
      </c>
      <c r="AN208" s="14"/>
      <c r="AO208" s="15">
        <f t="shared" si="111"/>
        <v>92</v>
      </c>
      <c r="AP208" s="32">
        <v>160</v>
      </c>
      <c r="AQ208" s="13">
        <v>6</v>
      </c>
      <c r="AR208" s="13">
        <v>22</v>
      </c>
      <c r="AS208" s="14"/>
      <c r="AT208" s="15">
        <f t="shared" si="112"/>
        <v>188</v>
      </c>
      <c r="AU208" s="32">
        <v>125</v>
      </c>
      <c r="AV208" s="13">
        <v>7</v>
      </c>
      <c r="AW208" s="13">
        <v>24</v>
      </c>
      <c r="AX208" s="14"/>
      <c r="AY208" s="15">
        <f t="shared" si="113"/>
        <v>156</v>
      </c>
      <c r="AZ208" s="32">
        <v>319</v>
      </c>
      <c r="BA208" s="13">
        <v>11</v>
      </c>
      <c r="BB208" s="13">
        <v>46</v>
      </c>
      <c r="BC208" s="14"/>
      <c r="BD208" s="15">
        <f t="shared" si="114"/>
        <v>376</v>
      </c>
      <c r="BE208" s="32">
        <v>203</v>
      </c>
      <c r="BF208" s="13">
        <v>4</v>
      </c>
      <c r="BG208" s="13">
        <v>35</v>
      </c>
      <c r="BH208" s="14"/>
      <c r="BI208" s="15">
        <f t="shared" si="115"/>
        <v>242</v>
      </c>
      <c r="BJ208" s="32">
        <v>78</v>
      </c>
      <c r="BK208" s="13">
        <v>4</v>
      </c>
      <c r="BL208" s="13">
        <v>14</v>
      </c>
      <c r="BM208" s="14"/>
      <c r="BN208" s="15">
        <f t="shared" si="116"/>
        <v>96</v>
      </c>
      <c r="BO208" s="66">
        <f>SUM(G208,L208,Q208,V208,AA208,AF208,AK208,AP208,AU208,AZ208,BE208,BJ208)</f>
        <v>1174</v>
      </c>
      <c r="BP208" s="13">
        <f>SUM(H208,M208,R208,W208,AB208,AG208,AL208,AQ208,AV208,BA208,BF208,BK208)</f>
        <v>37</v>
      </c>
      <c r="BQ208" s="13">
        <f>SUM(I208,N208,S208,X208,AC208,AH208,AM208,AR208,AW208,BB208,BG208,BL208)</f>
        <v>185</v>
      </c>
      <c r="BR208" s="14">
        <f>SUM(J208,O208,T208,Y208,AD208,AI208,AN208,AS208,AX208,BC208,BH208,BM208)</f>
        <v>0</v>
      </c>
      <c r="BS208" s="33">
        <f t="shared" si="135"/>
        <v>1396</v>
      </c>
    </row>
    <row r="209" spans="2:71" x14ac:dyDescent="0.3">
      <c r="B209" s="269"/>
      <c r="C209" s="230"/>
      <c r="D209" s="233"/>
      <c r="E209" s="220"/>
      <c r="F209" s="121" t="s">
        <v>680</v>
      </c>
      <c r="G209" s="32"/>
      <c r="H209" s="13"/>
      <c r="I209" s="13"/>
      <c r="J209" s="14"/>
      <c r="K209" s="15">
        <f t="shared" si="134"/>
        <v>0</v>
      </c>
      <c r="L209" s="32"/>
      <c r="M209" s="13"/>
      <c r="N209" s="13"/>
      <c r="O209" s="14"/>
      <c r="P209" s="15">
        <f t="shared" si="106"/>
        <v>0</v>
      </c>
      <c r="Q209" s="32"/>
      <c r="R209" s="13"/>
      <c r="S209" s="13"/>
      <c r="T209" s="14"/>
      <c r="U209" s="15">
        <f t="shared" si="107"/>
        <v>0</v>
      </c>
      <c r="V209" s="32"/>
      <c r="W209" s="13"/>
      <c r="X209" s="13"/>
      <c r="Y209" s="14"/>
      <c r="Z209" s="15">
        <f t="shared" si="108"/>
        <v>0</v>
      </c>
      <c r="AA209" s="32"/>
      <c r="AB209" s="13"/>
      <c r="AC209" s="13"/>
      <c r="AD209" s="14"/>
      <c r="AE209" s="15">
        <f t="shared" si="109"/>
        <v>0</v>
      </c>
      <c r="AF209" s="32">
        <v>20</v>
      </c>
      <c r="AG209" s="13">
        <v>1</v>
      </c>
      <c r="AH209" s="13">
        <v>2</v>
      </c>
      <c r="AI209" s="14"/>
      <c r="AJ209" s="15">
        <f t="shared" si="110"/>
        <v>23</v>
      </c>
      <c r="AK209" s="32">
        <v>12</v>
      </c>
      <c r="AL209" s="13"/>
      <c r="AM209" s="13">
        <v>3</v>
      </c>
      <c r="AN209" s="14"/>
      <c r="AO209" s="15">
        <f t="shared" si="111"/>
        <v>15</v>
      </c>
      <c r="AP209" s="32">
        <v>18</v>
      </c>
      <c r="AQ209" s="13">
        <v>4</v>
      </c>
      <c r="AR209" s="13">
        <v>9</v>
      </c>
      <c r="AS209" s="14"/>
      <c r="AT209" s="15">
        <f t="shared" si="112"/>
        <v>31</v>
      </c>
      <c r="AU209" s="32">
        <v>20</v>
      </c>
      <c r="AV209" s="13"/>
      <c r="AW209" s="13">
        <v>1</v>
      </c>
      <c r="AX209" s="14"/>
      <c r="AY209" s="15">
        <f t="shared" si="113"/>
        <v>21</v>
      </c>
      <c r="AZ209" s="32">
        <v>29</v>
      </c>
      <c r="BA209" s="13">
        <v>3</v>
      </c>
      <c r="BB209" s="13">
        <v>6</v>
      </c>
      <c r="BC209" s="14"/>
      <c r="BD209" s="15">
        <f t="shared" si="114"/>
        <v>38</v>
      </c>
      <c r="BE209" s="32">
        <v>10</v>
      </c>
      <c r="BF209" s="13"/>
      <c r="BG209" s="13">
        <v>1</v>
      </c>
      <c r="BH209" s="14"/>
      <c r="BI209" s="15">
        <f t="shared" si="115"/>
        <v>11</v>
      </c>
      <c r="BJ209" s="32">
        <v>4</v>
      </c>
      <c r="BK209" s="13"/>
      <c r="BL209" s="13">
        <v>1</v>
      </c>
      <c r="BM209" s="14"/>
      <c r="BN209" s="15">
        <f t="shared" si="116"/>
        <v>5</v>
      </c>
      <c r="BO209" s="66">
        <f>SUM(G209,L209,Q209,V209,AA209,AF209,AK209,AP209,AU209,AZ209,BE209,BJ209)</f>
        <v>113</v>
      </c>
      <c r="BP209" s="13">
        <f>SUM(H209,M209,R209,W209,AB209,AG209,AL209,AQ209,AV209,BA209,BF209,BK209)</f>
        <v>8</v>
      </c>
      <c r="BQ209" s="13">
        <f>SUM(I209,N209,S209,X209,AC209,AH209,AM209,AR209,AW209,BB209,BG209,BL209)</f>
        <v>23</v>
      </c>
      <c r="BR209" s="14">
        <f>SUM(J209,O209,T209,Y209,AD209,AI209,AN209,AS209,AX209,BC209,BH209,BM209)</f>
        <v>0</v>
      </c>
      <c r="BS209" s="33">
        <f t="shared" si="135"/>
        <v>144</v>
      </c>
    </row>
    <row r="210" spans="2:71" x14ac:dyDescent="0.3">
      <c r="B210" s="269"/>
      <c r="C210" s="230"/>
      <c r="D210" s="233"/>
      <c r="E210" s="220"/>
      <c r="F210" s="123" t="s">
        <v>471</v>
      </c>
      <c r="G210" s="34">
        <v>2</v>
      </c>
      <c r="H210" s="16"/>
      <c r="I210" s="16"/>
      <c r="J210" s="17"/>
      <c r="K210" s="18">
        <f t="shared" si="134"/>
        <v>2</v>
      </c>
      <c r="L210" s="34"/>
      <c r="M210" s="16"/>
      <c r="N210" s="16"/>
      <c r="O210" s="17"/>
      <c r="P210" s="18">
        <f t="shared" si="106"/>
        <v>0</v>
      </c>
      <c r="Q210" s="34"/>
      <c r="R210" s="16"/>
      <c r="S210" s="16"/>
      <c r="T210" s="17"/>
      <c r="U210" s="18">
        <f t="shared" si="107"/>
        <v>0</v>
      </c>
      <c r="V210" s="34"/>
      <c r="W210" s="16"/>
      <c r="X210" s="16"/>
      <c r="Y210" s="17"/>
      <c r="Z210" s="18">
        <f t="shared" si="108"/>
        <v>0</v>
      </c>
      <c r="AA210" s="34"/>
      <c r="AB210" s="16"/>
      <c r="AC210" s="16"/>
      <c r="AD210" s="17"/>
      <c r="AE210" s="18">
        <f t="shared" si="109"/>
        <v>0</v>
      </c>
      <c r="AF210" s="34">
        <v>1</v>
      </c>
      <c r="AG210" s="16"/>
      <c r="AH210" s="16"/>
      <c r="AI210" s="17"/>
      <c r="AJ210" s="18">
        <f t="shared" si="110"/>
        <v>1</v>
      </c>
      <c r="AK210" s="34"/>
      <c r="AL210" s="16"/>
      <c r="AM210" s="16"/>
      <c r="AN210" s="17"/>
      <c r="AO210" s="18">
        <f t="shared" si="111"/>
        <v>0</v>
      </c>
      <c r="AP210" s="34"/>
      <c r="AQ210" s="16"/>
      <c r="AR210" s="16"/>
      <c r="AS210" s="17"/>
      <c r="AT210" s="18">
        <f t="shared" si="112"/>
        <v>0</v>
      </c>
      <c r="AU210" s="34"/>
      <c r="AV210" s="16"/>
      <c r="AW210" s="16"/>
      <c r="AX210" s="17"/>
      <c r="AY210" s="18">
        <f t="shared" si="113"/>
        <v>0</v>
      </c>
      <c r="AZ210" s="34"/>
      <c r="BA210" s="16"/>
      <c r="BB210" s="16"/>
      <c r="BC210" s="17"/>
      <c r="BD210" s="18">
        <f t="shared" si="114"/>
        <v>0</v>
      </c>
      <c r="BE210" s="34"/>
      <c r="BF210" s="16"/>
      <c r="BG210" s="16"/>
      <c r="BH210" s="17"/>
      <c r="BI210" s="18">
        <f t="shared" si="115"/>
        <v>0</v>
      </c>
      <c r="BJ210" s="34"/>
      <c r="BK210" s="16"/>
      <c r="BL210" s="16"/>
      <c r="BM210" s="17"/>
      <c r="BN210" s="18">
        <f t="shared" si="116"/>
        <v>0</v>
      </c>
      <c r="BO210" s="70">
        <f>SUM(G210,L210,Q210,V210,AA210,AF210,AK210,AP210,AU210,AZ210,BE210,BJ210)</f>
        <v>3</v>
      </c>
      <c r="BP210" s="16">
        <f>SUM(H210,M210,R210,W210,AB210,AG210,AL210,AQ210,AV210,BA210,BF210,BK210)</f>
        <v>0</v>
      </c>
      <c r="BQ210" s="16">
        <f>SUM(I210,N210,S210,X210,AC210,AH210,AM210,AR210,AW210,BB210,BG210,BL210)</f>
        <v>0</v>
      </c>
      <c r="BR210" s="17">
        <f>SUM(J210,O210,T210,Y210,AD210,AI210,AN210,AS210,AX210,BC210,BH210,BM210)</f>
        <v>0</v>
      </c>
      <c r="BS210" s="35">
        <f t="shared" si="135"/>
        <v>3</v>
      </c>
    </row>
    <row r="211" spans="2:71" x14ac:dyDescent="0.3">
      <c r="B211" s="269"/>
      <c r="C211" s="230"/>
      <c r="D211" s="233"/>
      <c r="E211" s="220"/>
      <c r="F211" s="123" t="s">
        <v>384</v>
      </c>
      <c r="G211" s="34">
        <v>2</v>
      </c>
      <c r="H211" s="16"/>
      <c r="I211" s="16">
        <v>3</v>
      </c>
      <c r="J211" s="17"/>
      <c r="K211" s="18">
        <f t="shared" si="134"/>
        <v>5</v>
      </c>
      <c r="L211" s="34">
        <v>3</v>
      </c>
      <c r="M211" s="16"/>
      <c r="N211" s="16">
        <v>5</v>
      </c>
      <c r="O211" s="17"/>
      <c r="P211" s="18">
        <f t="shared" si="106"/>
        <v>8</v>
      </c>
      <c r="Q211" s="34">
        <v>5</v>
      </c>
      <c r="R211" s="16">
        <v>1</v>
      </c>
      <c r="S211" s="16">
        <v>7</v>
      </c>
      <c r="T211" s="17"/>
      <c r="U211" s="18">
        <f t="shared" si="107"/>
        <v>13</v>
      </c>
      <c r="V211" s="34"/>
      <c r="W211" s="16"/>
      <c r="X211" s="16"/>
      <c r="Y211" s="17"/>
      <c r="Z211" s="18">
        <f t="shared" si="108"/>
        <v>0</v>
      </c>
      <c r="AA211" s="34"/>
      <c r="AB211" s="16"/>
      <c r="AC211" s="16"/>
      <c r="AD211" s="17"/>
      <c r="AE211" s="18">
        <f t="shared" si="109"/>
        <v>0</v>
      </c>
      <c r="AF211" s="34">
        <v>2</v>
      </c>
      <c r="AG211" s="16"/>
      <c r="AH211" s="16">
        <v>5</v>
      </c>
      <c r="AI211" s="17"/>
      <c r="AJ211" s="18">
        <f t="shared" si="110"/>
        <v>7</v>
      </c>
      <c r="AK211" s="34">
        <v>2</v>
      </c>
      <c r="AL211" s="16"/>
      <c r="AM211" s="16">
        <v>1</v>
      </c>
      <c r="AN211" s="17"/>
      <c r="AO211" s="18">
        <f t="shared" si="111"/>
        <v>3</v>
      </c>
      <c r="AP211" s="34"/>
      <c r="AQ211" s="16"/>
      <c r="AR211" s="16">
        <v>1</v>
      </c>
      <c r="AS211" s="17"/>
      <c r="AT211" s="18">
        <f t="shared" si="112"/>
        <v>1</v>
      </c>
      <c r="AU211" s="34">
        <v>1</v>
      </c>
      <c r="AV211" s="16"/>
      <c r="AW211" s="16">
        <v>3</v>
      </c>
      <c r="AX211" s="17"/>
      <c r="AY211" s="18">
        <f t="shared" si="113"/>
        <v>4</v>
      </c>
      <c r="AZ211" s="34"/>
      <c r="BA211" s="16"/>
      <c r="BB211" s="16">
        <v>4</v>
      </c>
      <c r="BC211" s="17"/>
      <c r="BD211" s="18">
        <f t="shared" si="114"/>
        <v>4</v>
      </c>
      <c r="BE211" s="34"/>
      <c r="BF211" s="16"/>
      <c r="BG211" s="16">
        <v>7</v>
      </c>
      <c r="BH211" s="17"/>
      <c r="BI211" s="18">
        <f t="shared" si="115"/>
        <v>7</v>
      </c>
      <c r="BJ211" s="34"/>
      <c r="BK211" s="16"/>
      <c r="BL211" s="16"/>
      <c r="BM211" s="17"/>
      <c r="BN211" s="18">
        <f t="shared" si="116"/>
        <v>0</v>
      </c>
      <c r="BO211" s="70">
        <f>SUM(G211,L211,Q211,V211,AA211,AF211,AK211,AP211,AU211,AZ211,BE211,BJ211)</f>
        <v>15</v>
      </c>
      <c r="BP211" s="16">
        <f>SUM(H211,M211,R211,W211,AB211,AG211,AL211,AQ211,AV211,BA211,BF211,BK211)</f>
        <v>1</v>
      </c>
      <c r="BQ211" s="16">
        <f>SUM(I211,N211,S211,X211,AC211,AH211,AM211,AR211,AW211,BB211,BG211,BL211)</f>
        <v>36</v>
      </c>
      <c r="BR211" s="17">
        <f>SUM(J211,O211,T211,Y211,AD211,AI211,AN211,AS211,AX211,BC211,BH211,BM211)</f>
        <v>0</v>
      </c>
      <c r="BS211" s="35">
        <f t="shared" si="135"/>
        <v>52</v>
      </c>
    </row>
    <row r="212" spans="2:71" x14ac:dyDescent="0.3">
      <c r="B212" s="269"/>
      <c r="C212" s="230"/>
      <c r="D212" s="233"/>
      <c r="E212" s="220"/>
      <c r="F212" s="123" t="s">
        <v>385</v>
      </c>
      <c r="G212" s="34"/>
      <c r="H212" s="16"/>
      <c r="I212" s="16"/>
      <c r="J212" s="17"/>
      <c r="K212" s="18">
        <f t="shared" si="134"/>
        <v>0</v>
      </c>
      <c r="L212" s="34">
        <v>1</v>
      </c>
      <c r="M212" s="16"/>
      <c r="N212" s="16">
        <v>1</v>
      </c>
      <c r="O212" s="17"/>
      <c r="P212" s="18">
        <f t="shared" si="106"/>
        <v>2</v>
      </c>
      <c r="Q212" s="34"/>
      <c r="R212" s="16"/>
      <c r="S212" s="16"/>
      <c r="T212" s="17"/>
      <c r="U212" s="18">
        <f t="shared" si="107"/>
        <v>0</v>
      </c>
      <c r="V212" s="34"/>
      <c r="W212" s="16"/>
      <c r="X212" s="16"/>
      <c r="Y212" s="17"/>
      <c r="Z212" s="18">
        <f t="shared" si="108"/>
        <v>0</v>
      </c>
      <c r="AA212" s="34">
        <v>3</v>
      </c>
      <c r="AB212" s="16"/>
      <c r="AC212" s="16">
        <v>4</v>
      </c>
      <c r="AD212" s="17"/>
      <c r="AE212" s="18">
        <f t="shared" si="109"/>
        <v>7</v>
      </c>
      <c r="AF212" s="34">
        <v>1</v>
      </c>
      <c r="AG212" s="16"/>
      <c r="AH212" s="16">
        <v>2</v>
      </c>
      <c r="AI212" s="17"/>
      <c r="AJ212" s="18">
        <f t="shared" si="110"/>
        <v>3</v>
      </c>
      <c r="AK212" s="34"/>
      <c r="AL212" s="16"/>
      <c r="AM212" s="16">
        <v>1</v>
      </c>
      <c r="AN212" s="17"/>
      <c r="AO212" s="18">
        <f t="shared" si="111"/>
        <v>1</v>
      </c>
      <c r="AP212" s="34">
        <v>2</v>
      </c>
      <c r="AQ212" s="16"/>
      <c r="AR212" s="16">
        <v>3</v>
      </c>
      <c r="AS212" s="17"/>
      <c r="AT212" s="18">
        <f t="shared" si="112"/>
        <v>5</v>
      </c>
      <c r="AU212" s="34"/>
      <c r="AV212" s="16"/>
      <c r="AW212" s="16">
        <v>2</v>
      </c>
      <c r="AX212" s="17"/>
      <c r="AY212" s="18">
        <f t="shared" si="113"/>
        <v>2</v>
      </c>
      <c r="AZ212" s="34"/>
      <c r="BA212" s="16"/>
      <c r="BB212" s="16">
        <v>2</v>
      </c>
      <c r="BC212" s="17"/>
      <c r="BD212" s="18">
        <f t="shared" si="114"/>
        <v>2</v>
      </c>
      <c r="BE212" s="34"/>
      <c r="BF212" s="16"/>
      <c r="BG212" s="16">
        <v>1</v>
      </c>
      <c r="BH212" s="17"/>
      <c r="BI212" s="18">
        <f t="shared" si="115"/>
        <v>1</v>
      </c>
      <c r="BJ212" s="34"/>
      <c r="BK212" s="16"/>
      <c r="BL212" s="16"/>
      <c r="BM212" s="17"/>
      <c r="BN212" s="18">
        <f t="shared" si="116"/>
        <v>0</v>
      </c>
      <c r="BO212" s="70">
        <f>SUM(G212,L212,Q212,V212,AA212,AF212,AK212,AP212,AU212,AZ212,BE212,BJ212)</f>
        <v>7</v>
      </c>
      <c r="BP212" s="16">
        <f>SUM(H212,M212,R212,W212,AB212,AG212,AL212,AQ212,AV212,BA212,BF212,BK212)</f>
        <v>0</v>
      </c>
      <c r="BQ212" s="16">
        <f>SUM(I212,N212,S212,X212,AC212,AH212,AM212,AR212,AW212,BB212,BG212,BL212)</f>
        <v>16</v>
      </c>
      <c r="BR212" s="17">
        <f>SUM(J212,O212,T212,Y212,AD212,AI212,AN212,AS212,AX212,BC212,BH212,BM212)</f>
        <v>0</v>
      </c>
      <c r="BS212" s="35">
        <f t="shared" si="135"/>
        <v>23</v>
      </c>
    </row>
    <row r="213" spans="2:71" x14ac:dyDescent="0.3">
      <c r="B213" s="269"/>
      <c r="C213" s="230"/>
      <c r="D213" s="233"/>
      <c r="E213" s="220"/>
      <c r="F213" s="123" t="s">
        <v>386</v>
      </c>
      <c r="G213" s="34"/>
      <c r="H213" s="16"/>
      <c r="I213" s="16"/>
      <c r="J213" s="17"/>
      <c r="K213" s="18">
        <f t="shared" si="134"/>
        <v>0</v>
      </c>
      <c r="L213" s="34"/>
      <c r="M213" s="16"/>
      <c r="N213" s="16">
        <v>1</v>
      </c>
      <c r="O213" s="17"/>
      <c r="P213" s="18">
        <f t="shared" ref="P213:P276" si="136">SUM(L213:O213)</f>
        <v>1</v>
      </c>
      <c r="Q213" s="34"/>
      <c r="R213" s="16"/>
      <c r="S213" s="16"/>
      <c r="T213" s="17"/>
      <c r="U213" s="18">
        <f t="shared" ref="U213:U276" si="137">SUM(Q213:T213)</f>
        <v>0</v>
      </c>
      <c r="V213" s="34"/>
      <c r="W213" s="16"/>
      <c r="X213" s="16"/>
      <c r="Y213" s="17"/>
      <c r="Z213" s="18">
        <f t="shared" ref="Z213:Z276" si="138">SUM(V213:Y213)</f>
        <v>0</v>
      </c>
      <c r="AA213" s="34"/>
      <c r="AB213" s="16"/>
      <c r="AC213" s="16"/>
      <c r="AD213" s="17"/>
      <c r="AE213" s="18">
        <f t="shared" ref="AE213:AE276" si="139">SUM(AA213:AD213)</f>
        <v>0</v>
      </c>
      <c r="AF213" s="34">
        <v>2</v>
      </c>
      <c r="AG213" s="16"/>
      <c r="AH213" s="16">
        <v>4</v>
      </c>
      <c r="AI213" s="17"/>
      <c r="AJ213" s="18">
        <f t="shared" ref="AJ213:AJ276" si="140">SUM(AF213:AI213)</f>
        <v>6</v>
      </c>
      <c r="AK213" s="34"/>
      <c r="AL213" s="16"/>
      <c r="AM213" s="16"/>
      <c r="AN213" s="17"/>
      <c r="AO213" s="18">
        <f t="shared" ref="AO213:AO276" si="141">SUM(AK213:AN213)</f>
        <v>0</v>
      </c>
      <c r="AP213" s="34">
        <v>4</v>
      </c>
      <c r="AQ213" s="16"/>
      <c r="AR213" s="16">
        <v>3</v>
      </c>
      <c r="AS213" s="17"/>
      <c r="AT213" s="18">
        <f t="shared" ref="AT213:AT276" si="142">SUM(AP213:AS213)</f>
        <v>7</v>
      </c>
      <c r="AU213" s="34">
        <v>2</v>
      </c>
      <c r="AV213" s="16"/>
      <c r="AW213" s="16"/>
      <c r="AX213" s="17"/>
      <c r="AY213" s="18">
        <f t="shared" ref="AY213:AY276" si="143">SUM(AU213:AX213)</f>
        <v>2</v>
      </c>
      <c r="AZ213" s="34">
        <v>1</v>
      </c>
      <c r="BA213" s="16"/>
      <c r="BB213" s="16">
        <v>3</v>
      </c>
      <c r="BC213" s="17"/>
      <c r="BD213" s="18">
        <f t="shared" ref="BD213:BD276" si="144">SUM(AZ213:BC213)</f>
        <v>4</v>
      </c>
      <c r="BE213" s="34">
        <v>1</v>
      </c>
      <c r="BF213" s="16"/>
      <c r="BG213" s="16">
        <v>1</v>
      </c>
      <c r="BH213" s="17"/>
      <c r="BI213" s="18">
        <f t="shared" ref="BI213:BI276" si="145">SUM(BE213:BH213)</f>
        <v>2</v>
      </c>
      <c r="BJ213" s="34"/>
      <c r="BK213" s="16"/>
      <c r="BL213" s="16"/>
      <c r="BM213" s="17"/>
      <c r="BN213" s="18">
        <f t="shared" ref="BN213:BN276" si="146">SUM(BJ213:BM213)</f>
        <v>0</v>
      </c>
      <c r="BO213" s="70">
        <f>SUM(G213,L213,Q213,V213,AA213,AF213,AK213,AP213,AU213,AZ213,BE213,BJ213)</f>
        <v>10</v>
      </c>
      <c r="BP213" s="16">
        <f>SUM(H213,M213,R213,W213,AB213,AG213,AL213,AQ213,AV213,BA213,BF213,BK213)</f>
        <v>0</v>
      </c>
      <c r="BQ213" s="16">
        <f>SUM(I213,N213,S213,X213,AC213,AH213,AM213,AR213,AW213,BB213,BG213,BL213)</f>
        <v>12</v>
      </c>
      <c r="BR213" s="17">
        <f>SUM(J213,O213,T213,Y213,AD213,AI213,AN213,AS213,AX213,BC213,BH213,BM213)</f>
        <v>0</v>
      </c>
      <c r="BS213" s="35">
        <f t="shared" si="135"/>
        <v>22</v>
      </c>
    </row>
    <row r="214" spans="2:71" x14ac:dyDescent="0.3">
      <c r="B214" s="269"/>
      <c r="C214" s="230"/>
      <c r="D214" s="233"/>
      <c r="E214" s="220"/>
      <c r="F214" s="123" t="s">
        <v>387</v>
      </c>
      <c r="G214" s="34"/>
      <c r="H214" s="16"/>
      <c r="I214" s="16">
        <v>1</v>
      </c>
      <c r="J214" s="17"/>
      <c r="K214" s="18">
        <f t="shared" si="134"/>
        <v>1</v>
      </c>
      <c r="L214" s="34"/>
      <c r="M214" s="16"/>
      <c r="N214" s="16"/>
      <c r="O214" s="17"/>
      <c r="P214" s="18">
        <f t="shared" si="136"/>
        <v>0</v>
      </c>
      <c r="Q214" s="34"/>
      <c r="R214" s="16"/>
      <c r="S214" s="16"/>
      <c r="T214" s="17"/>
      <c r="U214" s="18">
        <f t="shared" si="137"/>
        <v>0</v>
      </c>
      <c r="V214" s="34"/>
      <c r="W214" s="16"/>
      <c r="X214" s="16"/>
      <c r="Y214" s="17"/>
      <c r="Z214" s="18">
        <f t="shared" si="138"/>
        <v>0</v>
      </c>
      <c r="AA214" s="34">
        <v>1</v>
      </c>
      <c r="AB214" s="16"/>
      <c r="AC214" s="16"/>
      <c r="AD214" s="17"/>
      <c r="AE214" s="18">
        <f t="shared" si="139"/>
        <v>1</v>
      </c>
      <c r="AF214" s="34"/>
      <c r="AG214" s="16"/>
      <c r="AH214" s="16">
        <v>2</v>
      </c>
      <c r="AI214" s="17"/>
      <c r="AJ214" s="18">
        <f t="shared" si="140"/>
        <v>2</v>
      </c>
      <c r="AK214" s="34"/>
      <c r="AL214" s="16"/>
      <c r="AM214" s="16"/>
      <c r="AN214" s="17"/>
      <c r="AO214" s="18">
        <f t="shared" si="141"/>
        <v>0</v>
      </c>
      <c r="AP214" s="34"/>
      <c r="AQ214" s="16"/>
      <c r="AR214" s="16"/>
      <c r="AS214" s="17"/>
      <c r="AT214" s="18">
        <f t="shared" si="142"/>
        <v>0</v>
      </c>
      <c r="AU214" s="34"/>
      <c r="AV214" s="16"/>
      <c r="AW214" s="16">
        <v>1</v>
      </c>
      <c r="AX214" s="17"/>
      <c r="AY214" s="18">
        <f t="shared" si="143"/>
        <v>1</v>
      </c>
      <c r="AZ214" s="34"/>
      <c r="BA214" s="16"/>
      <c r="BB214" s="16"/>
      <c r="BC214" s="17"/>
      <c r="BD214" s="18">
        <f t="shared" si="144"/>
        <v>0</v>
      </c>
      <c r="BE214" s="34"/>
      <c r="BF214" s="16"/>
      <c r="BG214" s="16"/>
      <c r="BH214" s="17"/>
      <c r="BI214" s="18">
        <f t="shared" si="145"/>
        <v>0</v>
      </c>
      <c r="BJ214" s="34"/>
      <c r="BK214" s="16"/>
      <c r="BL214" s="16"/>
      <c r="BM214" s="17"/>
      <c r="BN214" s="18">
        <f t="shared" si="146"/>
        <v>0</v>
      </c>
      <c r="BO214" s="70">
        <f>SUM(G214,L214,Q214,V214,AA214,AF214,AK214,AP214,AU214,AZ214,BE214,BJ214)</f>
        <v>1</v>
      </c>
      <c r="BP214" s="16">
        <f>SUM(H214,M214,R214,W214,AB214,AG214,AL214,AQ214,AV214,BA214,BF214,BK214)</f>
        <v>0</v>
      </c>
      <c r="BQ214" s="16">
        <f>SUM(I214,N214,S214,X214,AC214,AH214,AM214,AR214,AW214,BB214,BG214,BL214)</f>
        <v>4</v>
      </c>
      <c r="BR214" s="17">
        <f>SUM(J214,O214,T214,Y214,AD214,AI214,AN214,AS214,AX214,BC214,BH214,BM214)</f>
        <v>0</v>
      </c>
      <c r="BS214" s="35">
        <f t="shared" si="135"/>
        <v>5</v>
      </c>
    </row>
    <row r="215" spans="2:71" x14ac:dyDescent="0.3">
      <c r="B215" s="269"/>
      <c r="C215" s="230"/>
      <c r="D215" s="233"/>
      <c r="E215" s="220"/>
      <c r="F215" s="123" t="s">
        <v>388</v>
      </c>
      <c r="G215" s="34">
        <v>7</v>
      </c>
      <c r="H215" s="16">
        <v>1</v>
      </c>
      <c r="I215" s="16">
        <v>13</v>
      </c>
      <c r="J215" s="17"/>
      <c r="K215" s="18">
        <f t="shared" si="134"/>
        <v>21</v>
      </c>
      <c r="L215" s="34">
        <v>7</v>
      </c>
      <c r="M215" s="16"/>
      <c r="N215" s="16">
        <v>7</v>
      </c>
      <c r="O215" s="17"/>
      <c r="P215" s="18">
        <f t="shared" si="136"/>
        <v>14</v>
      </c>
      <c r="Q215" s="34">
        <v>12</v>
      </c>
      <c r="R215" s="16">
        <v>1</v>
      </c>
      <c r="S215" s="16">
        <v>24</v>
      </c>
      <c r="T215" s="17"/>
      <c r="U215" s="18">
        <f t="shared" si="137"/>
        <v>37</v>
      </c>
      <c r="V215" s="34">
        <v>8</v>
      </c>
      <c r="W215" s="16"/>
      <c r="X215" s="16">
        <v>20</v>
      </c>
      <c r="Y215" s="17"/>
      <c r="Z215" s="18">
        <f t="shared" si="138"/>
        <v>28</v>
      </c>
      <c r="AA215" s="34">
        <v>11</v>
      </c>
      <c r="AB215" s="16">
        <v>1</v>
      </c>
      <c r="AC215" s="16">
        <v>52</v>
      </c>
      <c r="AD215" s="17"/>
      <c r="AE215" s="18">
        <f t="shared" si="139"/>
        <v>64</v>
      </c>
      <c r="AF215" s="34">
        <v>3</v>
      </c>
      <c r="AG215" s="16"/>
      <c r="AH215" s="16">
        <v>27</v>
      </c>
      <c r="AI215" s="17"/>
      <c r="AJ215" s="18">
        <f t="shared" si="140"/>
        <v>30</v>
      </c>
      <c r="AK215" s="34">
        <v>2</v>
      </c>
      <c r="AL215" s="16"/>
      <c r="AM215" s="16">
        <v>8</v>
      </c>
      <c r="AN215" s="17"/>
      <c r="AO215" s="18">
        <f t="shared" si="141"/>
        <v>10</v>
      </c>
      <c r="AP215" s="34">
        <v>8</v>
      </c>
      <c r="AQ215" s="16"/>
      <c r="AR215" s="16">
        <v>12</v>
      </c>
      <c r="AS215" s="17"/>
      <c r="AT215" s="18">
        <f t="shared" si="142"/>
        <v>20</v>
      </c>
      <c r="AU215" s="34">
        <v>9</v>
      </c>
      <c r="AV215" s="16">
        <v>1</v>
      </c>
      <c r="AW215" s="16">
        <v>14</v>
      </c>
      <c r="AX215" s="17"/>
      <c r="AY215" s="18">
        <f t="shared" si="143"/>
        <v>24</v>
      </c>
      <c r="AZ215" s="34">
        <v>16</v>
      </c>
      <c r="BA215" s="16">
        <v>5</v>
      </c>
      <c r="BB215" s="16">
        <v>45</v>
      </c>
      <c r="BC215" s="17"/>
      <c r="BD215" s="18">
        <f t="shared" si="144"/>
        <v>66</v>
      </c>
      <c r="BE215" s="34">
        <v>11</v>
      </c>
      <c r="BF215" s="16">
        <v>1</v>
      </c>
      <c r="BG215" s="16">
        <v>26</v>
      </c>
      <c r="BH215" s="17"/>
      <c r="BI215" s="18">
        <f t="shared" si="145"/>
        <v>38</v>
      </c>
      <c r="BJ215" s="34">
        <v>6</v>
      </c>
      <c r="BK215" s="16">
        <v>1</v>
      </c>
      <c r="BL215" s="16">
        <v>12</v>
      </c>
      <c r="BM215" s="17"/>
      <c r="BN215" s="18">
        <f t="shared" si="146"/>
        <v>19</v>
      </c>
      <c r="BO215" s="70">
        <f>SUM(G215,L215,Q215,V215,AA215,AF215,AK215,AP215,AU215,AZ215,BE215,BJ215)</f>
        <v>100</v>
      </c>
      <c r="BP215" s="16">
        <f>SUM(H215,M215,R215,W215,AB215,AG215,AL215,AQ215,AV215,BA215,BF215,BK215)</f>
        <v>11</v>
      </c>
      <c r="BQ215" s="16">
        <f>SUM(I215,N215,S215,X215,AC215,AH215,AM215,AR215,AW215,BB215,BG215,BL215)</f>
        <v>260</v>
      </c>
      <c r="BR215" s="17">
        <f>SUM(J215,O215,T215,Y215,AD215,AI215,AN215,AS215,AX215,BC215,BH215,BM215)</f>
        <v>0</v>
      </c>
      <c r="BS215" s="35">
        <f t="shared" si="135"/>
        <v>371</v>
      </c>
    </row>
    <row r="216" spans="2:71" x14ac:dyDescent="0.3">
      <c r="B216" s="269"/>
      <c r="C216" s="230"/>
      <c r="D216" s="233"/>
      <c r="E216" s="220"/>
      <c r="F216" s="133" t="s">
        <v>389</v>
      </c>
      <c r="G216" s="49"/>
      <c r="H216" s="50"/>
      <c r="I216" s="50">
        <v>2</v>
      </c>
      <c r="J216" s="51"/>
      <c r="K216" s="52">
        <f t="shared" si="134"/>
        <v>2</v>
      </c>
      <c r="L216" s="49"/>
      <c r="M216" s="50"/>
      <c r="N216" s="50"/>
      <c r="O216" s="51"/>
      <c r="P216" s="52">
        <f t="shared" si="136"/>
        <v>0</v>
      </c>
      <c r="Q216" s="49">
        <v>3</v>
      </c>
      <c r="R216" s="50">
        <v>1</v>
      </c>
      <c r="S216" s="50">
        <v>4</v>
      </c>
      <c r="T216" s="51"/>
      <c r="U216" s="52">
        <f t="shared" si="137"/>
        <v>8</v>
      </c>
      <c r="V216" s="49">
        <v>4</v>
      </c>
      <c r="W216" s="50">
        <v>2</v>
      </c>
      <c r="X216" s="50">
        <v>11</v>
      </c>
      <c r="Y216" s="51"/>
      <c r="Z216" s="52">
        <f t="shared" si="138"/>
        <v>17</v>
      </c>
      <c r="AA216" s="49">
        <v>2</v>
      </c>
      <c r="AB216" s="50">
        <v>2</v>
      </c>
      <c r="AC216" s="50">
        <v>10</v>
      </c>
      <c r="AD216" s="51"/>
      <c r="AE216" s="52">
        <f t="shared" si="139"/>
        <v>14</v>
      </c>
      <c r="AF216" s="49">
        <v>4</v>
      </c>
      <c r="AG216" s="50"/>
      <c r="AH216" s="50">
        <v>6</v>
      </c>
      <c r="AI216" s="51"/>
      <c r="AJ216" s="52">
        <f t="shared" si="140"/>
        <v>10</v>
      </c>
      <c r="AK216" s="49">
        <v>1</v>
      </c>
      <c r="AL216" s="50"/>
      <c r="AM216" s="50">
        <v>2</v>
      </c>
      <c r="AN216" s="51"/>
      <c r="AO216" s="52">
        <f t="shared" si="141"/>
        <v>3</v>
      </c>
      <c r="AP216" s="49">
        <v>3</v>
      </c>
      <c r="AQ216" s="50"/>
      <c r="AR216" s="50">
        <v>10</v>
      </c>
      <c r="AS216" s="51"/>
      <c r="AT216" s="52">
        <f t="shared" si="142"/>
        <v>13</v>
      </c>
      <c r="AU216" s="49">
        <v>3</v>
      </c>
      <c r="AV216" s="50"/>
      <c r="AW216" s="50">
        <v>6</v>
      </c>
      <c r="AX216" s="51"/>
      <c r="AY216" s="52">
        <f t="shared" si="143"/>
        <v>9</v>
      </c>
      <c r="AZ216" s="49">
        <v>15</v>
      </c>
      <c r="BA216" s="50">
        <v>3</v>
      </c>
      <c r="BB216" s="50">
        <v>22</v>
      </c>
      <c r="BC216" s="51"/>
      <c r="BD216" s="52">
        <f t="shared" si="144"/>
        <v>40</v>
      </c>
      <c r="BE216" s="49">
        <v>2</v>
      </c>
      <c r="BF216" s="50">
        <v>2</v>
      </c>
      <c r="BG216" s="50">
        <v>13</v>
      </c>
      <c r="BH216" s="51"/>
      <c r="BI216" s="52">
        <f t="shared" si="145"/>
        <v>17</v>
      </c>
      <c r="BJ216" s="49"/>
      <c r="BK216" s="50"/>
      <c r="BL216" s="50"/>
      <c r="BM216" s="51"/>
      <c r="BN216" s="52">
        <f t="shared" si="146"/>
        <v>0</v>
      </c>
      <c r="BO216" s="167">
        <f>SUM(G216,L216,Q216,V216,AA216,AF216,AK216,AP216,AU216,AZ216,BE216,BJ216)</f>
        <v>37</v>
      </c>
      <c r="BP216" s="50">
        <f>SUM(H216,M216,R216,W216,AB216,AG216,AL216,AQ216,AV216,BA216,BF216,BK216)</f>
        <v>10</v>
      </c>
      <c r="BQ216" s="50">
        <f>SUM(I216,N216,S216,X216,AC216,AH216,AM216,AR216,AW216,BB216,BG216,BL216)</f>
        <v>86</v>
      </c>
      <c r="BR216" s="51">
        <f>SUM(J216,O216,T216,Y216,AD216,AI216,AN216,AS216,AX216,BC216,BH216,BM216)</f>
        <v>0</v>
      </c>
      <c r="BS216" s="53">
        <f t="shared" si="135"/>
        <v>133</v>
      </c>
    </row>
    <row r="217" spans="2:71" x14ac:dyDescent="0.3">
      <c r="B217" s="269"/>
      <c r="C217" s="230"/>
      <c r="D217" s="233"/>
      <c r="E217" s="219" t="s">
        <v>69</v>
      </c>
      <c r="F217" s="120" t="s">
        <v>64</v>
      </c>
      <c r="G217" s="30">
        <v>22</v>
      </c>
      <c r="H217" s="7"/>
      <c r="I217" s="7"/>
      <c r="J217" s="8"/>
      <c r="K217" s="9">
        <f t="shared" si="134"/>
        <v>22</v>
      </c>
      <c r="L217" s="30">
        <v>31</v>
      </c>
      <c r="M217" s="7"/>
      <c r="N217" s="7">
        <v>2</v>
      </c>
      <c r="O217" s="8"/>
      <c r="P217" s="9">
        <f t="shared" si="136"/>
        <v>33</v>
      </c>
      <c r="Q217" s="30">
        <v>40</v>
      </c>
      <c r="R217" s="7"/>
      <c r="S217" s="7"/>
      <c r="T217" s="8"/>
      <c r="U217" s="9">
        <f t="shared" si="137"/>
        <v>40</v>
      </c>
      <c r="V217" s="30">
        <v>43</v>
      </c>
      <c r="W217" s="7"/>
      <c r="X217" s="7">
        <v>2</v>
      </c>
      <c r="Y217" s="8"/>
      <c r="Z217" s="9">
        <f t="shared" si="138"/>
        <v>45</v>
      </c>
      <c r="AA217" s="30">
        <v>76</v>
      </c>
      <c r="AB217" s="7"/>
      <c r="AC217" s="7">
        <v>2</v>
      </c>
      <c r="AD217" s="8"/>
      <c r="AE217" s="9">
        <f t="shared" si="139"/>
        <v>78</v>
      </c>
      <c r="AF217" s="30">
        <v>28</v>
      </c>
      <c r="AG217" s="7">
        <v>1</v>
      </c>
      <c r="AH217" s="7">
        <v>2</v>
      </c>
      <c r="AI217" s="8"/>
      <c r="AJ217" s="9">
        <f t="shared" si="140"/>
        <v>31</v>
      </c>
      <c r="AK217" s="30">
        <v>14</v>
      </c>
      <c r="AL217" s="7"/>
      <c r="AM217" s="7"/>
      <c r="AN217" s="8"/>
      <c r="AO217" s="9">
        <f t="shared" si="141"/>
        <v>14</v>
      </c>
      <c r="AP217" s="30">
        <v>31</v>
      </c>
      <c r="AQ217" s="7"/>
      <c r="AR217" s="7">
        <v>2</v>
      </c>
      <c r="AS217" s="8"/>
      <c r="AT217" s="9">
        <f t="shared" si="142"/>
        <v>33</v>
      </c>
      <c r="AU217" s="30">
        <v>8</v>
      </c>
      <c r="AV217" s="7"/>
      <c r="AW217" s="7"/>
      <c r="AX217" s="8"/>
      <c r="AY217" s="9">
        <f t="shared" si="143"/>
        <v>8</v>
      </c>
      <c r="AZ217" s="30">
        <v>66</v>
      </c>
      <c r="BA217" s="7"/>
      <c r="BB217" s="7">
        <v>2</v>
      </c>
      <c r="BC217" s="8"/>
      <c r="BD217" s="9">
        <f t="shared" si="144"/>
        <v>68</v>
      </c>
      <c r="BE217" s="30">
        <v>29</v>
      </c>
      <c r="BF217" s="7"/>
      <c r="BG217" s="7">
        <v>2</v>
      </c>
      <c r="BH217" s="8"/>
      <c r="BI217" s="9">
        <f t="shared" si="145"/>
        <v>31</v>
      </c>
      <c r="BJ217" s="30">
        <v>3</v>
      </c>
      <c r="BK217" s="7"/>
      <c r="BL217" s="7">
        <v>1</v>
      </c>
      <c r="BM217" s="8"/>
      <c r="BN217" s="9">
        <f t="shared" si="146"/>
        <v>4</v>
      </c>
      <c r="BO217" s="65">
        <f>SUM(G217,L217,Q217,V217,AA217,AF217,AK217,AP217,AU217,AZ217,BE217,BJ217)</f>
        <v>391</v>
      </c>
      <c r="BP217" s="7">
        <f>SUM(H217,M217,R217,W217,AB217,AG217,AL217,AQ217,AV217,BA217,BF217,BK217)</f>
        <v>1</v>
      </c>
      <c r="BQ217" s="7">
        <f>SUM(I217,N217,S217,X217,AC217,AH217,AM217,AR217,AW217,BB217,BG217,BL217)</f>
        <v>15</v>
      </c>
      <c r="BR217" s="8">
        <f>SUM(J217,O217,T217,Y217,AD217,AI217,AN217,AS217,AX217,BC217,BH217,BM217)</f>
        <v>0</v>
      </c>
      <c r="BS217" s="31">
        <f t="shared" si="135"/>
        <v>407</v>
      </c>
    </row>
    <row r="218" spans="2:71" x14ac:dyDescent="0.3">
      <c r="B218" s="269"/>
      <c r="C218" s="230"/>
      <c r="D218" s="233"/>
      <c r="E218" s="220"/>
      <c r="F218" s="123" t="s">
        <v>65</v>
      </c>
      <c r="G218" s="34">
        <v>2</v>
      </c>
      <c r="H218" s="16"/>
      <c r="I218" s="16"/>
      <c r="J218" s="17"/>
      <c r="K218" s="18">
        <f t="shared" si="134"/>
        <v>2</v>
      </c>
      <c r="L218" s="34"/>
      <c r="M218" s="16"/>
      <c r="N218" s="16"/>
      <c r="O218" s="17"/>
      <c r="P218" s="18">
        <f t="shared" si="136"/>
        <v>0</v>
      </c>
      <c r="Q218" s="34">
        <v>1</v>
      </c>
      <c r="R218" s="16"/>
      <c r="S218" s="16">
        <v>1</v>
      </c>
      <c r="T218" s="17"/>
      <c r="U218" s="18">
        <f t="shared" si="137"/>
        <v>2</v>
      </c>
      <c r="V218" s="34">
        <v>3</v>
      </c>
      <c r="W218" s="16"/>
      <c r="X218" s="16"/>
      <c r="Y218" s="17"/>
      <c r="Z218" s="18">
        <f t="shared" si="138"/>
        <v>3</v>
      </c>
      <c r="AA218" s="34">
        <v>9</v>
      </c>
      <c r="AB218" s="16"/>
      <c r="AC218" s="16">
        <v>1</v>
      </c>
      <c r="AD218" s="17"/>
      <c r="AE218" s="18">
        <f t="shared" si="139"/>
        <v>10</v>
      </c>
      <c r="AF218" s="34">
        <v>4</v>
      </c>
      <c r="AG218" s="16"/>
      <c r="AH218" s="16"/>
      <c r="AI218" s="17"/>
      <c r="AJ218" s="18">
        <f t="shared" si="140"/>
        <v>4</v>
      </c>
      <c r="AK218" s="34">
        <v>3</v>
      </c>
      <c r="AL218" s="16"/>
      <c r="AM218" s="16"/>
      <c r="AN218" s="17"/>
      <c r="AO218" s="18">
        <f t="shared" si="141"/>
        <v>3</v>
      </c>
      <c r="AP218" s="34">
        <v>7</v>
      </c>
      <c r="AQ218" s="16"/>
      <c r="AR218" s="16"/>
      <c r="AS218" s="17"/>
      <c r="AT218" s="18">
        <f t="shared" si="142"/>
        <v>7</v>
      </c>
      <c r="AU218" s="34"/>
      <c r="AV218" s="16"/>
      <c r="AW218" s="16"/>
      <c r="AX218" s="17"/>
      <c r="AY218" s="18">
        <f t="shared" si="143"/>
        <v>0</v>
      </c>
      <c r="AZ218" s="34">
        <v>11</v>
      </c>
      <c r="BA218" s="16"/>
      <c r="BB218" s="16"/>
      <c r="BC218" s="17"/>
      <c r="BD218" s="18">
        <f t="shared" si="144"/>
        <v>11</v>
      </c>
      <c r="BE218" s="34">
        <v>5</v>
      </c>
      <c r="BF218" s="16"/>
      <c r="BG218" s="16"/>
      <c r="BH218" s="17"/>
      <c r="BI218" s="18">
        <f t="shared" si="145"/>
        <v>5</v>
      </c>
      <c r="BJ218" s="34">
        <v>1</v>
      </c>
      <c r="BK218" s="16"/>
      <c r="BL218" s="16"/>
      <c r="BM218" s="17"/>
      <c r="BN218" s="18">
        <f t="shared" si="146"/>
        <v>1</v>
      </c>
      <c r="BO218" s="70">
        <f>SUM(G218,L218,Q218,V218,AA218,AF218,AK218,AP218,AU218,AZ218,BE218,BJ218)</f>
        <v>46</v>
      </c>
      <c r="BP218" s="16">
        <f>SUM(H218,M218,R218,W218,AB218,AG218,AL218,AQ218,AV218,BA218,BF218,BK218)</f>
        <v>0</v>
      </c>
      <c r="BQ218" s="16">
        <f>SUM(I218,N218,S218,X218,AC218,AH218,AM218,AR218,AW218,BB218,BG218,BL218)</f>
        <v>2</v>
      </c>
      <c r="BR218" s="17">
        <f>SUM(J218,O218,T218,Y218,AD218,AI218,AN218,AS218,AX218,BC218,BH218,BM218)</f>
        <v>0</v>
      </c>
      <c r="BS218" s="35">
        <f t="shared" si="135"/>
        <v>48</v>
      </c>
    </row>
    <row r="219" spans="2:71" x14ac:dyDescent="0.3">
      <c r="B219" s="269"/>
      <c r="C219" s="230"/>
      <c r="D219" s="233"/>
      <c r="E219" s="220"/>
      <c r="F219" s="123" t="s">
        <v>66</v>
      </c>
      <c r="G219" s="34">
        <v>3</v>
      </c>
      <c r="H219" s="16"/>
      <c r="I219" s="16">
        <v>2</v>
      </c>
      <c r="J219" s="17"/>
      <c r="K219" s="18">
        <f t="shared" si="134"/>
        <v>5</v>
      </c>
      <c r="L219" s="34"/>
      <c r="M219" s="16"/>
      <c r="N219" s="16">
        <v>2</v>
      </c>
      <c r="O219" s="17"/>
      <c r="P219" s="18">
        <f t="shared" si="136"/>
        <v>2</v>
      </c>
      <c r="Q219" s="34">
        <v>4</v>
      </c>
      <c r="R219" s="16"/>
      <c r="S219" s="16">
        <v>8</v>
      </c>
      <c r="T219" s="17"/>
      <c r="U219" s="18">
        <f t="shared" si="137"/>
        <v>12</v>
      </c>
      <c r="V219" s="34">
        <v>2</v>
      </c>
      <c r="W219" s="16">
        <v>1</v>
      </c>
      <c r="X219" s="16">
        <v>1</v>
      </c>
      <c r="Y219" s="17"/>
      <c r="Z219" s="18">
        <f t="shared" si="138"/>
        <v>4</v>
      </c>
      <c r="AA219" s="34">
        <v>2</v>
      </c>
      <c r="AB219" s="16"/>
      <c r="AC219" s="16">
        <v>6</v>
      </c>
      <c r="AD219" s="17"/>
      <c r="AE219" s="18">
        <f t="shared" si="139"/>
        <v>8</v>
      </c>
      <c r="AF219" s="34">
        <v>1</v>
      </c>
      <c r="AG219" s="16"/>
      <c r="AH219" s="16">
        <v>2</v>
      </c>
      <c r="AI219" s="17"/>
      <c r="AJ219" s="18">
        <f t="shared" si="140"/>
        <v>3</v>
      </c>
      <c r="AK219" s="34">
        <v>1</v>
      </c>
      <c r="AL219" s="16"/>
      <c r="AM219" s="16">
        <v>2</v>
      </c>
      <c r="AN219" s="17"/>
      <c r="AO219" s="18">
        <f t="shared" si="141"/>
        <v>3</v>
      </c>
      <c r="AP219" s="34">
        <v>2</v>
      </c>
      <c r="AQ219" s="16"/>
      <c r="AR219" s="16"/>
      <c r="AS219" s="17"/>
      <c r="AT219" s="18">
        <f t="shared" si="142"/>
        <v>2</v>
      </c>
      <c r="AU219" s="34"/>
      <c r="AV219" s="16"/>
      <c r="AW219" s="16">
        <v>1</v>
      </c>
      <c r="AX219" s="17"/>
      <c r="AY219" s="18">
        <f t="shared" si="143"/>
        <v>1</v>
      </c>
      <c r="AZ219" s="34">
        <v>3</v>
      </c>
      <c r="BA219" s="16"/>
      <c r="BB219" s="16">
        <v>5</v>
      </c>
      <c r="BC219" s="17"/>
      <c r="BD219" s="18">
        <f t="shared" si="144"/>
        <v>8</v>
      </c>
      <c r="BE219" s="34"/>
      <c r="BF219" s="16"/>
      <c r="BG219" s="16">
        <v>2</v>
      </c>
      <c r="BH219" s="17"/>
      <c r="BI219" s="18">
        <f t="shared" si="145"/>
        <v>2</v>
      </c>
      <c r="BJ219" s="34"/>
      <c r="BK219" s="16"/>
      <c r="BL219" s="16">
        <v>1</v>
      </c>
      <c r="BM219" s="17"/>
      <c r="BN219" s="18">
        <f t="shared" si="146"/>
        <v>1</v>
      </c>
      <c r="BO219" s="70">
        <f>SUM(G219,L219,Q219,V219,AA219,AF219,AK219,AP219,AU219,AZ219,BE219,BJ219)</f>
        <v>18</v>
      </c>
      <c r="BP219" s="16">
        <f>SUM(H219,M219,R219,W219,AB219,AG219,AL219,AQ219,AV219,BA219,BF219,BK219)</f>
        <v>1</v>
      </c>
      <c r="BQ219" s="16">
        <f>SUM(I219,N219,S219,X219,AC219,AH219,AM219,AR219,AW219,BB219,BG219,BL219)</f>
        <v>32</v>
      </c>
      <c r="BR219" s="17">
        <f>SUM(J219,O219,T219,Y219,AD219,AI219,AN219,AS219,AX219,BC219,BH219,BM219)</f>
        <v>0</v>
      </c>
      <c r="BS219" s="35">
        <f t="shared" si="135"/>
        <v>51</v>
      </c>
    </row>
    <row r="220" spans="2:71" x14ac:dyDescent="0.3">
      <c r="B220" s="269"/>
      <c r="C220" s="230"/>
      <c r="D220" s="233"/>
      <c r="E220" s="220"/>
      <c r="F220" s="123" t="s">
        <v>207</v>
      </c>
      <c r="G220" s="34"/>
      <c r="H220" s="16"/>
      <c r="I220" s="16">
        <v>1</v>
      </c>
      <c r="J220" s="17"/>
      <c r="K220" s="18">
        <f t="shared" si="134"/>
        <v>1</v>
      </c>
      <c r="L220" s="34"/>
      <c r="M220" s="16"/>
      <c r="N220" s="16"/>
      <c r="O220" s="17"/>
      <c r="P220" s="18">
        <f t="shared" si="136"/>
        <v>0</v>
      </c>
      <c r="Q220" s="34">
        <v>1</v>
      </c>
      <c r="R220" s="16"/>
      <c r="S220" s="16"/>
      <c r="T220" s="17"/>
      <c r="U220" s="18">
        <f t="shared" si="137"/>
        <v>1</v>
      </c>
      <c r="V220" s="34"/>
      <c r="W220" s="16"/>
      <c r="X220" s="16"/>
      <c r="Y220" s="17"/>
      <c r="Z220" s="18">
        <f t="shared" si="138"/>
        <v>0</v>
      </c>
      <c r="AA220" s="34"/>
      <c r="AB220" s="16"/>
      <c r="AC220" s="16">
        <v>1</v>
      </c>
      <c r="AD220" s="17"/>
      <c r="AE220" s="18">
        <f t="shared" si="139"/>
        <v>1</v>
      </c>
      <c r="AF220" s="34">
        <v>1</v>
      </c>
      <c r="AG220" s="16"/>
      <c r="AH220" s="16"/>
      <c r="AI220" s="17"/>
      <c r="AJ220" s="18">
        <f t="shared" si="140"/>
        <v>1</v>
      </c>
      <c r="AK220" s="34"/>
      <c r="AL220" s="16"/>
      <c r="AM220" s="16"/>
      <c r="AN220" s="17"/>
      <c r="AO220" s="18">
        <f t="shared" si="141"/>
        <v>0</v>
      </c>
      <c r="AP220" s="34">
        <v>1</v>
      </c>
      <c r="AQ220" s="16"/>
      <c r="AR220" s="16"/>
      <c r="AS220" s="17"/>
      <c r="AT220" s="18">
        <f t="shared" si="142"/>
        <v>1</v>
      </c>
      <c r="AU220" s="34"/>
      <c r="AV220" s="16"/>
      <c r="AW220" s="16"/>
      <c r="AX220" s="17"/>
      <c r="AY220" s="18">
        <f t="shared" si="143"/>
        <v>0</v>
      </c>
      <c r="AZ220" s="34"/>
      <c r="BA220" s="16"/>
      <c r="BB220" s="16">
        <v>1</v>
      </c>
      <c r="BC220" s="17"/>
      <c r="BD220" s="18">
        <f t="shared" si="144"/>
        <v>1</v>
      </c>
      <c r="BE220" s="34"/>
      <c r="BF220" s="16"/>
      <c r="BG220" s="16"/>
      <c r="BH220" s="17"/>
      <c r="BI220" s="18">
        <f t="shared" si="145"/>
        <v>0</v>
      </c>
      <c r="BJ220" s="34"/>
      <c r="BK220" s="16"/>
      <c r="BL220" s="16"/>
      <c r="BM220" s="17"/>
      <c r="BN220" s="18">
        <f t="shared" si="146"/>
        <v>0</v>
      </c>
      <c r="BO220" s="70">
        <f>SUM(G220,L220,Q220,V220,AA220,AF220,AK220,AP220,AU220,AZ220,BE220,BJ220)</f>
        <v>3</v>
      </c>
      <c r="BP220" s="16">
        <f>SUM(H220,M220,R220,W220,AB220,AG220,AL220,AQ220,AV220,BA220,BF220,BK220)</f>
        <v>0</v>
      </c>
      <c r="BQ220" s="16">
        <f>SUM(I220,N220,S220,X220,AC220,AH220,AM220,AR220,AW220,BB220,BG220,BL220)</f>
        <v>3</v>
      </c>
      <c r="BR220" s="17">
        <f>SUM(J220,O220,T220,Y220,AD220,AI220,AN220,AS220,AX220,BC220,BH220,BM220)</f>
        <v>0</v>
      </c>
      <c r="BS220" s="35">
        <f t="shared" si="135"/>
        <v>6</v>
      </c>
    </row>
    <row r="221" spans="2:71" x14ac:dyDescent="0.3">
      <c r="B221" s="269"/>
      <c r="C221" s="230"/>
      <c r="D221" s="233"/>
      <c r="E221" s="220"/>
      <c r="F221" s="123" t="s">
        <v>258</v>
      </c>
      <c r="G221" s="34">
        <v>37</v>
      </c>
      <c r="H221" s="16"/>
      <c r="I221" s="16">
        <v>1</v>
      </c>
      <c r="J221" s="17"/>
      <c r="K221" s="18">
        <f t="shared" si="134"/>
        <v>38</v>
      </c>
      <c r="L221" s="34">
        <v>30</v>
      </c>
      <c r="M221" s="16"/>
      <c r="N221" s="16"/>
      <c r="O221" s="17"/>
      <c r="P221" s="18">
        <f t="shared" si="136"/>
        <v>30</v>
      </c>
      <c r="Q221" s="34">
        <v>39</v>
      </c>
      <c r="R221" s="16">
        <v>1</v>
      </c>
      <c r="S221" s="16">
        <v>4</v>
      </c>
      <c r="T221" s="17"/>
      <c r="U221" s="18">
        <f t="shared" si="137"/>
        <v>44</v>
      </c>
      <c r="V221" s="34">
        <v>41</v>
      </c>
      <c r="W221" s="16"/>
      <c r="X221" s="16"/>
      <c r="Y221" s="17"/>
      <c r="Z221" s="18">
        <f t="shared" si="138"/>
        <v>41</v>
      </c>
      <c r="AA221" s="34">
        <v>86</v>
      </c>
      <c r="AB221" s="16"/>
      <c r="AC221" s="16">
        <v>3</v>
      </c>
      <c r="AD221" s="17"/>
      <c r="AE221" s="18">
        <f t="shared" si="139"/>
        <v>89</v>
      </c>
      <c r="AF221" s="34">
        <v>47</v>
      </c>
      <c r="AG221" s="16"/>
      <c r="AH221" s="16">
        <v>2</v>
      </c>
      <c r="AI221" s="17"/>
      <c r="AJ221" s="18">
        <f t="shared" si="140"/>
        <v>49</v>
      </c>
      <c r="AK221" s="34">
        <v>24</v>
      </c>
      <c r="AL221" s="16"/>
      <c r="AM221" s="16"/>
      <c r="AN221" s="17"/>
      <c r="AO221" s="18">
        <f t="shared" si="141"/>
        <v>24</v>
      </c>
      <c r="AP221" s="34">
        <v>22</v>
      </c>
      <c r="AQ221" s="16"/>
      <c r="AR221" s="16">
        <v>2</v>
      </c>
      <c r="AS221" s="17"/>
      <c r="AT221" s="18">
        <f t="shared" si="142"/>
        <v>24</v>
      </c>
      <c r="AU221" s="34">
        <v>20</v>
      </c>
      <c r="AV221" s="16"/>
      <c r="AW221" s="16">
        <v>2</v>
      </c>
      <c r="AX221" s="17"/>
      <c r="AY221" s="18">
        <f t="shared" si="143"/>
        <v>22</v>
      </c>
      <c r="AZ221" s="34">
        <v>62</v>
      </c>
      <c r="BA221" s="16"/>
      <c r="BB221" s="16">
        <v>1</v>
      </c>
      <c r="BC221" s="17"/>
      <c r="BD221" s="18">
        <f t="shared" si="144"/>
        <v>63</v>
      </c>
      <c r="BE221" s="34">
        <v>27</v>
      </c>
      <c r="BF221" s="16">
        <v>1</v>
      </c>
      <c r="BG221" s="16">
        <v>4</v>
      </c>
      <c r="BH221" s="17"/>
      <c r="BI221" s="18">
        <f t="shared" si="145"/>
        <v>32</v>
      </c>
      <c r="BJ221" s="34">
        <v>5</v>
      </c>
      <c r="BK221" s="16"/>
      <c r="BL221" s="16">
        <v>1</v>
      </c>
      <c r="BM221" s="17"/>
      <c r="BN221" s="18">
        <f t="shared" si="146"/>
        <v>6</v>
      </c>
      <c r="BO221" s="70">
        <f>SUM(G221,L221,Q221,V221,AA221,AF221,AK221,AP221,AU221,AZ221,BE221,BJ221)</f>
        <v>440</v>
      </c>
      <c r="BP221" s="16">
        <f>SUM(H221,M221,R221,W221,AB221,AG221,AL221,AQ221,AV221,BA221,BF221,BK221)</f>
        <v>2</v>
      </c>
      <c r="BQ221" s="16">
        <f>SUM(I221,N221,S221,X221,AC221,AH221,AM221,AR221,AW221,BB221,BG221,BL221)</f>
        <v>20</v>
      </c>
      <c r="BR221" s="17">
        <f>SUM(J221,O221,T221,Y221,AD221,AI221,AN221,AS221,AX221,BC221,BH221,BM221)</f>
        <v>0</v>
      </c>
      <c r="BS221" s="35">
        <f t="shared" si="135"/>
        <v>462</v>
      </c>
    </row>
    <row r="222" spans="2:71" x14ac:dyDescent="0.3">
      <c r="B222" s="269"/>
      <c r="C222" s="230"/>
      <c r="D222" s="233"/>
      <c r="E222" s="220"/>
      <c r="F222" s="123" t="s">
        <v>259</v>
      </c>
      <c r="G222" s="34"/>
      <c r="H222" s="16"/>
      <c r="I222" s="16"/>
      <c r="J222" s="17"/>
      <c r="K222" s="18">
        <f t="shared" si="134"/>
        <v>0</v>
      </c>
      <c r="L222" s="34">
        <v>1</v>
      </c>
      <c r="M222" s="16"/>
      <c r="N222" s="16"/>
      <c r="O222" s="17"/>
      <c r="P222" s="18">
        <f t="shared" si="136"/>
        <v>1</v>
      </c>
      <c r="Q222" s="34">
        <v>5</v>
      </c>
      <c r="R222" s="16"/>
      <c r="S222" s="16"/>
      <c r="T222" s="17"/>
      <c r="U222" s="18">
        <f t="shared" si="137"/>
        <v>5</v>
      </c>
      <c r="V222" s="34">
        <v>4</v>
      </c>
      <c r="W222" s="16"/>
      <c r="X222" s="16"/>
      <c r="Y222" s="17"/>
      <c r="Z222" s="18">
        <f t="shared" si="138"/>
        <v>4</v>
      </c>
      <c r="AA222" s="34">
        <v>6</v>
      </c>
      <c r="AB222" s="16"/>
      <c r="AC222" s="16"/>
      <c r="AD222" s="17"/>
      <c r="AE222" s="18">
        <f t="shared" si="139"/>
        <v>6</v>
      </c>
      <c r="AF222" s="34">
        <v>7</v>
      </c>
      <c r="AG222" s="16"/>
      <c r="AH222" s="16"/>
      <c r="AI222" s="17"/>
      <c r="AJ222" s="18">
        <f t="shared" si="140"/>
        <v>7</v>
      </c>
      <c r="AK222" s="34">
        <v>1</v>
      </c>
      <c r="AL222" s="16"/>
      <c r="AM222" s="16"/>
      <c r="AN222" s="17"/>
      <c r="AO222" s="18">
        <f t="shared" si="141"/>
        <v>1</v>
      </c>
      <c r="AP222" s="34">
        <v>5</v>
      </c>
      <c r="AQ222" s="16"/>
      <c r="AR222" s="16"/>
      <c r="AS222" s="17"/>
      <c r="AT222" s="18">
        <f t="shared" si="142"/>
        <v>5</v>
      </c>
      <c r="AU222" s="34">
        <v>1</v>
      </c>
      <c r="AV222" s="16"/>
      <c r="AW222" s="16"/>
      <c r="AX222" s="17"/>
      <c r="AY222" s="18">
        <f t="shared" si="143"/>
        <v>1</v>
      </c>
      <c r="AZ222" s="34">
        <v>9</v>
      </c>
      <c r="BA222" s="16"/>
      <c r="BB222" s="16"/>
      <c r="BC222" s="17"/>
      <c r="BD222" s="18">
        <f t="shared" si="144"/>
        <v>9</v>
      </c>
      <c r="BE222" s="34">
        <v>1</v>
      </c>
      <c r="BF222" s="16"/>
      <c r="BG222" s="16"/>
      <c r="BH222" s="17"/>
      <c r="BI222" s="18">
        <f t="shared" si="145"/>
        <v>1</v>
      </c>
      <c r="BJ222" s="34">
        <v>2</v>
      </c>
      <c r="BK222" s="16"/>
      <c r="BL222" s="16"/>
      <c r="BM222" s="17"/>
      <c r="BN222" s="18">
        <f t="shared" si="146"/>
        <v>2</v>
      </c>
      <c r="BO222" s="70">
        <f>SUM(G222,L222,Q222,V222,AA222,AF222,AK222,AP222,AU222,AZ222,BE222,BJ222)</f>
        <v>42</v>
      </c>
      <c r="BP222" s="16">
        <f>SUM(H222,M222,R222,W222,AB222,AG222,AL222,AQ222,AV222,BA222,BF222,BK222)</f>
        <v>0</v>
      </c>
      <c r="BQ222" s="16">
        <f>SUM(I222,N222,S222,X222,AC222,AH222,AM222,AR222,AW222,BB222,BG222,BL222)</f>
        <v>0</v>
      </c>
      <c r="BR222" s="17">
        <f>SUM(J222,O222,T222,Y222,AD222,AI222,AN222,AS222,AX222,BC222,BH222,BM222)</f>
        <v>0</v>
      </c>
      <c r="BS222" s="35">
        <f t="shared" si="135"/>
        <v>42</v>
      </c>
    </row>
    <row r="223" spans="2:71" x14ac:dyDescent="0.3">
      <c r="B223" s="269"/>
      <c r="C223" s="230"/>
      <c r="D223" s="233"/>
      <c r="E223" s="220"/>
      <c r="F223" s="123" t="s">
        <v>260</v>
      </c>
      <c r="G223" s="34">
        <v>4</v>
      </c>
      <c r="H223" s="16"/>
      <c r="I223" s="16">
        <v>3</v>
      </c>
      <c r="J223" s="17"/>
      <c r="K223" s="18">
        <f t="shared" si="134"/>
        <v>7</v>
      </c>
      <c r="L223" s="34">
        <v>1</v>
      </c>
      <c r="M223" s="16"/>
      <c r="N223" s="16">
        <v>4</v>
      </c>
      <c r="O223" s="17"/>
      <c r="P223" s="18">
        <f t="shared" si="136"/>
        <v>5</v>
      </c>
      <c r="Q223" s="34">
        <v>4</v>
      </c>
      <c r="R223" s="16"/>
      <c r="S223" s="16">
        <v>4</v>
      </c>
      <c r="T223" s="17"/>
      <c r="U223" s="18">
        <f t="shared" si="137"/>
        <v>8</v>
      </c>
      <c r="V223" s="34">
        <v>4</v>
      </c>
      <c r="W223" s="16"/>
      <c r="X223" s="16">
        <v>2</v>
      </c>
      <c r="Y223" s="17"/>
      <c r="Z223" s="18">
        <f t="shared" si="138"/>
        <v>6</v>
      </c>
      <c r="AA223" s="34">
        <v>2</v>
      </c>
      <c r="AB223" s="16">
        <v>1</v>
      </c>
      <c r="AC223" s="16">
        <v>11</v>
      </c>
      <c r="AD223" s="17"/>
      <c r="AE223" s="18">
        <f t="shared" si="139"/>
        <v>14</v>
      </c>
      <c r="AF223" s="34">
        <v>5</v>
      </c>
      <c r="AG223" s="16"/>
      <c r="AH223" s="16">
        <v>2</v>
      </c>
      <c r="AI223" s="17"/>
      <c r="AJ223" s="18">
        <f t="shared" si="140"/>
        <v>7</v>
      </c>
      <c r="AK223" s="34">
        <v>1</v>
      </c>
      <c r="AL223" s="16"/>
      <c r="AM223" s="16">
        <v>1</v>
      </c>
      <c r="AN223" s="17"/>
      <c r="AO223" s="18">
        <f t="shared" si="141"/>
        <v>2</v>
      </c>
      <c r="AP223" s="34">
        <v>2</v>
      </c>
      <c r="AQ223" s="16"/>
      <c r="AR223" s="16">
        <v>3</v>
      </c>
      <c r="AS223" s="17"/>
      <c r="AT223" s="18">
        <f t="shared" si="142"/>
        <v>5</v>
      </c>
      <c r="AU223" s="34">
        <v>2</v>
      </c>
      <c r="AV223" s="16"/>
      <c r="AW223" s="16">
        <v>1</v>
      </c>
      <c r="AX223" s="17"/>
      <c r="AY223" s="18">
        <f t="shared" si="143"/>
        <v>3</v>
      </c>
      <c r="AZ223" s="34"/>
      <c r="BA223" s="16"/>
      <c r="BB223" s="16">
        <v>2</v>
      </c>
      <c r="BC223" s="17"/>
      <c r="BD223" s="18">
        <f t="shared" si="144"/>
        <v>2</v>
      </c>
      <c r="BE223" s="34"/>
      <c r="BF223" s="16"/>
      <c r="BG223" s="16">
        <v>4</v>
      </c>
      <c r="BH223" s="17"/>
      <c r="BI223" s="18">
        <f t="shared" si="145"/>
        <v>4</v>
      </c>
      <c r="BJ223" s="34"/>
      <c r="BK223" s="16"/>
      <c r="BL223" s="16"/>
      <c r="BM223" s="17"/>
      <c r="BN223" s="18">
        <f t="shared" si="146"/>
        <v>0</v>
      </c>
      <c r="BO223" s="70">
        <f>SUM(G223,L223,Q223,V223,AA223,AF223,AK223,AP223,AU223,AZ223,BE223,BJ223)</f>
        <v>25</v>
      </c>
      <c r="BP223" s="16">
        <f>SUM(H223,M223,R223,W223,AB223,AG223,AL223,AQ223,AV223,BA223,BF223,BK223)</f>
        <v>1</v>
      </c>
      <c r="BQ223" s="16">
        <f>SUM(I223,N223,S223,X223,AC223,AH223,AM223,AR223,AW223,BB223,BG223,BL223)</f>
        <v>37</v>
      </c>
      <c r="BR223" s="17">
        <f>SUM(J223,O223,T223,Y223,AD223,AI223,AN223,AS223,AX223,BC223,BH223,BM223)</f>
        <v>0</v>
      </c>
      <c r="BS223" s="35">
        <f t="shared" si="135"/>
        <v>63</v>
      </c>
    </row>
    <row r="224" spans="2:71" x14ac:dyDescent="0.3">
      <c r="B224" s="269"/>
      <c r="C224" s="230"/>
      <c r="D224" s="233"/>
      <c r="E224" s="220"/>
      <c r="F224" s="123" t="s">
        <v>261</v>
      </c>
      <c r="G224" s="34"/>
      <c r="H224" s="16"/>
      <c r="I224" s="16"/>
      <c r="J224" s="17"/>
      <c r="K224" s="18">
        <f t="shared" si="134"/>
        <v>0</v>
      </c>
      <c r="L224" s="34">
        <v>1</v>
      </c>
      <c r="M224" s="16"/>
      <c r="N224" s="16"/>
      <c r="O224" s="17"/>
      <c r="P224" s="18">
        <f t="shared" si="136"/>
        <v>1</v>
      </c>
      <c r="Q224" s="34"/>
      <c r="R224" s="16"/>
      <c r="S224" s="16"/>
      <c r="T224" s="17"/>
      <c r="U224" s="18">
        <f t="shared" si="137"/>
        <v>0</v>
      </c>
      <c r="V224" s="34"/>
      <c r="W224" s="16"/>
      <c r="X224" s="16"/>
      <c r="Y224" s="17"/>
      <c r="Z224" s="18">
        <f t="shared" si="138"/>
        <v>0</v>
      </c>
      <c r="AA224" s="34"/>
      <c r="AB224" s="16"/>
      <c r="AC224" s="16"/>
      <c r="AD224" s="17"/>
      <c r="AE224" s="18">
        <f t="shared" si="139"/>
        <v>0</v>
      </c>
      <c r="AF224" s="34"/>
      <c r="AG224" s="16"/>
      <c r="AH224" s="16"/>
      <c r="AI224" s="17"/>
      <c r="AJ224" s="18">
        <f t="shared" si="140"/>
        <v>0</v>
      </c>
      <c r="AK224" s="34"/>
      <c r="AL224" s="16"/>
      <c r="AM224" s="16">
        <v>1</v>
      </c>
      <c r="AN224" s="17"/>
      <c r="AO224" s="18">
        <f t="shared" si="141"/>
        <v>1</v>
      </c>
      <c r="AP224" s="34"/>
      <c r="AQ224" s="16"/>
      <c r="AR224" s="16">
        <v>3</v>
      </c>
      <c r="AS224" s="17"/>
      <c r="AT224" s="18">
        <f t="shared" si="142"/>
        <v>3</v>
      </c>
      <c r="AU224" s="34"/>
      <c r="AV224" s="16"/>
      <c r="AW224" s="16"/>
      <c r="AX224" s="17"/>
      <c r="AY224" s="18">
        <f t="shared" si="143"/>
        <v>0</v>
      </c>
      <c r="AZ224" s="34"/>
      <c r="BA224" s="16"/>
      <c r="BB224" s="16">
        <v>1</v>
      </c>
      <c r="BC224" s="17"/>
      <c r="BD224" s="18">
        <f t="shared" si="144"/>
        <v>1</v>
      </c>
      <c r="BE224" s="34">
        <v>1</v>
      </c>
      <c r="BF224" s="16"/>
      <c r="BG224" s="16"/>
      <c r="BH224" s="17"/>
      <c r="BI224" s="18">
        <f t="shared" si="145"/>
        <v>1</v>
      </c>
      <c r="BJ224" s="34"/>
      <c r="BK224" s="16"/>
      <c r="BL224" s="16"/>
      <c r="BM224" s="17"/>
      <c r="BN224" s="18">
        <f t="shared" si="146"/>
        <v>0</v>
      </c>
      <c r="BO224" s="70">
        <f>SUM(G224,L224,Q224,V224,AA224,AF224,AK224,AP224,AU224,AZ224,BE224,BJ224)</f>
        <v>2</v>
      </c>
      <c r="BP224" s="16">
        <f>SUM(H224,M224,R224,W224,AB224,AG224,AL224,AQ224,AV224,BA224,BF224,BK224)</f>
        <v>0</v>
      </c>
      <c r="BQ224" s="16">
        <f>SUM(I224,N224,S224,X224,AC224,AH224,AM224,AR224,AW224,BB224,BG224,BL224)</f>
        <v>5</v>
      </c>
      <c r="BR224" s="17">
        <f>SUM(J224,O224,T224,Y224,AD224,AI224,AN224,AS224,AX224,BC224,BH224,BM224)</f>
        <v>0</v>
      </c>
      <c r="BS224" s="35">
        <f t="shared" si="135"/>
        <v>7</v>
      </c>
    </row>
    <row r="225" spans="2:71" x14ac:dyDescent="0.3">
      <c r="B225" s="269"/>
      <c r="C225" s="230"/>
      <c r="D225" s="233"/>
      <c r="E225" s="220"/>
      <c r="F225" s="121" t="s">
        <v>479</v>
      </c>
      <c r="G225" s="32">
        <v>610</v>
      </c>
      <c r="H225" s="13">
        <v>3</v>
      </c>
      <c r="I225" s="13">
        <v>17</v>
      </c>
      <c r="J225" s="14"/>
      <c r="K225" s="15">
        <f t="shared" si="134"/>
        <v>630</v>
      </c>
      <c r="L225" s="32">
        <v>318</v>
      </c>
      <c r="M225" s="13"/>
      <c r="N225" s="13">
        <v>20</v>
      </c>
      <c r="O225" s="14"/>
      <c r="P225" s="15">
        <f t="shared" si="136"/>
        <v>338</v>
      </c>
      <c r="Q225" s="32">
        <v>481</v>
      </c>
      <c r="R225" s="13"/>
      <c r="S225" s="13">
        <v>30</v>
      </c>
      <c r="T225" s="14"/>
      <c r="U225" s="15">
        <f t="shared" si="137"/>
        <v>511</v>
      </c>
      <c r="V225" s="32">
        <v>205</v>
      </c>
      <c r="W225" s="13"/>
      <c r="X225" s="13">
        <v>8</v>
      </c>
      <c r="Y225" s="14"/>
      <c r="Z225" s="15">
        <f t="shared" si="138"/>
        <v>213</v>
      </c>
      <c r="AA225" s="32">
        <v>434</v>
      </c>
      <c r="AB225" s="13">
        <v>2</v>
      </c>
      <c r="AC225" s="13">
        <v>20</v>
      </c>
      <c r="AD225" s="14"/>
      <c r="AE225" s="15">
        <f t="shared" si="139"/>
        <v>456</v>
      </c>
      <c r="AF225" s="32">
        <v>318</v>
      </c>
      <c r="AG225" s="13"/>
      <c r="AH225" s="13">
        <v>9</v>
      </c>
      <c r="AI225" s="14"/>
      <c r="AJ225" s="15">
        <f t="shared" si="140"/>
        <v>327</v>
      </c>
      <c r="AK225" s="32">
        <v>111</v>
      </c>
      <c r="AL225" s="13"/>
      <c r="AM225" s="13"/>
      <c r="AN225" s="14"/>
      <c r="AO225" s="15">
        <f t="shared" si="141"/>
        <v>111</v>
      </c>
      <c r="AP225" s="32">
        <v>211</v>
      </c>
      <c r="AQ225" s="13">
        <v>1</v>
      </c>
      <c r="AR225" s="13">
        <v>11</v>
      </c>
      <c r="AS225" s="14"/>
      <c r="AT225" s="15">
        <f t="shared" si="142"/>
        <v>223</v>
      </c>
      <c r="AU225" s="32">
        <v>501</v>
      </c>
      <c r="AV225" s="13"/>
      <c r="AW225" s="13">
        <v>5</v>
      </c>
      <c r="AX225" s="14"/>
      <c r="AY225" s="15">
        <f t="shared" si="143"/>
        <v>506</v>
      </c>
      <c r="AZ225" s="32"/>
      <c r="BA225" s="13"/>
      <c r="BB225" s="13"/>
      <c r="BC225" s="14"/>
      <c r="BD225" s="15">
        <f t="shared" si="144"/>
        <v>0</v>
      </c>
      <c r="BE225" s="32"/>
      <c r="BF225" s="13"/>
      <c r="BG225" s="13"/>
      <c r="BH225" s="14"/>
      <c r="BI225" s="15">
        <f t="shared" si="145"/>
        <v>0</v>
      </c>
      <c r="BJ225" s="32"/>
      <c r="BK225" s="13"/>
      <c r="BL225" s="13"/>
      <c r="BM225" s="14"/>
      <c r="BN225" s="15">
        <f t="shared" si="146"/>
        <v>0</v>
      </c>
      <c r="BO225" s="66">
        <f>SUM(G225,L225,Q225,V225,AA225,AF225,AK225,AP225,AU225,AZ225,BE225,BJ225)</f>
        <v>3189</v>
      </c>
      <c r="BP225" s="13">
        <f>SUM(H225,M225,R225,W225,AB225,AG225,AL225,AQ225,AV225,BA225,BF225,BK225)</f>
        <v>6</v>
      </c>
      <c r="BQ225" s="13">
        <f>SUM(I225,N225,S225,X225,AC225,AH225,AM225,AR225,AW225,BB225,BG225,BL225)</f>
        <v>120</v>
      </c>
      <c r="BR225" s="14">
        <f>SUM(J225,O225,T225,Y225,AD225,AI225,AN225,AS225,AX225,BC225,BH225,BM225)</f>
        <v>0</v>
      </c>
      <c r="BS225" s="33">
        <f t="shared" si="135"/>
        <v>3315</v>
      </c>
    </row>
    <row r="226" spans="2:71" x14ac:dyDescent="0.3">
      <c r="B226" s="269"/>
      <c r="C226" s="230"/>
      <c r="D226" s="233"/>
      <c r="E226" s="220"/>
      <c r="F226" s="121" t="s">
        <v>480</v>
      </c>
      <c r="G226" s="32">
        <v>64</v>
      </c>
      <c r="H226" s="13"/>
      <c r="I226" s="13"/>
      <c r="J226" s="14"/>
      <c r="K226" s="15">
        <f t="shared" si="134"/>
        <v>64</v>
      </c>
      <c r="L226" s="32">
        <v>45</v>
      </c>
      <c r="M226" s="13"/>
      <c r="N226" s="13">
        <v>2</v>
      </c>
      <c r="O226" s="14"/>
      <c r="P226" s="15">
        <f t="shared" si="136"/>
        <v>47</v>
      </c>
      <c r="Q226" s="32">
        <v>90</v>
      </c>
      <c r="R226" s="13"/>
      <c r="S226" s="13">
        <v>3</v>
      </c>
      <c r="T226" s="14"/>
      <c r="U226" s="15">
        <f t="shared" si="137"/>
        <v>93</v>
      </c>
      <c r="V226" s="32">
        <v>31</v>
      </c>
      <c r="W226" s="13"/>
      <c r="X226" s="13">
        <v>1</v>
      </c>
      <c r="Y226" s="14"/>
      <c r="Z226" s="15">
        <f t="shared" si="138"/>
        <v>32</v>
      </c>
      <c r="AA226" s="32">
        <v>129</v>
      </c>
      <c r="AB226" s="13"/>
      <c r="AC226" s="13">
        <v>3</v>
      </c>
      <c r="AD226" s="14"/>
      <c r="AE226" s="15">
        <f t="shared" si="139"/>
        <v>132</v>
      </c>
      <c r="AF226" s="32">
        <v>60</v>
      </c>
      <c r="AG226" s="13"/>
      <c r="AH226" s="13">
        <v>3</v>
      </c>
      <c r="AI226" s="14"/>
      <c r="AJ226" s="15">
        <f t="shared" si="140"/>
        <v>63</v>
      </c>
      <c r="AK226" s="32">
        <v>46</v>
      </c>
      <c r="AL226" s="13">
        <v>1</v>
      </c>
      <c r="AM226" s="13">
        <v>3</v>
      </c>
      <c r="AN226" s="14"/>
      <c r="AO226" s="15">
        <f t="shared" si="141"/>
        <v>50</v>
      </c>
      <c r="AP226" s="32">
        <v>81</v>
      </c>
      <c r="AQ226" s="13"/>
      <c r="AR226" s="13">
        <v>6</v>
      </c>
      <c r="AS226" s="14"/>
      <c r="AT226" s="15">
        <f t="shared" si="142"/>
        <v>87</v>
      </c>
      <c r="AU226" s="32">
        <v>169</v>
      </c>
      <c r="AV226" s="13"/>
      <c r="AW226" s="13">
        <v>1</v>
      </c>
      <c r="AX226" s="14"/>
      <c r="AY226" s="15">
        <f t="shared" si="143"/>
        <v>170</v>
      </c>
      <c r="AZ226" s="32"/>
      <c r="BA226" s="13"/>
      <c r="BB226" s="13"/>
      <c r="BC226" s="14"/>
      <c r="BD226" s="15">
        <f t="shared" si="144"/>
        <v>0</v>
      </c>
      <c r="BE226" s="32"/>
      <c r="BF226" s="13"/>
      <c r="BG226" s="13"/>
      <c r="BH226" s="14"/>
      <c r="BI226" s="15">
        <f t="shared" si="145"/>
        <v>0</v>
      </c>
      <c r="BJ226" s="32"/>
      <c r="BK226" s="13"/>
      <c r="BL226" s="13"/>
      <c r="BM226" s="14"/>
      <c r="BN226" s="15">
        <f t="shared" si="146"/>
        <v>0</v>
      </c>
      <c r="BO226" s="66">
        <f>SUM(G226,L226,Q226,V226,AA226,AF226,AK226,AP226,AU226,AZ226,BE226,BJ226)</f>
        <v>715</v>
      </c>
      <c r="BP226" s="13">
        <f>SUM(H226,M226,R226,W226,AB226,AG226,AL226,AQ226,AV226,BA226,BF226,BK226)</f>
        <v>1</v>
      </c>
      <c r="BQ226" s="13">
        <f>SUM(I226,N226,S226,X226,AC226,AH226,AM226,AR226,AW226,BB226,BG226,BL226)</f>
        <v>22</v>
      </c>
      <c r="BR226" s="14">
        <f>SUM(J226,O226,T226,Y226,AD226,AI226,AN226,AS226,AX226,BC226,BH226,BM226)</f>
        <v>0</v>
      </c>
      <c r="BS226" s="33">
        <f t="shared" si="135"/>
        <v>738</v>
      </c>
    </row>
    <row r="227" spans="2:71" x14ac:dyDescent="0.3">
      <c r="B227" s="269"/>
      <c r="C227" s="230"/>
      <c r="D227" s="233"/>
      <c r="E227" s="220"/>
      <c r="F227" s="121" t="s">
        <v>481</v>
      </c>
      <c r="G227" s="32">
        <v>371</v>
      </c>
      <c r="H227" s="13">
        <v>1</v>
      </c>
      <c r="I227" s="13">
        <v>16</v>
      </c>
      <c r="J227" s="14"/>
      <c r="K227" s="15">
        <f t="shared" si="134"/>
        <v>388</v>
      </c>
      <c r="L227" s="32">
        <v>180</v>
      </c>
      <c r="M227" s="13">
        <v>1</v>
      </c>
      <c r="N227" s="13">
        <v>9</v>
      </c>
      <c r="O227" s="14"/>
      <c r="P227" s="15">
        <f t="shared" si="136"/>
        <v>190</v>
      </c>
      <c r="Q227" s="32">
        <v>306</v>
      </c>
      <c r="R227" s="13">
        <v>3</v>
      </c>
      <c r="S227" s="13">
        <v>24</v>
      </c>
      <c r="T227" s="14"/>
      <c r="U227" s="15">
        <f t="shared" si="137"/>
        <v>333</v>
      </c>
      <c r="V227" s="32">
        <v>128</v>
      </c>
      <c r="W227" s="13"/>
      <c r="X227" s="13">
        <v>10</v>
      </c>
      <c r="Y227" s="14"/>
      <c r="Z227" s="15">
        <f t="shared" si="138"/>
        <v>138</v>
      </c>
      <c r="AA227" s="32">
        <v>264</v>
      </c>
      <c r="AB227" s="13"/>
      <c r="AC227" s="13">
        <v>26</v>
      </c>
      <c r="AD227" s="14"/>
      <c r="AE227" s="15">
        <f t="shared" si="139"/>
        <v>290</v>
      </c>
      <c r="AF227" s="32">
        <v>202</v>
      </c>
      <c r="AG227" s="13">
        <v>1</v>
      </c>
      <c r="AH227" s="13">
        <v>15</v>
      </c>
      <c r="AI227" s="14"/>
      <c r="AJ227" s="15">
        <f t="shared" si="140"/>
        <v>218</v>
      </c>
      <c r="AK227" s="32">
        <v>60</v>
      </c>
      <c r="AL227" s="13"/>
      <c r="AM227" s="13">
        <v>1</v>
      </c>
      <c r="AN227" s="14"/>
      <c r="AO227" s="15">
        <f t="shared" si="141"/>
        <v>61</v>
      </c>
      <c r="AP227" s="32">
        <v>119</v>
      </c>
      <c r="AQ227" s="13">
        <v>2</v>
      </c>
      <c r="AR227" s="13">
        <v>15</v>
      </c>
      <c r="AS227" s="14"/>
      <c r="AT227" s="15">
        <f t="shared" si="142"/>
        <v>136</v>
      </c>
      <c r="AU227" s="32">
        <v>302</v>
      </c>
      <c r="AV227" s="13"/>
      <c r="AW227" s="13">
        <v>10</v>
      </c>
      <c r="AX227" s="14"/>
      <c r="AY227" s="15">
        <f t="shared" si="143"/>
        <v>312</v>
      </c>
      <c r="AZ227" s="32"/>
      <c r="BA227" s="13"/>
      <c r="BB227" s="13"/>
      <c r="BC227" s="14"/>
      <c r="BD227" s="15">
        <f t="shared" si="144"/>
        <v>0</v>
      </c>
      <c r="BE227" s="32"/>
      <c r="BF227" s="13"/>
      <c r="BG227" s="13"/>
      <c r="BH227" s="14"/>
      <c r="BI227" s="15">
        <f t="shared" si="145"/>
        <v>0</v>
      </c>
      <c r="BJ227" s="32"/>
      <c r="BK227" s="13"/>
      <c r="BL227" s="13"/>
      <c r="BM227" s="14"/>
      <c r="BN227" s="15">
        <f t="shared" si="146"/>
        <v>0</v>
      </c>
      <c r="BO227" s="66">
        <f>SUM(G227,L227,Q227,V227,AA227,AF227,AK227,AP227,AU227,AZ227,BE227,BJ227)</f>
        <v>1932</v>
      </c>
      <c r="BP227" s="13">
        <f>SUM(H227,M227,R227,W227,AB227,AG227,AL227,AQ227,AV227,BA227,BF227,BK227)</f>
        <v>8</v>
      </c>
      <c r="BQ227" s="13">
        <f>SUM(I227,N227,S227,X227,AC227,AH227,AM227,AR227,AW227,BB227,BG227,BL227)</f>
        <v>126</v>
      </c>
      <c r="BR227" s="14">
        <f>SUM(J227,O227,T227,Y227,AD227,AI227,AN227,AS227,AX227,BC227,BH227,BM227)</f>
        <v>0</v>
      </c>
      <c r="BS227" s="33">
        <f t="shared" si="135"/>
        <v>2066</v>
      </c>
    </row>
    <row r="228" spans="2:71" x14ac:dyDescent="0.3">
      <c r="B228" s="269"/>
      <c r="C228" s="230"/>
      <c r="D228" s="233"/>
      <c r="E228" s="220"/>
      <c r="F228" s="121" t="s">
        <v>482</v>
      </c>
      <c r="G228" s="193">
        <v>41</v>
      </c>
      <c r="H228" s="13"/>
      <c r="I228" s="13">
        <v>1</v>
      </c>
      <c r="J228" s="14"/>
      <c r="K228" s="15">
        <f t="shared" si="134"/>
        <v>42</v>
      </c>
      <c r="L228" s="32">
        <v>27</v>
      </c>
      <c r="M228" s="13"/>
      <c r="N228" s="13">
        <v>1</v>
      </c>
      <c r="O228" s="14"/>
      <c r="P228" s="15">
        <f t="shared" si="136"/>
        <v>28</v>
      </c>
      <c r="Q228" s="32">
        <v>58</v>
      </c>
      <c r="R228" s="13"/>
      <c r="S228" s="13">
        <v>7</v>
      </c>
      <c r="T228" s="14"/>
      <c r="U228" s="15">
        <f t="shared" si="137"/>
        <v>65</v>
      </c>
      <c r="V228" s="32">
        <v>25</v>
      </c>
      <c r="W228" s="13"/>
      <c r="X228" s="13"/>
      <c r="Y228" s="14"/>
      <c r="Z228" s="15">
        <f t="shared" si="138"/>
        <v>25</v>
      </c>
      <c r="AA228" s="32">
        <v>87</v>
      </c>
      <c r="AB228" s="13"/>
      <c r="AC228" s="13">
        <v>2</v>
      </c>
      <c r="AD228" s="14"/>
      <c r="AE228" s="15">
        <f t="shared" si="139"/>
        <v>89</v>
      </c>
      <c r="AF228" s="32">
        <v>40</v>
      </c>
      <c r="AG228" s="13">
        <v>1</v>
      </c>
      <c r="AH228" s="13">
        <v>1</v>
      </c>
      <c r="AI228" s="14"/>
      <c r="AJ228" s="15">
        <f t="shared" si="140"/>
        <v>42</v>
      </c>
      <c r="AK228" s="32">
        <v>22</v>
      </c>
      <c r="AL228" s="13">
        <v>1</v>
      </c>
      <c r="AM228" s="13">
        <v>4</v>
      </c>
      <c r="AN228" s="14"/>
      <c r="AO228" s="15">
        <f t="shared" si="141"/>
        <v>27</v>
      </c>
      <c r="AP228" s="32">
        <v>57</v>
      </c>
      <c r="AQ228" s="13"/>
      <c r="AR228" s="13">
        <v>5</v>
      </c>
      <c r="AS228" s="14"/>
      <c r="AT228" s="15">
        <f t="shared" si="142"/>
        <v>62</v>
      </c>
      <c r="AU228" s="32">
        <v>100</v>
      </c>
      <c r="AV228" s="13"/>
      <c r="AW228" s="13">
        <v>4</v>
      </c>
      <c r="AX228" s="14"/>
      <c r="AY228" s="15">
        <f t="shared" si="143"/>
        <v>104</v>
      </c>
      <c r="AZ228" s="32"/>
      <c r="BA228" s="13"/>
      <c r="BB228" s="13"/>
      <c r="BC228" s="14"/>
      <c r="BD228" s="15">
        <f t="shared" si="144"/>
        <v>0</v>
      </c>
      <c r="BE228" s="32"/>
      <c r="BF228" s="13"/>
      <c r="BG228" s="13"/>
      <c r="BH228" s="14"/>
      <c r="BI228" s="15">
        <f t="shared" si="145"/>
        <v>0</v>
      </c>
      <c r="BJ228" s="32"/>
      <c r="BK228" s="13"/>
      <c r="BL228" s="13"/>
      <c r="BM228" s="14"/>
      <c r="BN228" s="15">
        <f t="shared" si="146"/>
        <v>0</v>
      </c>
      <c r="BO228" s="66">
        <f>SUM(G228,L228,Q228,V228,AA228,AF228,AK228,AP228,AU228,AZ228,BE228,BJ228)</f>
        <v>457</v>
      </c>
      <c r="BP228" s="13">
        <f>SUM(H228,M228,R228,W228,AB228,AG228,AL228,AQ228,AV228,BA228,BF228,BK228)</f>
        <v>2</v>
      </c>
      <c r="BQ228" s="13">
        <f>SUM(I228,N228,S228,X228,AC228,AH228,AM228,AR228,AW228,BB228,BG228,BL228)</f>
        <v>25</v>
      </c>
      <c r="BR228" s="14">
        <f>SUM(J228,O228,T228,Y228,AD228,AI228,AN228,AS228,AX228,BC228,BH228,BM228)</f>
        <v>0</v>
      </c>
      <c r="BS228" s="33">
        <f t="shared" si="135"/>
        <v>484</v>
      </c>
    </row>
    <row r="229" spans="2:71" x14ac:dyDescent="0.3">
      <c r="B229" s="269"/>
      <c r="C229" s="230"/>
      <c r="D229" s="233"/>
      <c r="E229" s="220"/>
      <c r="F229" s="121" t="s">
        <v>70</v>
      </c>
      <c r="G229" s="32"/>
      <c r="H229" s="13"/>
      <c r="I229" s="13">
        <v>807</v>
      </c>
      <c r="J229" s="14"/>
      <c r="K229" s="15">
        <f t="shared" si="134"/>
        <v>807</v>
      </c>
      <c r="L229" s="32"/>
      <c r="M229" s="13"/>
      <c r="N229" s="13">
        <v>439</v>
      </c>
      <c r="O229" s="14"/>
      <c r="P229" s="15">
        <f t="shared" si="136"/>
        <v>439</v>
      </c>
      <c r="Q229" s="32"/>
      <c r="R229" s="13"/>
      <c r="S229" s="13">
        <v>1120</v>
      </c>
      <c r="T229" s="14"/>
      <c r="U229" s="15">
        <f t="shared" si="137"/>
        <v>1120</v>
      </c>
      <c r="V229" s="32"/>
      <c r="W229" s="13"/>
      <c r="X229" s="13">
        <v>257</v>
      </c>
      <c r="Y229" s="14"/>
      <c r="Z229" s="15">
        <f t="shared" si="138"/>
        <v>257</v>
      </c>
      <c r="AA229" s="32"/>
      <c r="AB229" s="13"/>
      <c r="AC229" s="13">
        <v>582</v>
      </c>
      <c r="AD229" s="14"/>
      <c r="AE229" s="15">
        <f t="shared" si="139"/>
        <v>582</v>
      </c>
      <c r="AF229" s="32"/>
      <c r="AG229" s="13"/>
      <c r="AH229" s="13">
        <v>1263</v>
      </c>
      <c r="AI229" s="14"/>
      <c r="AJ229" s="15">
        <f t="shared" si="140"/>
        <v>1263</v>
      </c>
      <c r="AK229" s="32"/>
      <c r="AL229" s="13"/>
      <c r="AM229" s="13">
        <v>305</v>
      </c>
      <c r="AN229" s="14"/>
      <c r="AO229" s="15">
        <f t="shared" si="141"/>
        <v>305</v>
      </c>
      <c r="AP229" s="32"/>
      <c r="AQ229" s="13"/>
      <c r="AR229" s="13">
        <v>723</v>
      </c>
      <c r="AS229" s="14"/>
      <c r="AT229" s="15">
        <f t="shared" si="142"/>
        <v>723</v>
      </c>
      <c r="AU229" s="32"/>
      <c r="AV229" s="13"/>
      <c r="AW229" s="13">
        <v>595</v>
      </c>
      <c r="AX229" s="14"/>
      <c r="AY229" s="15">
        <f t="shared" si="143"/>
        <v>595</v>
      </c>
      <c r="AZ229" s="32"/>
      <c r="BA229" s="13"/>
      <c r="BB229" s="13">
        <v>880</v>
      </c>
      <c r="BC229" s="14"/>
      <c r="BD229" s="15">
        <f t="shared" si="144"/>
        <v>880</v>
      </c>
      <c r="BE229" s="32"/>
      <c r="BF229" s="13"/>
      <c r="BG229" s="13">
        <v>1278</v>
      </c>
      <c r="BH229" s="14"/>
      <c r="BI229" s="15">
        <f t="shared" si="145"/>
        <v>1278</v>
      </c>
      <c r="BJ229" s="32"/>
      <c r="BK229" s="13"/>
      <c r="BL229" s="13">
        <v>379</v>
      </c>
      <c r="BM229" s="14"/>
      <c r="BN229" s="15">
        <f t="shared" si="146"/>
        <v>379</v>
      </c>
      <c r="BO229" s="66">
        <f>SUM(G229,L229,Q229,V229,AA229,AF229,AK229,AP229,AU229,AZ229,BE229,BJ229)</f>
        <v>0</v>
      </c>
      <c r="BP229" s="13">
        <f>SUM(H229,M229,R229,W229,AB229,AG229,AL229,AQ229,AV229,BA229,BF229,BK229)</f>
        <v>0</v>
      </c>
      <c r="BQ229" s="13">
        <f>SUM(I229,N229,S229,X229,AC229,AH229,AM229,AR229,AW229,BB229,BG229,BL229)</f>
        <v>8628</v>
      </c>
      <c r="BR229" s="14">
        <f>SUM(J229,O229,T229,Y229,AD229,AI229,AN229,AS229,AX229,BC229,BH229,BM229)</f>
        <v>0</v>
      </c>
      <c r="BS229" s="33">
        <f t="shared" si="135"/>
        <v>8628</v>
      </c>
    </row>
    <row r="230" spans="2:71" x14ac:dyDescent="0.3">
      <c r="B230" s="269"/>
      <c r="C230" s="230"/>
      <c r="D230" s="233"/>
      <c r="E230" s="220"/>
      <c r="F230" s="123" t="s">
        <v>71</v>
      </c>
      <c r="G230" s="34"/>
      <c r="H230" s="16"/>
      <c r="I230" s="16">
        <v>43</v>
      </c>
      <c r="J230" s="17"/>
      <c r="K230" s="18">
        <f t="shared" si="134"/>
        <v>43</v>
      </c>
      <c r="L230" s="34"/>
      <c r="M230" s="16"/>
      <c r="N230" s="16">
        <v>38</v>
      </c>
      <c r="O230" s="17"/>
      <c r="P230" s="18">
        <f t="shared" si="136"/>
        <v>38</v>
      </c>
      <c r="Q230" s="34"/>
      <c r="R230" s="16"/>
      <c r="S230" s="16">
        <v>156</v>
      </c>
      <c r="T230" s="17"/>
      <c r="U230" s="18">
        <f t="shared" si="137"/>
        <v>156</v>
      </c>
      <c r="V230" s="34"/>
      <c r="W230" s="16"/>
      <c r="X230" s="16">
        <v>26</v>
      </c>
      <c r="Y230" s="17"/>
      <c r="Z230" s="18">
        <f t="shared" si="138"/>
        <v>26</v>
      </c>
      <c r="AA230" s="34"/>
      <c r="AB230" s="16"/>
      <c r="AC230" s="16">
        <v>114</v>
      </c>
      <c r="AD230" s="17"/>
      <c r="AE230" s="18">
        <f t="shared" si="139"/>
        <v>114</v>
      </c>
      <c r="AF230" s="34"/>
      <c r="AG230" s="16"/>
      <c r="AH230" s="16">
        <v>271</v>
      </c>
      <c r="AI230" s="17"/>
      <c r="AJ230" s="18">
        <f t="shared" si="140"/>
        <v>271</v>
      </c>
      <c r="AK230" s="34"/>
      <c r="AL230" s="16"/>
      <c r="AM230" s="16">
        <v>90</v>
      </c>
      <c r="AN230" s="17"/>
      <c r="AO230" s="18">
        <f t="shared" si="141"/>
        <v>90</v>
      </c>
      <c r="AP230" s="34"/>
      <c r="AQ230" s="16"/>
      <c r="AR230" s="16">
        <v>218</v>
      </c>
      <c r="AS230" s="17"/>
      <c r="AT230" s="18">
        <f t="shared" si="142"/>
        <v>218</v>
      </c>
      <c r="AU230" s="34"/>
      <c r="AV230" s="16"/>
      <c r="AW230" s="16">
        <v>161</v>
      </c>
      <c r="AX230" s="17"/>
      <c r="AY230" s="18">
        <f t="shared" si="143"/>
        <v>161</v>
      </c>
      <c r="AZ230" s="34"/>
      <c r="BA230" s="16"/>
      <c r="BB230" s="16">
        <v>192</v>
      </c>
      <c r="BC230" s="17"/>
      <c r="BD230" s="18">
        <f t="shared" si="144"/>
        <v>192</v>
      </c>
      <c r="BE230" s="34"/>
      <c r="BF230" s="16"/>
      <c r="BG230" s="16">
        <v>280</v>
      </c>
      <c r="BH230" s="17"/>
      <c r="BI230" s="18">
        <f t="shared" si="145"/>
        <v>280</v>
      </c>
      <c r="BJ230" s="34"/>
      <c r="BK230" s="16"/>
      <c r="BL230" s="16">
        <v>81</v>
      </c>
      <c r="BM230" s="17"/>
      <c r="BN230" s="18">
        <f t="shared" si="146"/>
        <v>81</v>
      </c>
      <c r="BO230" s="70">
        <f>SUM(G230,L230,Q230,V230,AA230,AF230,AK230,AP230,AU230,AZ230,BE230,BJ230)</f>
        <v>0</v>
      </c>
      <c r="BP230" s="16">
        <f>SUM(H230,M230,R230,W230,AB230,AG230,AL230,AQ230,AV230,BA230,BF230,BK230)</f>
        <v>0</v>
      </c>
      <c r="BQ230" s="16">
        <f>SUM(I230,N230,S230,X230,AC230,AH230,AM230,AR230,AW230,BB230,BG230,BL230)</f>
        <v>1670</v>
      </c>
      <c r="BR230" s="17">
        <f>SUM(J230,O230,T230,Y230,AD230,AI230,AN230,AS230,AX230,BC230,BH230,BM230)</f>
        <v>0</v>
      </c>
      <c r="BS230" s="35">
        <f t="shared" si="135"/>
        <v>1670</v>
      </c>
    </row>
    <row r="231" spans="2:71" x14ac:dyDescent="0.3">
      <c r="B231" s="269"/>
      <c r="C231" s="230"/>
      <c r="D231" s="233"/>
      <c r="E231" s="220"/>
      <c r="F231" s="123" t="s">
        <v>472</v>
      </c>
      <c r="G231" s="34"/>
      <c r="H231" s="16"/>
      <c r="I231" s="16">
        <v>264</v>
      </c>
      <c r="J231" s="17"/>
      <c r="K231" s="18">
        <f t="shared" si="134"/>
        <v>264</v>
      </c>
      <c r="L231" s="34"/>
      <c r="M231" s="16"/>
      <c r="N231" s="16">
        <v>397</v>
      </c>
      <c r="O231" s="17"/>
      <c r="P231" s="18">
        <f t="shared" si="136"/>
        <v>397</v>
      </c>
      <c r="Q231" s="34"/>
      <c r="R231" s="16"/>
      <c r="S231" s="16">
        <v>245</v>
      </c>
      <c r="T231" s="17"/>
      <c r="U231" s="18">
        <f t="shared" si="137"/>
        <v>245</v>
      </c>
      <c r="V231" s="34"/>
      <c r="W231" s="16"/>
      <c r="X231" s="16">
        <v>432</v>
      </c>
      <c r="Y231" s="17"/>
      <c r="Z231" s="18">
        <f t="shared" si="138"/>
        <v>432</v>
      </c>
      <c r="AA231" s="34"/>
      <c r="AB231" s="16"/>
      <c r="AC231" s="16">
        <v>360</v>
      </c>
      <c r="AD231" s="17"/>
      <c r="AE231" s="18">
        <f t="shared" si="139"/>
        <v>360</v>
      </c>
      <c r="AF231" s="34"/>
      <c r="AG231" s="16"/>
      <c r="AH231" s="16">
        <v>420</v>
      </c>
      <c r="AI231" s="17"/>
      <c r="AJ231" s="18">
        <f t="shared" si="140"/>
        <v>420</v>
      </c>
      <c r="AK231" s="34"/>
      <c r="AL231" s="16"/>
      <c r="AM231" s="16">
        <v>287</v>
      </c>
      <c r="AN231" s="17"/>
      <c r="AO231" s="18">
        <f t="shared" si="141"/>
        <v>287</v>
      </c>
      <c r="AP231" s="34"/>
      <c r="AQ231" s="16"/>
      <c r="AR231" s="16">
        <v>371</v>
      </c>
      <c r="AS231" s="17"/>
      <c r="AT231" s="18">
        <f t="shared" si="142"/>
        <v>371</v>
      </c>
      <c r="AU231" s="34"/>
      <c r="AV231" s="16"/>
      <c r="AW231" s="16">
        <v>387</v>
      </c>
      <c r="AX231" s="17"/>
      <c r="AY231" s="18">
        <f t="shared" si="143"/>
        <v>387</v>
      </c>
      <c r="AZ231" s="34"/>
      <c r="BA231" s="16"/>
      <c r="BB231" s="16">
        <v>338</v>
      </c>
      <c r="BC231" s="17"/>
      <c r="BD231" s="18">
        <f t="shared" si="144"/>
        <v>338</v>
      </c>
      <c r="BE231" s="34"/>
      <c r="BF231" s="16"/>
      <c r="BG231" s="16">
        <v>552</v>
      </c>
      <c r="BH231" s="17"/>
      <c r="BI231" s="18">
        <f t="shared" si="145"/>
        <v>552</v>
      </c>
      <c r="BJ231" s="34"/>
      <c r="BK231" s="16"/>
      <c r="BL231" s="16">
        <v>298</v>
      </c>
      <c r="BM231" s="17"/>
      <c r="BN231" s="18">
        <f t="shared" si="146"/>
        <v>298</v>
      </c>
      <c r="BO231" s="70">
        <f>SUM(G231,L231,Q231,V231,AA231,AF231,AK231,AP231,AU231,AZ231,BE231,BJ231)</f>
        <v>0</v>
      </c>
      <c r="BP231" s="16">
        <f>SUM(H231,M231,R231,W231,AB231,AG231,AL231,AQ231,AV231,BA231,BF231,BK231)</f>
        <v>0</v>
      </c>
      <c r="BQ231" s="16">
        <f>SUM(I231,N231,S231,X231,AC231,AH231,AM231,AR231,AW231,BB231,BG231,BL231)</f>
        <v>4351</v>
      </c>
      <c r="BR231" s="17">
        <f>SUM(J231,O231,T231,Y231,AD231,AI231,AN231,AS231,AX231,BC231,BH231,BM231)</f>
        <v>0</v>
      </c>
      <c r="BS231" s="35">
        <f t="shared" si="135"/>
        <v>4351</v>
      </c>
    </row>
    <row r="232" spans="2:71" x14ac:dyDescent="0.3">
      <c r="B232" s="269"/>
      <c r="C232" s="230"/>
      <c r="D232" s="233"/>
      <c r="E232" s="220"/>
      <c r="F232" s="121" t="s">
        <v>473</v>
      </c>
      <c r="G232" s="32"/>
      <c r="H232" s="13"/>
      <c r="I232" s="13">
        <v>11</v>
      </c>
      <c r="J232" s="14"/>
      <c r="K232" s="15">
        <f t="shared" si="134"/>
        <v>11</v>
      </c>
      <c r="L232" s="32"/>
      <c r="M232" s="13"/>
      <c r="N232" s="13">
        <v>33</v>
      </c>
      <c r="O232" s="14"/>
      <c r="P232" s="15">
        <f t="shared" si="136"/>
        <v>33</v>
      </c>
      <c r="Q232" s="32"/>
      <c r="R232" s="13"/>
      <c r="S232" s="13">
        <v>23</v>
      </c>
      <c r="T232" s="14"/>
      <c r="U232" s="15">
        <f t="shared" si="137"/>
        <v>23</v>
      </c>
      <c r="V232" s="32"/>
      <c r="W232" s="13"/>
      <c r="X232" s="13">
        <v>66</v>
      </c>
      <c r="Y232" s="14"/>
      <c r="Z232" s="15">
        <f t="shared" si="138"/>
        <v>66</v>
      </c>
      <c r="AA232" s="32"/>
      <c r="AB232" s="13"/>
      <c r="AC232" s="13">
        <v>39</v>
      </c>
      <c r="AD232" s="14"/>
      <c r="AE232" s="15">
        <f t="shared" si="139"/>
        <v>39</v>
      </c>
      <c r="AF232" s="32"/>
      <c r="AG232" s="13"/>
      <c r="AH232" s="13">
        <v>72</v>
      </c>
      <c r="AI232" s="14"/>
      <c r="AJ232" s="15">
        <f t="shared" si="140"/>
        <v>72</v>
      </c>
      <c r="AK232" s="32"/>
      <c r="AL232" s="13"/>
      <c r="AM232" s="13">
        <v>65</v>
      </c>
      <c r="AN232" s="14"/>
      <c r="AO232" s="15">
        <f t="shared" si="141"/>
        <v>65</v>
      </c>
      <c r="AP232" s="32"/>
      <c r="AQ232" s="13"/>
      <c r="AR232" s="13">
        <v>137</v>
      </c>
      <c r="AS232" s="14"/>
      <c r="AT232" s="15">
        <f t="shared" si="142"/>
        <v>137</v>
      </c>
      <c r="AU232" s="32"/>
      <c r="AV232" s="13"/>
      <c r="AW232" s="13">
        <v>102</v>
      </c>
      <c r="AX232" s="14"/>
      <c r="AY232" s="15">
        <f t="shared" si="143"/>
        <v>102</v>
      </c>
      <c r="AZ232" s="32"/>
      <c r="BA232" s="13"/>
      <c r="BB232" s="13">
        <v>60</v>
      </c>
      <c r="BC232" s="14"/>
      <c r="BD232" s="15">
        <f t="shared" si="144"/>
        <v>60</v>
      </c>
      <c r="BE232" s="32"/>
      <c r="BF232" s="13"/>
      <c r="BG232" s="13">
        <v>81</v>
      </c>
      <c r="BH232" s="14"/>
      <c r="BI232" s="15">
        <f t="shared" si="145"/>
        <v>81</v>
      </c>
      <c r="BJ232" s="32"/>
      <c r="BK232" s="13"/>
      <c r="BL232" s="13">
        <v>30</v>
      </c>
      <c r="BM232" s="14"/>
      <c r="BN232" s="15">
        <f t="shared" si="146"/>
        <v>30</v>
      </c>
      <c r="BO232" s="66">
        <f>SUM(G232,L232,Q232,V232,AA232,AF232,AK232,AP232,AU232,AZ232,BE232,BJ232)</f>
        <v>0</v>
      </c>
      <c r="BP232" s="13">
        <f>SUM(H232,M232,R232,W232,AB232,AG232,AL232,AQ232,AV232,BA232,BF232,BK232)</f>
        <v>0</v>
      </c>
      <c r="BQ232" s="13">
        <f>SUM(I232,N232,S232,X232,AC232,AH232,AM232,AR232,AW232,BB232,BG232,BL232)</f>
        <v>719</v>
      </c>
      <c r="BR232" s="14">
        <f>SUM(J232,O232,T232,Y232,AD232,AI232,AN232,AS232,AX232,BC232,BH232,BM232)</f>
        <v>0</v>
      </c>
      <c r="BS232" s="33">
        <f t="shared" si="135"/>
        <v>719</v>
      </c>
    </row>
    <row r="233" spans="2:71" x14ac:dyDescent="0.3">
      <c r="B233" s="269"/>
      <c r="C233" s="230"/>
      <c r="D233" s="233"/>
      <c r="E233" s="220"/>
      <c r="F233" s="121" t="s">
        <v>178</v>
      </c>
      <c r="G233" s="32">
        <v>171</v>
      </c>
      <c r="H233" s="13">
        <v>456</v>
      </c>
      <c r="I233" s="13"/>
      <c r="J233" s="14"/>
      <c r="K233" s="15">
        <f t="shared" si="134"/>
        <v>627</v>
      </c>
      <c r="L233" s="32">
        <v>227</v>
      </c>
      <c r="M233" s="13">
        <v>926</v>
      </c>
      <c r="N233" s="13"/>
      <c r="O233" s="14"/>
      <c r="P233" s="15">
        <f t="shared" si="136"/>
        <v>1153</v>
      </c>
      <c r="Q233" s="32">
        <v>156</v>
      </c>
      <c r="R233" s="13">
        <v>540</v>
      </c>
      <c r="S233" s="13"/>
      <c r="T233" s="14"/>
      <c r="U233" s="15">
        <f t="shared" si="137"/>
        <v>696</v>
      </c>
      <c r="V233" s="32">
        <v>86</v>
      </c>
      <c r="W233" s="13">
        <v>142</v>
      </c>
      <c r="X233" s="13"/>
      <c r="Y233" s="14"/>
      <c r="Z233" s="15">
        <f t="shared" si="138"/>
        <v>228</v>
      </c>
      <c r="AA233" s="32">
        <v>49</v>
      </c>
      <c r="AB233" s="13">
        <v>21</v>
      </c>
      <c r="AC233" s="13"/>
      <c r="AD233" s="14"/>
      <c r="AE233" s="15">
        <f t="shared" si="139"/>
        <v>70</v>
      </c>
      <c r="AF233" s="32">
        <v>34</v>
      </c>
      <c r="AG233" s="13">
        <v>378</v>
      </c>
      <c r="AH233" s="13"/>
      <c r="AI233" s="14"/>
      <c r="AJ233" s="15">
        <f t="shared" si="140"/>
        <v>412</v>
      </c>
      <c r="AK233" s="32">
        <v>62</v>
      </c>
      <c r="AL233" s="13">
        <v>450</v>
      </c>
      <c r="AM233" s="13"/>
      <c r="AN233" s="14"/>
      <c r="AO233" s="15">
        <f t="shared" si="141"/>
        <v>512</v>
      </c>
      <c r="AP233" s="32">
        <v>62</v>
      </c>
      <c r="AQ233" s="13">
        <v>451</v>
      </c>
      <c r="AR233" s="13"/>
      <c r="AS233" s="14"/>
      <c r="AT233" s="15">
        <f t="shared" si="142"/>
        <v>513</v>
      </c>
      <c r="AU233" s="32">
        <v>44</v>
      </c>
      <c r="AV233" s="13">
        <v>277</v>
      </c>
      <c r="AW233" s="13"/>
      <c r="AX233" s="14"/>
      <c r="AY233" s="15">
        <f t="shared" si="143"/>
        <v>321</v>
      </c>
      <c r="AZ233" s="32">
        <v>77</v>
      </c>
      <c r="BA233" s="13">
        <v>780</v>
      </c>
      <c r="BB233" s="13"/>
      <c r="BC233" s="14"/>
      <c r="BD233" s="15">
        <f t="shared" si="144"/>
        <v>857</v>
      </c>
      <c r="BE233" s="32">
        <v>97</v>
      </c>
      <c r="BF233" s="13">
        <v>349</v>
      </c>
      <c r="BG233" s="13"/>
      <c r="BH233" s="14"/>
      <c r="BI233" s="15">
        <f t="shared" si="145"/>
        <v>446</v>
      </c>
      <c r="BJ233" s="32">
        <v>86</v>
      </c>
      <c r="BK233" s="13">
        <v>238</v>
      </c>
      <c r="BL233" s="13"/>
      <c r="BM233" s="14"/>
      <c r="BN233" s="15">
        <f t="shared" si="146"/>
        <v>324</v>
      </c>
      <c r="BO233" s="66">
        <f>SUM(G233,L233,Q233,V233,AA233,AF233,AK233,AP233,AU233,AZ233,BE233,BJ233)</f>
        <v>1151</v>
      </c>
      <c r="BP233" s="13">
        <f>SUM(H233,M233,R233,W233,AB233,AG233,AL233,AQ233,AV233,BA233,BF233,BK233)</f>
        <v>5008</v>
      </c>
      <c r="BQ233" s="13">
        <f>SUM(I233,N233,S233,X233,AC233,AH233,AM233,AR233,AW233,BB233,BG233,BL233)</f>
        <v>0</v>
      </c>
      <c r="BR233" s="14">
        <f>SUM(J233,O233,T233,Y233,AD233,AI233,AN233,AS233,AX233,BC233,BH233,BM233)</f>
        <v>0</v>
      </c>
      <c r="BS233" s="33">
        <f t="shared" si="135"/>
        <v>6159</v>
      </c>
    </row>
    <row r="234" spans="2:71" x14ac:dyDescent="0.3">
      <c r="B234" s="269"/>
      <c r="C234" s="230"/>
      <c r="D234" s="233"/>
      <c r="E234" s="220"/>
      <c r="F234" s="121" t="s">
        <v>179</v>
      </c>
      <c r="G234" s="32">
        <v>22</v>
      </c>
      <c r="H234" s="13">
        <v>37</v>
      </c>
      <c r="I234" s="13"/>
      <c r="J234" s="14"/>
      <c r="K234" s="15">
        <f t="shared" si="134"/>
        <v>59</v>
      </c>
      <c r="L234" s="32">
        <v>23</v>
      </c>
      <c r="M234" s="13">
        <v>56</v>
      </c>
      <c r="N234" s="13"/>
      <c r="O234" s="14"/>
      <c r="P234" s="15">
        <f t="shared" si="136"/>
        <v>79</v>
      </c>
      <c r="Q234" s="32">
        <v>83</v>
      </c>
      <c r="R234" s="13">
        <v>68</v>
      </c>
      <c r="S234" s="13"/>
      <c r="T234" s="14"/>
      <c r="U234" s="15">
        <f t="shared" si="137"/>
        <v>151</v>
      </c>
      <c r="V234" s="32">
        <v>39</v>
      </c>
      <c r="W234" s="13">
        <v>48</v>
      </c>
      <c r="X234" s="13"/>
      <c r="Y234" s="14"/>
      <c r="Z234" s="15">
        <f t="shared" si="138"/>
        <v>87</v>
      </c>
      <c r="AA234" s="32">
        <v>20</v>
      </c>
      <c r="AB234" s="13">
        <v>39</v>
      </c>
      <c r="AC234" s="13"/>
      <c r="AD234" s="14"/>
      <c r="AE234" s="15">
        <f t="shared" si="139"/>
        <v>59</v>
      </c>
      <c r="AF234" s="32">
        <v>20</v>
      </c>
      <c r="AG234" s="13">
        <v>71</v>
      </c>
      <c r="AH234" s="13"/>
      <c r="AI234" s="14"/>
      <c r="AJ234" s="15">
        <f t="shared" si="140"/>
        <v>91</v>
      </c>
      <c r="AK234" s="32">
        <v>18</v>
      </c>
      <c r="AL234" s="13">
        <v>111</v>
      </c>
      <c r="AM234" s="13"/>
      <c r="AN234" s="14"/>
      <c r="AO234" s="15">
        <f t="shared" si="141"/>
        <v>129</v>
      </c>
      <c r="AP234" s="32">
        <v>58</v>
      </c>
      <c r="AQ234" s="13">
        <v>126</v>
      </c>
      <c r="AR234" s="13"/>
      <c r="AS234" s="14"/>
      <c r="AT234" s="15">
        <f t="shared" si="142"/>
        <v>184</v>
      </c>
      <c r="AU234" s="32">
        <v>18</v>
      </c>
      <c r="AV234" s="13">
        <v>81</v>
      </c>
      <c r="AW234" s="13"/>
      <c r="AX234" s="14"/>
      <c r="AY234" s="15">
        <f t="shared" si="143"/>
        <v>99</v>
      </c>
      <c r="AZ234" s="32">
        <v>44</v>
      </c>
      <c r="BA234" s="13">
        <v>171</v>
      </c>
      <c r="BB234" s="13"/>
      <c r="BC234" s="14"/>
      <c r="BD234" s="15">
        <f t="shared" si="144"/>
        <v>215</v>
      </c>
      <c r="BE234" s="32">
        <v>93</v>
      </c>
      <c r="BF234" s="13">
        <v>64</v>
      </c>
      <c r="BG234" s="13"/>
      <c r="BH234" s="14"/>
      <c r="BI234" s="15">
        <f t="shared" si="145"/>
        <v>157</v>
      </c>
      <c r="BJ234" s="32">
        <v>37</v>
      </c>
      <c r="BK234" s="13">
        <v>50</v>
      </c>
      <c r="BL234" s="13"/>
      <c r="BM234" s="14"/>
      <c r="BN234" s="15">
        <f t="shared" si="146"/>
        <v>87</v>
      </c>
      <c r="BO234" s="66">
        <f>SUM(G234,L234,Q234,V234,AA234,AF234,AK234,AP234,AU234,AZ234,BE234,BJ234)</f>
        <v>475</v>
      </c>
      <c r="BP234" s="13">
        <f>SUM(H234,M234,R234,W234,AB234,AG234,AL234,AQ234,AV234,BA234,BF234,BK234)</f>
        <v>922</v>
      </c>
      <c r="BQ234" s="13">
        <f>SUM(I234,N234,S234,X234,AC234,AH234,AM234,AR234,AW234,BB234,BG234,BL234)</f>
        <v>0</v>
      </c>
      <c r="BR234" s="14">
        <f>SUM(J234,O234,T234,Y234,AD234,AI234,AN234,AS234,AX234,BC234,BH234,BM234)</f>
        <v>0</v>
      </c>
      <c r="BS234" s="33">
        <f t="shared" si="135"/>
        <v>1397</v>
      </c>
    </row>
    <row r="235" spans="2:71" x14ac:dyDescent="0.3">
      <c r="B235" s="269"/>
      <c r="C235" s="230"/>
      <c r="D235" s="233"/>
      <c r="E235" s="220"/>
      <c r="F235" s="178" t="s">
        <v>290</v>
      </c>
      <c r="G235" s="179"/>
      <c r="H235" s="180"/>
      <c r="I235" s="180"/>
      <c r="J235" s="181"/>
      <c r="K235" s="182">
        <f t="shared" si="134"/>
        <v>0</v>
      </c>
      <c r="L235" s="179"/>
      <c r="M235" s="180"/>
      <c r="N235" s="180"/>
      <c r="O235" s="181"/>
      <c r="P235" s="182">
        <f t="shared" si="136"/>
        <v>0</v>
      </c>
      <c r="Q235" s="179">
        <v>147</v>
      </c>
      <c r="R235" s="180"/>
      <c r="S235" s="180"/>
      <c r="T235" s="181"/>
      <c r="U235" s="182">
        <f t="shared" si="137"/>
        <v>147</v>
      </c>
      <c r="V235" s="179">
        <v>133</v>
      </c>
      <c r="W235" s="180"/>
      <c r="X235" s="180"/>
      <c r="Y235" s="181"/>
      <c r="Z235" s="182">
        <f t="shared" si="138"/>
        <v>133</v>
      </c>
      <c r="AA235" s="179">
        <v>75</v>
      </c>
      <c r="AB235" s="180"/>
      <c r="AC235" s="180"/>
      <c r="AD235" s="181"/>
      <c r="AE235" s="182">
        <f t="shared" si="139"/>
        <v>75</v>
      </c>
      <c r="AF235" s="179">
        <v>185</v>
      </c>
      <c r="AG235" s="180"/>
      <c r="AH235" s="180"/>
      <c r="AI235" s="181"/>
      <c r="AJ235" s="182">
        <f t="shared" si="140"/>
        <v>185</v>
      </c>
      <c r="AK235" s="179">
        <v>266</v>
      </c>
      <c r="AL235" s="180"/>
      <c r="AM235" s="180"/>
      <c r="AN235" s="181"/>
      <c r="AO235" s="182">
        <f t="shared" si="141"/>
        <v>266</v>
      </c>
      <c r="AP235" s="179">
        <v>297</v>
      </c>
      <c r="AQ235" s="180"/>
      <c r="AR235" s="180"/>
      <c r="AS235" s="181"/>
      <c r="AT235" s="182">
        <f t="shared" si="142"/>
        <v>297</v>
      </c>
      <c r="AU235" s="179">
        <v>69</v>
      </c>
      <c r="AV235" s="180"/>
      <c r="AW235" s="180"/>
      <c r="AX235" s="181"/>
      <c r="AY235" s="182">
        <f t="shared" si="143"/>
        <v>69</v>
      </c>
      <c r="AZ235" s="179">
        <v>396</v>
      </c>
      <c r="BA235" s="180"/>
      <c r="BB235" s="180"/>
      <c r="BC235" s="181"/>
      <c r="BD235" s="182">
        <f t="shared" si="144"/>
        <v>396</v>
      </c>
      <c r="BE235" s="179">
        <v>342</v>
      </c>
      <c r="BF235" s="180"/>
      <c r="BG235" s="180"/>
      <c r="BH235" s="181"/>
      <c r="BI235" s="182">
        <f t="shared" si="145"/>
        <v>342</v>
      </c>
      <c r="BJ235" s="179">
        <v>395</v>
      </c>
      <c r="BK235" s="180"/>
      <c r="BL235" s="180"/>
      <c r="BM235" s="181"/>
      <c r="BN235" s="182">
        <f t="shared" si="146"/>
        <v>395</v>
      </c>
      <c r="BO235" s="184">
        <f>SUM(G235,L235,Q235,V235,AA235,AF235,AK235,AP235,AU235,AZ235,BE235,BJ235)</f>
        <v>2305</v>
      </c>
      <c r="BP235" s="180">
        <f>SUM(H235,M235,R235,W235,AB235,AG235,AL235,AQ235,AV235,BA235,BF235,BK235)</f>
        <v>0</v>
      </c>
      <c r="BQ235" s="180">
        <f>SUM(I235,N235,S235,X235,AC235,AH235,AM235,AR235,AW235,BB235,BG235,BL235)</f>
        <v>0</v>
      </c>
      <c r="BR235" s="181">
        <f>SUM(J235,O235,T235,Y235,AD235,AI235,AN235,AS235,AX235,BC235,BH235,BM235)</f>
        <v>0</v>
      </c>
      <c r="BS235" s="183">
        <f t="shared" si="135"/>
        <v>2305</v>
      </c>
    </row>
    <row r="236" spans="2:71" x14ac:dyDescent="0.3">
      <c r="B236" s="269"/>
      <c r="C236" s="230"/>
      <c r="D236" s="233"/>
      <c r="E236" s="220"/>
      <c r="F236" s="178" t="s">
        <v>291</v>
      </c>
      <c r="G236" s="179"/>
      <c r="H236" s="180"/>
      <c r="I236" s="180"/>
      <c r="J236" s="181"/>
      <c r="K236" s="182">
        <f t="shared" si="134"/>
        <v>0</v>
      </c>
      <c r="L236" s="179"/>
      <c r="M236" s="180"/>
      <c r="N236" s="180"/>
      <c r="O236" s="181"/>
      <c r="P236" s="182">
        <f t="shared" si="136"/>
        <v>0</v>
      </c>
      <c r="Q236" s="179">
        <v>3</v>
      </c>
      <c r="R236" s="180"/>
      <c r="S236" s="180"/>
      <c r="T236" s="181"/>
      <c r="U236" s="182">
        <f t="shared" si="137"/>
        <v>3</v>
      </c>
      <c r="V236" s="179">
        <v>8</v>
      </c>
      <c r="W236" s="180"/>
      <c r="X236" s="180"/>
      <c r="Y236" s="181"/>
      <c r="Z236" s="182">
        <f t="shared" si="138"/>
        <v>8</v>
      </c>
      <c r="AA236" s="179">
        <v>12</v>
      </c>
      <c r="AB236" s="180"/>
      <c r="AC236" s="180"/>
      <c r="AD236" s="181"/>
      <c r="AE236" s="182">
        <f t="shared" si="139"/>
        <v>12</v>
      </c>
      <c r="AF236" s="179">
        <v>26</v>
      </c>
      <c r="AG236" s="180"/>
      <c r="AH236" s="180"/>
      <c r="AI236" s="181"/>
      <c r="AJ236" s="182">
        <f t="shared" si="140"/>
        <v>26</v>
      </c>
      <c r="AK236" s="179">
        <v>27</v>
      </c>
      <c r="AL236" s="180"/>
      <c r="AM236" s="180"/>
      <c r="AN236" s="181"/>
      <c r="AO236" s="182">
        <f t="shared" si="141"/>
        <v>27</v>
      </c>
      <c r="AP236" s="179">
        <v>43</v>
      </c>
      <c r="AQ236" s="180"/>
      <c r="AR236" s="180"/>
      <c r="AS236" s="181"/>
      <c r="AT236" s="182">
        <f t="shared" si="142"/>
        <v>43</v>
      </c>
      <c r="AU236" s="179">
        <v>33</v>
      </c>
      <c r="AV236" s="180"/>
      <c r="AW236" s="180"/>
      <c r="AX236" s="181"/>
      <c r="AY236" s="182">
        <f t="shared" si="143"/>
        <v>33</v>
      </c>
      <c r="AZ236" s="179">
        <v>58</v>
      </c>
      <c r="BA236" s="180"/>
      <c r="BB236" s="180"/>
      <c r="BC236" s="181"/>
      <c r="BD236" s="182">
        <f t="shared" si="144"/>
        <v>58</v>
      </c>
      <c r="BE236" s="179">
        <v>80</v>
      </c>
      <c r="BF236" s="180"/>
      <c r="BG236" s="180"/>
      <c r="BH236" s="181"/>
      <c r="BI236" s="182">
        <f t="shared" si="145"/>
        <v>80</v>
      </c>
      <c r="BJ236" s="179">
        <v>43</v>
      </c>
      <c r="BK236" s="180"/>
      <c r="BL236" s="180"/>
      <c r="BM236" s="181"/>
      <c r="BN236" s="182">
        <f t="shared" si="146"/>
        <v>43</v>
      </c>
      <c r="BO236" s="184">
        <f>SUM(G236,L236,Q236,V236,AA236,AF236,AK236,AP236,AU236,AZ236,BE236,BJ236)</f>
        <v>333</v>
      </c>
      <c r="BP236" s="180">
        <f>SUM(H236,M236,R236,W236,AB236,AG236,AL236,AQ236,AV236,BA236,BF236,BK236)</f>
        <v>0</v>
      </c>
      <c r="BQ236" s="180">
        <f>SUM(I236,N236,S236,X236,AC236,AH236,AM236,AR236,AW236,BB236,BG236,BL236)</f>
        <v>0</v>
      </c>
      <c r="BR236" s="181">
        <f>SUM(J236,O236,T236,Y236,AD236,AI236,AN236,AS236,AX236,BC236,BH236,BM236)</f>
        <v>0</v>
      </c>
      <c r="BS236" s="183">
        <f t="shared" si="135"/>
        <v>333</v>
      </c>
    </row>
    <row r="237" spans="2:71" x14ac:dyDescent="0.3">
      <c r="B237" s="269"/>
      <c r="C237" s="230"/>
      <c r="D237" s="233"/>
      <c r="E237" s="220"/>
      <c r="F237" s="121" t="s">
        <v>160</v>
      </c>
      <c r="G237" s="32">
        <v>619</v>
      </c>
      <c r="H237" s="13">
        <v>20</v>
      </c>
      <c r="I237" s="13">
        <v>179</v>
      </c>
      <c r="J237" s="14"/>
      <c r="K237" s="15">
        <f t="shared" si="134"/>
        <v>818</v>
      </c>
      <c r="L237" s="32">
        <v>609</v>
      </c>
      <c r="M237" s="13">
        <v>58</v>
      </c>
      <c r="N237" s="13">
        <v>251</v>
      </c>
      <c r="O237" s="14"/>
      <c r="P237" s="15">
        <f t="shared" si="136"/>
        <v>918</v>
      </c>
      <c r="Q237" s="32"/>
      <c r="R237" s="13"/>
      <c r="S237" s="13"/>
      <c r="T237" s="14"/>
      <c r="U237" s="15">
        <f t="shared" si="137"/>
        <v>0</v>
      </c>
      <c r="V237" s="32"/>
      <c r="W237" s="13"/>
      <c r="X237" s="13"/>
      <c r="Y237" s="14"/>
      <c r="Z237" s="15">
        <f t="shared" si="138"/>
        <v>0</v>
      </c>
      <c r="AA237" s="32"/>
      <c r="AB237" s="13"/>
      <c r="AC237" s="13"/>
      <c r="AD237" s="14"/>
      <c r="AE237" s="15">
        <f t="shared" si="139"/>
        <v>0</v>
      </c>
      <c r="AF237" s="32"/>
      <c r="AG237" s="13"/>
      <c r="AH237" s="13"/>
      <c r="AI237" s="14"/>
      <c r="AJ237" s="15">
        <f t="shared" si="140"/>
        <v>0</v>
      </c>
      <c r="AK237" s="32"/>
      <c r="AL237" s="13"/>
      <c r="AM237" s="13"/>
      <c r="AN237" s="14"/>
      <c r="AO237" s="15">
        <f t="shared" si="141"/>
        <v>0</v>
      </c>
      <c r="AP237" s="32"/>
      <c r="AQ237" s="13"/>
      <c r="AR237" s="13"/>
      <c r="AS237" s="14"/>
      <c r="AT237" s="15">
        <f t="shared" si="142"/>
        <v>0</v>
      </c>
      <c r="AU237" s="32"/>
      <c r="AV237" s="13"/>
      <c r="AW237" s="13"/>
      <c r="AX237" s="14"/>
      <c r="AY237" s="15">
        <f t="shared" si="143"/>
        <v>0</v>
      </c>
      <c r="AZ237" s="32"/>
      <c r="BA237" s="13"/>
      <c r="BB237" s="13"/>
      <c r="BC237" s="14"/>
      <c r="BD237" s="15">
        <f t="shared" si="144"/>
        <v>0</v>
      </c>
      <c r="BE237" s="32"/>
      <c r="BF237" s="13"/>
      <c r="BG237" s="13"/>
      <c r="BH237" s="14"/>
      <c r="BI237" s="15">
        <f t="shared" si="145"/>
        <v>0</v>
      </c>
      <c r="BJ237" s="32"/>
      <c r="BK237" s="13"/>
      <c r="BL237" s="13"/>
      <c r="BM237" s="14"/>
      <c r="BN237" s="15">
        <f t="shared" si="146"/>
        <v>0</v>
      </c>
      <c r="BO237" s="66">
        <f>SUM(G237,L237,Q237,V237,AA237,AF237,AK237,AP237,AU237,AZ237,BE237,BJ237)</f>
        <v>1228</v>
      </c>
      <c r="BP237" s="13">
        <f>SUM(H237,M237,R237,W237,AB237,AG237,AL237,AQ237,AV237,BA237,BF237,BK237)</f>
        <v>78</v>
      </c>
      <c r="BQ237" s="13">
        <f>SUM(I237,N237,S237,X237,AC237,AH237,AM237,AR237,AW237,BB237,BG237,BL237)</f>
        <v>430</v>
      </c>
      <c r="BR237" s="14">
        <f>SUM(J237,O237,T237,Y237,AD237,AI237,AN237,AS237,AX237,BC237,BH237,BM237)</f>
        <v>0</v>
      </c>
      <c r="BS237" s="33">
        <f t="shared" si="135"/>
        <v>1736</v>
      </c>
    </row>
    <row r="238" spans="2:71" x14ac:dyDescent="0.3">
      <c r="B238" s="269"/>
      <c r="C238" s="230"/>
      <c r="D238" s="233"/>
      <c r="E238" s="220"/>
      <c r="F238" s="121" t="s">
        <v>161</v>
      </c>
      <c r="G238" s="32">
        <v>46</v>
      </c>
      <c r="H238" s="13">
        <v>2</v>
      </c>
      <c r="I238" s="13">
        <v>10</v>
      </c>
      <c r="J238" s="14"/>
      <c r="K238" s="15">
        <f t="shared" si="134"/>
        <v>58</v>
      </c>
      <c r="L238" s="32">
        <v>34</v>
      </c>
      <c r="M238" s="13">
        <v>2</v>
      </c>
      <c r="N238" s="13">
        <v>7</v>
      </c>
      <c r="O238" s="14"/>
      <c r="P238" s="15">
        <f t="shared" si="136"/>
        <v>43</v>
      </c>
      <c r="Q238" s="32"/>
      <c r="R238" s="13"/>
      <c r="S238" s="13"/>
      <c r="T238" s="14"/>
      <c r="U238" s="15">
        <f t="shared" si="137"/>
        <v>0</v>
      </c>
      <c r="V238" s="32"/>
      <c r="W238" s="13"/>
      <c r="X238" s="13"/>
      <c r="Y238" s="14"/>
      <c r="Z238" s="15">
        <f t="shared" si="138"/>
        <v>0</v>
      </c>
      <c r="AA238" s="32"/>
      <c r="AB238" s="13"/>
      <c r="AC238" s="13"/>
      <c r="AD238" s="14"/>
      <c r="AE238" s="15">
        <f t="shared" si="139"/>
        <v>0</v>
      </c>
      <c r="AF238" s="32"/>
      <c r="AG238" s="13"/>
      <c r="AH238" s="13"/>
      <c r="AI238" s="14"/>
      <c r="AJ238" s="15">
        <f t="shared" si="140"/>
        <v>0</v>
      </c>
      <c r="AK238" s="32"/>
      <c r="AL238" s="13"/>
      <c r="AM238" s="13"/>
      <c r="AN238" s="14"/>
      <c r="AO238" s="15">
        <f t="shared" si="141"/>
        <v>0</v>
      </c>
      <c r="AP238" s="32"/>
      <c r="AQ238" s="13"/>
      <c r="AR238" s="13"/>
      <c r="AS238" s="14"/>
      <c r="AT238" s="15">
        <f t="shared" si="142"/>
        <v>0</v>
      </c>
      <c r="AU238" s="32"/>
      <c r="AV238" s="13"/>
      <c r="AW238" s="13"/>
      <c r="AX238" s="14"/>
      <c r="AY238" s="15">
        <f t="shared" si="143"/>
        <v>0</v>
      </c>
      <c r="AZ238" s="32"/>
      <c r="BA238" s="13"/>
      <c r="BB238" s="13"/>
      <c r="BC238" s="14"/>
      <c r="BD238" s="15">
        <f t="shared" si="144"/>
        <v>0</v>
      </c>
      <c r="BE238" s="32"/>
      <c r="BF238" s="13"/>
      <c r="BG238" s="13"/>
      <c r="BH238" s="14"/>
      <c r="BI238" s="15">
        <f t="shared" si="145"/>
        <v>0</v>
      </c>
      <c r="BJ238" s="32"/>
      <c r="BK238" s="13"/>
      <c r="BL238" s="13"/>
      <c r="BM238" s="14"/>
      <c r="BN238" s="15">
        <f t="shared" si="146"/>
        <v>0</v>
      </c>
      <c r="BO238" s="66">
        <f>SUM(G238,L238,Q238,V238,AA238,AF238,AK238,AP238,AU238,AZ238,BE238,BJ238)</f>
        <v>80</v>
      </c>
      <c r="BP238" s="13">
        <f>SUM(H238,M238,R238,W238,AB238,AG238,AL238,AQ238,AV238,BA238,BF238,BK238)</f>
        <v>4</v>
      </c>
      <c r="BQ238" s="13">
        <f>SUM(I238,N238,S238,X238,AC238,AH238,AM238,AR238,AW238,BB238,BG238,BL238)</f>
        <v>17</v>
      </c>
      <c r="BR238" s="14">
        <f>SUM(J238,O238,T238,Y238,AD238,AI238,AN238,AS238,AX238,BC238,BH238,BM238)</f>
        <v>0</v>
      </c>
      <c r="BS238" s="33">
        <f t="shared" si="135"/>
        <v>101</v>
      </c>
    </row>
    <row r="239" spans="2:71" x14ac:dyDescent="0.3">
      <c r="B239" s="269"/>
      <c r="C239" s="230"/>
      <c r="D239" s="233"/>
      <c r="E239" s="220"/>
      <c r="F239" s="121" t="s">
        <v>162</v>
      </c>
      <c r="G239" s="32">
        <v>513</v>
      </c>
      <c r="H239" s="13">
        <v>13</v>
      </c>
      <c r="I239" s="13">
        <v>109</v>
      </c>
      <c r="J239" s="14"/>
      <c r="K239" s="15">
        <f t="shared" si="134"/>
        <v>635</v>
      </c>
      <c r="L239" s="32">
        <v>514</v>
      </c>
      <c r="M239" s="13">
        <v>29</v>
      </c>
      <c r="N239" s="13">
        <v>118</v>
      </c>
      <c r="O239" s="14"/>
      <c r="P239" s="15">
        <f t="shared" si="136"/>
        <v>661</v>
      </c>
      <c r="Q239" s="32"/>
      <c r="R239" s="13"/>
      <c r="S239" s="13"/>
      <c r="T239" s="14"/>
      <c r="U239" s="15">
        <f t="shared" si="137"/>
        <v>0</v>
      </c>
      <c r="V239" s="32"/>
      <c r="W239" s="13"/>
      <c r="X239" s="13"/>
      <c r="Y239" s="14"/>
      <c r="Z239" s="15">
        <f t="shared" si="138"/>
        <v>0</v>
      </c>
      <c r="AA239" s="32"/>
      <c r="AB239" s="13"/>
      <c r="AC239" s="13"/>
      <c r="AD239" s="14"/>
      <c r="AE239" s="15">
        <f t="shared" si="139"/>
        <v>0</v>
      </c>
      <c r="AF239" s="32"/>
      <c r="AG239" s="13"/>
      <c r="AH239" s="13"/>
      <c r="AI239" s="14"/>
      <c r="AJ239" s="15">
        <f t="shared" si="140"/>
        <v>0</v>
      </c>
      <c r="AK239" s="32"/>
      <c r="AL239" s="13"/>
      <c r="AM239" s="13"/>
      <c r="AN239" s="14"/>
      <c r="AO239" s="15">
        <f t="shared" si="141"/>
        <v>0</v>
      </c>
      <c r="AP239" s="32"/>
      <c r="AQ239" s="13"/>
      <c r="AR239" s="13"/>
      <c r="AS239" s="14"/>
      <c r="AT239" s="15">
        <f t="shared" si="142"/>
        <v>0</v>
      </c>
      <c r="AU239" s="32"/>
      <c r="AV239" s="13"/>
      <c r="AW239" s="13"/>
      <c r="AX239" s="14"/>
      <c r="AY239" s="15">
        <f t="shared" si="143"/>
        <v>0</v>
      </c>
      <c r="AZ239" s="32"/>
      <c r="BA239" s="13"/>
      <c r="BB239" s="13"/>
      <c r="BC239" s="14"/>
      <c r="BD239" s="15">
        <f t="shared" si="144"/>
        <v>0</v>
      </c>
      <c r="BE239" s="32"/>
      <c r="BF239" s="13"/>
      <c r="BG239" s="13"/>
      <c r="BH239" s="14"/>
      <c r="BI239" s="15">
        <f t="shared" si="145"/>
        <v>0</v>
      </c>
      <c r="BJ239" s="32"/>
      <c r="BK239" s="13"/>
      <c r="BL239" s="13"/>
      <c r="BM239" s="14"/>
      <c r="BN239" s="15">
        <f t="shared" si="146"/>
        <v>0</v>
      </c>
      <c r="BO239" s="66">
        <f>SUM(G239,L239,Q239,V239,AA239,AF239,AK239,AP239,AU239,AZ239,BE239,BJ239)</f>
        <v>1027</v>
      </c>
      <c r="BP239" s="13">
        <f>SUM(H239,M239,R239,W239,AB239,AG239,AL239,AQ239,AV239,BA239,BF239,BK239)</f>
        <v>42</v>
      </c>
      <c r="BQ239" s="13">
        <f>SUM(I239,N239,S239,X239,AC239,AH239,AM239,AR239,AW239,BB239,BG239,BL239)</f>
        <v>227</v>
      </c>
      <c r="BR239" s="14">
        <f>SUM(J239,O239,T239,Y239,AD239,AI239,AN239,AS239,AX239,BC239,BH239,BM239)</f>
        <v>0</v>
      </c>
      <c r="BS239" s="33">
        <f t="shared" si="135"/>
        <v>1296</v>
      </c>
    </row>
    <row r="240" spans="2:71" x14ac:dyDescent="0.3">
      <c r="B240" s="269"/>
      <c r="C240" s="230"/>
      <c r="D240" s="233"/>
      <c r="E240" s="220"/>
      <c r="F240" s="121" t="s">
        <v>163</v>
      </c>
      <c r="G240" s="32">
        <v>42</v>
      </c>
      <c r="H240" s="13">
        <v>1</v>
      </c>
      <c r="I240" s="13">
        <v>9</v>
      </c>
      <c r="J240" s="14"/>
      <c r="K240" s="15">
        <f t="shared" si="134"/>
        <v>52</v>
      </c>
      <c r="L240" s="32">
        <v>31</v>
      </c>
      <c r="M240" s="13">
        <v>2</v>
      </c>
      <c r="N240" s="13">
        <v>4</v>
      </c>
      <c r="O240" s="14"/>
      <c r="P240" s="15">
        <f t="shared" si="136"/>
        <v>37</v>
      </c>
      <c r="Q240" s="32"/>
      <c r="R240" s="13"/>
      <c r="S240" s="13"/>
      <c r="T240" s="14"/>
      <c r="U240" s="15">
        <f t="shared" si="137"/>
        <v>0</v>
      </c>
      <c r="V240" s="32"/>
      <c r="W240" s="13"/>
      <c r="X240" s="13"/>
      <c r="Y240" s="14"/>
      <c r="Z240" s="15">
        <f t="shared" si="138"/>
        <v>0</v>
      </c>
      <c r="AA240" s="32"/>
      <c r="AB240" s="13"/>
      <c r="AC240" s="13"/>
      <c r="AD240" s="14"/>
      <c r="AE240" s="15">
        <f t="shared" si="139"/>
        <v>0</v>
      </c>
      <c r="AF240" s="32"/>
      <c r="AG240" s="13"/>
      <c r="AH240" s="13"/>
      <c r="AI240" s="14"/>
      <c r="AJ240" s="15">
        <f t="shared" si="140"/>
        <v>0</v>
      </c>
      <c r="AK240" s="32"/>
      <c r="AL240" s="13"/>
      <c r="AM240" s="13"/>
      <c r="AN240" s="14"/>
      <c r="AO240" s="15">
        <f t="shared" si="141"/>
        <v>0</v>
      </c>
      <c r="AP240" s="32"/>
      <c r="AQ240" s="13"/>
      <c r="AR240" s="13"/>
      <c r="AS240" s="14"/>
      <c r="AT240" s="15">
        <f t="shared" si="142"/>
        <v>0</v>
      </c>
      <c r="AU240" s="32"/>
      <c r="AV240" s="13"/>
      <c r="AW240" s="13"/>
      <c r="AX240" s="14"/>
      <c r="AY240" s="15">
        <f t="shared" si="143"/>
        <v>0</v>
      </c>
      <c r="AZ240" s="32"/>
      <c r="BA240" s="13"/>
      <c r="BB240" s="13"/>
      <c r="BC240" s="14"/>
      <c r="BD240" s="15">
        <f t="shared" si="144"/>
        <v>0</v>
      </c>
      <c r="BE240" s="32"/>
      <c r="BF240" s="13"/>
      <c r="BG240" s="13"/>
      <c r="BH240" s="14"/>
      <c r="BI240" s="15">
        <f t="shared" si="145"/>
        <v>0</v>
      </c>
      <c r="BJ240" s="32"/>
      <c r="BK240" s="13"/>
      <c r="BL240" s="13"/>
      <c r="BM240" s="14"/>
      <c r="BN240" s="15">
        <f t="shared" si="146"/>
        <v>0</v>
      </c>
      <c r="BO240" s="66">
        <f>SUM(G240,L240,Q240,V240,AA240,AF240,AK240,AP240,AU240,AZ240,BE240,BJ240)</f>
        <v>73</v>
      </c>
      <c r="BP240" s="13">
        <f>SUM(H240,M240,R240,W240,AB240,AG240,AL240,AQ240,AV240,BA240,BF240,BK240)</f>
        <v>3</v>
      </c>
      <c r="BQ240" s="13">
        <f>SUM(I240,N240,S240,X240,AC240,AH240,AM240,AR240,AW240,BB240,BG240,BL240)</f>
        <v>13</v>
      </c>
      <c r="BR240" s="14">
        <f>SUM(J240,O240,T240,Y240,AD240,AI240,AN240,AS240,AX240,BC240,BH240,BM240)</f>
        <v>0</v>
      </c>
      <c r="BS240" s="33">
        <f t="shared" si="135"/>
        <v>89</v>
      </c>
    </row>
    <row r="241" spans="2:71" x14ac:dyDescent="0.3">
      <c r="B241" s="269"/>
      <c r="C241" s="230"/>
      <c r="D241" s="233"/>
      <c r="E241" s="220"/>
      <c r="F241" s="121" t="s">
        <v>166</v>
      </c>
      <c r="G241" s="32">
        <v>171</v>
      </c>
      <c r="H241" s="13">
        <v>280</v>
      </c>
      <c r="I241" s="13">
        <v>480</v>
      </c>
      <c r="J241" s="14"/>
      <c r="K241" s="15">
        <f t="shared" si="134"/>
        <v>931</v>
      </c>
      <c r="L241" s="32">
        <v>222</v>
      </c>
      <c r="M241" s="13">
        <v>505</v>
      </c>
      <c r="N241" s="13">
        <v>595</v>
      </c>
      <c r="O241" s="14"/>
      <c r="P241" s="15">
        <f t="shared" si="136"/>
        <v>1322</v>
      </c>
      <c r="Q241" s="32"/>
      <c r="R241" s="13"/>
      <c r="S241" s="13"/>
      <c r="T241" s="14"/>
      <c r="U241" s="15">
        <f t="shared" si="137"/>
        <v>0</v>
      </c>
      <c r="V241" s="32"/>
      <c r="W241" s="13"/>
      <c r="X241" s="13"/>
      <c r="Y241" s="14"/>
      <c r="Z241" s="15">
        <f t="shared" si="138"/>
        <v>0</v>
      </c>
      <c r="AA241" s="32"/>
      <c r="AB241" s="13"/>
      <c r="AC241" s="13"/>
      <c r="AD241" s="14"/>
      <c r="AE241" s="15">
        <f t="shared" si="139"/>
        <v>0</v>
      </c>
      <c r="AF241" s="32"/>
      <c r="AG241" s="13"/>
      <c r="AH241" s="13"/>
      <c r="AI241" s="14"/>
      <c r="AJ241" s="15">
        <f t="shared" si="140"/>
        <v>0</v>
      </c>
      <c r="AK241" s="32"/>
      <c r="AL241" s="13"/>
      <c r="AM241" s="13"/>
      <c r="AN241" s="14"/>
      <c r="AO241" s="15">
        <f t="shared" si="141"/>
        <v>0</v>
      </c>
      <c r="AP241" s="32"/>
      <c r="AQ241" s="13"/>
      <c r="AR241" s="13"/>
      <c r="AS241" s="14"/>
      <c r="AT241" s="15">
        <f t="shared" si="142"/>
        <v>0</v>
      </c>
      <c r="AU241" s="32"/>
      <c r="AV241" s="13"/>
      <c r="AW241" s="13"/>
      <c r="AX241" s="14"/>
      <c r="AY241" s="15">
        <f t="shared" si="143"/>
        <v>0</v>
      </c>
      <c r="AZ241" s="32"/>
      <c r="BA241" s="13"/>
      <c r="BB241" s="13"/>
      <c r="BC241" s="14"/>
      <c r="BD241" s="15">
        <f t="shared" si="144"/>
        <v>0</v>
      </c>
      <c r="BE241" s="32"/>
      <c r="BF241" s="13"/>
      <c r="BG241" s="13"/>
      <c r="BH241" s="14"/>
      <c r="BI241" s="15">
        <f t="shared" si="145"/>
        <v>0</v>
      </c>
      <c r="BJ241" s="32"/>
      <c r="BK241" s="13"/>
      <c r="BL241" s="13"/>
      <c r="BM241" s="14"/>
      <c r="BN241" s="15">
        <f t="shared" si="146"/>
        <v>0</v>
      </c>
      <c r="BO241" s="66">
        <f>SUM(G241,L241,Q241,V241,AA241,AF241,AK241,AP241,AU241,AZ241,BE241,BJ241)</f>
        <v>393</v>
      </c>
      <c r="BP241" s="13">
        <f>SUM(H241,M241,R241,W241,AB241,AG241,AL241,AQ241,AV241,BA241,BF241,BK241)</f>
        <v>785</v>
      </c>
      <c r="BQ241" s="13">
        <f>SUM(I241,N241,S241,X241,AC241,AH241,AM241,AR241,AW241,BB241,BG241,BL241)</f>
        <v>1075</v>
      </c>
      <c r="BR241" s="14">
        <f>SUM(J241,O241,T241,Y241,AD241,AI241,AN241,AS241,AX241,BC241,BH241,BM241)</f>
        <v>0</v>
      </c>
      <c r="BS241" s="33">
        <f t="shared" si="135"/>
        <v>2253</v>
      </c>
    </row>
    <row r="242" spans="2:71" x14ac:dyDescent="0.3">
      <c r="B242" s="269"/>
      <c r="C242" s="230"/>
      <c r="D242" s="233"/>
      <c r="E242" s="220"/>
      <c r="F242" s="121" t="s">
        <v>167</v>
      </c>
      <c r="G242" s="32">
        <v>14</v>
      </c>
      <c r="H242" s="13">
        <v>12</v>
      </c>
      <c r="I242" s="13">
        <v>29</v>
      </c>
      <c r="J242" s="14"/>
      <c r="K242" s="15">
        <f t="shared" si="134"/>
        <v>55</v>
      </c>
      <c r="L242" s="32">
        <v>17</v>
      </c>
      <c r="M242" s="13">
        <v>27</v>
      </c>
      <c r="N242" s="13">
        <v>18</v>
      </c>
      <c r="O242" s="14"/>
      <c r="P242" s="15">
        <f t="shared" si="136"/>
        <v>62</v>
      </c>
      <c r="Q242" s="32"/>
      <c r="R242" s="13"/>
      <c r="S242" s="13"/>
      <c r="T242" s="14"/>
      <c r="U242" s="15">
        <f t="shared" si="137"/>
        <v>0</v>
      </c>
      <c r="V242" s="32"/>
      <c r="W242" s="13"/>
      <c r="X242" s="13"/>
      <c r="Y242" s="14"/>
      <c r="Z242" s="15">
        <f t="shared" si="138"/>
        <v>0</v>
      </c>
      <c r="AA242" s="32"/>
      <c r="AB242" s="13"/>
      <c r="AC242" s="13"/>
      <c r="AD242" s="14"/>
      <c r="AE242" s="15">
        <f t="shared" si="139"/>
        <v>0</v>
      </c>
      <c r="AF242" s="32"/>
      <c r="AG242" s="13"/>
      <c r="AH242" s="13"/>
      <c r="AI242" s="14"/>
      <c r="AJ242" s="15">
        <f t="shared" si="140"/>
        <v>0</v>
      </c>
      <c r="AK242" s="32"/>
      <c r="AL242" s="13"/>
      <c r="AM242" s="13"/>
      <c r="AN242" s="14"/>
      <c r="AO242" s="15">
        <f t="shared" si="141"/>
        <v>0</v>
      </c>
      <c r="AP242" s="32"/>
      <c r="AQ242" s="13"/>
      <c r="AR242" s="13"/>
      <c r="AS242" s="14"/>
      <c r="AT242" s="15">
        <f t="shared" si="142"/>
        <v>0</v>
      </c>
      <c r="AU242" s="32"/>
      <c r="AV242" s="13"/>
      <c r="AW242" s="13"/>
      <c r="AX242" s="14"/>
      <c r="AY242" s="15">
        <f t="shared" si="143"/>
        <v>0</v>
      </c>
      <c r="AZ242" s="32"/>
      <c r="BA242" s="13"/>
      <c r="BB242" s="13"/>
      <c r="BC242" s="14"/>
      <c r="BD242" s="15">
        <f t="shared" si="144"/>
        <v>0</v>
      </c>
      <c r="BE242" s="32"/>
      <c r="BF242" s="13"/>
      <c r="BG242" s="13"/>
      <c r="BH242" s="14"/>
      <c r="BI242" s="15">
        <f t="shared" si="145"/>
        <v>0</v>
      </c>
      <c r="BJ242" s="32"/>
      <c r="BK242" s="13"/>
      <c r="BL242" s="13"/>
      <c r="BM242" s="14"/>
      <c r="BN242" s="15">
        <f t="shared" si="146"/>
        <v>0</v>
      </c>
      <c r="BO242" s="66">
        <f>SUM(G242,L242,Q242,V242,AA242,AF242,AK242,AP242,AU242,AZ242,BE242,BJ242)</f>
        <v>31</v>
      </c>
      <c r="BP242" s="13">
        <f>SUM(H242,M242,R242,W242,AB242,AG242,AL242,AQ242,AV242,BA242,BF242,BK242)</f>
        <v>39</v>
      </c>
      <c r="BQ242" s="13">
        <f>SUM(I242,N242,S242,X242,AC242,AH242,AM242,AR242,AW242,BB242,BG242,BL242)</f>
        <v>47</v>
      </c>
      <c r="BR242" s="14">
        <f>SUM(J242,O242,T242,Y242,AD242,AI242,AN242,AS242,AX242,BC242,BH242,BM242)</f>
        <v>0</v>
      </c>
      <c r="BS242" s="33">
        <f t="shared" si="135"/>
        <v>117</v>
      </c>
    </row>
    <row r="243" spans="2:71" x14ac:dyDescent="0.3">
      <c r="B243" s="269"/>
      <c r="C243" s="230"/>
      <c r="D243" s="233"/>
      <c r="E243" s="220"/>
      <c r="F243" s="121" t="s">
        <v>168</v>
      </c>
      <c r="G243" s="32">
        <v>410</v>
      </c>
      <c r="H243" s="13">
        <v>64</v>
      </c>
      <c r="I243" s="13">
        <v>147</v>
      </c>
      <c r="J243" s="14"/>
      <c r="K243" s="15">
        <f t="shared" si="134"/>
        <v>621</v>
      </c>
      <c r="L243" s="32">
        <v>508</v>
      </c>
      <c r="M243" s="13">
        <v>110</v>
      </c>
      <c r="N243" s="13">
        <v>155</v>
      </c>
      <c r="O243" s="14"/>
      <c r="P243" s="15">
        <f t="shared" si="136"/>
        <v>773</v>
      </c>
      <c r="Q243" s="32"/>
      <c r="R243" s="13"/>
      <c r="S243" s="13"/>
      <c r="T243" s="14"/>
      <c r="U243" s="15">
        <f t="shared" si="137"/>
        <v>0</v>
      </c>
      <c r="V243" s="32"/>
      <c r="W243" s="13"/>
      <c r="X243" s="13"/>
      <c r="Y243" s="14"/>
      <c r="Z243" s="15">
        <f t="shared" si="138"/>
        <v>0</v>
      </c>
      <c r="AA243" s="32"/>
      <c r="AB243" s="13"/>
      <c r="AC243" s="13"/>
      <c r="AD243" s="14"/>
      <c r="AE243" s="15">
        <f t="shared" si="139"/>
        <v>0</v>
      </c>
      <c r="AF243" s="32"/>
      <c r="AG243" s="13"/>
      <c r="AH243" s="13"/>
      <c r="AI243" s="14"/>
      <c r="AJ243" s="15">
        <f t="shared" si="140"/>
        <v>0</v>
      </c>
      <c r="AK243" s="32"/>
      <c r="AL243" s="13"/>
      <c r="AM243" s="13"/>
      <c r="AN243" s="14"/>
      <c r="AO243" s="15">
        <f t="shared" si="141"/>
        <v>0</v>
      </c>
      <c r="AP243" s="32"/>
      <c r="AQ243" s="13"/>
      <c r="AR243" s="13"/>
      <c r="AS243" s="14"/>
      <c r="AT243" s="15">
        <f t="shared" si="142"/>
        <v>0</v>
      </c>
      <c r="AU243" s="32"/>
      <c r="AV243" s="13"/>
      <c r="AW243" s="13"/>
      <c r="AX243" s="14"/>
      <c r="AY243" s="15">
        <f t="shared" si="143"/>
        <v>0</v>
      </c>
      <c r="AZ243" s="32"/>
      <c r="BA243" s="13"/>
      <c r="BB243" s="13"/>
      <c r="BC243" s="14"/>
      <c r="BD243" s="15">
        <f t="shared" si="144"/>
        <v>0</v>
      </c>
      <c r="BE243" s="32"/>
      <c r="BF243" s="13"/>
      <c r="BG243" s="13"/>
      <c r="BH243" s="14"/>
      <c r="BI243" s="15">
        <f t="shared" si="145"/>
        <v>0</v>
      </c>
      <c r="BJ243" s="32"/>
      <c r="BK243" s="13"/>
      <c r="BL243" s="13"/>
      <c r="BM243" s="14"/>
      <c r="BN243" s="15">
        <f t="shared" si="146"/>
        <v>0</v>
      </c>
      <c r="BO243" s="66">
        <f>SUM(G243,L243,Q243,V243,AA243,AF243,AK243,AP243,AU243,AZ243,BE243,BJ243)</f>
        <v>918</v>
      </c>
      <c r="BP243" s="13">
        <f>SUM(H243,M243,R243,W243,AB243,AG243,AL243,AQ243,AV243,BA243,BF243,BK243)</f>
        <v>174</v>
      </c>
      <c r="BQ243" s="13">
        <f>SUM(I243,N243,S243,X243,AC243,AH243,AM243,AR243,AW243,BB243,BG243,BL243)</f>
        <v>302</v>
      </c>
      <c r="BR243" s="14">
        <f>SUM(J243,O243,T243,Y243,AD243,AI243,AN243,AS243,AX243,BC243,BH243,BM243)</f>
        <v>0</v>
      </c>
      <c r="BS243" s="33">
        <f t="shared" si="135"/>
        <v>1394</v>
      </c>
    </row>
    <row r="244" spans="2:71" x14ac:dyDescent="0.3">
      <c r="B244" s="269"/>
      <c r="C244" s="230"/>
      <c r="D244" s="233"/>
      <c r="E244" s="220"/>
      <c r="F244" s="121" t="s">
        <v>169</v>
      </c>
      <c r="G244" s="32">
        <v>36</v>
      </c>
      <c r="H244" s="13">
        <v>3</v>
      </c>
      <c r="I244" s="13">
        <v>6</v>
      </c>
      <c r="J244" s="14"/>
      <c r="K244" s="15">
        <f t="shared" si="134"/>
        <v>45</v>
      </c>
      <c r="L244" s="32">
        <v>35</v>
      </c>
      <c r="M244" s="13">
        <v>5</v>
      </c>
      <c r="N244" s="13">
        <v>2</v>
      </c>
      <c r="O244" s="14"/>
      <c r="P244" s="15">
        <f t="shared" si="136"/>
        <v>42</v>
      </c>
      <c r="Q244" s="32"/>
      <c r="R244" s="13"/>
      <c r="S244" s="13"/>
      <c r="T244" s="14"/>
      <c r="U244" s="15">
        <f t="shared" si="137"/>
        <v>0</v>
      </c>
      <c r="V244" s="32"/>
      <c r="W244" s="13"/>
      <c r="X244" s="13"/>
      <c r="Y244" s="14"/>
      <c r="Z244" s="15">
        <f t="shared" si="138"/>
        <v>0</v>
      </c>
      <c r="AA244" s="32"/>
      <c r="AB244" s="13"/>
      <c r="AC244" s="13"/>
      <c r="AD244" s="14"/>
      <c r="AE244" s="15">
        <f t="shared" si="139"/>
        <v>0</v>
      </c>
      <c r="AF244" s="32"/>
      <c r="AG244" s="13"/>
      <c r="AH244" s="13"/>
      <c r="AI244" s="14"/>
      <c r="AJ244" s="15">
        <f t="shared" si="140"/>
        <v>0</v>
      </c>
      <c r="AK244" s="32"/>
      <c r="AL244" s="13"/>
      <c r="AM244" s="13"/>
      <c r="AN244" s="14"/>
      <c r="AO244" s="15">
        <f t="shared" si="141"/>
        <v>0</v>
      </c>
      <c r="AP244" s="32"/>
      <c r="AQ244" s="13"/>
      <c r="AR244" s="13"/>
      <c r="AS244" s="14"/>
      <c r="AT244" s="15">
        <f t="shared" si="142"/>
        <v>0</v>
      </c>
      <c r="AU244" s="32"/>
      <c r="AV244" s="13"/>
      <c r="AW244" s="13"/>
      <c r="AX244" s="14"/>
      <c r="AY244" s="15">
        <f t="shared" si="143"/>
        <v>0</v>
      </c>
      <c r="AZ244" s="32"/>
      <c r="BA244" s="13"/>
      <c r="BB244" s="13"/>
      <c r="BC244" s="14"/>
      <c r="BD244" s="15">
        <f t="shared" si="144"/>
        <v>0</v>
      </c>
      <c r="BE244" s="32"/>
      <c r="BF244" s="13"/>
      <c r="BG244" s="13"/>
      <c r="BH244" s="14"/>
      <c r="BI244" s="15">
        <f t="shared" si="145"/>
        <v>0</v>
      </c>
      <c r="BJ244" s="32"/>
      <c r="BK244" s="13"/>
      <c r="BL244" s="13"/>
      <c r="BM244" s="14"/>
      <c r="BN244" s="15">
        <f t="shared" si="146"/>
        <v>0</v>
      </c>
      <c r="BO244" s="66">
        <f>SUM(G244,L244,Q244,V244,AA244,AF244,AK244,AP244,AU244,AZ244,BE244,BJ244)</f>
        <v>71</v>
      </c>
      <c r="BP244" s="13">
        <f>SUM(H244,M244,R244,W244,AB244,AG244,AL244,AQ244,AV244,BA244,BF244,BK244)</f>
        <v>8</v>
      </c>
      <c r="BQ244" s="13">
        <f>SUM(I244,N244,S244,X244,AC244,AH244,AM244,AR244,AW244,BB244,BG244,BL244)</f>
        <v>8</v>
      </c>
      <c r="BR244" s="14">
        <f>SUM(J244,O244,T244,Y244,AD244,AI244,AN244,AS244,AX244,BC244,BH244,BM244)</f>
        <v>0</v>
      </c>
      <c r="BS244" s="33">
        <f t="shared" si="135"/>
        <v>87</v>
      </c>
    </row>
    <row r="245" spans="2:71" x14ac:dyDescent="0.3">
      <c r="B245" s="269"/>
      <c r="C245" s="230"/>
      <c r="D245" s="233"/>
      <c r="E245" s="220"/>
      <c r="F245" s="121" t="s">
        <v>164</v>
      </c>
      <c r="G245" s="32">
        <v>2304</v>
      </c>
      <c r="H245" s="13"/>
      <c r="I245" s="13"/>
      <c r="J245" s="14"/>
      <c r="K245" s="15">
        <f t="shared" si="134"/>
        <v>2304</v>
      </c>
      <c r="L245" s="32">
        <v>3164</v>
      </c>
      <c r="M245" s="13"/>
      <c r="N245" s="13"/>
      <c r="O245" s="14"/>
      <c r="P245" s="15">
        <f t="shared" si="136"/>
        <v>3164</v>
      </c>
      <c r="Q245" s="32">
        <v>2417</v>
      </c>
      <c r="R245" s="13"/>
      <c r="S245" s="13"/>
      <c r="T245" s="14"/>
      <c r="U245" s="15">
        <f t="shared" si="137"/>
        <v>2417</v>
      </c>
      <c r="V245" s="32">
        <v>2337</v>
      </c>
      <c r="W245" s="13"/>
      <c r="X245" s="13"/>
      <c r="Y245" s="14"/>
      <c r="Z245" s="15">
        <f t="shared" si="138"/>
        <v>2337</v>
      </c>
      <c r="AA245" s="32">
        <v>1071</v>
      </c>
      <c r="AB245" s="13"/>
      <c r="AC245" s="13"/>
      <c r="AD245" s="14"/>
      <c r="AE245" s="15">
        <f t="shared" si="139"/>
        <v>1071</v>
      </c>
      <c r="AF245" s="32">
        <v>1633</v>
      </c>
      <c r="AG245" s="13"/>
      <c r="AH245" s="13"/>
      <c r="AI245" s="14"/>
      <c r="AJ245" s="15">
        <f t="shared" si="140"/>
        <v>1633</v>
      </c>
      <c r="AK245" s="32">
        <v>1391</v>
      </c>
      <c r="AL245" s="13"/>
      <c r="AM245" s="13"/>
      <c r="AN245" s="14"/>
      <c r="AO245" s="15">
        <f t="shared" si="141"/>
        <v>1391</v>
      </c>
      <c r="AP245" s="32">
        <v>1425</v>
      </c>
      <c r="AQ245" s="13"/>
      <c r="AR245" s="13"/>
      <c r="AS245" s="14"/>
      <c r="AT245" s="15">
        <f t="shared" si="142"/>
        <v>1425</v>
      </c>
      <c r="AU245" s="32">
        <v>2803</v>
      </c>
      <c r="AV245" s="13"/>
      <c r="AW245" s="13"/>
      <c r="AX245" s="14"/>
      <c r="AY245" s="15">
        <f t="shared" si="143"/>
        <v>2803</v>
      </c>
      <c r="AZ245" s="32">
        <v>1777</v>
      </c>
      <c r="BA245" s="13"/>
      <c r="BB245" s="13"/>
      <c r="BC245" s="14"/>
      <c r="BD245" s="15">
        <f t="shared" si="144"/>
        <v>1777</v>
      </c>
      <c r="BE245" s="32">
        <v>2547</v>
      </c>
      <c r="BF245" s="13"/>
      <c r="BG245" s="13"/>
      <c r="BH245" s="14"/>
      <c r="BI245" s="15">
        <f t="shared" si="145"/>
        <v>2547</v>
      </c>
      <c r="BJ245" s="32">
        <v>2253</v>
      </c>
      <c r="BK245" s="13"/>
      <c r="BL245" s="13"/>
      <c r="BM245" s="14"/>
      <c r="BN245" s="15">
        <f t="shared" si="146"/>
        <v>2253</v>
      </c>
      <c r="BO245" s="66">
        <f>SUM(G245,L245,Q245,V245,AA245,AF245,AK245,AP245,AU245,AZ245,BE245,BJ245)</f>
        <v>25122</v>
      </c>
      <c r="BP245" s="13">
        <f>SUM(H245,M245,R245,W245,AB245,AG245,AL245,AQ245,AV245,BA245,BF245,BK245)</f>
        <v>0</v>
      </c>
      <c r="BQ245" s="13">
        <f>SUM(I245,N245,S245,X245,AC245,AH245,AM245,AR245,AW245,BB245,BG245,BL245)</f>
        <v>0</v>
      </c>
      <c r="BR245" s="14">
        <f>SUM(J245,O245,T245,Y245,AD245,AI245,AN245,AS245,AX245,BC245,BH245,BM245)</f>
        <v>0</v>
      </c>
      <c r="BS245" s="33">
        <f t="shared" si="135"/>
        <v>25122</v>
      </c>
    </row>
    <row r="246" spans="2:71" x14ac:dyDescent="0.3">
      <c r="B246" s="269"/>
      <c r="C246" s="230"/>
      <c r="D246" s="233"/>
      <c r="E246" s="220"/>
      <c r="F246" s="178" t="s">
        <v>681</v>
      </c>
      <c r="G246" s="179"/>
      <c r="H246" s="180"/>
      <c r="I246" s="180"/>
      <c r="J246" s="181"/>
      <c r="K246" s="182">
        <f t="shared" si="134"/>
        <v>0</v>
      </c>
      <c r="L246" s="179">
        <v>84</v>
      </c>
      <c r="M246" s="180"/>
      <c r="N246" s="180"/>
      <c r="O246" s="181"/>
      <c r="P246" s="182">
        <f t="shared" si="136"/>
        <v>84</v>
      </c>
      <c r="Q246" s="179"/>
      <c r="R246" s="180"/>
      <c r="S246" s="180"/>
      <c r="T246" s="181"/>
      <c r="U246" s="182">
        <f t="shared" si="137"/>
        <v>0</v>
      </c>
      <c r="V246" s="179"/>
      <c r="W246" s="180"/>
      <c r="X246" s="180"/>
      <c r="Y246" s="181"/>
      <c r="Z246" s="182">
        <f t="shared" si="138"/>
        <v>0</v>
      </c>
      <c r="AA246" s="179"/>
      <c r="AB246" s="180"/>
      <c r="AC246" s="180"/>
      <c r="AD246" s="181"/>
      <c r="AE246" s="182">
        <f t="shared" si="139"/>
        <v>0</v>
      </c>
      <c r="AF246" s="179"/>
      <c r="AG246" s="180"/>
      <c r="AH246" s="180"/>
      <c r="AI246" s="181"/>
      <c r="AJ246" s="182">
        <f t="shared" si="140"/>
        <v>0</v>
      </c>
      <c r="AK246" s="179"/>
      <c r="AL246" s="180"/>
      <c r="AM246" s="180"/>
      <c r="AN246" s="181"/>
      <c r="AO246" s="182">
        <f t="shared" si="141"/>
        <v>0</v>
      </c>
      <c r="AP246" s="179"/>
      <c r="AQ246" s="180"/>
      <c r="AR246" s="180"/>
      <c r="AS246" s="181"/>
      <c r="AT246" s="182">
        <f t="shared" si="142"/>
        <v>0</v>
      </c>
      <c r="AU246" s="179"/>
      <c r="AV246" s="180"/>
      <c r="AW246" s="180"/>
      <c r="AX246" s="181"/>
      <c r="AY246" s="182">
        <f t="shared" si="143"/>
        <v>0</v>
      </c>
      <c r="AZ246" s="179"/>
      <c r="BA246" s="180"/>
      <c r="BB246" s="180"/>
      <c r="BC246" s="181"/>
      <c r="BD246" s="182">
        <f t="shared" si="144"/>
        <v>0</v>
      </c>
      <c r="BE246" s="179"/>
      <c r="BF246" s="180"/>
      <c r="BG246" s="180"/>
      <c r="BH246" s="181"/>
      <c r="BI246" s="182">
        <f t="shared" si="145"/>
        <v>0</v>
      </c>
      <c r="BJ246" s="179"/>
      <c r="BK246" s="180"/>
      <c r="BL246" s="180"/>
      <c r="BM246" s="181"/>
      <c r="BN246" s="182">
        <f t="shared" si="146"/>
        <v>0</v>
      </c>
      <c r="BO246" s="184">
        <f>SUM(G246,L246,Q246,V246,AA246,AF246,AK246,AP246,AU246,AZ246,BE246,BJ246)</f>
        <v>84</v>
      </c>
      <c r="BP246" s="180">
        <f>SUM(H246,M246,R246,W246,AB246,AG246,AL246,AQ246,AV246,BA246,BF246,BK246)</f>
        <v>0</v>
      </c>
      <c r="BQ246" s="180">
        <f>SUM(I246,N246,S246,X246,AC246,AH246,AM246,AR246,AW246,BB246,BG246,BL246)</f>
        <v>0</v>
      </c>
      <c r="BR246" s="181">
        <f>SUM(J246,O246,T246,Y246,AD246,AI246,AN246,AS246,AX246,BC246,BH246,BM246)</f>
        <v>0</v>
      </c>
      <c r="BS246" s="183">
        <f t="shared" si="135"/>
        <v>84</v>
      </c>
    </row>
    <row r="247" spans="2:71" x14ac:dyDescent="0.3">
      <c r="B247" s="269"/>
      <c r="C247" s="230"/>
      <c r="D247" s="233"/>
      <c r="E247" s="220"/>
      <c r="F247" s="178" t="s">
        <v>682</v>
      </c>
      <c r="G247" s="179"/>
      <c r="H247" s="180"/>
      <c r="I247" s="180"/>
      <c r="J247" s="181"/>
      <c r="K247" s="182">
        <f t="shared" si="134"/>
        <v>0</v>
      </c>
      <c r="L247" s="179"/>
      <c r="M247" s="180"/>
      <c r="N247" s="180"/>
      <c r="O247" s="181"/>
      <c r="P247" s="182">
        <f t="shared" si="136"/>
        <v>0</v>
      </c>
      <c r="Q247" s="179"/>
      <c r="R247" s="180"/>
      <c r="S247" s="180"/>
      <c r="T247" s="181"/>
      <c r="U247" s="182">
        <f t="shared" si="137"/>
        <v>0</v>
      </c>
      <c r="V247" s="179"/>
      <c r="W247" s="180"/>
      <c r="X247" s="180"/>
      <c r="Y247" s="181"/>
      <c r="Z247" s="182">
        <f t="shared" si="138"/>
        <v>0</v>
      </c>
      <c r="AA247" s="179"/>
      <c r="AB247" s="180"/>
      <c r="AC247" s="180"/>
      <c r="AD247" s="181"/>
      <c r="AE247" s="182">
        <f t="shared" si="139"/>
        <v>0</v>
      </c>
      <c r="AF247" s="179">
        <v>197</v>
      </c>
      <c r="AG247" s="180"/>
      <c r="AH247" s="180"/>
      <c r="AI247" s="181"/>
      <c r="AJ247" s="182">
        <f t="shared" si="140"/>
        <v>197</v>
      </c>
      <c r="AK247" s="179">
        <v>314</v>
      </c>
      <c r="AL247" s="180"/>
      <c r="AM247" s="180"/>
      <c r="AN247" s="181"/>
      <c r="AO247" s="182">
        <f t="shared" si="141"/>
        <v>314</v>
      </c>
      <c r="AP247" s="179">
        <v>1001</v>
      </c>
      <c r="AQ247" s="180"/>
      <c r="AR247" s="180"/>
      <c r="AS247" s="181"/>
      <c r="AT247" s="182">
        <f t="shared" si="142"/>
        <v>1001</v>
      </c>
      <c r="AU247" s="179">
        <v>252</v>
      </c>
      <c r="AV247" s="180"/>
      <c r="AW247" s="180"/>
      <c r="AX247" s="181"/>
      <c r="AY247" s="182">
        <f t="shared" si="143"/>
        <v>252</v>
      </c>
      <c r="AZ247" s="179">
        <v>799</v>
      </c>
      <c r="BA247" s="180"/>
      <c r="BB247" s="180"/>
      <c r="BC247" s="181"/>
      <c r="BD247" s="182">
        <f t="shared" si="144"/>
        <v>799</v>
      </c>
      <c r="BE247" s="179">
        <v>867</v>
      </c>
      <c r="BF247" s="180"/>
      <c r="BG247" s="180"/>
      <c r="BH247" s="181"/>
      <c r="BI247" s="182">
        <f t="shared" si="145"/>
        <v>867</v>
      </c>
      <c r="BJ247" s="179">
        <v>15</v>
      </c>
      <c r="BK247" s="180"/>
      <c r="BL247" s="180"/>
      <c r="BM247" s="181"/>
      <c r="BN247" s="182">
        <f t="shared" si="146"/>
        <v>15</v>
      </c>
      <c r="BO247" s="184">
        <f>SUM(G247,L247,Q247,V247,AA247,AF247,AK247,AP247,AU247,AZ247,BE247,BJ247)</f>
        <v>3445</v>
      </c>
      <c r="BP247" s="180">
        <f>SUM(H247,M247,R247,W247,AB247,AG247,AL247,AQ247,AV247,BA247,BF247,BK247)</f>
        <v>0</v>
      </c>
      <c r="BQ247" s="180">
        <f>SUM(I247,N247,S247,X247,AC247,AH247,AM247,AR247,AW247,BB247,BG247,BL247)</f>
        <v>0</v>
      </c>
      <c r="BR247" s="181">
        <f>SUM(J247,O247,T247,Y247,AD247,AI247,AN247,AS247,AX247,BC247,BH247,BM247)</f>
        <v>0</v>
      </c>
      <c r="BS247" s="183">
        <f t="shared" si="135"/>
        <v>3445</v>
      </c>
    </row>
    <row r="248" spans="2:71" x14ac:dyDescent="0.3">
      <c r="B248" s="269"/>
      <c r="C248" s="230"/>
      <c r="D248" s="233"/>
      <c r="E248" s="220"/>
      <c r="F248" s="178" t="s">
        <v>683</v>
      </c>
      <c r="G248" s="179"/>
      <c r="H248" s="180"/>
      <c r="I248" s="180"/>
      <c r="J248" s="181"/>
      <c r="K248" s="182">
        <f t="shared" si="134"/>
        <v>0</v>
      </c>
      <c r="L248" s="179"/>
      <c r="M248" s="180"/>
      <c r="N248" s="180"/>
      <c r="O248" s="181"/>
      <c r="P248" s="182">
        <f t="shared" si="136"/>
        <v>0</v>
      </c>
      <c r="Q248" s="179"/>
      <c r="R248" s="180"/>
      <c r="S248" s="180"/>
      <c r="T248" s="181"/>
      <c r="U248" s="182">
        <f t="shared" si="137"/>
        <v>0</v>
      </c>
      <c r="V248" s="179"/>
      <c r="W248" s="180"/>
      <c r="X248" s="180"/>
      <c r="Y248" s="181"/>
      <c r="Z248" s="182">
        <f t="shared" si="138"/>
        <v>0</v>
      </c>
      <c r="AA248" s="179"/>
      <c r="AB248" s="180"/>
      <c r="AC248" s="180"/>
      <c r="AD248" s="181"/>
      <c r="AE248" s="182">
        <f t="shared" si="139"/>
        <v>0</v>
      </c>
      <c r="AF248" s="179">
        <v>14</v>
      </c>
      <c r="AG248" s="180"/>
      <c r="AH248" s="180"/>
      <c r="AI248" s="181"/>
      <c r="AJ248" s="182">
        <f t="shared" si="140"/>
        <v>14</v>
      </c>
      <c r="AK248" s="179"/>
      <c r="AL248" s="180"/>
      <c r="AM248" s="180"/>
      <c r="AN248" s="181"/>
      <c r="AO248" s="182">
        <f t="shared" si="141"/>
        <v>0</v>
      </c>
      <c r="AP248" s="179"/>
      <c r="AQ248" s="180"/>
      <c r="AR248" s="180"/>
      <c r="AS248" s="181"/>
      <c r="AT248" s="182">
        <f t="shared" si="142"/>
        <v>0</v>
      </c>
      <c r="AU248" s="179"/>
      <c r="AV248" s="180"/>
      <c r="AW248" s="180"/>
      <c r="AX248" s="181"/>
      <c r="AY248" s="182">
        <f t="shared" si="143"/>
        <v>0</v>
      </c>
      <c r="AZ248" s="179"/>
      <c r="BA248" s="180"/>
      <c r="BB248" s="180"/>
      <c r="BC248" s="181"/>
      <c r="BD248" s="182">
        <f t="shared" si="144"/>
        <v>0</v>
      </c>
      <c r="BE248" s="179"/>
      <c r="BF248" s="180"/>
      <c r="BG248" s="180"/>
      <c r="BH248" s="181"/>
      <c r="BI248" s="182">
        <f t="shared" si="145"/>
        <v>0</v>
      </c>
      <c r="BJ248" s="179"/>
      <c r="BK248" s="180"/>
      <c r="BL248" s="180"/>
      <c r="BM248" s="181"/>
      <c r="BN248" s="182">
        <f t="shared" si="146"/>
        <v>0</v>
      </c>
      <c r="BO248" s="184">
        <f>SUM(G248,L248,Q248,V248,AA248,AF248,AK248,AP248,AU248,AZ248,BE248,BJ248)</f>
        <v>14</v>
      </c>
      <c r="BP248" s="180">
        <f>SUM(H248,M248,R248,W248,AB248,AG248,AL248,AQ248,AV248,BA248,BF248,BK248)</f>
        <v>0</v>
      </c>
      <c r="BQ248" s="180">
        <f>SUM(I248,N248,S248,X248,AC248,AH248,AM248,AR248,AW248,BB248,BG248,BL248)</f>
        <v>0</v>
      </c>
      <c r="BR248" s="181">
        <f>SUM(J248,O248,T248,Y248,AD248,AI248,AN248,AS248,AX248,BC248,BH248,BM248)</f>
        <v>0</v>
      </c>
      <c r="BS248" s="183">
        <f t="shared" si="135"/>
        <v>14</v>
      </c>
    </row>
    <row r="249" spans="2:71" x14ac:dyDescent="0.3">
      <c r="B249" s="269"/>
      <c r="C249" s="230"/>
      <c r="D249" s="233"/>
      <c r="E249" s="220"/>
      <c r="F249" s="178" t="s">
        <v>684</v>
      </c>
      <c r="G249" s="179"/>
      <c r="H249" s="180"/>
      <c r="I249" s="180"/>
      <c r="J249" s="181"/>
      <c r="K249" s="182">
        <f t="shared" si="134"/>
        <v>0</v>
      </c>
      <c r="L249" s="179"/>
      <c r="M249" s="180"/>
      <c r="N249" s="180"/>
      <c r="O249" s="181"/>
      <c r="P249" s="182">
        <f t="shared" si="136"/>
        <v>0</v>
      </c>
      <c r="Q249" s="179">
        <v>127</v>
      </c>
      <c r="R249" s="180"/>
      <c r="S249" s="180"/>
      <c r="T249" s="181"/>
      <c r="U249" s="182">
        <f t="shared" si="137"/>
        <v>127</v>
      </c>
      <c r="V249" s="179"/>
      <c r="W249" s="180"/>
      <c r="X249" s="180"/>
      <c r="Y249" s="181"/>
      <c r="Z249" s="182">
        <f t="shared" si="138"/>
        <v>0</v>
      </c>
      <c r="AA249" s="179">
        <v>5</v>
      </c>
      <c r="AB249" s="180"/>
      <c r="AC249" s="180"/>
      <c r="AD249" s="181"/>
      <c r="AE249" s="182">
        <f t="shared" si="139"/>
        <v>5</v>
      </c>
      <c r="AF249" s="179"/>
      <c r="AG249" s="180"/>
      <c r="AH249" s="180"/>
      <c r="AI249" s="181"/>
      <c r="AJ249" s="182">
        <f t="shared" si="140"/>
        <v>0</v>
      </c>
      <c r="AK249" s="179"/>
      <c r="AL249" s="180"/>
      <c r="AM249" s="180"/>
      <c r="AN249" s="181"/>
      <c r="AO249" s="182">
        <f t="shared" si="141"/>
        <v>0</v>
      </c>
      <c r="AP249" s="179"/>
      <c r="AQ249" s="180"/>
      <c r="AR249" s="180"/>
      <c r="AS249" s="181"/>
      <c r="AT249" s="182">
        <f t="shared" si="142"/>
        <v>0</v>
      </c>
      <c r="AU249" s="179"/>
      <c r="AV249" s="180"/>
      <c r="AW249" s="180"/>
      <c r="AX249" s="181"/>
      <c r="AY249" s="182">
        <f t="shared" si="143"/>
        <v>0</v>
      </c>
      <c r="AZ249" s="179"/>
      <c r="BA249" s="180"/>
      <c r="BB249" s="180"/>
      <c r="BC249" s="181"/>
      <c r="BD249" s="182">
        <f t="shared" si="144"/>
        <v>0</v>
      </c>
      <c r="BE249" s="179"/>
      <c r="BF249" s="180"/>
      <c r="BG249" s="180"/>
      <c r="BH249" s="181"/>
      <c r="BI249" s="182">
        <f t="shared" si="145"/>
        <v>0</v>
      </c>
      <c r="BJ249" s="179">
        <v>681</v>
      </c>
      <c r="BK249" s="180"/>
      <c r="BL249" s="180"/>
      <c r="BM249" s="181"/>
      <c r="BN249" s="182">
        <f t="shared" si="146"/>
        <v>681</v>
      </c>
      <c r="BO249" s="184">
        <f>SUM(G249,L249,Q249,V249,AA249,AF249,AK249,AP249,AU249,AZ249,BE249,BJ249)</f>
        <v>813</v>
      </c>
      <c r="BP249" s="180">
        <f>SUM(H249,M249,R249,W249,AB249,AG249,AL249,AQ249,AV249,BA249,BF249,BK249)</f>
        <v>0</v>
      </c>
      <c r="BQ249" s="180">
        <f>SUM(I249,N249,S249,X249,AC249,AH249,AM249,AR249,AW249,BB249,BG249,BL249)</f>
        <v>0</v>
      </c>
      <c r="BR249" s="181">
        <f>SUM(J249,O249,T249,Y249,AD249,AI249,AN249,AS249,AX249,BC249,BH249,BM249)</f>
        <v>0</v>
      </c>
      <c r="BS249" s="183">
        <f t="shared" si="135"/>
        <v>813</v>
      </c>
    </row>
    <row r="250" spans="2:71" x14ac:dyDescent="0.3">
      <c r="B250" s="269"/>
      <c r="C250" s="230"/>
      <c r="D250" s="233"/>
      <c r="E250" s="220"/>
      <c r="F250" s="178" t="s">
        <v>685</v>
      </c>
      <c r="G250" s="179"/>
      <c r="H250" s="180"/>
      <c r="I250" s="180"/>
      <c r="J250" s="181"/>
      <c r="K250" s="182">
        <f t="shared" si="134"/>
        <v>0</v>
      </c>
      <c r="L250" s="179"/>
      <c r="M250" s="180"/>
      <c r="N250" s="180"/>
      <c r="O250" s="181"/>
      <c r="P250" s="182">
        <f t="shared" si="136"/>
        <v>0</v>
      </c>
      <c r="Q250" s="179"/>
      <c r="R250" s="180"/>
      <c r="S250" s="180"/>
      <c r="T250" s="181"/>
      <c r="U250" s="182">
        <f t="shared" si="137"/>
        <v>0</v>
      </c>
      <c r="V250" s="179">
        <v>54</v>
      </c>
      <c r="W250" s="180"/>
      <c r="X250" s="180"/>
      <c r="Y250" s="181"/>
      <c r="Z250" s="182">
        <f t="shared" si="138"/>
        <v>54</v>
      </c>
      <c r="AA250" s="179">
        <v>2</v>
      </c>
      <c r="AB250" s="180"/>
      <c r="AC250" s="180"/>
      <c r="AD250" s="181"/>
      <c r="AE250" s="182">
        <f t="shared" si="139"/>
        <v>2</v>
      </c>
      <c r="AF250" s="179"/>
      <c r="AG250" s="180"/>
      <c r="AH250" s="180"/>
      <c r="AI250" s="181"/>
      <c r="AJ250" s="182">
        <f t="shared" si="140"/>
        <v>0</v>
      </c>
      <c r="AK250" s="179"/>
      <c r="AL250" s="180"/>
      <c r="AM250" s="180"/>
      <c r="AN250" s="181"/>
      <c r="AO250" s="182">
        <f t="shared" si="141"/>
        <v>0</v>
      </c>
      <c r="AP250" s="179"/>
      <c r="AQ250" s="180"/>
      <c r="AR250" s="180"/>
      <c r="AS250" s="181"/>
      <c r="AT250" s="182">
        <f t="shared" si="142"/>
        <v>0</v>
      </c>
      <c r="AU250" s="179"/>
      <c r="AV250" s="180"/>
      <c r="AW250" s="180"/>
      <c r="AX250" s="181"/>
      <c r="AY250" s="182">
        <f t="shared" si="143"/>
        <v>0</v>
      </c>
      <c r="AZ250" s="179"/>
      <c r="BA250" s="180"/>
      <c r="BB250" s="180"/>
      <c r="BC250" s="181"/>
      <c r="BD250" s="182">
        <f t="shared" si="144"/>
        <v>0</v>
      </c>
      <c r="BE250" s="179"/>
      <c r="BF250" s="180"/>
      <c r="BG250" s="180"/>
      <c r="BH250" s="181"/>
      <c r="BI250" s="182">
        <f t="shared" si="145"/>
        <v>0</v>
      </c>
      <c r="BJ250" s="179"/>
      <c r="BK250" s="180"/>
      <c r="BL250" s="180"/>
      <c r="BM250" s="181"/>
      <c r="BN250" s="182">
        <f t="shared" si="146"/>
        <v>0</v>
      </c>
      <c r="BO250" s="184">
        <f>SUM(G250,L250,Q250,V250,AA250,AF250,AK250,AP250,AU250,AZ250,BE250,BJ250)</f>
        <v>56</v>
      </c>
      <c r="BP250" s="180">
        <f>SUM(H250,M250,R250,W250,AB250,AG250,AL250,AQ250,AV250,BA250,BF250,BK250)</f>
        <v>0</v>
      </c>
      <c r="BQ250" s="180">
        <f>SUM(I250,N250,S250,X250,AC250,AH250,AM250,AR250,AW250,BB250,BG250,BL250)</f>
        <v>0</v>
      </c>
      <c r="BR250" s="181">
        <f>SUM(J250,O250,T250,Y250,AD250,AI250,AN250,AS250,AX250,BC250,BH250,BM250)</f>
        <v>0</v>
      </c>
      <c r="BS250" s="183">
        <f t="shared" si="135"/>
        <v>56</v>
      </c>
    </row>
    <row r="251" spans="2:71" x14ac:dyDescent="0.3">
      <c r="B251" s="269"/>
      <c r="C251" s="230"/>
      <c r="D251" s="233"/>
      <c r="E251" s="220"/>
      <c r="F251" s="178" t="s">
        <v>686</v>
      </c>
      <c r="G251" s="179"/>
      <c r="H251" s="180"/>
      <c r="I251" s="180"/>
      <c r="J251" s="181"/>
      <c r="K251" s="182">
        <f t="shared" si="134"/>
        <v>0</v>
      </c>
      <c r="L251" s="179"/>
      <c r="M251" s="180"/>
      <c r="N251" s="180"/>
      <c r="O251" s="181"/>
      <c r="P251" s="182">
        <f t="shared" si="136"/>
        <v>0</v>
      </c>
      <c r="Q251" s="179"/>
      <c r="R251" s="180"/>
      <c r="S251" s="180"/>
      <c r="T251" s="181"/>
      <c r="U251" s="182">
        <f t="shared" si="137"/>
        <v>0</v>
      </c>
      <c r="V251" s="179"/>
      <c r="W251" s="180"/>
      <c r="X251" s="180"/>
      <c r="Y251" s="181"/>
      <c r="Z251" s="182">
        <f t="shared" si="138"/>
        <v>0</v>
      </c>
      <c r="AA251" s="179"/>
      <c r="AB251" s="180"/>
      <c r="AC251" s="180"/>
      <c r="AD251" s="181"/>
      <c r="AE251" s="182">
        <f t="shared" si="139"/>
        <v>0</v>
      </c>
      <c r="AF251" s="179"/>
      <c r="AG251" s="180"/>
      <c r="AH251" s="180"/>
      <c r="AI251" s="181"/>
      <c r="AJ251" s="182">
        <f t="shared" si="140"/>
        <v>0</v>
      </c>
      <c r="AK251" s="179">
        <v>58</v>
      </c>
      <c r="AL251" s="180"/>
      <c r="AM251" s="180"/>
      <c r="AN251" s="181"/>
      <c r="AO251" s="182">
        <f t="shared" si="141"/>
        <v>58</v>
      </c>
      <c r="AP251" s="179"/>
      <c r="AQ251" s="180"/>
      <c r="AR251" s="180"/>
      <c r="AS251" s="181"/>
      <c r="AT251" s="182">
        <f t="shared" si="142"/>
        <v>0</v>
      </c>
      <c r="AU251" s="179"/>
      <c r="AV251" s="180"/>
      <c r="AW251" s="180"/>
      <c r="AX251" s="181"/>
      <c r="AY251" s="182">
        <f t="shared" si="143"/>
        <v>0</v>
      </c>
      <c r="AZ251" s="179"/>
      <c r="BA251" s="180"/>
      <c r="BB251" s="180"/>
      <c r="BC251" s="181"/>
      <c r="BD251" s="182">
        <f t="shared" si="144"/>
        <v>0</v>
      </c>
      <c r="BE251" s="179"/>
      <c r="BF251" s="180"/>
      <c r="BG251" s="180"/>
      <c r="BH251" s="181"/>
      <c r="BI251" s="182">
        <f t="shared" si="145"/>
        <v>0</v>
      </c>
      <c r="BJ251" s="179"/>
      <c r="BK251" s="180"/>
      <c r="BL251" s="180"/>
      <c r="BM251" s="181"/>
      <c r="BN251" s="182">
        <f t="shared" si="146"/>
        <v>0</v>
      </c>
      <c r="BO251" s="184">
        <f>SUM(G251,L251,Q251,V251,AA251,AF251,AK251,AP251,AU251,AZ251,BE251,BJ251)</f>
        <v>58</v>
      </c>
      <c r="BP251" s="180">
        <f>SUM(H251,M251,R251,W251,AB251,AG251,AL251,AQ251,AV251,BA251,BF251,BK251)</f>
        <v>0</v>
      </c>
      <c r="BQ251" s="180">
        <f>SUM(I251,N251,S251,X251,AC251,AH251,AM251,AR251,AW251,BB251,BG251,BL251)</f>
        <v>0</v>
      </c>
      <c r="BR251" s="181">
        <f>SUM(J251,O251,T251,Y251,AD251,AI251,AN251,AS251,AX251,BC251,BH251,BM251)</f>
        <v>0</v>
      </c>
      <c r="BS251" s="183">
        <f t="shared" si="135"/>
        <v>58</v>
      </c>
    </row>
    <row r="252" spans="2:71" x14ac:dyDescent="0.3">
      <c r="B252" s="269"/>
      <c r="C252" s="230"/>
      <c r="D252" s="233"/>
      <c r="E252" s="220"/>
      <c r="F252" s="178" t="s">
        <v>687</v>
      </c>
      <c r="G252" s="179"/>
      <c r="H252" s="180"/>
      <c r="I252" s="180"/>
      <c r="J252" s="181"/>
      <c r="K252" s="182">
        <f t="shared" si="134"/>
        <v>0</v>
      </c>
      <c r="L252" s="179"/>
      <c r="M252" s="180"/>
      <c r="N252" s="180"/>
      <c r="O252" s="181"/>
      <c r="P252" s="182">
        <f t="shared" si="136"/>
        <v>0</v>
      </c>
      <c r="Q252" s="179"/>
      <c r="R252" s="180"/>
      <c r="S252" s="180"/>
      <c r="T252" s="181"/>
      <c r="U252" s="182">
        <f t="shared" si="137"/>
        <v>0</v>
      </c>
      <c r="V252" s="179"/>
      <c r="W252" s="180"/>
      <c r="X252" s="180"/>
      <c r="Y252" s="181"/>
      <c r="Z252" s="182">
        <f t="shared" si="138"/>
        <v>0</v>
      </c>
      <c r="AA252" s="179"/>
      <c r="AB252" s="180"/>
      <c r="AC252" s="180"/>
      <c r="AD252" s="181"/>
      <c r="AE252" s="182">
        <f t="shared" si="139"/>
        <v>0</v>
      </c>
      <c r="AF252" s="179"/>
      <c r="AG252" s="180"/>
      <c r="AH252" s="180"/>
      <c r="AI252" s="181"/>
      <c r="AJ252" s="182">
        <f t="shared" si="140"/>
        <v>0</v>
      </c>
      <c r="AK252" s="179">
        <v>20</v>
      </c>
      <c r="AL252" s="180"/>
      <c r="AM252" s="180"/>
      <c r="AN252" s="181"/>
      <c r="AO252" s="182">
        <f t="shared" si="141"/>
        <v>20</v>
      </c>
      <c r="AP252" s="179">
        <v>1</v>
      </c>
      <c r="AQ252" s="180"/>
      <c r="AR252" s="180"/>
      <c r="AS252" s="181"/>
      <c r="AT252" s="182">
        <f t="shared" si="142"/>
        <v>1</v>
      </c>
      <c r="AU252" s="179"/>
      <c r="AV252" s="180"/>
      <c r="AW252" s="180"/>
      <c r="AX252" s="181"/>
      <c r="AY252" s="182">
        <f t="shared" si="143"/>
        <v>0</v>
      </c>
      <c r="AZ252" s="179"/>
      <c r="BA252" s="180"/>
      <c r="BB252" s="180"/>
      <c r="BC252" s="181"/>
      <c r="BD252" s="182">
        <f t="shared" si="144"/>
        <v>0</v>
      </c>
      <c r="BE252" s="179"/>
      <c r="BF252" s="180"/>
      <c r="BG252" s="180"/>
      <c r="BH252" s="181"/>
      <c r="BI252" s="182">
        <f t="shared" si="145"/>
        <v>0</v>
      </c>
      <c r="BJ252" s="179"/>
      <c r="BK252" s="180"/>
      <c r="BL252" s="180"/>
      <c r="BM252" s="181"/>
      <c r="BN252" s="182">
        <f t="shared" si="146"/>
        <v>0</v>
      </c>
      <c r="BO252" s="184">
        <f>SUM(G252,L252,Q252,V252,AA252,AF252,AK252,AP252,AU252,AZ252,BE252,BJ252)</f>
        <v>21</v>
      </c>
      <c r="BP252" s="180">
        <f>SUM(H252,M252,R252,W252,AB252,AG252,AL252,AQ252,AV252,BA252,BF252,BK252)</f>
        <v>0</v>
      </c>
      <c r="BQ252" s="180">
        <f>SUM(I252,N252,S252,X252,AC252,AH252,AM252,AR252,AW252,BB252,BG252,BL252)</f>
        <v>0</v>
      </c>
      <c r="BR252" s="181">
        <f>SUM(J252,O252,T252,Y252,AD252,AI252,AN252,AS252,AX252,BC252,BH252,BM252)</f>
        <v>0</v>
      </c>
      <c r="BS252" s="183">
        <f t="shared" si="135"/>
        <v>21</v>
      </c>
    </row>
    <row r="253" spans="2:71" x14ac:dyDescent="0.3">
      <c r="B253" s="269"/>
      <c r="C253" s="230"/>
      <c r="D253" s="233"/>
      <c r="E253" s="220"/>
      <c r="F253" s="178" t="s">
        <v>688</v>
      </c>
      <c r="G253" s="179"/>
      <c r="H253" s="180"/>
      <c r="I253" s="180"/>
      <c r="J253" s="181"/>
      <c r="K253" s="182">
        <f t="shared" si="134"/>
        <v>0</v>
      </c>
      <c r="L253" s="179"/>
      <c r="M253" s="180"/>
      <c r="N253" s="180"/>
      <c r="O253" s="181"/>
      <c r="P253" s="182">
        <f t="shared" si="136"/>
        <v>0</v>
      </c>
      <c r="Q253" s="179"/>
      <c r="R253" s="180"/>
      <c r="S253" s="180"/>
      <c r="T253" s="181"/>
      <c r="U253" s="182">
        <f t="shared" si="137"/>
        <v>0</v>
      </c>
      <c r="V253" s="179"/>
      <c r="W253" s="180"/>
      <c r="X253" s="180"/>
      <c r="Y253" s="181"/>
      <c r="Z253" s="182">
        <f t="shared" si="138"/>
        <v>0</v>
      </c>
      <c r="AA253" s="179"/>
      <c r="AB253" s="180"/>
      <c r="AC253" s="180"/>
      <c r="AD253" s="181"/>
      <c r="AE253" s="182">
        <f t="shared" si="139"/>
        <v>0</v>
      </c>
      <c r="AF253" s="179"/>
      <c r="AG253" s="180"/>
      <c r="AH253" s="180"/>
      <c r="AI253" s="181"/>
      <c r="AJ253" s="182">
        <f t="shared" si="140"/>
        <v>0</v>
      </c>
      <c r="AK253" s="179"/>
      <c r="AL253" s="180"/>
      <c r="AM253" s="180"/>
      <c r="AN253" s="181"/>
      <c r="AO253" s="182">
        <f t="shared" si="141"/>
        <v>0</v>
      </c>
      <c r="AP253" s="179"/>
      <c r="AQ253" s="180"/>
      <c r="AR253" s="180"/>
      <c r="AS253" s="181"/>
      <c r="AT253" s="182">
        <f t="shared" si="142"/>
        <v>0</v>
      </c>
      <c r="AU253" s="179">
        <v>6</v>
      </c>
      <c r="AV253" s="180"/>
      <c r="AW253" s="180"/>
      <c r="AX253" s="181"/>
      <c r="AY253" s="182">
        <f t="shared" si="143"/>
        <v>6</v>
      </c>
      <c r="AZ253" s="179">
        <v>36</v>
      </c>
      <c r="BA253" s="180"/>
      <c r="BB253" s="180"/>
      <c r="BC253" s="181"/>
      <c r="BD253" s="182">
        <f t="shared" si="144"/>
        <v>36</v>
      </c>
      <c r="BE253" s="179"/>
      <c r="BF253" s="180"/>
      <c r="BG253" s="180"/>
      <c r="BH253" s="181"/>
      <c r="BI253" s="182">
        <f t="shared" si="145"/>
        <v>0</v>
      </c>
      <c r="BJ253" s="179"/>
      <c r="BK253" s="180"/>
      <c r="BL253" s="180"/>
      <c r="BM253" s="181"/>
      <c r="BN253" s="182">
        <f t="shared" si="146"/>
        <v>0</v>
      </c>
      <c r="BO253" s="184">
        <f>SUM(G253,L253,Q253,V253,AA253,AF253,AK253,AP253,AU253,AZ253,BE253,BJ253)</f>
        <v>42</v>
      </c>
      <c r="BP253" s="180">
        <f>SUM(H253,M253,R253,W253,AB253,AG253,AL253,AQ253,AV253,BA253,BF253,BK253)</f>
        <v>0</v>
      </c>
      <c r="BQ253" s="180">
        <f>SUM(I253,N253,S253,X253,AC253,AH253,AM253,AR253,AW253,BB253,BG253,BL253)</f>
        <v>0</v>
      </c>
      <c r="BR253" s="181">
        <f>SUM(J253,O253,T253,Y253,AD253,AI253,AN253,AS253,AX253,BC253,BH253,BM253)</f>
        <v>0</v>
      </c>
      <c r="BS253" s="183">
        <f t="shared" si="135"/>
        <v>42</v>
      </c>
    </row>
    <row r="254" spans="2:71" x14ac:dyDescent="0.3">
      <c r="B254" s="269"/>
      <c r="C254" s="230"/>
      <c r="D254" s="233"/>
      <c r="E254" s="220"/>
      <c r="F254" s="178" t="s">
        <v>689</v>
      </c>
      <c r="G254" s="179"/>
      <c r="H254" s="180"/>
      <c r="I254" s="180"/>
      <c r="J254" s="181"/>
      <c r="K254" s="182">
        <f t="shared" si="134"/>
        <v>0</v>
      </c>
      <c r="L254" s="179"/>
      <c r="M254" s="180"/>
      <c r="N254" s="180"/>
      <c r="O254" s="181"/>
      <c r="P254" s="182">
        <f t="shared" si="136"/>
        <v>0</v>
      </c>
      <c r="Q254" s="179"/>
      <c r="R254" s="180"/>
      <c r="S254" s="180"/>
      <c r="T254" s="181"/>
      <c r="U254" s="182">
        <f t="shared" si="137"/>
        <v>0</v>
      </c>
      <c r="V254" s="179">
        <v>104</v>
      </c>
      <c r="W254" s="180"/>
      <c r="X254" s="180"/>
      <c r="Y254" s="181"/>
      <c r="Z254" s="182">
        <f t="shared" si="138"/>
        <v>104</v>
      </c>
      <c r="AA254" s="179"/>
      <c r="AB254" s="180"/>
      <c r="AC254" s="180"/>
      <c r="AD254" s="181"/>
      <c r="AE254" s="182">
        <f t="shared" si="139"/>
        <v>0</v>
      </c>
      <c r="AF254" s="179"/>
      <c r="AG254" s="180"/>
      <c r="AH254" s="180"/>
      <c r="AI254" s="181"/>
      <c r="AJ254" s="182">
        <f t="shared" si="140"/>
        <v>0</v>
      </c>
      <c r="AK254" s="179"/>
      <c r="AL254" s="180"/>
      <c r="AM254" s="180"/>
      <c r="AN254" s="181"/>
      <c r="AO254" s="182">
        <f t="shared" si="141"/>
        <v>0</v>
      </c>
      <c r="AP254" s="179"/>
      <c r="AQ254" s="180"/>
      <c r="AR254" s="180"/>
      <c r="AS254" s="181"/>
      <c r="AT254" s="182">
        <f t="shared" si="142"/>
        <v>0</v>
      </c>
      <c r="AU254" s="179"/>
      <c r="AV254" s="180"/>
      <c r="AW254" s="180"/>
      <c r="AX254" s="181"/>
      <c r="AY254" s="182">
        <f t="shared" si="143"/>
        <v>0</v>
      </c>
      <c r="AZ254" s="179"/>
      <c r="BA254" s="180"/>
      <c r="BB254" s="180"/>
      <c r="BC254" s="181"/>
      <c r="BD254" s="182">
        <f t="shared" si="144"/>
        <v>0</v>
      </c>
      <c r="BE254" s="179"/>
      <c r="BF254" s="180"/>
      <c r="BG254" s="180"/>
      <c r="BH254" s="181"/>
      <c r="BI254" s="182">
        <f t="shared" si="145"/>
        <v>0</v>
      </c>
      <c r="BJ254" s="179"/>
      <c r="BK254" s="180"/>
      <c r="BL254" s="180"/>
      <c r="BM254" s="181"/>
      <c r="BN254" s="182">
        <f t="shared" si="146"/>
        <v>0</v>
      </c>
      <c r="BO254" s="184">
        <f>SUM(G254,L254,Q254,V254,AA254,AF254,AK254,AP254,AU254,AZ254,BE254,BJ254)</f>
        <v>104</v>
      </c>
      <c r="BP254" s="180">
        <f>SUM(H254,M254,R254,W254,AB254,AG254,AL254,AQ254,AV254,BA254,BF254,BK254)</f>
        <v>0</v>
      </c>
      <c r="BQ254" s="180">
        <f>SUM(I254,N254,S254,X254,AC254,AH254,AM254,AR254,AW254,BB254,BG254,BL254)</f>
        <v>0</v>
      </c>
      <c r="BR254" s="181">
        <f>SUM(J254,O254,T254,Y254,AD254,AI254,AN254,AS254,AX254,BC254,BH254,BM254)</f>
        <v>0</v>
      </c>
      <c r="BS254" s="183">
        <f t="shared" si="135"/>
        <v>104</v>
      </c>
    </row>
    <row r="255" spans="2:71" x14ac:dyDescent="0.3">
      <c r="B255" s="269"/>
      <c r="C255" s="230"/>
      <c r="D255" s="233"/>
      <c r="E255" s="220"/>
      <c r="F255" s="178" t="s">
        <v>690</v>
      </c>
      <c r="G255" s="179"/>
      <c r="H255" s="180"/>
      <c r="I255" s="180"/>
      <c r="J255" s="181"/>
      <c r="K255" s="182">
        <f t="shared" si="134"/>
        <v>0</v>
      </c>
      <c r="L255" s="179"/>
      <c r="M255" s="180"/>
      <c r="N255" s="180"/>
      <c r="O255" s="181"/>
      <c r="P255" s="182">
        <f t="shared" si="136"/>
        <v>0</v>
      </c>
      <c r="Q255" s="179"/>
      <c r="R255" s="180"/>
      <c r="S255" s="180"/>
      <c r="T255" s="181"/>
      <c r="U255" s="182">
        <f t="shared" si="137"/>
        <v>0</v>
      </c>
      <c r="V255" s="179"/>
      <c r="W255" s="180"/>
      <c r="X255" s="180"/>
      <c r="Y255" s="181"/>
      <c r="Z255" s="182">
        <f t="shared" si="138"/>
        <v>0</v>
      </c>
      <c r="AA255" s="179"/>
      <c r="AB255" s="180"/>
      <c r="AC255" s="180"/>
      <c r="AD255" s="181"/>
      <c r="AE255" s="182">
        <f t="shared" si="139"/>
        <v>0</v>
      </c>
      <c r="AF255" s="179"/>
      <c r="AG255" s="180"/>
      <c r="AH255" s="180"/>
      <c r="AI255" s="181"/>
      <c r="AJ255" s="182">
        <f t="shared" si="140"/>
        <v>0</v>
      </c>
      <c r="AK255" s="179"/>
      <c r="AL255" s="180"/>
      <c r="AM255" s="180"/>
      <c r="AN255" s="181"/>
      <c r="AO255" s="182">
        <f t="shared" si="141"/>
        <v>0</v>
      </c>
      <c r="AP255" s="179"/>
      <c r="AQ255" s="180"/>
      <c r="AR255" s="180"/>
      <c r="AS255" s="181"/>
      <c r="AT255" s="182">
        <f t="shared" si="142"/>
        <v>0</v>
      </c>
      <c r="AU255" s="179"/>
      <c r="AV255" s="180"/>
      <c r="AW255" s="180"/>
      <c r="AX255" s="181"/>
      <c r="AY255" s="182">
        <f t="shared" si="143"/>
        <v>0</v>
      </c>
      <c r="AZ255" s="179"/>
      <c r="BA255" s="180"/>
      <c r="BB255" s="180"/>
      <c r="BC255" s="181"/>
      <c r="BD255" s="182">
        <f t="shared" si="144"/>
        <v>0</v>
      </c>
      <c r="BE255" s="179"/>
      <c r="BF255" s="180"/>
      <c r="BG255" s="180"/>
      <c r="BH255" s="181"/>
      <c r="BI255" s="182">
        <f t="shared" si="145"/>
        <v>0</v>
      </c>
      <c r="BJ255" s="179">
        <v>6</v>
      </c>
      <c r="BK255" s="180"/>
      <c r="BL255" s="180"/>
      <c r="BM255" s="181"/>
      <c r="BN255" s="182">
        <f t="shared" si="146"/>
        <v>6</v>
      </c>
      <c r="BO255" s="184">
        <f>SUM(G255,L255,Q255,V255,AA255,AF255,AK255,AP255,AU255,AZ255,BE255,BJ255)</f>
        <v>6</v>
      </c>
      <c r="BP255" s="180">
        <f>SUM(H255,M255,R255,W255,AB255,AG255,AL255,AQ255,AV255,BA255,BF255,BK255)</f>
        <v>0</v>
      </c>
      <c r="BQ255" s="180">
        <f>SUM(I255,N255,S255,X255,AC255,AH255,AM255,AR255,AW255,BB255,BG255,BL255)</f>
        <v>0</v>
      </c>
      <c r="BR255" s="181">
        <f>SUM(J255,O255,T255,Y255,AD255,AI255,AN255,AS255,AX255,BC255,BH255,BM255)</f>
        <v>0</v>
      </c>
      <c r="BS255" s="183">
        <f t="shared" si="135"/>
        <v>6</v>
      </c>
    </row>
    <row r="256" spans="2:71" x14ac:dyDescent="0.3">
      <c r="B256" s="269"/>
      <c r="C256" s="230"/>
      <c r="D256" s="233"/>
      <c r="E256" s="220"/>
      <c r="F256" s="178" t="s">
        <v>691</v>
      </c>
      <c r="G256" s="179"/>
      <c r="H256" s="180"/>
      <c r="I256" s="180"/>
      <c r="J256" s="181"/>
      <c r="K256" s="182">
        <f t="shared" si="134"/>
        <v>0</v>
      </c>
      <c r="L256" s="179"/>
      <c r="M256" s="180"/>
      <c r="N256" s="180"/>
      <c r="O256" s="181"/>
      <c r="P256" s="182">
        <f t="shared" si="136"/>
        <v>0</v>
      </c>
      <c r="Q256" s="179"/>
      <c r="R256" s="180"/>
      <c r="S256" s="180"/>
      <c r="T256" s="181"/>
      <c r="U256" s="182">
        <f t="shared" si="137"/>
        <v>0</v>
      </c>
      <c r="V256" s="179"/>
      <c r="W256" s="180"/>
      <c r="X256" s="180"/>
      <c r="Y256" s="181"/>
      <c r="Z256" s="182">
        <f t="shared" si="138"/>
        <v>0</v>
      </c>
      <c r="AA256" s="179"/>
      <c r="AB256" s="180">
        <v>231</v>
      </c>
      <c r="AC256" s="180"/>
      <c r="AD256" s="181"/>
      <c r="AE256" s="182">
        <f t="shared" si="139"/>
        <v>231</v>
      </c>
      <c r="AF256" s="179"/>
      <c r="AG256" s="180"/>
      <c r="AH256" s="180"/>
      <c r="AI256" s="181"/>
      <c r="AJ256" s="182">
        <f t="shared" si="140"/>
        <v>0</v>
      </c>
      <c r="AK256" s="179"/>
      <c r="AL256" s="180"/>
      <c r="AM256" s="180"/>
      <c r="AN256" s="181"/>
      <c r="AO256" s="182">
        <f t="shared" si="141"/>
        <v>0</v>
      </c>
      <c r="AP256" s="179"/>
      <c r="AQ256" s="180"/>
      <c r="AR256" s="180"/>
      <c r="AS256" s="181"/>
      <c r="AT256" s="182">
        <f t="shared" si="142"/>
        <v>0</v>
      </c>
      <c r="AU256" s="179"/>
      <c r="AV256" s="180"/>
      <c r="AW256" s="180"/>
      <c r="AX256" s="181"/>
      <c r="AY256" s="182">
        <f t="shared" si="143"/>
        <v>0</v>
      </c>
      <c r="AZ256" s="179"/>
      <c r="BA256" s="180"/>
      <c r="BB256" s="180"/>
      <c r="BC256" s="181"/>
      <c r="BD256" s="182">
        <f t="shared" si="144"/>
        <v>0</v>
      </c>
      <c r="BE256" s="179"/>
      <c r="BF256" s="180"/>
      <c r="BG256" s="180"/>
      <c r="BH256" s="181"/>
      <c r="BI256" s="182">
        <f t="shared" si="145"/>
        <v>0</v>
      </c>
      <c r="BJ256" s="179"/>
      <c r="BK256" s="180"/>
      <c r="BL256" s="180"/>
      <c r="BM256" s="181"/>
      <c r="BN256" s="182">
        <f t="shared" si="146"/>
        <v>0</v>
      </c>
      <c r="BO256" s="184">
        <f>SUM(G256,L256,Q256,V256,AA256,AF256,AK256,AP256,AU256,AZ256,BE256,BJ256)</f>
        <v>0</v>
      </c>
      <c r="BP256" s="180">
        <f>SUM(H256,M256,R256,W256,AB256,AG256,AL256,AQ256,AV256,BA256,BF256,BK256)</f>
        <v>231</v>
      </c>
      <c r="BQ256" s="180">
        <f>SUM(I256,N256,S256,X256,AC256,AH256,AM256,AR256,AW256,BB256,BG256,BL256)</f>
        <v>0</v>
      </c>
      <c r="BR256" s="181">
        <f>SUM(J256,O256,T256,Y256,AD256,AI256,AN256,AS256,AX256,BC256,BH256,BM256)</f>
        <v>0</v>
      </c>
      <c r="BS256" s="183">
        <f t="shared" si="135"/>
        <v>231</v>
      </c>
    </row>
    <row r="257" spans="2:71" x14ac:dyDescent="0.3">
      <c r="B257" s="269"/>
      <c r="C257" s="230"/>
      <c r="D257" s="233"/>
      <c r="E257" s="220"/>
      <c r="F257" s="121" t="s">
        <v>692</v>
      </c>
      <c r="G257" s="32"/>
      <c r="H257" s="13"/>
      <c r="I257" s="13"/>
      <c r="J257" s="14"/>
      <c r="K257" s="15">
        <f t="shared" si="134"/>
        <v>0</v>
      </c>
      <c r="L257" s="32"/>
      <c r="M257" s="13"/>
      <c r="N257" s="13"/>
      <c r="O257" s="14"/>
      <c r="P257" s="15">
        <f t="shared" si="136"/>
        <v>0</v>
      </c>
      <c r="Q257" s="32"/>
      <c r="R257" s="13"/>
      <c r="S257" s="13"/>
      <c r="T257" s="14"/>
      <c r="U257" s="15">
        <f t="shared" si="137"/>
        <v>0</v>
      </c>
      <c r="V257" s="32"/>
      <c r="W257" s="13"/>
      <c r="X257" s="13"/>
      <c r="Y257" s="14"/>
      <c r="Z257" s="15">
        <f t="shared" si="138"/>
        <v>0</v>
      </c>
      <c r="AA257" s="32"/>
      <c r="AB257" s="13">
        <v>1472</v>
      </c>
      <c r="AC257" s="13"/>
      <c r="AD257" s="14"/>
      <c r="AE257" s="15">
        <f t="shared" si="139"/>
        <v>1472</v>
      </c>
      <c r="AF257" s="32"/>
      <c r="AG257" s="13"/>
      <c r="AH257" s="13"/>
      <c r="AI257" s="14"/>
      <c r="AJ257" s="15">
        <f t="shared" si="140"/>
        <v>0</v>
      </c>
      <c r="AK257" s="32"/>
      <c r="AL257" s="13"/>
      <c r="AM257" s="13"/>
      <c r="AN257" s="14"/>
      <c r="AO257" s="15">
        <f t="shared" si="141"/>
        <v>0</v>
      </c>
      <c r="AP257" s="32"/>
      <c r="AQ257" s="13"/>
      <c r="AR257" s="13"/>
      <c r="AS257" s="14"/>
      <c r="AT257" s="15">
        <f t="shared" si="142"/>
        <v>0</v>
      </c>
      <c r="AU257" s="32"/>
      <c r="AV257" s="13"/>
      <c r="AW257" s="13"/>
      <c r="AX257" s="14"/>
      <c r="AY257" s="15">
        <f t="shared" si="143"/>
        <v>0</v>
      </c>
      <c r="AZ257" s="32"/>
      <c r="BA257" s="13"/>
      <c r="BB257" s="13"/>
      <c r="BC257" s="14"/>
      <c r="BD257" s="15">
        <f t="shared" si="144"/>
        <v>0</v>
      </c>
      <c r="BE257" s="32"/>
      <c r="BF257" s="13"/>
      <c r="BG257" s="13"/>
      <c r="BH257" s="14"/>
      <c r="BI257" s="15">
        <f t="shared" si="145"/>
        <v>0</v>
      </c>
      <c r="BJ257" s="32"/>
      <c r="BK257" s="13"/>
      <c r="BL257" s="13"/>
      <c r="BM257" s="14"/>
      <c r="BN257" s="15">
        <f t="shared" si="146"/>
        <v>0</v>
      </c>
      <c r="BO257" s="66">
        <f>SUM(G257,L257,Q257,V257,AA257,AF257,AK257,AP257,AU257,AZ257,BE257,BJ257)</f>
        <v>0</v>
      </c>
      <c r="BP257" s="13">
        <f>SUM(H257,M257,R257,W257,AB257,AG257,AL257,AQ257,AV257,BA257,BF257,BK257)</f>
        <v>1472</v>
      </c>
      <c r="BQ257" s="13">
        <f>SUM(I257,N257,S257,X257,AC257,AH257,AM257,AR257,AW257,BB257,BG257,BL257)</f>
        <v>0</v>
      </c>
      <c r="BR257" s="14">
        <f>SUM(J257,O257,T257,Y257,AD257,AI257,AN257,AS257,AX257,BC257,BH257,BM257)</f>
        <v>0</v>
      </c>
      <c r="BS257" s="33">
        <f t="shared" si="135"/>
        <v>1472</v>
      </c>
    </row>
    <row r="258" spans="2:71" x14ac:dyDescent="0.3">
      <c r="B258" s="269"/>
      <c r="C258" s="230"/>
      <c r="D258" s="233"/>
      <c r="E258" s="220"/>
      <c r="F258" s="121" t="s">
        <v>693</v>
      </c>
      <c r="G258" s="32"/>
      <c r="H258" s="13"/>
      <c r="I258" s="13"/>
      <c r="J258" s="14"/>
      <c r="K258" s="15">
        <f t="shared" si="134"/>
        <v>0</v>
      </c>
      <c r="L258" s="32"/>
      <c r="M258" s="13"/>
      <c r="N258" s="13"/>
      <c r="O258" s="14"/>
      <c r="P258" s="15">
        <f t="shared" si="136"/>
        <v>0</v>
      </c>
      <c r="Q258" s="32"/>
      <c r="R258" s="13"/>
      <c r="S258" s="13"/>
      <c r="T258" s="14"/>
      <c r="U258" s="15">
        <f t="shared" si="137"/>
        <v>0</v>
      </c>
      <c r="V258" s="32"/>
      <c r="W258" s="13"/>
      <c r="X258" s="13"/>
      <c r="Y258" s="14"/>
      <c r="Z258" s="15">
        <f t="shared" si="138"/>
        <v>0</v>
      </c>
      <c r="AA258" s="32"/>
      <c r="AB258" s="13">
        <v>73</v>
      </c>
      <c r="AC258" s="13"/>
      <c r="AD258" s="14"/>
      <c r="AE258" s="15">
        <f t="shared" si="139"/>
        <v>73</v>
      </c>
      <c r="AF258" s="32"/>
      <c r="AG258" s="13"/>
      <c r="AH258" s="13"/>
      <c r="AI258" s="14"/>
      <c r="AJ258" s="15">
        <f t="shared" si="140"/>
        <v>0</v>
      </c>
      <c r="AK258" s="32"/>
      <c r="AL258" s="13"/>
      <c r="AM258" s="13"/>
      <c r="AN258" s="14"/>
      <c r="AO258" s="15">
        <f t="shared" si="141"/>
        <v>0</v>
      </c>
      <c r="AP258" s="32"/>
      <c r="AQ258" s="13"/>
      <c r="AR258" s="13"/>
      <c r="AS258" s="14"/>
      <c r="AT258" s="15">
        <f t="shared" si="142"/>
        <v>0</v>
      </c>
      <c r="AU258" s="32"/>
      <c r="AV258" s="13"/>
      <c r="AW258" s="13"/>
      <c r="AX258" s="14"/>
      <c r="AY258" s="15">
        <f t="shared" si="143"/>
        <v>0</v>
      </c>
      <c r="AZ258" s="32"/>
      <c r="BA258" s="13"/>
      <c r="BB258" s="13"/>
      <c r="BC258" s="14"/>
      <c r="BD258" s="15">
        <f t="shared" si="144"/>
        <v>0</v>
      </c>
      <c r="BE258" s="32"/>
      <c r="BF258" s="13"/>
      <c r="BG258" s="13"/>
      <c r="BH258" s="14"/>
      <c r="BI258" s="15">
        <f t="shared" si="145"/>
        <v>0</v>
      </c>
      <c r="BJ258" s="32"/>
      <c r="BK258" s="13"/>
      <c r="BL258" s="13"/>
      <c r="BM258" s="14"/>
      <c r="BN258" s="15">
        <f t="shared" si="146"/>
        <v>0</v>
      </c>
      <c r="BO258" s="66">
        <f>SUM(G258,L258,Q258,V258,AA258,AF258,AK258,AP258,AU258,AZ258,BE258,BJ258)</f>
        <v>0</v>
      </c>
      <c r="BP258" s="13">
        <f>SUM(H258,M258,R258,W258,AB258,AG258,AL258,AQ258,AV258,BA258,BF258,BK258)</f>
        <v>73</v>
      </c>
      <c r="BQ258" s="13">
        <f>SUM(I258,N258,S258,X258,AC258,AH258,AM258,AR258,AW258,BB258,BG258,BL258)</f>
        <v>0</v>
      </c>
      <c r="BR258" s="14">
        <f>SUM(J258,O258,T258,Y258,AD258,AI258,AN258,AS258,AX258,BC258,BH258,BM258)</f>
        <v>0</v>
      </c>
      <c r="BS258" s="33">
        <f t="shared" si="135"/>
        <v>73</v>
      </c>
    </row>
    <row r="259" spans="2:71" x14ac:dyDescent="0.3">
      <c r="B259" s="269"/>
      <c r="C259" s="230"/>
      <c r="D259" s="233"/>
      <c r="E259" s="220"/>
      <c r="F259" s="121" t="s">
        <v>694</v>
      </c>
      <c r="G259" s="32"/>
      <c r="H259" s="13"/>
      <c r="I259" s="13"/>
      <c r="J259" s="14"/>
      <c r="K259" s="15">
        <f t="shared" si="134"/>
        <v>0</v>
      </c>
      <c r="L259" s="32"/>
      <c r="M259" s="13"/>
      <c r="N259" s="13"/>
      <c r="O259" s="14"/>
      <c r="P259" s="15">
        <f t="shared" si="136"/>
        <v>0</v>
      </c>
      <c r="Q259" s="32"/>
      <c r="R259" s="13"/>
      <c r="S259" s="13"/>
      <c r="T259" s="14"/>
      <c r="U259" s="15">
        <f t="shared" si="137"/>
        <v>0</v>
      </c>
      <c r="V259" s="32">
        <v>34</v>
      </c>
      <c r="W259" s="13">
        <v>2</v>
      </c>
      <c r="X259" s="13">
        <v>5</v>
      </c>
      <c r="Y259" s="14"/>
      <c r="Z259" s="15">
        <f t="shared" si="138"/>
        <v>41</v>
      </c>
      <c r="AA259" s="32">
        <v>128</v>
      </c>
      <c r="AB259" s="13">
        <v>4</v>
      </c>
      <c r="AC259" s="13">
        <v>67</v>
      </c>
      <c r="AD259" s="14"/>
      <c r="AE259" s="15">
        <f t="shared" si="139"/>
        <v>199</v>
      </c>
      <c r="AF259" s="32">
        <v>69</v>
      </c>
      <c r="AG259" s="13">
        <v>6</v>
      </c>
      <c r="AH259" s="13">
        <v>29</v>
      </c>
      <c r="AI259" s="14"/>
      <c r="AJ259" s="15">
        <f t="shared" si="140"/>
        <v>104</v>
      </c>
      <c r="AK259" s="32">
        <v>65</v>
      </c>
      <c r="AL259" s="13">
        <v>7</v>
      </c>
      <c r="AM259" s="13">
        <v>11</v>
      </c>
      <c r="AN259" s="14"/>
      <c r="AO259" s="15">
        <f t="shared" si="141"/>
        <v>83</v>
      </c>
      <c r="AP259" s="32">
        <v>72</v>
      </c>
      <c r="AQ259" s="13">
        <v>2</v>
      </c>
      <c r="AR259" s="13">
        <v>30</v>
      </c>
      <c r="AS259" s="14"/>
      <c r="AT259" s="15">
        <f t="shared" si="142"/>
        <v>104</v>
      </c>
      <c r="AU259" s="32">
        <v>37</v>
      </c>
      <c r="AV259" s="13"/>
      <c r="AW259" s="13">
        <v>12</v>
      </c>
      <c r="AX259" s="14"/>
      <c r="AY259" s="15">
        <f t="shared" si="143"/>
        <v>49</v>
      </c>
      <c r="AZ259" s="32">
        <v>121</v>
      </c>
      <c r="BA259" s="13">
        <v>6</v>
      </c>
      <c r="BB259" s="13">
        <v>50</v>
      </c>
      <c r="BC259" s="14"/>
      <c r="BD259" s="15">
        <f t="shared" si="144"/>
        <v>177</v>
      </c>
      <c r="BE259" s="32"/>
      <c r="BF259" s="13"/>
      <c r="BG259" s="13"/>
      <c r="BH259" s="14"/>
      <c r="BI259" s="15">
        <f t="shared" si="145"/>
        <v>0</v>
      </c>
      <c r="BJ259" s="32"/>
      <c r="BK259" s="13"/>
      <c r="BL259" s="13"/>
      <c r="BM259" s="14"/>
      <c r="BN259" s="15">
        <f t="shared" si="146"/>
        <v>0</v>
      </c>
      <c r="BO259" s="66">
        <f>SUM(G259,L259,Q259,V259,AA259,AF259,AK259,AP259,AU259,AZ259,BE259,BJ259)</f>
        <v>526</v>
      </c>
      <c r="BP259" s="13">
        <f>SUM(H259,M259,R259,W259,AB259,AG259,AL259,AQ259,AV259,BA259,BF259,BK259)</f>
        <v>27</v>
      </c>
      <c r="BQ259" s="13">
        <f>SUM(I259,N259,S259,X259,AC259,AH259,AM259,AR259,AW259,BB259,BG259,BL259)</f>
        <v>204</v>
      </c>
      <c r="BR259" s="14">
        <f>SUM(J259,O259,T259,Y259,AD259,AI259,AN259,AS259,AX259,BC259,BH259,BM259)</f>
        <v>0</v>
      </c>
      <c r="BS259" s="33">
        <f t="shared" si="135"/>
        <v>757</v>
      </c>
    </row>
    <row r="260" spans="2:71" x14ac:dyDescent="0.3">
      <c r="B260" s="269"/>
      <c r="C260" s="230"/>
      <c r="D260" s="233"/>
      <c r="E260" s="220"/>
      <c r="F260" s="121" t="s">
        <v>695</v>
      </c>
      <c r="G260" s="32"/>
      <c r="H260" s="13"/>
      <c r="I260" s="13"/>
      <c r="J260" s="14"/>
      <c r="K260" s="15">
        <f t="shared" si="134"/>
        <v>0</v>
      </c>
      <c r="L260" s="32"/>
      <c r="M260" s="13"/>
      <c r="N260" s="13"/>
      <c r="O260" s="14"/>
      <c r="P260" s="15">
        <f t="shared" si="136"/>
        <v>0</v>
      </c>
      <c r="Q260" s="32"/>
      <c r="R260" s="13"/>
      <c r="S260" s="13"/>
      <c r="T260" s="14"/>
      <c r="U260" s="15">
        <f t="shared" si="137"/>
        <v>0</v>
      </c>
      <c r="V260" s="32">
        <v>1</v>
      </c>
      <c r="W260" s="13"/>
      <c r="X260" s="13">
        <v>2</v>
      </c>
      <c r="Y260" s="14"/>
      <c r="Z260" s="15">
        <f t="shared" si="138"/>
        <v>3</v>
      </c>
      <c r="AA260" s="32">
        <v>24</v>
      </c>
      <c r="AB260" s="13"/>
      <c r="AC260" s="13">
        <v>13</v>
      </c>
      <c r="AD260" s="14"/>
      <c r="AE260" s="15">
        <f t="shared" si="139"/>
        <v>37</v>
      </c>
      <c r="AF260" s="32">
        <v>4</v>
      </c>
      <c r="AG260" s="13"/>
      <c r="AH260" s="13">
        <v>2</v>
      </c>
      <c r="AI260" s="14"/>
      <c r="AJ260" s="15">
        <f t="shared" si="140"/>
        <v>6</v>
      </c>
      <c r="AK260" s="32">
        <v>6</v>
      </c>
      <c r="AL260" s="13"/>
      <c r="AM260" s="13">
        <v>1</v>
      </c>
      <c r="AN260" s="14"/>
      <c r="AO260" s="15">
        <f t="shared" si="141"/>
        <v>7</v>
      </c>
      <c r="AP260" s="32">
        <v>6</v>
      </c>
      <c r="AQ260" s="13"/>
      <c r="AR260" s="13">
        <v>5</v>
      </c>
      <c r="AS260" s="14"/>
      <c r="AT260" s="15">
        <f t="shared" si="142"/>
        <v>11</v>
      </c>
      <c r="AU260" s="32">
        <v>3</v>
      </c>
      <c r="AV260" s="13"/>
      <c r="AW260" s="13"/>
      <c r="AX260" s="14"/>
      <c r="AY260" s="15">
        <f t="shared" si="143"/>
        <v>3</v>
      </c>
      <c r="AZ260" s="32">
        <v>26</v>
      </c>
      <c r="BA260" s="13">
        <v>1</v>
      </c>
      <c r="BB260" s="13">
        <v>8</v>
      </c>
      <c r="BC260" s="14"/>
      <c r="BD260" s="15">
        <f t="shared" si="144"/>
        <v>35</v>
      </c>
      <c r="BE260" s="32"/>
      <c r="BF260" s="13"/>
      <c r="BG260" s="13"/>
      <c r="BH260" s="14"/>
      <c r="BI260" s="15">
        <f t="shared" si="145"/>
        <v>0</v>
      </c>
      <c r="BJ260" s="32"/>
      <c r="BK260" s="13"/>
      <c r="BL260" s="13"/>
      <c r="BM260" s="14"/>
      <c r="BN260" s="15">
        <f t="shared" si="146"/>
        <v>0</v>
      </c>
      <c r="BO260" s="66">
        <f>SUM(G260,L260,Q260,V260,AA260,AF260,AK260,AP260,AU260,AZ260,BE260,BJ260)</f>
        <v>70</v>
      </c>
      <c r="BP260" s="13">
        <f>SUM(H260,M260,R260,W260,AB260,AG260,AL260,AQ260,AV260,BA260,BF260,BK260)</f>
        <v>1</v>
      </c>
      <c r="BQ260" s="13">
        <f>SUM(I260,N260,S260,X260,AC260,AH260,AM260,AR260,AW260,BB260,BG260,BL260)</f>
        <v>31</v>
      </c>
      <c r="BR260" s="14">
        <f>SUM(J260,O260,T260,Y260,AD260,AI260,AN260,AS260,AX260,BC260,BH260,BM260)</f>
        <v>0</v>
      </c>
      <c r="BS260" s="33">
        <f t="shared" si="135"/>
        <v>102</v>
      </c>
    </row>
    <row r="261" spans="2:71" x14ac:dyDescent="0.3">
      <c r="B261" s="269"/>
      <c r="C261" s="230"/>
      <c r="D261" s="233"/>
      <c r="E261" s="220"/>
      <c r="F261" s="121" t="s">
        <v>696</v>
      </c>
      <c r="G261" s="32"/>
      <c r="H261" s="13"/>
      <c r="I261" s="13"/>
      <c r="J261" s="14"/>
      <c r="K261" s="15">
        <f t="shared" si="134"/>
        <v>0</v>
      </c>
      <c r="L261" s="32"/>
      <c r="M261" s="13"/>
      <c r="N261" s="13"/>
      <c r="O261" s="14"/>
      <c r="P261" s="15">
        <f t="shared" si="136"/>
        <v>0</v>
      </c>
      <c r="Q261" s="32"/>
      <c r="R261" s="13"/>
      <c r="S261" s="13"/>
      <c r="T261" s="14"/>
      <c r="U261" s="15">
        <f t="shared" si="137"/>
        <v>0</v>
      </c>
      <c r="V261" s="32">
        <v>41</v>
      </c>
      <c r="W261" s="13"/>
      <c r="X261" s="13"/>
      <c r="Y261" s="14"/>
      <c r="Z261" s="15">
        <f t="shared" si="138"/>
        <v>41</v>
      </c>
      <c r="AA261" s="32">
        <v>55</v>
      </c>
      <c r="AB261" s="13"/>
      <c r="AC261" s="13">
        <v>1</v>
      </c>
      <c r="AD261" s="14"/>
      <c r="AE261" s="15">
        <f t="shared" si="139"/>
        <v>56</v>
      </c>
      <c r="AF261" s="32">
        <v>41</v>
      </c>
      <c r="AG261" s="13"/>
      <c r="AH261" s="13"/>
      <c r="AI261" s="14"/>
      <c r="AJ261" s="15">
        <f t="shared" si="140"/>
        <v>41</v>
      </c>
      <c r="AK261" s="32">
        <v>28</v>
      </c>
      <c r="AL261" s="13"/>
      <c r="AM261" s="13"/>
      <c r="AN261" s="14"/>
      <c r="AO261" s="15">
        <f t="shared" si="141"/>
        <v>28</v>
      </c>
      <c r="AP261" s="32">
        <v>20</v>
      </c>
      <c r="AQ261" s="13"/>
      <c r="AR261" s="13"/>
      <c r="AS261" s="14"/>
      <c r="AT261" s="15">
        <f t="shared" si="142"/>
        <v>20</v>
      </c>
      <c r="AU261" s="32">
        <v>49</v>
      </c>
      <c r="AV261" s="13"/>
      <c r="AW261" s="13"/>
      <c r="AX261" s="14"/>
      <c r="AY261" s="15">
        <f t="shared" si="143"/>
        <v>49</v>
      </c>
      <c r="AZ261" s="32">
        <v>76</v>
      </c>
      <c r="BA261" s="13">
        <v>1</v>
      </c>
      <c r="BB261" s="13"/>
      <c r="BC261" s="14"/>
      <c r="BD261" s="15">
        <f t="shared" si="144"/>
        <v>77</v>
      </c>
      <c r="BE261" s="32">
        <v>102</v>
      </c>
      <c r="BF261" s="13"/>
      <c r="BG261" s="13"/>
      <c r="BH261" s="14"/>
      <c r="BI261" s="15">
        <f t="shared" si="145"/>
        <v>102</v>
      </c>
      <c r="BJ261" s="32">
        <v>61</v>
      </c>
      <c r="BK261" s="13">
        <v>1</v>
      </c>
      <c r="BL261" s="13"/>
      <c r="BM261" s="14"/>
      <c r="BN261" s="15">
        <f t="shared" si="146"/>
        <v>62</v>
      </c>
      <c r="BO261" s="66">
        <f>SUM(G261,L261,Q261,V261,AA261,AF261,AK261,AP261,AU261,AZ261,BE261,BJ261)</f>
        <v>473</v>
      </c>
      <c r="BP261" s="13">
        <f>SUM(H261,M261,R261,W261,AB261,AG261,AL261,AQ261,AV261,BA261,BF261,BK261)</f>
        <v>2</v>
      </c>
      <c r="BQ261" s="13">
        <f>SUM(I261,N261,S261,X261,AC261,AH261,AM261,AR261,AW261,BB261,BG261,BL261)</f>
        <v>1</v>
      </c>
      <c r="BR261" s="14">
        <f>SUM(J261,O261,T261,Y261,AD261,AI261,AN261,AS261,AX261,BC261,BH261,BM261)</f>
        <v>0</v>
      </c>
      <c r="BS261" s="33">
        <f t="shared" si="135"/>
        <v>476</v>
      </c>
    </row>
    <row r="262" spans="2:71" x14ac:dyDescent="0.3">
      <c r="B262" s="269"/>
      <c r="C262" s="230"/>
      <c r="D262" s="233"/>
      <c r="E262" s="220"/>
      <c r="F262" s="121" t="s">
        <v>697</v>
      </c>
      <c r="G262" s="32"/>
      <c r="H262" s="13"/>
      <c r="I262" s="13"/>
      <c r="J262" s="14"/>
      <c r="K262" s="15">
        <f t="shared" si="134"/>
        <v>0</v>
      </c>
      <c r="L262" s="32"/>
      <c r="M262" s="13"/>
      <c r="N262" s="13"/>
      <c r="O262" s="14"/>
      <c r="P262" s="15">
        <f t="shared" si="136"/>
        <v>0</v>
      </c>
      <c r="Q262" s="32"/>
      <c r="R262" s="13"/>
      <c r="S262" s="13"/>
      <c r="T262" s="14"/>
      <c r="U262" s="15">
        <f t="shared" si="137"/>
        <v>0</v>
      </c>
      <c r="V262" s="32">
        <v>4</v>
      </c>
      <c r="W262" s="13"/>
      <c r="X262" s="13"/>
      <c r="Y262" s="14"/>
      <c r="Z262" s="15">
        <f t="shared" si="138"/>
        <v>4</v>
      </c>
      <c r="AA262" s="32">
        <v>10</v>
      </c>
      <c r="AB262" s="13"/>
      <c r="AC262" s="13"/>
      <c r="AD262" s="14"/>
      <c r="AE262" s="15">
        <f t="shared" si="139"/>
        <v>10</v>
      </c>
      <c r="AF262" s="32">
        <v>4</v>
      </c>
      <c r="AG262" s="13"/>
      <c r="AH262" s="13"/>
      <c r="AI262" s="14"/>
      <c r="AJ262" s="15">
        <f t="shared" si="140"/>
        <v>4</v>
      </c>
      <c r="AK262" s="32">
        <v>5</v>
      </c>
      <c r="AL262" s="13"/>
      <c r="AM262" s="13"/>
      <c r="AN262" s="14"/>
      <c r="AO262" s="15">
        <f t="shared" si="141"/>
        <v>5</v>
      </c>
      <c r="AP262" s="32">
        <v>12</v>
      </c>
      <c r="AQ262" s="13"/>
      <c r="AR262" s="13"/>
      <c r="AS262" s="14"/>
      <c r="AT262" s="15">
        <f t="shared" si="142"/>
        <v>12</v>
      </c>
      <c r="AU262" s="32">
        <v>4</v>
      </c>
      <c r="AV262" s="13"/>
      <c r="AW262" s="13"/>
      <c r="AX262" s="14"/>
      <c r="AY262" s="15">
        <f t="shared" si="143"/>
        <v>4</v>
      </c>
      <c r="AZ262" s="32">
        <v>13</v>
      </c>
      <c r="BA262" s="13"/>
      <c r="BB262" s="13"/>
      <c r="BC262" s="14"/>
      <c r="BD262" s="15">
        <f t="shared" si="144"/>
        <v>13</v>
      </c>
      <c r="BE262" s="32">
        <v>23</v>
      </c>
      <c r="BF262" s="13"/>
      <c r="BG262" s="13"/>
      <c r="BH262" s="14"/>
      <c r="BI262" s="15">
        <f t="shared" si="145"/>
        <v>23</v>
      </c>
      <c r="BJ262" s="32">
        <v>12</v>
      </c>
      <c r="BK262" s="13"/>
      <c r="BL262" s="13"/>
      <c r="BM262" s="14"/>
      <c r="BN262" s="15">
        <f t="shared" si="146"/>
        <v>12</v>
      </c>
      <c r="BO262" s="66">
        <f>SUM(G262,L262,Q262,V262,AA262,AF262,AK262,AP262,AU262,AZ262,BE262,BJ262)</f>
        <v>87</v>
      </c>
      <c r="BP262" s="13">
        <f>SUM(H262,M262,R262,W262,AB262,AG262,AL262,AQ262,AV262,BA262,BF262,BK262)</f>
        <v>0</v>
      </c>
      <c r="BQ262" s="13">
        <f>SUM(I262,N262,S262,X262,AC262,AH262,AM262,AR262,AW262,BB262,BG262,BL262)</f>
        <v>0</v>
      </c>
      <c r="BR262" s="14">
        <f>SUM(J262,O262,T262,Y262,AD262,AI262,AN262,AS262,AX262,BC262,BH262,BM262)</f>
        <v>0</v>
      </c>
      <c r="BS262" s="33">
        <f t="shared" si="135"/>
        <v>87</v>
      </c>
    </row>
    <row r="263" spans="2:71" x14ac:dyDescent="0.3">
      <c r="B263" s="269"/>
      <c r="C263" s="230"/>
      <c r="D263" s="233"/>
      <c r="E263" s="220"/>
      <c r="F263" s="121" t="s">
        <v>698</v>
      </c>
      <c r="G263" s="32"/>
      <c r="H263" s="13"/>
      <c r="I263" s="13"/>
      <c r="J263" s="14"/>
      <c r="K263" s="15">
        <f t="shared" si="134"/>
        <v>0</v>
      </c>
      <c r="L263" s="32"/>
      <c r="M263" s="13"/>
      <c r="N263" s="13"/>
      <c r="O263" s="14"/>
      <c r="P263" s="15">
        <f t="shared" si="136"/>
        <v>0</v>
      </c>
      <c r="Q263" s="32"/>
      <c r="R263" s="13"/>
      <c r="S263" s="13"/>
      <c r="T263" s="14"/>
      <c r="U263" s="15">
        <f t="shared" si="137"/>
        <v>0</v>
      </c>
      <c r="V263" s="32"/>
      <c r="W263" s="13"/>
      <c r="X263" s="13"/>
      <c r="Y263" s="14"/>
      <c r="Z263" s="15">
        <f t="shared" si="138"/>
        <v>0</v>
      </c>
      <c r="AA263" s="32">
        <v>47</v>
      </c>
      <c r="AB263" s="13">
        <v>1</v>
      </c>
      <c r="AC263" s="13">
        <v>59</v>
      </c>
      <c r="AD263" s="14"/>
      <c r="AE263" s="15">
        <f t="shared" si="139"/>
        <v>107</v>
      </c>
      <c r="AF263" s="32"/>
      <c r="AG263" s="13"/>
      <c r="AH263" s="13"/>
      <c r="AI263" s="14"/>
      <c r="AJ263" s="15">
        <f t="shared" si="140"/>
        <v>0</v>
      </c>
      <c r="AK263" s="32"/>
      <c r="AL263" s="13"/>
      <c r="AM263" s="13"/>
      <c r="AN263" s="14"/>
      <c r="AO263" s="15">
        <f t="shared" si="141"/>
        <v>0</v>
      </c>
      <c r="AP263" s="32"/>
      <c r="AQ263" s="13"/>
      <c r="AR263" s="13"/>
      <c r="AS263" s="14"/>
      <c r="AT263" s="15">
        <f t="shared" si="142"/>
        <v>0</v>
      </c>
      <c r="AU263" s="32"/>
      <c r="AV263" s="13"/>
      <c r="AW263" s="13"/>
      <c r="AX263" s="14"/>
      <c r="AY263" s="15">
        <f t="shared" si="143"/>
        <v>0</v>
      </c>
      <c r="AZ263" s="32">
        <v>31</v>
      </c>
      <c r="BA263" s="13">
        <v>2</v>
      </c>
      <c r="BB263" s="13">
        <v>54</v>
      </c>
      <c r="BC263" s="14"/>
      <c r="BD263" s="15">
        <f t="shared" si="144"/>
        <v>87</v>
      </c>
      <c r="BE263" s="32"/>
      <c r="BF263" s="13"/>
      <c r="BG263" s="13"/>
      <c r="BH263" s="14"/>
      <c r="BI263" s="15">
        <f t="shared" si="145"/>
        <v>0</v>
      </c>
      <c r="BJ263" s="32"/>
      <c r="BK263" s="13"/>
      <c r="BL263" s="13"/>
      <c r="BM263" s="14"/>
      <c r="BN263" s="15">
        <f t="shared" si="146"/>
        <v>0</v>
      </c>
      <c r="BO263" s="66">
        <f>SUM(G263,L263,Q263,V263,AA263,AF263,AK263,AP263,AU263,AZ263,BE263,BJ263)</f>
        <v>78</v>
      </c>
      <c r="BP263" s="13">
        <f>SUM(H263,M263,R263,W263,AB263,AG263,AL263,AQ263,AV263,BA263,BF263,BK263)</f>
        <v>3</v>
      </c>
      <c r="BQ263" s="13">
        <f>SUM(I263,N263,S263,X263,AC263,AH263,AM263,AR263,AW263,BB263,BG263,BL263)</f>
        <v>113</v>
      </c>
      <c r="BR263" s="14">
        <f>SUM(J263,O263,T263,Y263,AD263,AI263,AN263,AS263,AX263,BC263,BH263,BM263)</f>
        <v>0</v>
      </c>
      <c r="BS263" s="33">
        <f t="shared" si="135"/>
        <v>194</v>
      </c>
    </row>
    <row r="264" spans="2:71" x14ac:dyDescent="0.3">
      <c r="B264" s="269"/>
      <c r="C264" s="230"/>
      <c r="D264" s="233"/>
      <c r="E264" s="220"/>
      <c r="F264" s="121" t="s">
        <v>699</v>
      </c>
      <c r="G264" s="32"/>
      <c r="H264" s="13"/>
      <c r="I264" s="13"/>
      <c r="J264" s="14"/>
      <c r="K264" s="15">
        <f t="shared" si="134"/>
        <v>0</v>
      </c>
      <c r="L264" s="32"/>
      <c r="M264" s="13"/>
      <c r="N264" s="13"/>
      <c r="O264" s="14"/>
      <c r="P264" s="15">
        <f t="shared" si="136"/>
        <v>0</v>
      </c>
      <c r="Q264" s="32"/>
      <c r="R264" s="13"/>
      <c r="S264" s="13"/>
      <c r="T264" s="14"/>
      <c r="U264" s="15">
        <f t="shared" si="137"/>
        <v>0</v>
      </c>
      <c r="V264" s="32"/>
      <c r="W264" s="13"/>
      <c r="X264" s="13"/>
      <c r="Y264" s="14"/>
      <c r="Z264" s="15">
        <f t="shared" si="138"/>
        <v>0</v>
      </c>
      <c r="AA264" s="32">
        <v>33</v>
      </c>
      <c r="AB264" s="13"/>
      <c r="AC264" s="13">
        <v>34</v>
      </c>
      <c r="AD264" s="14"/>
      <c r="AE264" s="15">
        <f t="shared" si="139"/>
        <v>67</v>
      </c>
      <c r="AF264" s="32"/>
      <c r="AG264" s="13"/>
      <c r="AH264" s="13"/>
      <c r="AI264" s="14"/>
      <c r="AJ264" s="15">
        <f t="shared" si="140"/>
        <v>0</v>
      </c>
      <c r="AK264" s="32"/>
      <c r="AL264" s="13"/>
      <c r="AM264" s="13"/>
      <c r="AN264" s="14"/>
      <c r="AO264" s="15">
        <f t="shared" si="141"/>
        <v>0</v>
      </c>
      <c r="AP264" s="32"/>
      <c r="AQ264" s="13"/>
      <c r="AR264" s="13"/>
      <c r="AS264" s="14"/>
      <c r="AT264" s="15">
        <f t="shared" si="142"/>
        <v>0</v>
      </c>
      <c r="AU264" s="32"/>
      <c r="AV264" s="13"/>
      <c r="AW264" s="13"/>
      <c r="AX264" s="14"/>
      <c r="AY264" s="15">
        <f t="shared" si="143"/>
        <v>0</v>
      </c>
      <c r="AZ264" s="32">
        <v>20</v>
      </c>
      <c r="BA264" s="13">
        <v>2</v>
      </c>
      <c r="BB264" s="13">
        <v>18</v>
      </c>
      <c r="BC264" s="14"/>
      <c r="BD264" s="15">
        <f t="shared" si="144"/>
        <v>40</v>
      </c>
      <c r="BE264" s="32"/>
      <c r="BF264" s="13"/>
      <c r="BG264" s="13"/>
      <c r="BH264" s="14"/>
      <c r="BI264" s="15">
        <f t="shared" si="145"/>
        <v>0</v>
      </c>
      <c r="BJ264" s="32"/>
      <c r="BK264" s="13"/>
      <c r="BL264" s="13"/>
      <c r="BM264" s="14"/>
      <c r="BN264" s="15">
        <f t="shared" si="146"/>
        <v>0</v>
      </c>
      <c r="BO264" s="66">
        <f>SUM(G264,L264,Q264,V264,AA264,AF264,AK264,AP264,AU264,AZ264,BE264,BJ264)</f>
        <v>53</v>
      </c>
      <c r="BP264" s="13">
        <f>SUM(H264,M264,R264,W264,AB264,AG264,AL264,AQ264,AV264,BA264,BF264,BK264)</f>
        <v>2</v>
      </c>
      <c r="BQ264" s="13">
        <f>SUM(I264,N264,S264,X264,AC264,AH264,AM264,AR264,AW264,BB264,BG264,BL264)</f>
        <v>52</v>
      </c>
      <c r="BR264" s="14">
        <f>SUM(J264,O264,T264,Y264,AD264,AI264,AN264,AS264,AX264,BC264,BH264,BM264)</f>
        <v>0</v>
      </c>
      <c r="BS264" s="33">
        <f t="shared" si="135"/>
        <v>107</v>
      </c>
    </row>
    <row r="265" spans="2:71" x14ac:dyDescent="0.3">
      <c r="B265" s="269"/>
      <c r="C265" s="230"/>
      <c r="D265" s="233"/>
      <c r="E265" s="220"/>
      <c r="F265" s="121" t="s">
        <v>700</v>
      </c>
      <c r="G265" s="32"/>
      <c r="H265" s="13"/>
      <c r="I265" s="13"/>
      <c r="J265" s="14"/>
      <c r="K265" s="15">
        <f t="shared" si="134"/>
        <v>0</v>
      </c>
      <c r="L265" s="32"/>
      <c r="M265" s="13"/>
      <c r="N265" s="13"/>
      <c r="O265" s="14"/>
      <c r="P265" s="15">
        <f t="shared" si="136"/>
        <v>0</v>
      </c>
      <c r="Q265" s="32"/>
      <c r="R265" s="13"/>
      <c r="S265" s="13"/>
      <c r="T265" s="14"/>
      <c r="U265" s="15">
        <f t="shared" si="137"/>
        <v>0</v>
      </c>
      <c r="V265" s="32"/>
      <c r="W265" s="13"/>
      <c r="X265" s="13">
        <v>1</v>
      </c>
      <c r="Y265" s="14"/>
      <c r="Z265" s="15">
        <f t="shared" si="138"/>
        <v>1</v>
      </c>
      <c r="AA265" s="32"/>
      <c r="AB265" s="13"/>
      <c r="AC265" s="13"/>
      <c r="AD265" s="14"/>
      <c r="AE265" s="15">
        <f t="shared" si="139"/>
        <v>0</v>
      </c>
      <c r="AF265" s="32"/>
      <c r="AG265" s="13"/>
      <c r="AH265" s="13"/>
      <c r="AI265" s="14"/>
      <c r="AJ265" s="15">
        <f t="shared" si="140"/>
        <v>0</v>
      </c>
      <c r="AK265" s="32"/>
      <c r="AL265" s="13"/>
      <c r="AM265" s="13"/>
      <c r="AN265" s="14"/>
      <c r="AO265" s="15">
        <f t="shared" si="141"/>
        <v>0</v>
      </c>
      <c r="AP265" s="32"/>
      <c r="AQ265" s="13"/>
      <c r="AR265" s="13"/>
      <c r="AS265" s="14"/>
      <c r="AT265" s="15">
        <f t="shared" si="142"/>
        <v>0</v>
      </c>
      <c r="AU265" s="32"/>
      <c r="AV265" s="13"/>
      <c r="AW265" s="13"/>
      <c r="AX265" s="14"/>
      <c r="AY265" s="15">
        <f t="shared" si="143"/>
        <v>0</v>
      </c>
      <c r="AZ265" s="32"/>
      <c r="BA265" s="13"/>
      <c r="BB265" s="13"/>
      <c r="BC265" s="14"/>
      <c r="BD265" s="15">
        <f t="shared" si="144"/>
        <v>0</v>
      </c>
      <c r="BE265" s="32"/>
      <c r="BF265" s="13"/>
      <c r="BG265" s="13"/>
      <c r="BH265" s="14"/>
      <c r="BI265" s="15">
        <f t="shared" si="145"/>
        <v>0</v>
      </c>
      <c r="BJ265" s="32"/>
      <c r="BK265" s="13"/>
      <c r="BL265" s="13"/>
      <c r="BM265" s="14"/>
      <c r="BN265" s="15">
        <f t="shared" si="146"/>
        <v>0</v>
      </c>
      <c r="BO265" s="66">
        <f>SUM(G265,L265,Q265,V265,AA265,AF265,AK265,AP265,AU265,AZ265,BE265,BJ265)</f>
        <v>0</v>
      </c>
      <c r="BP265" s="13">
        <f>SUM(H265,M265,R265,W265,AB265,AG265,AL265,AQ265,AV265,BA265,BF265,BK265)</f>
        <v>0</v>
      </c>
      <c r="BQ265" s="13">
        <f>SUM(I265,N265,S265,X265,AC265,AH265,AM265,AR265,AW265,BB265,BG265,BL265)</f>
        <v>1</v>
      </c>
      <c r="BR265" s="14">
        <f>SUM(J265,O265,T265,Y265,AD265,AI265,AN265,AS265,AX265,BC265,BH265,BM265)</f>
        <v>0</v>
      </c>
      <c r="BS265" s="33">
        <f t="shared" si="135"/>
        <v>1</v>
      </c>
    </row>
    <row r="266" spans="2:71" x14ac:dyDescent="0.3">
      <c r="B266" s="269"/>
      <c r="C266" s="230"/>
      <c r="D266" s="233"/>
      <c r="E266" s="220"/>
      <c r="F266" s="121" t="s">
        <v>110</v>
      </c>
      <c r="G266" s="32"/>
      <c r="H266" s="13"/>
      <c r="I266" s="13"/>
      <c r="J266" s="14"/>
      <c r="K266" s="15">
        <f t="shared" si="134"/>
        <v>0</v>
      </c>
      <c r="L266" s="32"/>
      <c r="M266" s="13"/>
      <c r="N266" s="13"/>
      <c r="O266" s="14"/>
      <c r="P266" s="15">
        <f t="shared" si="136"/>
        <v>0</v>
      </c>
      <c r="Q266" s="32"/>
      <c r="R266" s="13"/>
      <c r="S266" s="13"/>
      <c r="T266" s="14"/>
      <c r="U266" s="15">
        <f t="shared" si="137"/>
        <v>0</v>
      </c>
      <c r="V266" s="32">
        <v>1</v>
      </c>
      <c r="W266" s="13"/>
      <c r="X266" s="13"/>
      <c r="Y266" s="14"/>
      <c r="Z266" s="15">
        <f t="shared" si="138"/>
        <v>1</v>
      </c>
      <c r="AA266" s="32"/>
      <c r="AB266" s="13"/>
      <c r="AC266" s="13"/>
      <c r="AD266" s="14"/>
      <c r="AE266" s="15">
        <f t="shared" si="139"/>
        <v>0</v>
      </c>
      <c r="AF266" s="32"/>
      <c r="AG266" s="13"/>
      <c r="AH266" s="13"/>
      <c r="AI266" s="14"/>
      <c r="AJ266" s="15">
        <f t="shared" si="140"/>
        <v>0</v>
      </c>
      <c r="AK266" s="32"/>
      <c r="AL266" s="13"/>
      <c r="AM266" s="13"/>
      <c r="AN266" s="14"/>
      <c r="AO266" s="15">
        <f t="shared" si="141"/>
        <v>0</v>
      </c>
      <c r="AP266" s="32"/>
      <c r="AQ266" s="13"/>
      <c r="AR266" s="13"/>
      <c r="AS266" s="14"/>
      <c r="AT266" s="15">
        <f t="shared" si="142"/>
        <v>0</v>
      </c>
      <c r="AU266" s="32"/>
      <c r="AV266" s="13"/>
      <c r="AW266" s="13"/>
      <c r="AX266" s="14"/>
      <c r="AY266" s="15">
        <f t="shared" si="143"/>
        <v>0</v>
      </c>
      <c r="AZ266" s="32"/>
      <c r="BA266" s="13"/>
      <c r="BB266" s="13"/>
      <c r="BC266" s="14"/>
      <c r="BD266" s="15">
        <f t="shared" si="144"/>
        <v>0</v>
      </c>
      <c r="BE266" s="32"/>
      <c r="BF266" s="13"/>
      <c r="BG266" s="13"/>
      <c r="BH266" s="14"/>
      <c r="BI266" s="15">
        <f t="shared" si="145"/>
        <v>0</v>
      </c>
      <c r="BJ266" s="32"/>
      <c r="BK266" s="13"/>
      <c r="BL266" s="13"/>
      <c r="BM266" s="14"/>
      <c r="BN266" s="15">
        <f t="shared" si="146"/>
        <v>0</v>
      </c>
      <c r="BO266" s="66">
        <f>SUM(G266,L266,Q266,V266,AA266,AF266,AK266,AP266,AU266,AZ266,BE266,BJ266)</f>
        <v>1</v>
      </c>
      <c r="BP266" s="13">
        <f>SUM(H266,M266,R266,W266,AB266,AG266,AL266,AQ266,AV266,BA266,BF266,BK266)</f>
        <v>0</v>
      </c>
      <c r="BQ266" s="13">
        <f>SUM(I266,N266,S266,X266,AC266,AH266,AM266,AR266,AW266,BB266,BG266,BL266)</f>
        <v>0</v>
      </c>
      <c r="BR266" s="14">
        <f>SUM(J266,O266,T266,Y266,AD266,AI266,AN266,AS266,AX266,BC266,BH266,BM266)</f>
        <v>0</v>
      </c>
      <c r="BS266" s="33">
        <f t="shared" si="135"/>
        <v>1</v>
      </c>
    </row>
    <row r="267" spans="2:71" x14ac:dyDescent="0.3">
      <c r="B267" s="269"/>
      <c r="C267" s="230"/>
      <c r="D267" s="233"/>
      <c r="E267" s="220"/>
      <c r="F267" s="121" t="s">
        <v>128</v>
      </c>
      <c r="G267" s="32">
        <v>1</v>
      </c>
      <c r="H267" s="13"/>
      <c r="I267" s="13"/>
      <c r="J267" s="14"/>
      <c r="K267" s="15">
        <f t="shared" si="134"/>
        <v>1</v>
      </c>
      <c r="L267" s="32"/>
      <c r="M267" s="13"/>
      <c r="N267" s="13"/>
      <c r="O267" s="14"/>
      <c r="P267" s="15">
        <f t="shared" si="136"/>
        <v>0</v>
      </c>
      <c r="Q267" s="32">
        <v>2</v>
      </c>
      <c r="R267" s="13"/>
      <c r="S267" s="13"/>
      <c r="T267" s="14"/>
      <c r="U267" s="15">
        <f t="shared" si="137"/>
        <v>2</v>
      </c>
      <c r="V267" s="32"/>
      <c r="W267" s="13"/>
      <c r="X267" s="13"/>
      <c r="Y267" s="14"/>
      <c r="Z267" s="15">
        <f t="shared" si="138"/>
        <v>0</v>
      </c>
      <c r="AA267" s="32"/>
      <c r="AB267" s="13"/>
      <c r="AC267" s="13"/>
      <c r="AD267" s="14"/>
      <c r="AE267" s="15">
        <f t="shared" si="139"/>
        <v>0</v>
      </c>
      <c r="AF267" s="32">
        <v>1</v>
      </c>
      <c r="AG267" s="13"/>
      <c r="AH267" s="13"/>
      <c r="AI267" s="14"/>
      <c r="AJ267" s="15">
        <f t="shared" si="140"/>
        <v>1</v>
      </c>
      <c r="AK267" s="32"/>
      <c r="AL267" s="13"/>
      <c r="AM267" s="13"/>
      <c r="AN267" s="14"/>
      <c r="AO267" s="15">
        <f t="shared" si="141"/>
        <v>0</v>
      </c>
      <c r="AP267" s="32"/>
      <c r="AQ267" s="13"/>
      <c r="AR267" s="13"/>
      <c r="AS267" s="14"/>
      <c r="AT267" s="15">
        <f t="shared" si="142"/>
        <v>0</v>
      </c>
      <c r="AU267" s="32"/>
      <c r="AV267" s="13"/>
      <c r="AW267" s="13"/>
      <c r="AX267" s="14"/>
      <c r="AY267" s="15">
        <f t="shared" si="143"/>
        <v>0</v>
      </c>
      <c r="AZ267" s="32"/>
      <c r="BA267" s="13"/>
      <c r="BB267" s="13"/>
      <c r="BC267" s="14"/>
      <c r="BD267" s="15">
        <f t="shared" si="144"/>
        <v>0</v>
      </c>
      <c r="BE267" s="32"/>
      <c r="BF267" s="13"/>
      <c r="BG267" s="13"/>
      <c r="BH267" s="14"/>
      <c r="BI267" s="15">
        <f t="shared" si="145"/>
        <v>0</v>
      </c>
      <c r="BJ267" s="32"/>
      <c r="BK267" s="13"/>
      <c r="BL267" s="13"/>
      <c r="BM267" s="14"/>
      <c r="BN267" s="15">
        <f t="shared" si="146"/>
        <v>0</v>
      </c>
      <c r="BO267" s="66">
        <f>SUM(G267,L267,Q267,V267,AA267,AF267,AK267,AP267,AU267,AZ267,BE267,BJ267)</f>
        <v>4</v>
      </c>
      <c r="BP267" s="13">
        <f>SUM(H267,M267,R267,W267,AB267,AG267,AL267,AQ267,AV267,BA267,BF267,BK267)</f>
        <v>0</v>
      </c>
      <c r="BQ267" s="13">
        <f>SUM(I267,N267,S267,X267,AC267,AH267,AM267,AR267,AW267,BB267,BG267,BL267)</f>
        <v>0</v>
      </c>
      <c r="BR267" s="14">
        <f>SUM(J267,O267,T267,Y267,AD267,AI267,AN267,AS267,AX267,BC267,BH267,BM267)</f>
        <v>0</v>
      </c>
      <c r="BS267" s="33">
        <f t="shared" si="135"/>
        <v>4</v>
      </c>
    </row>
    <row r="268" spans="2:71" x14ac:dyDescent="0.3">
      <c r="B268" s="269"/>
      <c r="C268" s="230"/>
      <c r="D268" s="233"/>
      <c r="E268" s="220"/>
      <c r="F268" s="121" t="s">
        <v>701</v>
      </c>
      <c r="G268" s="32"/>
      <c r="H268" s="13"/>
      <c r="I268" s="13"/>
      <c r="J268" s="14"/>
      <c r="K268" s="15">
        <f t="shared" si="134"/>
        <v>0</v>
      </c>
      <c r="L268" s="32"/>
      <c r="M268" s="13"/>
      <c r="N268" s="13"/>
      <c r="O268" s="14"/>
      <c r="P268" s="15">
        <f t="shared" si="136"/>
        <v>0</v>
      </c>
      <c r="Q268" s="32"/>
      <c r="R268" s="13"/>
      <c r="S268" s="13"/>
      <c r="T268" s="14"/>
      <c r="U268" s="15">
        <f t="shared" si="137"/>
        <v>0</v>
      </c>
      <c r="V268" s="32"/>
      <c r="W268" s="13"/>
      <c r="X268" s="13"/>
      <c r="Y268" s="14"/>
      <c r="Z268" s="15">
        <f t="shared" si="138"/>
        <v>0</v>
      </c>
      <c r="AA268" s="32"/>
      <c r="AB268" s="13"/>
      <c r="AC268" s="13"/>
      <c r="AD268" s="14"/>
      <c r="AE268" s="15">
        <f t="shared" si="139"/>
        <v>0</v>
      </c>
      <c r="AF268" s="32">
        <v>7</v>
      </c>
      <c r="AG268" s="13"/>
      <c r="AH268" s="13"/>
      <c r="AI268" s="14"/>
      <c r="AJ268" s="15">
        <f t="shared" si="140"/>
        <v>7</v>
      </c>
      <c r="AK268" s="32"/>
      <c r="AL268" s="13"/>
      <c r="AM268" s="13"/>
      <c r="AN268" s="14"/>
      <c r="AO268" s="15">
        <f t="shared" si="141"/>
        <v>0</v>
      </c>
      <c r="AP268" s="32"/>
      <c r="AQ268" s="13"/>
      <c r="AR268" s="13"/>
      <c r="AS268" s="14"/>
      <c r="AT268" s="15">
        <f t="shared" si="142"/>
        <v>0</v>
      </c>
      <c r="AU268" s="32"/>
      <c r="AV268" s="13"/>
      <c r="AW268" s="13"/>
      <c r="AX268" s="14"/>
      <c r="AY268" s="15">
        <f t="shared" si="143"/>
        <v>0</v>
      </c>
      <c r="AZ268" s="32"/>
      <c r="BA268" s="13"/>
      <c r="BB268" s="13"/>
      <c r="BC268" s="14"/>
      <c r="BD268" s="15">
        <f t="shared" si="144"/>
        <v>0</v>
      </c>
      <c r="BE268" s="32"/>
      <c r="BF268" s="13"/>
      <c r="BG268" s="13"/>
      <c r="BH268" s="14"/>
      <c r="BI268" s="15">
        <f t="shared" si="145"/>
        <v>0</v>
      </c>
      <c r="BJ268" s="32"/>
      <c r="BK268" s="13"/>
      <c r="BL268" s="13"/>
      <c r="BM268" s="14"/>
      <c r="BN268" s="15">
        <f t="shared" si="146"/>
        <v>0</v>
      </c>
      <c r="BO268" s="66">
        <f>SUM(G268,L268,Q268,V268,AA268,AF268,AK268,AP268,AU268,AZ268,BE268,BJ268)</f>
        <v>7</v>
      </c>
      <c r="BP268" s="13">
        <f>SUM(H268,M268,R268,W268,AB268,AG268,AL268,AQ268,AV268,BA268,BF268,BK268)</f>
        <v>0</v>
      </c>
      <c r="BQ268" s="13">
        <f>SUM(I268,N268,S268,X268,AC268,AH268,AM268,AR268,AW268,BB268,BG268,BL268)</f>
        <v>0</v>
      </c>
      <c r="BR268" s="14">
        <f>SUM(J268,O268,T268,Y268,AD268,AI268,AN268,AS268,AX268,BC268,BH268,BM268)</f>
        <v>0</v>
      </c>
      <c r="BS268" s="33">
        <f t="shared" si="135"/>
        <v>7</v>
      </c>
    </row>
    <row r="269" spans="2:71" x14ac:dyDescent="0.3">
      <c r="B269" s="269"/>
      <c r="C269" s="230"/>
      <c r="D269" s="233"/>
      <c r="E269" s="220"/>
      <c r="F269" s="121" t="s">
        <v>702</v>
      </c>
      <c r="G269" s="32"/>
      <c r="H269" s="13"/>
      <c r="I269" s="13"/>
      <c r="J269" s="14"/>
      <c r="K269" s="15">
        <f t="shared" si="134"/>
        <v>0</v>
      </c>
      <c r="L269" s="32"/>
      <c r="M269" s="13"/>
      <c r="N269" s="13"/>
      <c r="O269" s="14"/>
      <c r="P269" s="15">
        <f t="shared" si="136"/>
        <v>0</v>
      </c>
      <c r="Q269" s="32"/>
      <c r="R269" s="13"/>
      <c r="S269" s="13"/>
      <c r="T269" s="14"/>
      <c r="U269" s="15">
        <f t="shared" si="137"/>
        <v>0</v>
      </c>
      <c r="V269" s="32"/>
      <c r="W269" s="13"/>
      <c r="X269" s="13"/>
      <c r="Y269" s="14"/>
      <c r="Z269" s="15">
        <f t="shared" si="138"/>
        <v>0</v>
      </c>
      <c r="AA269" s="32"/>
      <c r="AB269" s="13"/>
      <c r="AC269" s="13"/>
      <c r="AD269" s="14"/>
      <c r="AE269" s="15">
        <f t="shared" si="139"/>
        <v>0</v>
      </c>
      <c r="AF269" s="32"/>
      <c r="AG269" s="13"/>
      <c r="AH269" s="13"/>
      <c r="AI269" s="14"/>
      <c r="AJ269" s="15">
        <f t="shared" si="140"/>
        <v>0</v>
      </c>
      <c r="AK269" s="32"/>
      <c r="AL269" s="13"/>
      <c r="AM269" s="13"/>
      <c r="AN269" s="14"/>
      <c r="AO269" s="15">
        <f t="shared" si="141"/>
        <v>0</v>
      </c>
      <c r="AP269" s="32">
        <v>56</v>
      </c>
      <c r="AQ269" s="13"/>
      <c r="AR269" s="13"/>
      <c r="AS269" s="14"/>
      <c r="AT269" s="15">
        <f t="shared" si="142"/>
        <v>56</v>
      </c>
      <c r="AU269" s="32"/>
      <c r="AV269" s="13"/>
      <c r="AW269" s="13"/>
      <c r="AX269" s="14"/>
      <c r="AY269" s="15">
        <f t="shared" si="143"/>
        <v>0</v>
      </c>
      <c r="AZ269" s="32"/>
      <c r="BA269" s="13"/>
      <c r="BB269" s="13"/>
      <c r="BC269" s="14"/>
      <c r="BD269" s="15">
        <f t="shared" si="144"/>
        <v>0</v>
      </c>
      <c r="BE269" s="32"/>
      <c r="BF269" s="13"/>
      <c r="BG269" s="13"/>
      <c r="BH269" s="14"/>
      <c r="BI269" s="15">
        <f t="shared" si="145"/>
        <v>0</v>
      </c>
      <c r="BJ269" s="32"/>
      <c r="BK269" s="13"/>
      <c r="BL269" s="13"/>
      <c r="BM269" s="14"/>
      <c r="BN269" s="15">
        <f t="shared" si="146"/>
        <v>0</v>
      </c>
      <c r="BO269" s="66">
        <f>SUM(G269,L269,Q269,V269,AA269,AF269,AK269,AP269,AU269,AZ269,BE269,BJ269)</f>
        <v>56</v>
      </c>
      <c r="BP269" s="13">
        <f>SUM(H269,M269,R269,W269,AB269,AG269,AL269,AQ269,AV269,BA269,BF269,BK269)</f>
        <v>0</v>
      </c>
      <c r="BQ269" s="13">
        <f>SUM(I269,N269,S269,X269,AC269,AH269,AM269,AR269,AW269,BB269,BG269,BL269)</f>
        <v>0</v>
      </c>
      <c r="BR269" s="14">
        <f>SUM(J269,O269,T269,Y269,AD269,AI269,AN269,AS269,AX269,BC269,BH269,BM269)</f>
        <v>0</v>
      </c>
      <c r="BS269" s="33">
        <f t="shared" si="135"/>
        <v>56</v>
      </c>
    </row>
    <row r="270" spans="2:71" x14ac:dyDescent="0.3">
      <c r="B270" s="269"/>
      <c r="C270" s="230"/>
      <c r="D270" s="233"/>
      <c r="E270" s="220"/>
      <c r="F270" s="121" t="s">
        <v>703</v>
      </c>
      <c r="G270" s="32"/>
      <c r="H270" s="13"/>
      <c r="I270" s="13"/>
      <c r="J270" s="14"/>
      <c r="K270" s="15">
        <f t="shared" si="134"/>
        <v>0</v>
      </c>
      <c r="L270" s="32"/>
      <c r="M270" s="13"/>
      <c r="N270" s="13"/>
      <c r="O270" s="14"/>
      <c r="P270" s="15">
        <f t="shared" si="136"/>
        <v>0</v>
      </c>
      <c r="Q270" s="32"/>
      <c r="R270" s="13"/>
      <c r="S270" s="13"/>
      <c r="T270" s="14"/>
      <c r="U270" s="15">
        <f t="shared" si="137"/>
        <v>0</v>
      </c>
      <c r="V270" s="32"/>
      <c r="W270" s="13"/>
      <c r="X270" s="13"/>
      <c r="Y270" s="14"/>
      <c r="Z270" s="15">
        <f t="shared" si="138"/>
        <v>0</v>
      </c>
      <c r="AA270" s="32"/>
      <c r="AB270" s="13"/>
      <c r="AC270" s="13"/>
      <c r="AD270" s="14"/>
      <c r="AE270" s="15">
        <f t="shared" si="139"/>
        <v>0</v>
      </c>
      <c r="AF270" s="32"/>
      <c r="AG270" s="13"/>
      <c r="AH270" s="13"/>
      <c r="AI270" s="14"/>
      <c r="AJ270" s="15">
        <f t="shared" si="140"/>
        <v>0</v>
      </c>
      <c r="AK270" s="32"/>
      <c r="AL270" s="13"/>
      <c r="AM270" s="13"/>
      <c r="AN270" s="14"/>
      <c r="AO270" s="15">
        <f t="shared" si="141"/>
        <v>0</v>
      </c>
      <c r="AP270" s="32"/>
      <c r="AQ270" s="13"/>
      <c r="AR270" s="13"/>
      <c r="AS270" s="14"/>
      <c r="AT270" s="15">
        <f t="shared" si="142"/>
        <v>0</v>
      </c>
      <c r="AU270" s="32"/>
      <c r="AV270" s="13"/>
      <c r="AW270" s="13"/>
      <c r="AX270" s="14"/>
      <c r="AY270" s="15">
        <f t="shared" si="143"/>
        <v>0</v>
      </c>
      <c r="AZ270" s="32">
        <v>523</v>
      </c>
      <c r="BA270" s="13"/>
      <c r="BB270" s="13">
        <v>4</v>
      </c>
      <c r="BC270" s="14"/>
      <c r="BD270" s="15">
        <f t="shared" si="144"/>
        <v>527</v>
      </c>
      <c r="BE270" s="32">
        <v>201</v>
      </c>
      <c r="BF270" s="13"/>
      <c r="BG270" s="13">
        <v>2</v>
      </c>
      <c r="BH270" s="14"/>
      <c r="BI270" s="15">
        <f t="shared" si="145"/>
        <v>203</v>
      </c>
      <c r="BJ270" s="32">
        <v>79</v>
      </c>
      <c r="BK270" s="13"/>
      <c r="BL270" s="13">
        <v>1</v>
      </c>
      <c r="BM270" s="14"/>
      <c r="BN270" s="15">
        <f t="shared" si="146"/>
        <v>80</v>
      </c>
      <c r="BO270" s="66">
        <f>SUM(G270,L270,Q270,V270,AA270,AF270,AK270,AP270,AU270,AZ270,BE270,BJ270)</f>
        <v>803</v>
      </c>
      <c r="BP270" s="13">
        <f>SUM(H270,M270,R270,W270,AB270,AG270,AL270,AQ270,AV270,BA270,BF270,BK270)</f>
        <v>0</v>
      </c>
      <c r="BQ270" s="13">
        <f>SUM(I270,N270,S270,X270,AC270,AH270,AM270,AR270,AW270,BB270,BG270,BL270)</f>
        <v>7</v>
      </c>
      <c r="BR270" s="14">
        <f>SUM(J270,O270,T270,Y270,AD270,AI270,AN270,AS270,AX270,BC270,BH270,BM270)</f>
        <v>0</v>
      </c>
      <c r="BS270" s="33">
        <f t="shared" si="135"/>
        <v>810</v>
      </c>
    </row>
    <row r="271" spans="2:71" x14ac:dyDescent="0.3">
      <c r="B271" s="269"/>
      <c r="C271" s="230"/>
      <c r="D271" s="233"/>
      <c r="E271" s="220"/>
      <c r="F271" s="121" t="s">
        <v>704</v>
      </c>
      <c r="G271" s="32"/>
      <c r="H271" s="13"/>
      <c r="I271" s="13"/>
      <c r="J271" s="14"/>
      <c r="K271" s="15">
        <f t="shared" si="134"/>
        <v>0</v>
      </c>
      <c r="L271" s="32"/>
      <c r="M271" s="13"/>
      <c r="N271" s="13"/>
      <c r="O271" s="14"/>
      <c r="P271" s="15">
        <f t="shared" si="136"/>
        <v>0</v>
      </c>
      <c r="Q271" s="32"/>
      <c r="R271" s="13"/>
      <c r="S271" s="13"/>
      <c r="T271" s="14"/>
      <c r="U271" s="15">
        <f t="shared" si="137"/>
        <v>0</v>
      </c>
      <c r="V271" s="32"/>
      <c r="W271" s="13"/>
      <c r="X271" s="13"/>
      <c r="Y271" s="14"/>
      <c r="Z271" s="15">
        <f t="shared" si="138"/>
        <v>0</v>
      </c>
      <c r="AA271" s="32"/>
      <c r="AB271" s="13"/>
      <c r="AC271" s="13"/>
      <c r="AD271" s="14"/>
      <c r="AE271" s="15">
        <f t="shared" si="139"/>
        <v>0</v>
      </c>
      <c r="AF271" s="32"/>
      <c r="AG271" s="13"/>
      <c r="AH271" s="13"/>
      <c r="AI271" s="14"/>
      <c r="AJ271" s="15">
        <f t="shared" si="140"/>
        <v>0</v>
      </c>
      <c r="AK271" s="32"/>
      <c r="AL271" s="13"/>
      <c r="AM271" s="13"/>
      <c r="AN271" s="14"/>
      <c r="AO271" s="15">
        <f t="shared" si="141"/>
        <v>0</v>
      </c>
      <c r="AP271" s="32"/>
      <c r="AQ271" s="13"/>
      <c r="AR271" s="13"/>
      <c r="AS271" s="14"/>
      <c r="AT271" s="15">
        <f t="shared" si="142"/>
        <v>0</v>
      </c>
      <c r="AU271" s="32"/>
      <c r="AV271" s="13"/>
      <c r="AW271" s="13"/>
      <c r="AX271" s="14"/>
      <c r="AY271" s="15">
        <f t="shared" si="143"/>
        <v>0</v>
      </c>
      <c r="AZ271" s="32">
        <v>158</v>
      </c>
      <c r="BA271" s="13"/>
      <c r="BB271" s="13"/>
      <c r="BC271" s="14"/>
      <c r="BD271" s="15">
        <f t="shared" si="144"/>
        <v>158</v>
      </c>
      <c r="BE271" s="32">
        <v>79</v>
      </c>
      <c r="BF271" s="13"/>
      <c r="BG271" s="13"/>
      <c r="BH271" s="14"/>
      <c r="BI271" s="15">
        <f t="shared" si="145"/>
        <v>79</v>
      </c>
      <c r="BJ271" s="32">
        <v>29</v>
      </c>
      <c r="BK271" s="13"/>
      <c r="BL271" s="13">
        <v>1</v>
      </c>
      <c r="BM271" s="14"/>
      <c r="BN271" s="15">
        <f t="shared" si="146"/>
        <v>30</v>
      </c>
      <c r="BO271" s="66">
        <f>SUM(G271,L271,Q271,V271,AA271,AF271,AK271,AP271,AU271,AZ271,BE271,BJ271)</f>
        <v>266</v>
      </c>
      <c r="BP271" s="13">
        <f>SUM(H271,M271,R271,W271,AB271,AG271,AL271,AQ271,AV271,BA271,BF271,BK271)</f>
        <v>0</v>
      </c>
      <c r="BQ271" s="13">
        <f>SUM(I271,N271,S271,X271,AC271,AH271,AM271,AR271,AW271,BB271,BG271,BL271)</f>
        <v>1</v>
      </c>
      <c r="BR271" s="14">
        <f>SUM(J271,O271,T271,Y271,AD271,AI271,AN271,AS271,AX271,BC271,BH271,BM271)</f>
        <v>0</v>
      </c>
      <c r="BS271" s="33">
        <f t="shared" si="135"/>
        <v>267</v>
      </c>
    </row>
    <row r="272" spans="2:71" x14ac:dyDescent="0.3">
      <c r="B272" s="269"/>
      <c r="C272" s="230"/>
      <c r="D272" s="233"/>
      <c r="E272" s="220"/>
      <c r="F272" s="121" t="s">
        <v>705</v>
      </c>
      <c r="G272" s="32"/>
      <c r="H272" s="13"/>
      <c r="I272" s="13"/>
      <c r="J272" s="14"/>
      <c r="K272" s="15">
        <f t="shared" si="134"/>
        <v>0</v>
      </c>
      <c r="L272" s="32"/>
      <c r="M272" s="13"/>
      <c r="N272" s="13"/>
      <c r="O272" s="14"/>
      <c r="P272" s="15">
        <f t="shared" si="136"/>
        <v>0</v>
      </c>
      <c r="Q272" s="32"/>
      <c r="R272" s="13"/>
      <c r="S272" s="13"/>
      <c r="T272" s="14"/>
      <c r="U272" s="15">
        <f t="shared" si="137"/>
        <v>0</v>
      </c>
      <c r="V272" s="32"/>
      <c r="W272" s="13"/>
      <c r="X272" s="13"/>
      <c r="Y272" s="14"/>
      <c r="Z272" s="15">
        <f t="shared" si="138"/>
        <v>0</v>
      </c>
      <c r="AA272" s="32"/>
      <c r="AB272" s="13"/>
      <c r="AC272" s="13"/>
      <c r="AD272" s="14"/>
      <c r="AE272" s="15">
        <f t="shared" si="139"/>
        <v>0</v>
      </c>
      <c r="AF272" s="32"/>
      <c r="AG272" s="13"/>
      <c r="AH272" s="13"/>
      <c r="AI272" s="14"/>
      <c r="AJ272" s="15">
        <f t="shared" si="140"/>
        <v>0</v>
      </c>
      <c r="AK272" s="32"/>
      <c r="AL272" s="13"/>
      <c r="AM272" s="13"/>
      <c r="AN272" s="14"/>
      <c r="AO272" s="15">
        <f t="shared" si="141"/>
        <v>0</v>
      </c>
      <c r="AP272" s="32"/>
      <c r="AQ272" s="13"/>
      <c r="AR272" s="13"/>
      <c r="AS272" s="14"/>
      <c r="AT272" s="15">
        <f t="shared" si="142"/>
        <v>0</v>
      </c>
      <c r="AU272" s="32"/>
      <c r="AV272" s="13"/>
      <c r="AW272" s="13"/>
      <c r="AX272" s="14"/>
      <c r="AY272" s="15">
        <f t="shared" si="143"/>
        <v>0</v>
      </c>
      <c r="AZ272" s="32">
        <v>320</v>
      </c>
      <c r="BA272" s="13"/>
      <c r="BB272" s="13">
        <v>10</v>
      </c>
      <c r="BC272" s="14"/>
      <c r="BD272" s="15">
        <f t="shared" si="144"/>
        <v>330</v>
      </c>
      <c r="BE272" s="32">
        <v>111</v>
      </c>
      <c r="BF272" s="13">
        <v>2</v>
      </c>
      <c r="BG272" s="13">
        <v>5</v>
      </c>
      <c r="BH272" s="14"/>
      <c r="BI272" s="15">
        <f t="shared" si="145"/>
        <v>118</v>
      </c>
      <c r="BJ272" s="32">
        <v>39</v>
      </c>
      <c r="BK272" s="13"/>
      <c r="BL272" s="13">
        <v>3</v>
      </c>
      <c r="BM272" s="14"/>
      <c r="BN272" s="15">
        <f t="shared" si="146"/>
        <v>42</v>
      </c>
      <c r="BO272" s="66">
        <f>SUM(G272,L272,Q272,V272,AA272,AF272,AK272,AP272,AU272,AZ272,BE272,BJ272)</f>
        <v>470</v>
      </c>
      <c r="BP272" s="13">
        <f>SUM(H272,M272,R272,W272,AB272,AG272,AL272,AQ272,AV272,BA272,BF272,BK272)</f>
        <v>2</v>
      </c>
      <c r="BQ272" s="13">
        <f>SUM(I272,N272,S272,X272,AC272,AH272,AM272,AR272,AW272,BB272,BG272,BL272)</f>
        <v>18</v>
      </c>
      <c r="BR272" s="14">
        <f>SUM(J272,O272,T272,Y272,AD272,AI272,AN272,AS272,AX272,BC272,BH272,BM272)</f>
        <v>0</v>
      </c>
      <c r="BS272" s="33">
        <f t="shared" si="135"/>
        <v>490</v>
      </c>
    </row>
    <row r="273" spans="2:71" x14ac:dyDescent="0.3">
      <c r="B273" s="269"/>
      <c r="C273" s="230"/>
      <c r="D273" s="233"/>
      <c r="E273" s="220"/>
      <c r="F273" s="121" t="s">
        <v>706</v>
      </c>
      <c r="G273" s="32"/>
      <c r="H273" s="13"/>
      <c r="I273" s="13"/>
      <c r="J273" s="14"/>
      <c r="K273" s="15">
        <f t="shared" si="134"/>
        <v>0</v>
      </c>
      <c r="L273" s="32"/>
      <c r="M273" s="13"/>
      <c r="N273" s="13"/>
      <c r="O273" s="14"/>
      <c r="P273" s="15">
        <f t="shared" si="136"/>
        <v>0</v>
      </c>
      <c r="Q273" s="32"/>
      <c r="R273" s="13"/>
      <c r="S273" s="13"/>
      <c r="T273" s="14"/>
      <c r="U273" s="15">
        <f t="shared" si="137"/>
        <v>0</v>
      </c>
      <c r="V273" s="32"/>
      <c r="W273" s="13"/>
      <c r="X273" s="13"/>
      <c r="Y273" s="14"/>
      <c r="Z273" s="15">
        <f t="shared" si="138"/>
        <v>0</v>
      </c>
      <c r="AA273" s="32"/>
      <c r="AB273" s="13"/>
      <c r="AC273" s="13"/>
      <c r="AD273" s="14"/>
      <c r="AE273" s="15">
        <f t="shared" si="139"/>
        <v>0</v>
      </c>
      <c r="AF273" s="32"/>
      <c r="AG273" s="13"/>
      <c r="AH273" s="13"/>
      <c r="AI273" s="14"/>
      <c r="AJ273" s="15">
        <f t="shared" si="140"/>
        <v>0</v>
      </c>
      <c r="AK273" s="32"/>
      <c r="AL273" s="13"/>
      <c r="AM273" s="13"/>
      <c r="AN273" s="14"/>
      <c r="AO273" s="15">
        <f t="shared" si="141"/>
        <v>0</v>
      </c>
      <c r="AP273" s="32"/>
      <c r="AQ273" s="13"/>
      <c r="AR273" s="13"/>
      <c r="AS273" s="14"/>
      <c r="AT273" s="15">
        <f t="shared" si="142"/>
        <v>0</v>
      </c>
      <c r="AU273" s="32"/>
      <c r="AV273" s="13"/>
      <c r="AW273" s="13"/>
      <c r="AX273" s="14"/>
      <c r="AY273" s="15">
        <f t="shared" si="143"/>
        <v>0</v>
      </c>
      <c r="AZ273" s="32">
        <v>108</v>
      </c>
      <c r="BA273" s="13"/>
      <c r="BB273" s="13">
        <v>2</v>
      </c>
      <c r="BC273" s="14"/>
      <c r="BD273" s="15">
        <f t="shared" si="144"/>
        <v>110</v>
      </c>
      <c r="BE273" s="32">
        <v>57</v>
      </c>
      <c r="BF273" s="13"/>
      <c r="BG273" s="13"/>
      <c r="BH273" s="14"/>
      <c r="BI273" s="15">
        <f t="shared" si="145"/>
        <v>57</v>
      </c>
      <c r="BJ273" s="32">
        <v>18</v>
      </c>
      <c r="BK273" s="13"/>
      <c r="BL273" s="13">
        <v>2</v>
      </c>
      <c r="BM273" s="14"/>
      <c r="BN273" s="15">
        <f t="shared" si="146"/>
        <v>20</v>
      </c>
      <c r="BO273" s="66">
        <f>SUM(G273,L273,Q273,V273,AA273,AF273,AK273,AP273,AU273,AZ273,BE273,BJ273)</f>
        <v>183</v>
      </c>
      <c r="BP273" s="13">
        <f>SUM(H273,M273,R273,W273,AB273,AG273,AL273,AQ273,AV273,BA273,BF273,BK273)</f>
        <v>0</v>
      </c>
      <c r="BQ273" s="13">
        <f>SUM(I273,N273,S273,X273,AC273,AH273,AM273,AR273,AW273,BB273,BG273,BL273)</f>
        <v>4</v>
      </c>
      <c r="BR273" s="14">
        <f>SUM(J273,O273,T273,Y273,AD273,AI273,AN273,AS273,AX273,BC273,BH273,BM273)</f>
        <v>0</v>
      </c>
      <c r="BS273" s="33">
        <f t="shared" si="135"/>
        <v>187</v>
      </c>
    </row>
    <row r="274" spans="2:71" x14ac:dyDescent="0.3">
      <c r="B274" s="269"/>
      <c r="C274" s="230"/>
      <c r="D274" s="233"/>
      <c r="E274" s="220"/>
      <c r="F274" s="121" t="s">
        <v>707</v>
      </c>
      <c r="G274" s="32"/>
      <c r="H274" s="13"/>
      <c r="I274" s="13"/>
      <c r="J274" s="14"/>
      <c r="K274" s="15">
        <f t="shared" si="134"/>
        <v>0</v>
      </c>
      <c r="L274" s="32"/>
      <c r="M274" s="13"/>
      <c r="N274" s="13"/>
      <c r="O274" s="14"/>
      <c r="P274" s="15">
        <f t="shared" si="136"/>
        <v>0</v>
      </c>
      <c r="Q274" s="32"/>
      <c r="R274" s="13"/>
      <c r="S274" s="13"/>
      <c r="T274" s="14"/>
      <c r="U274" s="15">
        <f t="shared" si="137"/>
        <v>0</v>
      </c>
      <c r="V274" s="32"/>
      <c r="W274" s="13"/>
      <c r="X274" s="13"/>
      <c r="Y274" s="14"/>
      <c r="Z274" s="15">
        <f t="shared" si="138"/>
        <v>0</v>
      </c>
      <c r="AA274" s="32"/>
      <c r="AB274" s="13"/>
      <c r="AC274" s="13"/>
      <c r="AD274" s="14"/>
      <c r="AE274" s="15">
        <f t="shared" si="139"/>
        <v>0</v>
      </c>
      <c r="AF274" s="32"/>
      <c r="AG274" s="13"/>
      <c r="AH274" s="13"/>
      <c r="AI274" s="14"/>
      <c r="AJ274" s="15">
        <f t="shared" si="140"/>
        <v>0</v>
      </c>
      <c r="AK274" s="32"/>
      <c r="AL274" s="13"/>
      <c r="AM274" s="13"/>
      <c r="AN274" s="14"/>
      <c r="AO274" s="15">
        <f t="shared" si="141"/>
        <v>0</v>
      </c>
      <c r="AP274" s="32"/>
      <c r="AQ274" s="13"/>
      <c r="AR274" s="13"/>
      <c r="AS274" s="14"/>
      <c r="AT274" s="15">
        <f t="shared" si="142"/>
        <v>0</v>
      </c>
      <c r="AU274" s="32"/>
      <c r="AV274" s="13"/>
      <c r="AW274" s="13"/>
      <c r="AX274" s="14"/>
      <c r="AY274" s="15">
        <f t="shared" si="143"/>
        <v>0</v>
      </c>
      <c r="AZ274" s="32"/>
      <c r="BA274" s="13"/>
      <c r="BB274" s="13"/>
      <c r="BC274" s="14"/>
      <c r="BD274" s="15">
        <f t="shared" si="144"/>
        <v>0</v>
      </c>
      <c r="BE274" s="32"/>
      <c r="BF274" s="13"/>
      <c r="BG274" s="13"/>
      <c r="BH274" s="14"/>
      <c r="BI274" s="15">
        <f t="shared" si="145"/>
        <v>0</v>
      </c>
      <c r="BJ274" s="32">
        <v>320</v>
      </c>
      <c r="BK274" s="13"/>
      <c r="BL274" s="13"/>
      <c r="BM274" s="14"/>
      <c r="BN274" s="15">
        <f t="shared" si="146"/>
        <v>320</v>
      </c>
      <c r="BO274" s="66">
        <f>SUM(G274,L274,Q274,V274,AA274,AF274,AK274,AP274,AU274,AZ274,BE274,BJ274)</f>
        <v>320</v>
      </c>
      <c r="BP274" s="13">
        <f>SUM(H274,M274,R274,W274,AB274,AG274,AL274,AQ274,AV274,BA274,BF274,BK274)</f>
        <v>0</v>
      </c>
      <c r="BQ274" s="13">
        <f>SUM(I274,N274,S274,X274,AC274,AH274,AM274,AR274,AW274,BB274,BG274,BL274)</f>
        <v>0</v>
      </c>
      <c r="BR274" s="14">
        <f>SUM(J274,O274,T274,Y274,AD274,AI274,AN274,AS274,AX274,BC274,BH274,BM274)</f>
        <v>0</v>
      </c>
      <c r="BS274" s="33">
        <f t="shared" si="135"/>
        <v>320</v>
      </c>
    </row>
    <row r="275" spans="2:71" x14ac:dyDescent="0.3">
      <c r="B275" s="269"/>
      <c r="C275" s="230"/>
      <c r="D275" s="233"/>
      <c r="E275" s="220"/>
      <c r="F275" s="121" t="s">
        <v>708</v>
      </c>
      <c r="G275" s="32"/>
      <c r="H275" s="13"/>
      <c r="I275" s="13"/>
      <c r="J275" s="14"/>
      <c r="K275" s="15">
        <f t="shared" si="134"/>
        <v>0</v>
      </c>
      <c r="L275" s="32"/>
      <c r="M275" s="13"/>
      <c r="N275" s="13"/>
      <c r="O275" s="14"/>
      <c r="P275" s="15">
        <f t="shared" si="136"/>
        <v>0</v>
      </c>
      <c r="Q275" s="32"/>
      <c r="R275" s="13"/>
      <c r="S275" s="13"/>
      <c r="T275" s="14"/>
      <c r="U275" s="15">
        <f t="shared" si="137"/>
        <v>0</v>
      </c>
      <c r="V275" s="32"/>
      <c r="W275" s="13"/>
      <c r="X275" s="13"/>
      <c r="Y275" s="14"/>
      <c r="Z275" s="15">
        <f t="shared" si="138"/>
        <v>0</v>
      </c>
      <c r="AA275" s="32"/>
      <c r="AB275" s="13"/>
      <c r="AC275" s="13"/>
      <c r="AD275" s="14"/>
      <c r="AE275" s="15">
        <f t="shared" si="139"/>
        <v>0</v>
      </c>
      <c r="AF275" s="32"/>
      <c r="AG275" s="13"/>
      <c r="AH275" s="13"/>
      <c r="AI275" s="14"/>
      <c r="AJ275" s="15">
        <f t="shared" si="140"/>
        <v>0</v>
      </c>
      <c r="AK275" s="32"/>
      <c r="AL275" s="13"/>
      <c r="AM275" s="13"/>
      <c r="AN275" s="14"/>
      <c r="AO275" s="15">
        <f t="shared" si="141"/>
        <v>0</v>
      </c>
      <c r="AP275" s="32"/>
      <c r="AQ275" s="13"/>
      <c r="AR275" s="13"/>
      <c r="AS275" s="14"/>
      <c r="AT275" s="15">
        <f t="shared" si="142"/>
        <v>0</v>
      </c>
      <c r="AU275" s="32"/>
      <c r="AV275" s="13"/>
      <c r="AW275" s="13"/>
      <c r="AX275" s="14"/>
      <c r="AY275" s="15">
        <f t="shared" si="143"/>
        <v>0</v>
      </c>
      <c r="AZ275" s="32">
        <v>2</v>
      </c>
      <c r="BA275" s="13"/>
      <c r="BB275" s="13"/>
      <c r="BC275" s="14"/>
      <c r="BD275" s="15">
        <f t="shared" si="144"/>
        <v>2</v>
      </c>
      <c r="BE275" s="32"/>
      <c r="BF275" s="13"/>
      <c r="BG275" s="13"/>
      <c r="BH275" s="14"/>
      <c r="BI275" s="15">
        <f t="shared" si="145"/>
        <v>0</v>
      </c>
      <c r="BJ275" s="32"/>
      <c r="BK275" s="13"/>
      <c r="BL275" s="13"/>
      <c r="BM275" s="14"/>
      <c r="BN275" s="15">
        <f t="shared" si="146"/>
        <v>0</v>
      </c>
      <c r="BO275" s="66">
        <f>SUM(G275,L275,Q275,V275,AA275,AF275,AK275,AP275,AU275,AZ275,BE275,BJ275)</f>
        <v>2</v>
      </c>
      <c r="BP275" s="13">
        <f>SUM(H275,M275,R275,W275,AB275,AG275,AL275,AQ275,AV275,BA275,BF275,BK275)</f>
        <v>0</v>
      </c>
      <c r="BQ275" s="13">
        <f>SUM(I275,N275,S275,X275,AC275,AH275,AM275,AR275,AW275,BB275,BG275,BL275)</f>
        <v>0</v>
      </c>
      <c r="BR275" s="14">
        <f>SUM(J275,O275,T275,Y275,AD275,AI275,AN275,AS275,AX275,BC275,BH275,BM275)</f>
        <v>0</v>
      </c>
      <c r="BS275" s="33">
        <f t="shared" si="135"/>
        <v>2</v>
      </c>
    </row>
    <row r="276" spans="2:71" x14ac:dyDescent="0.3">
      <c r="B276" s="269"/>
      <c r="C276" s="230"/>
      <c r="D276" s="233"/>
      <c r="E276" s="220"/>
      <c r="F276" s="121" t="s">
        <v>709</v>
      </c>
      <c r="G276" s="32"/>
      <c r="H276" s="13"/>
      <c r="I276" s="13"/>
      <c r="J276" s="14"/>
      <c r="K276" s="15">
        <f t="shared" si="134"/>
        <v>0</v>
      </c>
      <c r="L276" s="32"/>
      <c r="M276" s="13"/>
      <c r="N276" s="13"/>
      <c r="O276" s="14"/>
      <c r="P276" s="15">
        <f t="shared" si="136"/>
        <v>0</v>
      </c>
      <c r="Q276" s="32"/>
      <c r="R276" s="13"/>
      <c r="S276" s="13"/>
      <c r="T276" s="14"/>
      <c r="U276" s="15">
        <f t="shared" si="137"/>
        <v>0</v>
      </c>
      <c r="V276" s="32"/>
      <c r="W276" s="13"/>
      <c r="X276" s="13"/>
      <c r="Y276" s="14"/>
      <c r="Z276" s="15">
        <f t="shared" si="138"/>
        <v>0</v>
      </c>
      <c r="AA276" s="32"/>
      <c r="AB276" s="13"/>
      <c r="AC276" s="13"/>
      <c r="AD276" s="14"/>
      <c r="AE276" s="15">
        <f t="shared" si="139"/>
        <v>0</v>
      </c>
      <c r="AF276" s="32"/>
      <c r="AG276" s="13"/>
      <c r="AH276" s="13"/>
      <c r="AI276" s="14"/>
      <c r="AJ276" s="15">
        <f t="shared" si="140"/>
        <v>0</v>
      </c>
      <c r="AK276" s="32"/>
      <c r="AL276" s="13"/>
      <c r="AM276" s="13"/>
      <c r="AN276" s="14"/>
      <c r="AO276" s="15">
        <f t="shared" si="141"/>
        <v>0</v>
      </c>
      <c r="AP276" s="32"/>
      <c r="AQ276" s="13"/>
      <c r="AR276" s="13"/>
      <c r="AS276" s="14"/>
      <c r="AT276" s="15">
        <f t="shared" si="142"/>
        <v>0</v>
      </c>
      <c r="AU276" s="32"/>
      <c r="AV276" s="13"/>
      <c r="AW276" s="13"/>
      <c r="AX276" s="14"/>
      <c r="AY276" s="15">
        <f t="shared" si="143"/>
        <v>0</v>
      </c>
      <c r="AZ276" s="32"/>
      <c r="BA276" s="13"/>
      <c r="BB276" s="13"/>
      <c r="BC276" s="14"/>
      <c r="BD276" s="15">
        <f t="shared" si="144"/>
        <v>0</v>
      </c>
      <c r="BE276" s="32">
        <v>354</v>
      </c>
      <c r="BF276" s="13">
        <v>504</v>
      </c>
      <c r="BG276" s="13"/>
      <c r="BH276" s="14"/>
      <c r="BI276" s="15">
        <f t="shared" si="145"/>
        <v>858</v>
      </c>
      <c r="BJ276" s="32">
        <v>328</v>
      </c>
      <c r="BK276" s="13">
        <v>977</v>
      </c>
      <c r="BL276" s="13"/>
      <c r="BM276" s="14"/>
      <c r="BN276" s="15">
        <f t="shared" si="146"/>
        <v>1305</v>
      </c>
      <c r="BO276" s="66">
        <f>SUM(G276,L276,Q276,V276,AA276,AF276,AK276,AP276,AU276,AZ276,BE276,BJ276)</f>
        <v>682</v>
      </c>
      <c r="BP276" s="13">
        <f>SUM(H276,M276,R276,W276,AB276,AG276,AL276,AQ276,AV276,BA276,BF276,BK276)</f>
        <v>1481</v>
      </c>
      <c r="BQ276" s="13">
        <f>SUM(I276,N276,S276,X276,AC276,AH276,AM276,AR276,AW276,BB276,BG276,BL276)</f>
        <v>0</v>
      </c>
      <c r="BR276" s="14">
        <f>SUM(J276,O276,T276,Y276,AD276,AI276,AN276,AS276,AX276,BC276,BH276,BM276)</f>
        <v>0</v>
      </c>
      <c r="BS276" s="33">
        <f t="shared" si="135"/>
        <v>2163</v>
      </c>
    </row>
    <row r="277" spans="2:71" x14ac:dyDescent="0.3">
      <c r="B277" s="269"/>
      <c r="C277" s="230"/>
      <c r="D277" s="233"/>
      <c r="E277" s="220"/>
      <c r="F277" s="121" t="s">
        <v>710</v>
      </c>
      <c r="G277" s="32"/>
      <c r="H277" s="13"/>
      <c r="I277" s="13"/>
      <c r="J277" s="14"/>
      <c r="K277" s="15">
        <f t="shared" si="134"/>
        <v>0</v>
      </c>
      <c r="L277" s="32"/>
      <c r="M277" s="13"/>
      <c r="N277" s="13"/>
      <c r="O277" s="14"/>
      <c r="P277" s="15">
        <f t="shared" ref="P277:P306" si="147">SUM(L277:O277)</f>
        <v>0</v>
      </c>
      <c r="Q277" s="32"/>
      <c r="R277" s="13"/>
      <c r="S277" s="13"/>
      <c r="T277" s="14"/>
      <c r="U277" s="15">
        <f t="shared" ref="U277:U306" si="148">SUM(Q277:T277)</f>
        <v>0</v>
      </c>
      <c r="V277" s="32"/>
      <c r="W277" s="13"/>
      <c r="X277" s="13"/>
      <c r="Y277" s="14"/>
      <c r="Z277" s="15">
        <f t="shared" ref="Z277:Z306" si="149">SUM(V277:Y277)</f>
        <v>0</v>
      </c>
      <c r="AA277" s="32"/>
      <c r="AB277" s="13"/>
      <c r="AC277" s="13"/>
      <c r="AD277" s="14"/>
      <c r="AE277" s="15">
        <f t="shared" ref="AE277:AE306" si="150">SUM(AA277:AD277)</f>
        <v>0</v>
      </c>
      <c r="AF277" s="32"/>
      <c r="AG277" s="13"/>
      <c r="AH277" s="13"/>
      <c r="AI277" s="14"/>
      <c r="AJ277" s="15">
        <f t="shared" ref="AJ277:AJ306" si="151">SUM(AF277:AI277)</f>
        <v>0</v>
      </c>
      <c r="AK277" s="32"/>
      <c r="AL277" s="13"/>
      <c r="AM277" s="13"/>
      <c r="AN277" s="14"/>
      <c r="AO277" s="15">
        <f t="shared" ref="AO277:AO306" si="152">SUM(AK277:AN277)</f>
        <v>0</v>
      </c>
      <c r="AP277" s="32"/>
      <c r="AQ277" s="13"/>
      <c r="AR277" s="13"/>
      <c r="AS277" s="14"/>
      <c r="AT277" s="15">
        <f t="shared" ref="AT277:AT306" si="153">SUM(AP277:AS277)</f>
        <v>0</v>
      </c>
      <c r="AU277" s="32"/>
      <c r="AV277" s="13"/>
      <c r="AW277" s="13"/>
      <c r="AX277" s="14"/>
      <c r="AY277" s="15">
        <f t="shared" ref="AY277:AY306" si="154">SUM(AU277:AX277)</f>
        <v>0</v>
      </c>
      <c r="AZ277" s="32"/>
      <c r="BA277" s="13"/>
      <c r="BB277" s="13"/>
      <c r="BC277" s="14"/>
      <c r="BD277" s="15">
        <f t="shared" ref="BD277:BD306" si="155">SUM(AZ277:BC277)</f>
        <v>0</v>
      </c>
      <c r="BE277" s="32">
        <v>13</v>
      </c>
      <c r="BF277" s="13">
        <v>14</v>
      </c>
      <c r="BG277" s="13"/>
      <c r="BH277" s="14"/>
      <c r="BI277" s="15">
        <f t="shared" ref="BI277:BI306" si="156">SUM(BE277:BH277)</f>
        <v>27</v>
      </c>
      <c r="BJ277" s="32">
        <v>9</v>
      </c>
      <c r="BK277" s="13">
        <v>7</v>
      </c>
      <c r="BL277" s="13"/>
      <c r="BM277" s="14"/>
      <c r="BN277" s="15">
        <f t="shared" ref="BN277:BN306" si="157">SUM(BJ277:BM277)</f>
        <v>16</v>
      </c>
      <c r="BO277" s="66">
        <f>SUM(G277,L277,Q277,V277,AA277,AF277,AK277,AP277,AU277,AZ277,BE277,BJ277)</f>
        <v>22</v>
      </c>
      <c r="BP277" s="13">
        <f>SUM(H277,M277,R277,W277,AB277,AG277,AL277,AQ277,AV277,BA277,BF277,BK277)</f>
        <v>21</v>
      </c>
      <c r="BQ277" s="13">
        <f>SUM(I277,N277,S277,X277,AC277,AH277,AM277,AR277,AW277,BB277,BG277,BL277)</f>
        <v>0</v>
      </c>
      <c r="BR277" s="14">
        <f>SUM(J277,O277,T277,Y277,AD277,AI277,AN277,AS277,AX277,BC277,BH277,BM277)</f>
        <v>0</v>
      </c>
      <c r="BS277" s="33">
        <f t="shared" si="135"/>
        <v>43</v>
      </c>
    </row>
    <row r="278" spans="2:71" x14ac:dyDescent="0.3">
      <c r="B278" s="269"/>
      <c r="C278" s="230"/>
      <c r="D278" s="234"/>
      <c r="E278" s="236" t="s">
        <v>4</v>
      </c>
      <c r="F278" s="237"/>
      <c r="G278" s="38">
        <f>SUM(G182:G277)</f>
        <v>5888</v>
      </c>
      <c r="H278" s="19">
        <f>SUM(H182:H277)</f>
        <v>953</v>
      </c>
      <c r="I278" s="19">
        <f>SUM(I182:I277)</f>
        <v>2296</v>
      </c>
      <c r="J278" s="20">
        <f>SUM(J182:J277)</f>
        <v>0</v>
      </c>
      <c r="K278" s="21">
        <f t="shared" si="134"/>
        <v>9137</v>
      </c>
      <c r="L278" s="38">
        <f>SUM(L182:L277)</f>
        <v>7290</v>
      </c>
      <c r="M278" s="19">
        <f>SUM(M182:M277)</f>
        <v>1853</v>
      </c>
      <c r="N278" s="19">
        <f>SUM(N182:N277)</f>
        <v>2387</v>
      </c>
      <c r="O278" s="20">
        <f>SUM(O182:O277)</f>
        <v>0</v>
      </c>
      <c r="P278" s="21">
        <f t="shared" si="147"/>
        <v>11530</v>
      </c>
      <c r="Q278" s="38">
        <f>SUM(Q182:Q277)</f>
        <v>5315</v>
      </c>
      <c r="R278" s="19">
        <f>SUM(R182:R277)</f>
        <v>704</v>
      </c>
      <c r="S278" s="19">
        <f>SUM(S182:S277)</f>
        <v>2127</v>
      </c>
      <c r="T278" s="20">
        <f>SUM(T182:T277)</f>
        <v>0</v>
      </c>
      <c r="U278" s="21">
        <f t="shared" si="148"/>
        <v>8146</v>
      </c>
      <c r="V278" s="38">
        <f>SUM(V182:V277)</f>
        <v>4920</v>
      </c>
      <c r="W278" s="19">
        <f>SUM(W182:W277)</f>
        <v>292</v>
      </c>
      <c r="X278" s="19">
        <f>SUM(X182:X277)</f>
        <v>1172</v>
      </c>
      <c r="Y278" s="20">
        <f>SUM(Y182:Y277)</f>
        <v>0</v>
      </c>
      <c r="Z278" s="21">
        <f t="shared" si="149"/>
        <v>6384</v>
      </c>
      <c r="AA278" s="38">
        <f>SUM(AA182:AA277)</f>
        <v>5087</v>
      </c>
      <c r="AB278" s="19">
        <f>SUM(AB182:AB277)</f>
        <v>1950</v>
      </c>
      <c r="AC278" s="19">
        <f>SUM(AC182:AC277)</f>
        <v>2131</v>
      </c>
      <c r="AD278" s="20">
        <f>SUM(AD182:AD277)</f>
        <v>0</v>
      </c>
      <c r="AE278" s="21">
        <f t="shared" si="150"/>
        <v>9168</v>
      </c>
      <c r="AF278" s="38">
        <f>SUM(AF182:AF277)</f>
        <v>4316</v>
      </c>
      <c r="AG278" s="19">
        <f>SUM(AG182:AG277)</f>
        <v>516</v>
      </c>
      <c r="AH278" s="19">
        <f>SUM(AH182:AH277)</f>
        <v>2359</v>
      </c>
      <c r="AI278" s="20">
        <f>SUM(AI182:AI277)</f>
        <v>0</v>
      </c>
      <c r="AJ278" s="21">
        <f t="shared" si="151"/>
        <v>7191</v>
      </c>
      <c r="AK278" s="38">
        <f>SUM(AK182:AK277)</f>
        <v>3070</v>
      </c>
      <c r="AL278" s="19">
        <f>SUM(AL182:AL277)</f>
        <v>583</v>
      </c>
      <c r="AM278" s="19">
        <f>SUM(AM182:AM277)</f>
        <v>863</v>
      </c>
      <c r="AN278" s="20">
        <f>SUM(AN182:AN277)</f>
        <v>0</v>
      </c>
      <c r="AO278" s="21">
        <f t="shared" si="152"/>
        <v>4516</v>
      </c>
      <c r="AP278" s="38">
        <f>SUM(AP182:AP277)</f>
        <v>4627</v>
      </c>
      <c r="AQ278" s="19">
        <f>SUM(AQ182:AQ277)</f>
        <v>624</v>
      </c>
      <c r="AR278" s="19">
        <f>SUM(AR182:AR277)</f>
        <v>1720</v>
      </c>
      <c r="AS278" s="20">
        <f>SUM(AS182:AS277)</f>
        <v>0</v>
      </c>
      <c r="AT278" s="21">
        <f t="shared" si="153"/>
        <v>6971</v>
      </c>
      <c r="AU278" s="38">
        <f>SUM(AU182:AU277)</f>
        <v>5543</v>
      </c>
      <c r="AV278" s="19">
        <f>SUM(AV182:AV277)</f>
        <v>386</v>
      </c>
      <c r="AW278" s="19">
        <f>SUM(AW182:AW277)</f>
        <v>1457</v>
      </c>
      <c r="AX278" s="20">
        <f>SUM(AX182:AX277)</f>
        <v>0</v>
      </c>
      <c r="AY278" s="21">
        <f t="shared" si="154"/>
        <v>7386</v>
      </c>
      <c r="AZ278" s="38">
        <f>SUM(AZ182:AZ277)</f>
        <v>6987</v>
      </c>
      <c r="BA278" s="19">
        <f>SUM(BA182:BA277)</f>
        <v>1067</v>
      </c>
      <c r="BB278" s="19">
        <f>SUM(BB182:BB277)</f>
        <v>2079</v>
      </c>
      <c r="BC278" s="20">
        <f>SUM(BC182:BC277)</f>
        <v>0</v>
      </c>
      <c r="BD278" s="21">
        <f t="shared" si="155"/>
        <v>10133</v>
      </c>
      <c r="BE278" s="38">
        <f>SUM(BE182:BE277)</f>
        <v>6171</v>
      </c>
      <c r="BF278" s="19">
        <f>SUM(BF182:BF277)</f>
        <v>980</v>
      </c>
      <c r="BG278" s="19">
        <f>SUM(BG182:BG277)</f>
        <v>2473</v>
      </c>
      <c r="BH278" s="20">
        <f>SUM(BH182:BH277)</f>
        <v>0</v>
      </c>
      <c r="BI278" s="21">
        <f t="shared" si="156"/>
        <v>9624</v>
      </c>
      <c r="BJ278" s="38">
        <f>SUM(BJ182:BJ277)</f>
        <v>4916</v>
      </c>
      <c r="BK278" s="19">
        <f>SUM(BK182:BK277)</f>
        <v>1301</v>
      </c>
      <c r="BL278" s="19">
        <f>SUM(BL182:BL277)</f>
        <v>872</v>
      </c>
      <c r="BM278" s="20">
        <f>SUM(BM182:BM277)</f>
        <v>0</v>
      </c>
      <c r="BN278" s="21">
        <f t="shared" si="157"/>
        <v>7089</v>
      </c>
      <c r="BO278" s="69">
        <f>SUM(BO182:BO277)</f>
        <v>64130</v>
      </c>
      <c r="BP278" s="19">
        <f>SUM(BP182:BP277)</f>
        <v>11209</v>
      </c>
      <c r="BQ278" s="19">
        <f>SUM(BQ182:BQ277)</f>
        <v>21936</v>
      </c>
      <c r="BR278" s="20">
        <f>SUM(BR182:BR277)</f>
        <v>0</v>
      </c>
      <c r="BS278" s="39">
        <f t="shared" si="135"/>
        <v>97275</v>
      </c>
    </row>
    <row r="279" spans="2:71" x14ac:dyDescent="0.3">
      <c r="B279" s="269"/>
      <c r="C279" s="231"/>
      <c r="D279" s="238" t="s">
        <v>4</v>
      </c>
      <c r="E279" s="238"/>
      <c r="F279" s="238"/>
      <c r="G279" s="40">
        <f>G278</f>
        <v>5888</v>
      </c>
      <c r="H279" s="22">
        <f>H278</f>
        <v>953</v>
      </c>
      <c r="I279" s="22">
        <f>I278</f>
        <v>2296</v>
      </c>
      <c r="J279" s="23">
        <f>J278</f>
        <v>0</v>
      </c>
      <c r="K279" s="24">
        <f t="shared" ref="K279" si="158">SUM(G279:J279)</f>
        <v>9137</v>
      </c>
      <c r="L279" s="40">
        <f>L278</f>
        <v>7290</v>
      </c>
      <c r="M279" s="22">
        <f>M278</f>
        <v>1853</v>
      </c>
      <c r="N279" s="22">
        <f>N278</f>
        <v>2387</v>
      </c>
      <c r="O279" s="23">
        <f>O278</f>
        <v>0</v>
      </c>
      <c r="P279" s="24">
        <f t="shared" si="147"/>
        <v>11530</v>
      </c>
      <c r="Q279" s="40">
        <f>Q278</f>
        <v>5315</v>
      </c>
      <c r="R279" s="22">
        <f>R278</f>
        <v>704</v>
      </c>
      <c r="S279" s="22">
        <f>S278</f>
        <v>2127</v>
      </c>
      <c r="T279" s="23">
        <f>T278</f>
        <v>0</v>
      </c>
      <c r="U279" s="24">
        <f t="shared" si="148"/>
        <v>8146</v>
      </c>
      <c r="V279" s="40">
        <f>V278</f>
        <v>4920</v>
      </c>
      <c r="W279" s="22">
        <f>W278</f>
        <v>292</v>
      </c>
      <c r="X279" s="22">
        <f>X278</f>
        <v>1172</v>
      </c>
      <c r="Y279" s="23">
        <f>Y278</f>
        <v>0</v>
      </c>
      <c r="Z279" s="24">
        <f t="shared" si="149"/>
        <v>6384</v>
      </c>
      <c r="AA279" s="40">
        <f>AA278</f>
        <v>5087</v>
      </c>
      <c r="AB279" s="22">
        <f>AB278</f>
        <v>1950</v>
      </c>
      <c r="AC279" s="22">
        <f>AC278</f>
        <v>2131</v>
      </c>
      <c r="AD279" s="23">
        <f>AD278</f>
        <v>0</v>
      </c>
      <c r="AE279" s="24">
        <f t="shared" si="150"/>
        <v>9168</v>
      </c>
      <c r="AF279" s="40">
        <f>AF278</f>
        <v>4316</v>
      </c>
      <c r="AG279" s="22">
        <f>AG278</f>
        <v>516</v>
      </c>
      <c r="AH279" s="22">
        <f>AH278</f>
        <v>2359</v>
      </c>
      <c r="AI279" s="23">
        <f>AI278</f>
        <v>0</v>
      </c>
      <c r="AJ279" s="24">
        <f t="shared" si="151"/>
        <v>7191</v>
      </c>
      <c r="AK279" s="40">
        <f>AK278</f>
        <v>3070</v>
      </c>
      <c r="AL279" s="22">
        <f>AL278</f>
        <v>583</v>
      </c>
      <c r="AM279" s="22">
        <f>AM278</f>
        <v>863</v>
      </c>
      <c r="AN279" s="23">
        <f>AN278</f>
        <v>0</v>
      </c>
      <c r="AO279" s="24">
        <f t="shared" si="152"/>
        <v>4516</v>
      </c>
      <c r="AP279" s="40">
        <f>AP278</f>
        <v>4627</v>
      </c>
      <c r="AQ279" s="22">
        <f>AQ278</f>
        <v>624</v>
      </c>
      <c r="AR279" s="22">
        <f>AR278</f>
        <v>1720</v>
      </c>
      <c r="AS279" s="23">
        <f>AS278</f>
        <v>0</v>
      </c>
      <c r="AT279" s="24">
        <f t="shared" si="153"/>
        <v>6971</v>
      </c>
      <c r="AU279" s="40">
        <f>AU278</f>
        <v>5543</v>
      </c>
      <c r="AV279" s="22">
        <f>AV278</f>
        <v>386</v>
      </c>
      <c r="AW279" s="22">
        <f>AW278</f>
        <v>1457</v>
      </c>
      <c r="AX279" s="23">
        <f>AX278</f>
        <v>0</v>
      </c>
      <c r="AY279" s="24">
        <f t="shared" si="154"/>
        <v>7386</v>
      </c>
      <c r="AZ279" s="40">
        <f>AZ278</f>
        <v>6987</v>
      </c>
      <c r="BA279" s="22">
        <f>BA278</f>
        <v>1067</v>
      </c>
      <c r="BB279" s="22">
        <f>BB278</f>
        <v>2079</v>
      </c>
      <c r="BC279" s="23">
        <f>BC278</f>
        <v>0</v>
      </c>
      <c r="BD279" s="24">
        <f t="shared" si="155"/>
        <v>10133</v>
      </c>
      <c r="BE279" s="40">
        <f>BE278</f>
        <v>6171</v>
      </c>
      <c r="BF279" s="22">
        <f>BF278</f>
        <v>980</v>
      </c>
      <c r="BG279" s="22">
        <f>BG278</f>
        <v>2473</v>
      </c>
      <c r="BH279" s="23">
        <f>BH278</f>
        <v>0</v>
      </c>
      <c r="BI279" s="24">
        <f t="shared" si="156"/>
        <v>9624</v>
      </c>
      <c r="BJ279" s="40">
        <f>BJ278</f>
        <v>4916</v>
      </c>
      <c r="BK279" s="22">
        <f>BK278</f>
        <v>1301</v>
      </c>
      <c r="BL279" s="22">
        <f>BL278</f>
        <v>872</v>
      </c>
      <c r="BM279" s="23">
        <f>BM278</f>
        <v>0</v>
      </c>
      <c r="BN279" s="24">
        <f t="shared" si="157"/>
        <v>7089</v>
      </c>
      <c r="BO279" s="68">
        <f>BO278</f>
        <v>64130</v>
      </c>
      <c r="BP279" s="22">
        <f>BP278</f>
        <v>11209</v>
      </c>
      <c r="BQ279" s="22">
        <f>BQ278</f>
        <v>21936</v>
      </c>
      <c r="BR279" s="23">
        <f>BR278</f>
        <v>0</v>
      </c>
      <c r="BS279" s="41">
        <f t="shared" ref="BS279:BS338" si="159">SUM(BO279:BR279)</f>
        <v>97275</v>
      </c>
    </row>
    <row r="280" spans="2:71" x14ac:dyDescent="0.3">
      <c r="B280" s="269"/>
      <c r="C280" s="229" t="s">
        <v>1</v>
      </c>
      <c r="D280" s="249"/>
      <c r="E280" s="249"/>
      <c r="F280" s="120" t="s">
        <v>218</v>
      </c>
      <c r="G280" s="30">
        <v>3385</v>
      </c>
      <c r="H280" s="7"/>
      <c r="I280" s="7"/>
      <c r="J280" s="8"/>
      <c r="K280" s="9">
        <f t="shared" ref="K280" si="160">SUM(G280:J280)</f>
        <v>3385</v>
      </c>
      <c r="L280" s="30">
        <v>2928</v>
      </c>
      <c r="M280" s="7"/>
      <c r="N280" s="7"/>
      <c r="O280" s="8"/>
      <c r="P280" s="9">
        <f t="shared" si="147"/>
        <v>2928</v>
      </c>
      <c r="Q280" s="30">
        <v>122</v>
      </c>
      <c r="R280" s="7"/>
      <c r="S280" s="7"/>
      <c r="T280" s="8"/>
      <c r="U280" s="9">
        <f t="shared" si="148"/>
        <v>122</v>
      </c>
      <c r="V280" s="30"/>
      <c r="W280" s="7"/>
      <c r="X280" s="7"/>
      <c r="Y280" s="8"/>
      <c r="Z280" s="9">
        <f t="shared" si="149"/>
        <v>0</v>
      </c>
      <c r="AA280" s="30"/>
      <c r="AB280" s="7"/>
      <c r="AC280" s="7"/>
      <c r="AD280" s="8"/>
      <c r="AE280" s="9">
        <f t="shared" si="150"/>
        <v>0</v>
      </c>
      <c r="AF280" s="30"/>
      <c r="AG280" s="7"/>
      <c r="AH280" s="7"/>
      <c r="AI280" s="8"/>
      <c r="AJ280" s="9">
        <f t="shared" si="151"/>
        <v>0</v>
      </c>
      <c r="AK280" s="30"/>
      <c r="AL280" s="7"/>
      <c r="AM280" s="7"/>
      <c r="AN280" s="8"/>
      <c r="AO280" s="9">
        <f t="shared" si="152"/>
        <v>0</v>
      </c>
      <c r="AP280" s="30"/>
      <c r="AQ280" s="7"/>
      <c r="AR280" s="7"/>
      <c r="AS280" s="8"/>
      <c r="AT280" s="9">
        <f t="shared" si="153"/>
        <v>0</v>
      </c>
      <c r="AU280" s="30"/>
      <c r="AV280" s="7"/>
      <c r="AW280" s="7"/>
      <c r="AX280" s="8"/>
      <c r="AY280" s="9">
        <f t="shared" si="154"/>
        <v>0</v>
      </c>
      <c r="AZ280" s="30"/>
      <c r="BA280" s="7"/>
      <c r="BB280" s="7"/>
      <c r="BC280" s="8"/>
      <c r="BD280" s="9">
        <f t="shared" si="155"/>
        <v>0</v>
      </c>
      <c r="BE280" s="30"/>
      <c r="BF280" s="7"/>
      <c r="BG280" s="7"/>
      <c r="BH280" s="8"/>
      <c r="BI280" s="9">
        <f t="shared" si="156"/>
        <v>0</v>
      </c>
      <c r="BJ280" s="30"/>
      <c r="BK280" s="7"/>
      <c r="BL280" s="7"/>
      <c r="BM280" s="8"/>
      <c r="BN280" s="9">
        <f t="shared" si="157"/>
        <v>0</v>
      </c>
      <c r="BO280" s="65">
        <f>SUM(G280,L280,Q280,V280,AA280,AF280,AK280,AP280,AU280,AZ280,BE280,BJ280)</f>
        <v>6435</v>
      </c>
      <c r="BP280" s="7">
        <f>SUM(H280,M280,R280,W280,AB280,AG280,AL280,AQ280,AV280,BA280,BF280,BK280)</f>
        <v>0</v>
      </c>
      <c r="BQ280" s="7">
        <f>SUM(I280,N280,S280,X280,AC280,AH280,AM280,AR280,AW280,BB280,BG280,BL280)</f>
        <v>0</v>
      </c>
      <c r="BR280" s="8">
        <f>SUM(J280,O280,T280,Y280,AD280,AI280,AN280,AS280,AX280,BC280,BH280,BM280)</f>
        <v>0</v>
      </c>
      <c r="BS280" s="31">
        <f t="shared" si="159"/>
        <v>6435</v>
      </c>
    </row>
    <row r="281" spans="2:71" x14ac:dyDescent="0.3">
      <c r="B281" s="269"/>
      <c r="C281" s="230"/>
      <c r="D281" s="250"/>
      <c r="E281" s="250"/>
      <c r="F281" s="123" t="s">
        <v>498</v>
      </c>
      <c r="G281" s="34"/>
      <c r="H281" s="16"/>
      <c r="I281" s="16"/>
      <c r="J281" s="17"/>
      <c r="K281" s="18">
        <f t="shared" ref="K281:K284" si="161">SUM(G281:J281)</f>
        <v>0</v>
      </c>
      <c r="L281" s="34">
        <v>61</v>
      </c>
      <c r="M281" s="16"/>
      <c r="N281" s="16"/>
      <c r="O281" s="17"/>
      <c r="P281" s="18">
        <f t="shared" si="147"/>
        <v>61</v>
      </c>
      <c r="Q281" s="34">
        <v>2528</v>
      </c>
      <c r="R281" s="16"/>
      <c r="S281" s="16"/>
      <c r="T281" s="17"/>
      <c r="U281" s="18">
        <f t="shared" si="148"/>
        <v>2528</v>
      </c>
      <c r="V281" s="34">
        <v>2547</v>
      </c>
      <c r="W281" s="16"/>
      <c r="X281" s="16"/>
      <c r="Y281" s="17"/>
      <c r="Z281" s="18">
        <f t="shared" si="149"/>
        <v>2547</v>
      </c>
      <c r="AA281" s="34">
        <v>5339</v>
      </c>
      <c r="AB281" s="16"/>
      <c r="AC281" s="16"/>
      <c r="AD281" s="17"/>
      <c r="AE281" s="18">
        <f t="shared" si="150"/>
        <v>5339</v>
      </c>
      <c r="AF281" s="34">
        <v>2829</v>
      </c>
      <c r="AG281" s="16"/>
      <c r="AH281" s="16"/>
      <c r="AI281" s="17"/>
      <c r="AJ281" s="18">
        <f t="shared" si="151"/>
        <v>2829</v>
      </c>
      <c r="AK281" s="34">
        <v>1007</v>
      </c>
      <c r="AL281" s="16"/>
      <c r="AM281" s="16"/>
      <c r="AN281" s="17"/>
      <c r="AO281" s="18">
        <f t="shared" si="152"/>
        <v>1007</v>
      </c>
      <c r="AP281" s="34">
        <v>1639</v>
      </c>
      <c r="AQ281" s="16"/>
      <c r="AR281" s="16"/>
      <c r="AS281" s="17"/>
      <c r="AT281" s="18">
        <f t="shared" si="153"/>
        <v>1639</v>
      </c>
      <c r="AU281" s="34">
        <v>1540</v>
      </c>
      <c r="AV281" s="16"/>
      <c r="AW281" s="16"/>
      <c r="AX281" s="17"/>
      <c r="AY281" s="18">
        <f t="shared" si="154"/>
        <v>1540</v>
      </c>
      <c r="AZ281" s="34">
        <v>3304</v>
      </c>
      <c r="BA281" s="16"/>
      <c r="BB281" s="16"/>
      <c r="BC281" s="17"/>
      <c r="BD281" s="18">
        <f t="shared" si="155"/>
        <v>3304</v>
      </c>
      <c r="BE281" s="34">
        <v>2676</v>
      </c>
      <c r="BF281" s="16"/>
      <c r="BG281" s="16"/>
      <c r="BH281" s="17"/>
      <c r="BI281" s="18">
        <f t="shared" si="156"/>
        <v>2676</v>
      </c>
      <c r="BJ281" s="34">
        <v>1127</v>
      </c>
      <c r="BK281" s="16"/>
      <c r="BL281" s="16"/>
      <c r="BM281" s="17"/>
      <c r="BN281" s="18">
        <f t="shared" si="157"/>
        <v>1127</v>
      </c>
      <c r="BO281" s="70">
        <f>SUM(G281,L281,Q281,V281,AA281,AF281,AK281,AP281,AU281,AZ281,BE281,BJ281)</f>
        <v>24597</v>
      </c>
      <c r="BP281" s="16">
        <f>SUM(H281,M281,R281,W281,AB281,AG281,AL281,AQ281,AV281,BA281,BF281,BK281)</f>
        <v>0</v>
      </c>
      <c r="BQ281" s="16">
        <f>SUM(I281,N281,S281,X281,AC281,AH281,AM281,AR281,AW281,BB281,BG281,BL281)</f>
        <v>0</v>
      </c>
      <c r="BR281" s="17">
        <f>SUM(J281,O281,T281,Y281,AD281,AI281,AN281,AS281,AX281,BC281,BH281,BM281)</f>
        <v>0</v>
      </c>
      <c r="BS281" s="35">
        <f t="shared" si="159"/>
        <v>24597</v>
      </c>
    </row>
    <row r="282" spans="2:71" x14ac:dyDescent="0.3">
      <c r="B282" s="269"/>
      <c r="C282" s="230"/>
      <c r="D282" s="250"/>
      <c r="E282" s="250"/>
      <c r="F282" s="123" t="s">
        <v>216</v>
      </c>
      <c r="G282" s="34">
        <v>557</v>
      </c>
      <c r="H282" s="16"/>
      <c r="I282" s="16"/>
      <c r="J282" s="17"/>
      <c r="K282" s="18">
        <f t="shared" si="161"/>
        <v>557</v>
      </c>
      <c r="L282" s="34">
        <v>443</v>
      </c>
      <c r="M282" s="16"/>
      <c r="N282" s="16"/>
      <c r="O282" s="17"/>
      <c r="P282" s="18">
        <f t="shared" si="147"/>
        <v>443</v>
      </c>
      <c r="Q282" s="34">
        <v>1069</v>
      </c>
      <c r="R282" s="16"/>
      <c r="S282" s="16"/>
      <c r="T282" s="17"/>
      <c r="U282" s="18">
        <f t="shared" si="148"/>
        <v>1069</v>
      </c>
      <c r="V282" s="34">
        <v>1362</v>
      </c>
      <c r="W282" s="16"/>
      <c r="X282" s="16"/>
      <c r="Y282" s="17"/>
      <c r="Z282" s="18">
        <f t="shared" si="149"/>
        <v>1362</v>
      </c>
      <c r="AA282" s="34">
        <v>2193</v>
      </c>
      <c r="AB282" s="16"/>
      <c r="AC282" s="16"/>
      <c r="AD282" s="17"/>
      <c r="AE282" s="18">
        <f t="shared" si="150"/>
        <v>2193</v>
      </c>
      <c r="AF282" s="34">
        <v>1658</v>
      </c>
      <c r="AG282" s="16"/>
      <c r="AH282" s="16"/>
      <c r="AI282" s="17"/>
      <c r="AJ282" s="18">
        <f t="shared" si="151"/>
        <v>1658</v>
      </c>
      <c r="AK282" s="34">
        <v>647</v>
      </c>
      <c r="AL282" s="16"/>
      <c r="AM282" s="16"/>
      <c r="AN282" s="17"/>
      <c r="AO282" s="18">
        <f t="shared" si="152"/>
        <v>647</v>
      </c>
      <c r="AP282" s="34">
        <v>1409</v>
      </c>
      <c r="AQ282" s="16"/>
      <c r="AR282" s="16"/>
      <c r="AS282" s="17"/>
      <c r="AT282" s="18">
        <f t="shared" si="153"/>
        <v>1409</v>
      </c>
      <c r="AU282" s="34">
        <v>1264</v>
      </c>
      <c r="AV282" s="16"/>
      <c r="AW282" s="16"/>
      <c r="AX282" s="17"/>
      <c r="AY282" s="18">
        <f t="shared" si="154"/>
        <v>1264</v>
      </c>
      <c r="AZ282" s="34">
        <v>2783</v>
      </c>
      <c r="BA282" s="16"/>
      <c r="BB282" s="16"/>
      <c r="BC282" s="17"/>
      <c r="BD282" s="18">
        <f t="shared" si="155"/>
        <v>2783</v>
      </c>
      <c r="BE282" s="34">
        <v>2103</v>
      </c>
      <c r="BF282" s="16"/>
      <c r="BG282" s="16"/>
      <c r="BH282" s="17"/>
      <c r="BI282" s="18">
        <f t="shared" si="156"/>
        <v>2103</v>
      </c>
      <c r="BJ282" s="34">
        <v>791</v>
      </c>
      <c r="BK282" s="16"/>
      <c r="BL282" s="16"/>
      <c r="BM282" s="17"/>
      <c r="BN282" s="18">
        <f t="shared" si="157"/>
        <v>791</v>
      </c>
      <c r="BO282" s="70">
        <f>SUM(G282,L282,Q282,V282,AA282,AF282,AK282,AP282,AU282,AZ282,BE282,BJ282)</f>
        <v>16279</v>
      </c>
      <c r="BP282" s="16">
        <f>SUM(H282,M282,R282,W282,AB282,AG282,AL282,AQ282,AV282,BA282,BF282,BK282)</f>
        <v>0</v>
      </c>
      <c r="BQ282" s="16">
        <f>SUM(I282,N282,S282,X282,AC282,AH282,AM282,AR282,AW282,BB282,BG282,BL282)</f>
        <v>0</v>
      </c>
      <c r="BR282" s="17">
        <f>SUM(J282,O282,T282,Y282,AD282,AI282,AN282,AS282,AX282,BC282,BH282,BM282)</f>
        <v>0</v>
      </c>
      <c r="BS282" s="35">
        <f t="shared" si="159"/>
        <v>16279</v>
      </c>
    </row>
    <row r="283" spans="2:71" x14ac:dyDescent="0.3">
      <c r="B283" s="269"/>
      <c r="C283" s="230"/>
      <c r="D283" s="250"/>
      <c r="E283" s="250"/>
      <c r="F283" s="123" t="s">
        <v>496</v>
      </c>
      <c r="G283" s="34"/>
      <c r="H283" s="16"/>
      <c r="I283" s="16">
        <v>2177</v>
      </c>
      <c r="J283" s="17"/>
      <c r="K283" s="18">
        <f t="shared" si="161"/>
        <v>2177</v>
      </c>
      <c r="L283" s="34"/>
      <c r="M283" s="16"/>
      <c r="N283" s="16">
        <v>2112</v>
      </c>
      <c r="O283" s="17"/>
      <c r="P283" s="18">
        <f t="shared" si="147"/>
        <v>2112</v>
      </c>
      <c r="Q283" s="34"/>
      <c r="R283" s="16"/>
      <c r="S283" s="16">
        <v>2287</v>
      </c>
      <c r="T283" s="17"/>
      <c r="U283" s="18">
        <f t="shared" si="148"/>
        <v>2287</v>
      </c>
      <c r="V283" s="34"/>
      <c r="W283" s="16"/>
      <c r="X283" s="16">
        <v>2367</v>
      </c>
      <c r="Y283" s="17"/>
      <c r="Z283" s="18">
        <f t="shared" si="149"/>
        <v>2367</v>
      </c>
      <c r="AA283" s="34"/>
      <c r="AB283" s="16"/>
      <c r="AC283" s="16">
        <v>5117</v>
      </c>
      <c r="AD283" s="17"/>
      <c r="AE283" s="18">
        <f t="shared" si="150"/>
        <v>5117</v>
      </c>
      <c r="AF283" s="34"/>
      <c r="AG283" s="16"/>
      <c r="AH283" s="16">
        <v>2697</v>
      </c>
      <c r="AI283" s="17"/>
      <c r="AJ283" s="18">
        <f t="shared" si="151"/>
        <v>2697</v>
      </c>
      <c r="AK283" s="34"/>
      <c r="AL283" s="16"/>
      <c r="AM283" s="16">
        <v>936</v>
      </c>
      <c r="AN283" s="17"/>
      <c r="AO283" s="18">
        <f t="shared" si="152"/>
        <v>936</v>
      </c>
      <c r="AP283" s="34"/>
      <c r="AQ283" s="16"/>
      <c r="AR283" s="16">
        <v>1714</v>
      </c>
      <c r="AS283" s="17"/>
      <c r="AT283" s="18">
        <f t="shared" si="153"/>
        <v>1714</v>
      </c>
      <c r="AU283" s="34"/>
      <c r="AV283" s="16"/>
      <c r="AW283" s="16">
        <v>1639</v>
      </c>
      <c r="AX283" s="17"/>
      <c r="AY283" s="18">
        <f t="shared" si="154"/>
        <v>1639</v>
      </c>
      <c r="AZ283" s="34"/>
      <c r="BA283" s="16"/>
      <c r="BB283" s="16">
        <v>3708</v>
      </c>
      <c r="BC283" s="17"/>
      <c r="BD283" s="18">
        <f t="shared" si="155"/>
        <v>3708</v>
      </c>
      <c r="BE283" s="34"/>
      <c r="BF283" s="16"/>
      <c r="BG283" s="16">
        <v>2139</v>
      </c>
      <c r="BH283" s="17"/>
      <c r="BI283" s="18">
        <f t="shared" si="156"/>
        <v>2139</v>
      </c>
      <c r="BJ283" s="34"/>
      <c r="BK283" s="16"/>
      <c r="BL283" s="16">
        <v>610</v>
      </c>
      <c r="BM283" s="17"/>
      <c r="BN283" s="18">
        <f t="shared" si="157"/>
        <v>610</v>
      </c>
      <c r="BO283" s="70">
        <f>SUM(G283,L283,Q283,V283,AA283,AF283,AK283,AP283,AU283,AZ283,BE283,BJ283)</f>
        <v>0</v>
      </c>
      <c r="BP283" s="16">
        <f>SUM(H283,M283,R283,W283,AB283,AG283,AL283,AQ283,AV283,BA283,BF283,BK283)</f>
        <v>0</v>
      </c>
      <c r="BQ283" s="16">
        <f>SUM(I283,N283,S283,X283,AC283,AH283,AM283,AR283,AW283,BB283,BG283,BL283)</f>
        <v>27503</v>
      </c>
      <c r="BR283" s="17">
        <f>SUM(J283,O283,T283,Y283,AD283,AI283,AN283,AS283,AX283,BC283,BH283,BM283)</f>
        <v>0</v>
      </c>
      <c r="BS283" s="35">
        <f t="shared" si="159"/>
        <v>27503</v>
      </c>
    </row>
    <row r="284" spans="2:71" x14ac:dyDescent="0.3">
      <c r="B284" s="269"/>
      <c r="C284" s="230"/>
      <c r="D284" s="250"/>
      <c r="E284" s="250"/>
      <c r="F284" s="123" t="s">
        <v>711</v>
      </c>
      <c r="G284" s="34">
        <f>106+15</f>
        <v>121</v>
      </c>
      <c r="H284" s="16"/>
      <c r="I284" s="16"/>
      <c r="J284" s="17"/>
      <c r="K284" s="18">
        <f t="shared" si="161"/>
        <v>121</v>
      </c>
      <c r="L284" s="34">
        <f>422</f>
        <v>422</v>
      </c>
      <c r="M284" s="16"/>
      <c r="N284" s="16"/>
      <c r="O284" s="17"/>
      <c r="P284" s="18">
        <f t="shared" si="147"/>
        <v>422</v>
      </c>
      <c r="Q284" s="34">
        <v>476</v>
      </c>
      <c r="R284" s="16"/>
      <c r="S284" s="16"/>
      <c r="T284" s="17"/>
      <c r="U284" s="18">
        <f t="shared" si="148"/>
        <v>476</v>
      </c>
      <c r="V284" s="34">
        <v>286</v>
      </c>
      <c r="W284" s="16"/>
      <c r="X284" s="16"/>
      <c r="Y284" s="17"/>
      <c r="Z284" s="18">
        <f t="shared" si="149"/>
        <v>286</v>
      </c>
      <c r="AA284" s="34">
        <f>161</f>
        <v>161</v>
      </c>
      <c r="AB284" s="16"/>
      <c r="AC284" s="16"/>
      <c r="AD284" s="17"/>
      <c r="AE284" s="18">
        <f t="shared" si="150"/>
        <v>161</v>
      </c>
      <c r="AF284" s="34">
        <v>12</v>
      </c>
      <c r="AG284" s="16"/>
      <c r="AH284" s="16"/>
      <c r="AI284" s="17"/>
      <c r="AJ284" s="18">
        <f t="shared" si="151"/>
        <v>12</v>
      </c>
      <c r="AK284" s="34"/>
      <c r="AL284" s="16"/>
      <c r="AM284" s="16"/>
      <c r="AN284" s="17"/>
      <c r="AO284" s="18">
        <f t="shared" si="152"/>
        <v>0</v>
      </c>
      <c r="AP284" s="34"/>
      <c r="AQ284" s="16"/>
      <c r="AR284" s="16"/>
      <c r="AS284" s="17"/>
      <c r="AT284" s="18">
        <f t="shared" si="153"/>
        <v>0</v>
      </c>
      <c r="AU284" s="34">
        <v>188</v>
      </c>
      <c r="AV284" s="16"/>
      <c r="AW284" s="16"/>
      <c r="AX284" s="17"/>
      <c r="AY284" s="18">
        <f t="shared" si="154"/>
        <v>188</v>
      </c>
      <c r="AZ284" s="34">
        <v>295</v>
      </c>
      <c r="BA284" s="16"/>
      <c r="BB284" s="16"/>
      <c r="BC284" s="17"/>
      <c r="BD284" s="18">
        <f t="shared" si="155"/>
        <v>295</v>
      </c>
      <c r="BE284" s="34">
        <v>26</v>
      </c>
      <c r="BF284" s="16"/>
      <c r="BG284" s="16"/>
      <c r="BH284" s="17"/>
      <c r="BI284" s="18">
        <f t="shared" si="156"/>
        <v>26</v>
      </c>
      <c r="BJ284" s="34"/>
      <c r="BK284" s="16"/>
      <c r="BL284" s="16"/>
      <c r="BM284" s="17"/>
      <c r="BN284" s="18">
        <f t="shared" si="157"/>
        <v>0</v>
      </c>
      <c r="BO284" s="70">
        <f>SUM(G284,L284,Q284,V284,AA284,AF284,AK284,AP284,AU284,AZ284,BE284,BJ284)</f>
        <v>1987</v>
      </c>
      <c r="BP284" s="16">
        <f>SUM(H284,M284,R284,W284,AB284,AG284,AL284,AQ284,AV284,BA284,BF284,BK284)</f>
        <v>0</v>
      </c>
      <c r="BQ284" s="16">
        <f>SUM(I284,N284,S284,X284,AC284,AH284,AM284,AR284,AW284,BB284,BG284,BL284)</f>
        <v>0</v>
      </c>
      <c r="BR284" s="17">
        <f>SUM(J284,O284,T284,Y284,AD284,AI284,AN284,AS284,AX284,BC284,BH284,BM284)</f>
        <v>0</v>
      </c>
      <c r="BS284" s="35">
        <f t="shared" si="159"/>
        <v>1987</v>
      </c>
    </row>
    <row r="285" spans="2:71" x14ac:dyDescent="0.3">
      <c r="B285" s="269"/>
      <c r="C285" s="230"/>
      <c r="D285" s="250"/>
      <c r="E285" s="250"/>
      <c r="F285" s="123" t="s">
        <v>712</v>
      </c>
      <c r="G285" s="34"/>
      <c r="H285" s="16"/>
      <c r="I285" s="16"/>
      <c r="J285" s="17"/>
      <c r="K285" s="18">
        <f t="shared" ref="K285" si="162">SUM(G285:J285)</f>
        <v>0</v>
      </c>
      <c r="L285" s="34"/>
      <c r="M285" s="16"/>
      <c r="N285" s="16"/>
      <c r="O285" s="17"/>
      <c r="P285" s="18">
        <f t="shared" ref="P285" si="163">SUM(L285:O285)</f>
        <v>0</v>
      </c>
      <c r="Q285" s="34"/>
      <c r="R285" s="16"/>
      <c r="S285" s="16"/>
      <c r="T285" s="17"/>
      <c r="U285" s="18">
        <f t="shared" ref="U285" si="164">SUM(Q285:T285)</f>
        <v>0</v>
      </c>
      <c r="V285" s="34"/>
      <c r="W285" s="16"/>
      <c r="X285" s="16"/>
      <c r="Y285" s="17"/>
      <c r="Z285" s="18">
        <f t="shared" ref="Z285" si="165">SUM(V285:Y285)</f>
        <v>0</v>
      </c>
      <c r="AA285" s="34"/>
      <c r="AB285" s="16"/>
      <c r="AC285" s="16"/>
      <c r="AD285" s="17"/>
      <c r="AE285" s="18">
        <f t="shared" ref="AE285" si="166">SUM(AA285:AD285)</f>
        <v>0</v>
      </c>
      <c r="AF285" s="34"/>
      <c r="AG285" s="16"/>
      <c r="AH285" s="16"/>
      <c r="AI285" s="17"/>
      <c r="AJ285" s="18">
        <f t="shared" ref="AJ285" si="167">SUM(AF285:AI285)</f>
        <v>0</v>
      </c>
      <c r="AK285" s="34">
        <v>20</v>
      </c>
      <c r="AL285" s="16"/>
      <c r="AM285" s="16"/>
      <c r="AN285" s="17"/>
      <c r="AO285" s="18">
        <f t="shared" ref="AO285" si="168">SUM(AK285:AN285)</f>
        <v>20</v>
      </c>
      <c r="AP285" s="34">
        <v>41</v>
      </c>
      <c r="AQ285" s="16"/>
      <c r="AR285" s="16"/>
      <c r="AS285" s="17"/>
      <c r="AT285" s="18">
        <f t="shared" ref="AT285" si="169">SUM(AP285:AS285)</f>
        <v>41</v>
      </c>
      <c r="AU285" s="34">
        <v>17</v>
      </c>
      <c r="AV285" s="16"/>
      <c r="AW285" s="16"/>
      <c r="AX285" s="17"/>
      <c r="AY285" s="18">
        <f t="shared" ref="AY285" si="170">SUM(AU285:AX285)</f>
        <v>17</v>
      </c>
      <c r="AZ285" s="34"/>
      <c r="BA285" s="16"/>
      <c r="BB285" s="16"/>
      <c r="BC285" s="17"/>
      <c r="BD285" s="18">
        <f t="shared" ref="BD285" si="171">SUM(AZ285:BC285)</f>
        <v>0</v>
      </c>
      <c r="BE285" s="34">
        <v>259</v>
      </c>
      <c r="BF285" s="16"/>
      <c r="BG285" s="16"/>
      <c r="BH285" s="17"/>
      <c r="BI285" s="18">
        <f t="shared" ref="BI285" si="172">SUM(BE285:BH285)</f>
        <v>259</v>
      </c>
      <c r="BJ285" s="34">
        <v>193</v>
      </c>
      <c r="BK285" s="16"/>
      <c r="BL285" s="16"/>
      <c r="BM285" s="17"/>
      <c r="BN285" s="18">
        <f t="shared" ref="BN285" si="173">SUM(BJ285:BM285)</f>
        <v>193</v>
      </c>
      <c r="BO285" s="70">
        <f>SUM(G285,L285,Q285,V285,AA285,AF285,AK285,AP285,AU285,AZ285,BE285,BJ285)</f>
        <v>530</v>
      </c>
      <c r="BP285" s="16">
        <f>SUM(H285,M285,R285,W285,AB285,AG285,AL285,AQ285,AV285,BA285,BF285,BK285)</f>
        <v>0</v>
      </c>
      <c r="BQ285" s="16">
        <f>SUM(I285,N285,S285,X285,AC285,AH285,AM285,AR285,AW285,BB285,BG285,BL285)</f>
        <v>0</v>
      </c>
      <c r="BR285" s="17">
        <f>SUM(J285,O285,T285,Y285,AD285,AI285,AN285,AS285,AX285,BC285,BH285,BM285)</f>
        <v>0</v>
      </c>
      <c r="BS285" s="35">
        <f t="shared" si="159"/>
        <v>530</v>
      </c>
    </row>
    <row r="286" spans="2:71" x14ac:dyDescent="0.3">
      <c r="B286" s="269"/>
      <c r="C286" s="230"/>
      <c r="D286" s="250"/>
      <c r="E286" s="250"/>
      <c r="F286" s="123" t="s">
        <v>713</v>
      </c>
      <c r="G286" s="34"/>
      <c r="H286" s="16"/>
      <c r="I286" s="16"/>
      <c r="J286" s="17"/>
      <c r="K286" s="18">
        <f t="shared" ref="K286:K306" si="174">SUM(G286:J286)</f>
        <v>0</v>
      </c>
      <c r="L286" s="34">
        <f>66</f>
        <v>66</v>
      </c>
      <c r="M286" s="16"/>
      <c r="N286" s="16"/>
      <c r="O286" s="17"/>
      <c r="P286" s="18">
        <f t="shared" si="147"/>
        <v>66</v>
      </c>
      <c r="Q286" s="34">
        <v>4</v>
      </c>
      <c r="R286" s="16"/>
      <c r="S286" s="16"/>
      <c r="T286" s="17"/>
      <c r="U286" s="18">
        <f t="shared" si="148"/>
        <v>4</v>
      </c>
      <c r="V286" s="34"/>
      <c r="W286" s="16"/>
      <c r="X286" s="16"/>
      <c r="Y286" s="17"/>
      <c r="Z286" s="18">
        <f t="shared" si="149"/>
        <v>0</v>
      </c>
      <c r="AA286" s="34">
        <v>49</v>
      </c>
      <c r="AB286" s="16"/>
      <c r="AC286" s="16"/>
      <c r="AD286" s="17"/>
      <c r="AE286" s="18">
        <f t="shared" si="150"/>
        <v>49</v>
      </c>
      <c r="AF286" s="34">
        <v>13</v>
      </c>
      <c r="AG286" s="16"/>
      <c r="AH286" s="16"/>
      <c r="AI286" s="17"/>
      <c r="AJ286" s="18">
        <f t="shared" si="151"/>
        <v>13</v>
      </c>
      <c r="AK286" s="34"/>
      <c r="AL286" s="16"/>
      <c r="AM286" s="16"/>
      <c r="AN286" s="17"/>
      <c r="AO286" s="18">
        <f t="shared" si="152"/>
        <v>0</v>
      </c>
      <c r="AP286" s="34"/>
      <c r="AQ286" s="16"/>
      <c r="AR286" s="16"/>
      <c r="AS286" s="17"/>
      <c r="AT286" s="18">
        <f t="shared" si="153"/>
        <v>0</v>
      </c>
      <c r="AU286" s="34">
        <v>41</v>
      </c>
      <c r="AV286" s="16"/>
      <c r="AW286" s="16"/>
      <c r="AX286" s="17"/>
      <c r="AY286" s="18">
        <f t="shared" si="154"/>
        <v>41</v>
      </c>
      <c r="AZ286" s="34">
        <v>12</v>
      </c>
      <c r="BA286" s="16"/>
      <c r="BB286" s="16"/>
      <c r="BC286" s="17"/>
      <c r="BD286" s="18">
        <f t="shared" si="155"/>
        <v>12</v>
      </c>
      <c r="BE286" s="34">
        <v>1228</v>
      </c>
      <c r="BF286" s="16"/>
      <c r="BG286" s="16"/>
      <c r="BH286" s="17"/>
      <c r="BI286" s="18">
        <f t="shared" si="156"/>
        <v>1228</v>
      </c>
      <c r="BJ286" s="34">
        <v>247</v>
      </c>
      <c r="BK286" s="16"/>
      <c r="BL286" s="16"/>
      <c r="BM286" s="17"/>
      <c r="BN286" s="18">
        <f t="shared" si="157"/>
        <v>247</v>
      </c>
      <c r="BO286" s="70">
        <f>SUM(G286,L286,Q286,V286,AA286,AF286,AK286,AP286,AU286,AZ286,BE286,BJ286)</f>
        <v>1660</v>
      </c>
      <c r="BP286" s="16">
        <f>SUM(H286,M286,R286,W286,AB286,AG286,AL286,AQ286,AV286,BA286,BF286,BK286)</f>
        <v>0</v>
      </c>
      <c r="BQ286" s="16">
        <f>SUM(I286,N286,S286,X286,AC286,AH286,AM286,AR286,AW286,BB286,BG286,BL286)</f>
        <v>0</v>
      </c>
      <c r="BR286" s="17">
        <f>SUM(J286,O286,T286,Y286,AD286,AI286,AN286,AS286,AX286,BC286,BH286,BM286)</f>
        <v>0</v>
      </c>
      <c r="BS286" s="35">
        <f t="shared" si="159"/>
        <v>1660</v>
      </c>
    </row>
    <row r="287" spans="2:71" x14ac:dyDescent="0.3">
      <c r="B287" s="269"/>
      <c r="C287" s="230"/>
      <c r="D287" s="250"/>
      <c r="E287" s="250"/>
      <c r="F287" s="123" t="s">
        <v>714</v>
      </c>
      <c r="G287" s="34"/>
      <c r="H287" s="16"/>
      <c r="I287" s="16"/>
      <c r="J287" s="17"/>
      <c r="K287" s="18">
        <f t="shared" si="174"/>
        <v>0</v>
      </c>
      <c r="L287" s="34"/>
      <c r="M287" s="16"/>
      <c r="N287" s="16"/>
      <c r="O287" s="17"/>
      <c r="P287" s="18">
        <f t="shared" si="147"/>
        <v>0</v>
      </c>
      <c r="Q287" s="34"/>
      <c r="R287" s="16"/>
      <c r="S287" s="16"/>
      <c r="T287" s="17"/>
      <c r="U287" s="18">
        <f t="shared" si="148"/>
        <v>0</v>
      </c>
      <c r="V287" s="34"/>
      <c r="W287" s="16"/>
      <c r="X287" s="16"/>
      <c r="Y287" s="17"/>
      <c r="Z287" s="18">
        <f t="shared" si="149"/>
        <v>0</v>
      </c>
      <c r="AA287" s="34"/>
      <c r="AB287" s="16"/>
      <c r="AC287" s="16"/>
      <c r="AD287" s="17"/>
      <c r="AE287" s="18">
        <f t="shared" si="150"/>
        <v>0</v>
      </c>
      <c r="AF287" s="34">
        <v>45</v>
      </c>
      <c r="AG287" s="16"/>
      <c r="AH287" s="16"/>
      <c r="AI287" s="17"/>
      <c r="AJ287" s="18">
        <f t="shared" si="151"/>
        <v>45</v>
      </c>
      <c r="AK287" s="34">
        <v>166</v>
      </c>
      <c r="AL287" s="16"/>
      <c r="AM287" s="16"/>
      <c r="AN287" s="17"/>
      <c r="AO287" s="18">
        <f t="shared" si="152"/>
        <v>166</v>
      </c>
      <c r="AP287" s="34">
        <v>62</v>
      </c>
      <c r="AQ287" s="16"/>
      <c r="AR287" s="16"/>
      <c r="AS287" s="17"/>
      <c r="AT287" s="18">
        <f t="shared" si="153"/>
        <v>62</v>
      </c>
      <c r="AU287" s="34"/>
      <c r="AV287" s="16"/>
      <c r="AW287" s="16"/>
      <c r="AX287" s="17"/>
      <c r="AY287" s="18">
        <f t="shared" si="154"/>
        <v>0</v>
      </c>
      <c r="AZ287" s="34">
        <v>1371</v>
      </c>
      <c r="BA287" s="16"/>
      <c r="BB287" s="16"/>
      <c r="BC287" s="17"/>
      <c r="BD287" s="18">
        <f t="shared" si="155"/>
        <v>1371</v>
      </c>
      <c r="BE287" s="34"/>
      <c r="BF287" s="16"/>
      <c r="BG287" s="16"/>
      <c r="BH287" s="17"/>
      <c r="BI287" s="18">
        <f t="shared" si="156"/>
        <v>0</v>
      </c>
      <c r="BJ287" s="34"/>
      <c r="BK287" s="16"/>
      <c r="BL287" s="16"/>
      <c r="BM287" s="17"/>
      <c r="BN287" s="18">
        <f t="shared" si="157"/>
        <v>0</v>
      </c>
      <c r="BO287" s="70">
        <f>SUM(G287,L287,Q287,V287,AA287,AF287,AK287,AP287,AU287,AZ287,BE287,BJ287)</f>
        <v>1644</v>
      </c>
      <c r="BP287" s="16">
        <f>SUM(H287,M287,R287,W287,AB287,AG287,AL287,AQ287,AV287,BA287,BF287,BK287)</f>
        <v>0</v>
      </c>
      <c r="BQ287" s="16">
        <f>SUM(I287,N287,S287,X287,AC287,AH287,AM287,AR287,AW287,BB287,BG287,BL287)</f>
        <v>0</v>
      </c>
      <c r="BR287" s="17">
        <f>SUM(J287,O287,T287,Y287,AD287,AI287,AN287,AS287,AX287,BC287,BH287,BM287)</f>
        <v>0</v>
      </c>
      <c r="BS287" s="35">
        <f t="shared" si="159"/>
        <v>1644</v>
      </c>
    </row>
    <row r="288" spans="2:71" x14ac:dyDescent="0.3">
      <c r="B288" s="269"/>
      <c r="C288" s="230"/>
      <c r="D288" s="250"/>
      <c r="E288" s="250"/>
      <c r="F288" s="123" t="s">
        <v>715</v>
      </c>
      <c r="G288" s="34">
        <v>3</v>
      </c>
      <c r="H288" s="16"/>
      <c r="I288" s="16"/>
      <c r="J288" s="17"/>
      <c r="K288" s="18">
        <f t="shared" si="174"/>
        <v>3</v>
      </c>
      <c r="L288" s="34">
        <f>94</f>
        <v>94</v>
      </c>
      <c r="M288" s="16"/>
      <c r="N288" s="16"/>
      <c r="O288" s="17"/>
      <c r="P288" s="18">
        <f t="shared" si="147"/>
        <v>94</v>
      </c>
      <c r="Q288" s="34">
        <v>468</v>
      </c>
      <c r="R288" s="16"/>
      <c r="S288" s="16"/>
      <c r="T288" s="17"/>
      <c r="U288" s="18">
        <f t="shared" si="148"/>
        <v>468</v>
      </c>
      <c r="V288" s="34">
        <v>865</v>
      </c>
      <c r="W288" s="16"/>
      <c r="X288" s="16"/>
      <c r="Y288" s="17"/>
      <c r="Z288" s="18">
        <f t="shared" si="149"/>
        <v>865</v>
      </c>
      <c r="AA288" s="34">
        <v>1849</v>
      </c>
      <c r="AB288" s="16"/>
      <c r="AC288" s="16"/>
      <c r="AD288" s="17"/>
      <c r="AE288" s="18">
        <f t="shared" si="150"/>
        <v>1849</v>
      </c>
      <c r="AF288" s="34">
        <v>107</v>
      </c>
      <c r="AG288" s="16"/>
      <c r="AH288" s="16"/>
      <c r="AI288" s="17"/>
      <c r="AJ288" s="18">
        <f t="shared" si="151"/>
        <v>107</v>
      </c>
      <c r="AK288" s="34"/>
      <c r="AL288" s="16"/>
      <c r="AM288" s="16"/>
      <c r="AN288" s="17"/>
      <c r="AO288" s="18">
        <f t="shared" si="152"/>
        <v>0</v>
      </c>
      <c r="AP288" s="34"/>
      <c r="AQ288" s="16"/>
      <c r="AR288" s="16"/>
      <c r="AS288" s="17"/>
      <c r="AT288" s="18">
        <f t="shared" si="153"/>
        <v>0</v>
      </c>
      <c r="AU288" s="34">
        <v>436</v>
      </c>
      <c r="AV288" s="16"/>
      <c r="AW288" s="16"/>
      <c r="AX288" s="17"/>
      <c r="AY288" s="18">
        <f t="shared" si="154"/>
        <v>436</v>
      </c>
      <c r="AZ288" s="34">
        <v>16</v>
      </c>
      <c r="BA288" s="16"/>
      <c r="BB288" s="16"/>
      <c r="BC288" s="17"/>
      <c r="BD288" s="18">
        <f t="shared" si="155"/>
        <v>16</v>
      </c>
      <c r="BE288" s="34"/>
      <c r="BF288" s="16"/>
      <c r="BG288" s="16"/>
      <c r="BH288" s="17"/>
      <c r="BI288" s="18">
        <f t="shared" si="156"/>
        <v>0</v>
      </c>
      <c r="BJ288" s="34"/>
      <c r="BK288" s="16"/>
      <c r="BL288" s="16"/>
      <c r="BM288" s="17"/>
      <c r="BN288" s="18">
        <f t="shared" si="157"/>
        <v>0</v>
      </c>
      <c r="BO288" s="70">
        <f>SUM(G288,L288,Q288,V288,AA288,AF288,AK288,AP288,AU288,AZ288,BE288,BJ288)</f>
        <v>3838</v>
      </c>
      <c r="BP288" s="16">
        <f>SUM(H288,M288,R288,W288,AB288,AG288,AL288,AQ288,AV288,BA288,BF288,BK288)</f>
        <v>0</v>
      </c>
      <c r="BQ288" s="16">
        <f>SUM(I288,N288,S288,X288,AC288,AH288,AM288,AR288,AW288,BB288,BG288,BL288)</f>
        <v>0</v>
      </c>
      <c r="BR288" s="17">
        <f>SUM(J288,O288,T288,Y288,AD288,AI288,AN288,AS288,AX288,BC288,BH288,BM288)</f>
        <v>0</v>
      </c>
      <c r="BS288" s="35">
        <f t="shared" si="159"/>
        <v>3838</v>
      </c>
    </row>
    <row r="289" spans="2:71" x14ac:dyDescent="0.3">
      <c r="B289" s="269"/>
      <c r="C289" s="230"/>
      <c r="D289" s="250"/>
      <c r="E289" s="250"/>
      <c r="F289" s="123" t="s">
        <v>716</v>
      </c>
      <c r="G289" s="34"/>
      <c r="H289" s="16"/>
      <c r="I289" s="16"/>
      <c r="J289" s="17"/>
      <c r="K289" s="18">
        <f t="shared" si="174"/>
        <v>0</v>
      </c>
      <c r="L289" s="34"/>
      <c r="M289" s="16"/>
      <c r="N289" s="16"/>
      <c r="O289" s="17"/>
      <c r="P289" s="18">
        <f t="shared" si="147"/>
        <v>0</v>
      </c>
      <c r="Q289" s="34"/>
      <c r="R289" s="16"/>
      <c r="S289" s="16"/>
      <c r="T289" s="17"/>
      <c r="U289" s="18">
        <f t="shared" si="148"/>
        <v>0</v>
      </c>
      <c r="V289" s="34"/>
      <c r="W289" s="16"/>
      <c r="X289" s="16"/>
      <c r="Y289" s="17"/>
      <c r="Z289" s="18">
        <f t="shared" si="149"/>
        <v>0</v>
      </c>
      <c r="AA289" s="34"/>
      <c r="AB289" s="16"/>
      <c r="AC289" s="16"/>
      <c r="AD289" s="17"/>
      <c r="AE289" s="18">
        <f t="shared" si="150"/>
        <v>0</v>
      </c>
      <c r="AF289" s="34">
        <v>1160</v>
      </c>
      <c r="AG289" s="16"/>
      <c r="AH289" s="16"/>
      <c r="AI289" s="17"/>
      <c r="AJ289" s="18">
        <f t="shared" si="151"/>
        <v>1160</v>
      </c>
      <c r="AK289" s="34">
        <v>416</v>
      </c>
      <c r="AL289" s="16"/>
      <c r="AM289" s="16"/>
      <c r="AN289" s="17"/>
      <c r="AO289" s="18">
        <f t="shared" si="152"/>
        <v>416</v>
      </c>
      <c r="AP289" s="34">
        <v>424</v>
      </c>
      <c r="AQ289" s="16"/>
      <c r="AR289" s="16"/>
      <c r="AS289" s="17"/>
      <c r="AT289" s="18">
        <f t="shared" si="153"/>
        <v>424</v>
      </c>
      <c r="AU289" s="34">
        <v>23</v>
      </c>
      <c r="AV289" s="16"/>
      <c r="AW289" s="16"/>
      <c r="AX289" s="17"/>
      <c r="AY289" s="18">
        <f t="shared" si="154"/>
        <v>23</v>
      </c>
      <c r="AZ289" s="34"/>
      <c r="BA289" s="16"/>
      <c r="BB289" s="16"/>
      <c r="BC289" s="17"/>
      <c r="BD289" s="18">
        <f t="shared" si="155"/>
        <v>0</v>
      </c>
      <c r="BE289" s="34">
        <v>895</v>
      </c>
      <c r="BF289" s="16"/>
      <c r="BG289" s="16"/>
      <c r="BH289" s="17"/>
      <c r="BI289" s="18">
        <f t="shared" si="156"/>
        <v>895</v>
      </c>
      <c r="BJ289" s="34">
        <v>1297</v>
      </c>
      <c r="BK289" s="16"/>
      <c r="BL289" s="16"/>
      <c r="BM289" s="17"/>
      <c r="BN289" s="18">
        <f t="shared" si="157"/>
        <v>1297</v>
      </c>
      <c r="BO289" s="70">
        <f>SUM(G289,L289,Q289,V289,AA289,AF289,AK289,AP289,AU289,AZ289,BE289,BJ289)</f>
        <v>4215</v>
      </c>
      <c r="BP289" s="16">
        <f>SUM(H289,M289,R289,W289,AB289,AG289,AL289,AQ289,AV289,BA289,BF289,BK289)</f>
        <v>0</v>
      </c>
      <c r="BQ289" s="16">
        <f>SUM(I289,N289,S289,X289,AC289,AH289,AM289,AR289,AW289,BB289,BG289,BL289)</f>
        <v>0</v>
      </c>
      <c r="BR289" s="17">
        <f>SUM(J289,O289,T289,Y289,AD289,AI289,AN289,AS289,AX289,BC289,BH289,BM289)</f>
        <v>0</v>
      </c>
      <c r="BS289" s="35">
        <f t="shared" si="159"/>
        <v>4215</v>
      </c>
    </row>
    <row r="290" spans="2:71" x14ac:dyDescent="0.3">
      <c r="B290" s="269"/>
      <c r="C290" s="230"/>
      <c r="D290" s="250"/>
      <c r="E290" s="250"/>
      <c r="F290" s="123" t="s">
        <v>717</v>
      </c>
      <c r="G290" s="34"/>
      <c r="H290" s="16"/>
      <c r="I290" s="16"/>
      <c r="J290" s="17"/>
      <c r="K290" s="18">
        <f t="shared" si="174"/>
        <v>0</v>
      </c>
      <c r="L290" s="34"/>
      <c r="M290" s="16"/>
      <c r="N290" s="16"/>
      <c r="O290" s="17"/>
      <c r="P290" s="18">
        <f t="shared" si="147"/>
        <v>0</v>
      </c>
      <c r="Q290" s="34">
        <v>88</v>
      </c>
      <c r="R290" s="16"/>
      <c r="S290" s="16"/>
      <c r="T290" s="17"/>
      <c r="U290" s="18">
        <f t="shared" si="148"/>
        <v>88</v>
      </c>
      <c r="V290" s="34">
        <v>337</v>
      </c>
      <c r="W290" s="16"/>
      <c r="X290" s="16"/>
      <c r="Y290" s="17"/>
      <c r="Z290" s="18">
        <f t="shared" si="149"/>
        <v>337</v>
      </c>
      <c r="AA290" s="34"/>
      <c r="AB290" s="16"/>
      <c r="AC290" s="16"/>
      <c r="AD290" s="17"/>
      <c r="AE290" s="18">
        <f t="shared" si="150"/>
        <v>0</v>
      </c>
      <c r="AF290" s="34"/>
      <c r="AG290" s="16"/>
      <c r="AH290" s="16"/>
      <c r="AI290" s="17"/>
      <c r="AJ290" s="18">
        <f t="shared" si="151"/>
        <v>0</v>
      </c>
      <c r="AK290" s="34"/>
      <c r="AL290" s="16"/>
      <c r="AM290" s="16"/>
      <c r="AN290" s="17"/>
      <c r="AO290" s="18">
        <f t="shared" si="152"/>
        <v>0</v>
      </c>
      <c r="AP290" s="34"/>
      <c r="AQ290" s="16"/>
      <c r="AR290" s="16"/>
      <c r="AS290" s="17"/>
      <c r="AT290" s="18">
        <f t="shared" si="153"/>
        <v>0</v>
      </c>
      <c r="AU290" s="34"/>
      <c r="AV290" s="16"/>
      <c r="AW290" s="16"/>
      <c r="AX290" s="17"/>
      <c r="AY290" s="18">
        <f t="shared" si="154"/>
        <v>0</v>
      </c>
      <c r="AZ290" s="34"/>
      <c r="BA290" s="16"/>
      <c r="BB290" s="16"/>
      <c r="BC290" s="17"/>
      <c r="BD290" s="18">
        <f t="shared" si="155"/>
        <v>0</v>
      </c>
      <c r="BE290" s="34"/>
      <c r="BF290" s="16"/>
      <c r="BG290" s="16"/>
      <c r="BH290" s="17"/>
      <c r="BI290" s="18">
        <f t="shared" si="156"/>
        <v>0</v>
      </c>
      <c r="BJ290" s="34"/>
      <c r="BK290" s="16"/>
      <c r="BL290" s="16"/>
      <c r="BM290" s="17"/>
      <c r="BN290" s="18">
        <f t="shared" si="157"/>
        <v>0</v>
      </c>
      <c r="BO290" s="70">
        <f>SUM(G290,L290,Q290,V290,AA290,AF290,AK290,AP290,AU290,AZ290,BE290,BJ290)</f>
        <v>425</v>
      </c>
      <c r="BP290" s="16">
        <f>SUM(H290,M290,R290,W290,AB290,AG290,AL290,AQ290,AV290,BA290,BF290,BK290)</f>
        <v>0</v>
      </c>
      <c r="BQ290" s="16">
        <f>SUM(I290,N290,S290,X290,AC290,AH290,AM290,AR290,AW290,BB290,BG290,BL290)</f>
        <v>0</v>
      </c>
      <c r="BR290" s="17">
        <f>SUM(J290,O290,T290,Y290,AD290,AI290,AN290,AS290,AX290,BC290,BH290,BM290)</f>
        <v>0</v>
      </c>
      <c r="BS290" s="35">
        <f t="shared" si="159"/>
        <v>425</v>
      </c>
    </row>
    <row r="291" spans="2:71" x14ac:dyDescent="0.3">
      <c r="B291" s="269"/>
      <c r="C291" s="230"/>
      <c r="D291" s="250"/>
      <c r="E291" s="250"/>
      <c r="F291" s="123" t="s">
        <v>718</v>
      </c>
      <c r="G291" s="34">
        <v>569</v>
      </c>
      <c r="H291" s="16"/>
      <c r="I291" s="16"/>
      <c r="J291" s="17"/>
      <c r="K291" s="18">
        <f t="shared" si="174"/>
        <v>569</v>
      </c>
      <c r="L291" s="34">
        <v>373</v>
      </c>
      <c r="M291" s="16"/>
      <c r="N291" s="16"/>
      <c r="O291" s="17"/>
      <c r="P291" s="18">
        <f t="shared" si="147"/>
        <v>373</v>
      </c>
      <c r="Q291" s="34">
        <v>1679</v>
      </c>
      <c r="R291" s="16"/>
      <c r="S291" s="16"/>
      <c r="T291" s="17"/>
      <c r="U291" s="18">
        <f t="shared" si="148"/>
        <v>1679</v>
      </c>
      <c r="V291" s="34">
        <v>3888</v>
      </c>
      <c r="W291" s="16"/>
      <c r="X291" s="16"/>
      <c r="Y291" s="17"/>
      <c r="Z291" s="18">
        <f t="shared" si="149"/>
        <v>3888</v>
      </c>
      <c r="AA291" s="34">
        <v>6923</v>
      </c>
      <c r="AB291" s="16"/>
      <c r="AC291" s="16"/>
      <c r="AD291" s="17"/>
      <c r="AE291" s="18">
        <f t="shared" si="150"/>
        <v>6923</v>
      </c>
      <c r="AF291" s="34">
        <v>5984</v>
      </c>
      <c r="AG291" s="16"/>
      <c r="AH291" s="16"/>
      <c r="AI291" s="17"/>
      <c r="AJ291" s="18">
        <f t="shared" si="151"/>
        <v>5984</v>
      </c>
      <c r="AK291" s="34">
        <v>3453</v>
      </c>
      <c r="AL291" s="16"/>
      <c r="AM291" s="16"/>
      <c r="AN291" s="17"/>
      <c r="AO291" s="18">
        <f t="shared" si="152"/>
        <v>3453</v>
      </c>
      <c r="AP291" s="34">
        <v>8854</v>
      </c>
      <c r="AQ291" s="16"/>
      <c r="AR291" s="16"/>
      <c r="AS291" s="17"/>
      <c r="AT291" s="18">
        <f t="shared" si="153"/>
        <v>8854</v>
      </c>
      <c r="AU291" s="34">
        <v>5090</v>
      </c>
      <c r="AV291" s="16"/>
      <c r="AW291" s="16"/>
      <c r="AX291" s="17"/>
      <c r="AY291" s="18">
        <f t="shared" si="154"/>
        <v>5090</v>
      </c>
      <c r="AZ291" s="34">
        <v>9716</v>
      </c>
      <c r="BA291" s="16"/>
      <c r="BB291" s="16"/>
      <c r="BC291" s="17"/>
      <c r="BD291" s="18">
        <f t="shared" si="155"/>
        <v>9716</v>
      </c>
      <c r="BE291" s="34">
        <v>2465</v>
      </c>
      <c r="BF291" s="16"/>
      <c r="BG291" s="16"/>
      <c r="BH291" s="17"/>
      <c r="BI291" s="18">
        <f t="shared" si="156"/>
        <v>2465</v>
      </c>
      <c r="BJ291" s="34"/>
      <c r="BK291" s="16"/>
      <c r="BL291" s="16"/>
      <c r="BM291" s="17"/>
      <c r="BN291" s="18">
        <f t="shared" si="157"/>
        <v>0</v>
      </c>
      <c r="BO291" s="70">
        <f>SUM(G291,L291,Q291,V291,AA291,AF291,AK291,AP291,AU291,AZ291,BE291,BJ291)</f>
        <v>48994</v>
      </c>
      <c r="BP291" s="16">
        <f>SUM(H291,M291,R291,W291,AB291,AG291,AL291,AQ291,AV291,BA291,BF291,BK291)</f>
        <v>0</v>
      </c>
      <c r="BQ291" s="16">
        <f>SUM(I291,N291,S291,X291,AC291,AH291,AM291,AR291,AW291,BB291,BG291,BL291)</f>
        <v>0</v>
      </c>
      <c r="BR291" s="17">
        <f>SUM(J291,O291,T291,Y291,AD291,AI291,AN291,AS291,AX291,BC291,BH291,BM291)</f>
        <v>0</v>
      </c>
      <c r="BS291" s="35">
        <f t="shared" si="159"/>
        <v>48994</v>
      </c>
    </row>
    <row r="292" spans="2:71" x14ac:dyDescent="0.3">
      <c r="B292" s="269"/>
      <c r="C292" s="230"/>
      <c r="D292" s="250"/>
      <c r="E292" s="250"/>
      <c r="F292" s="123" t="s">
        <v>719</v>
      </c>
      <c r="G292" s="49"/>
      <c r="H292" s="50"/>
      <c r="I292" s="50"/>
      <c r="J292" s="51"/>
      <c r="K292" s="52">
        <f t="shared" si="174"/>
        <v>0</v>
      </c>
      <c r="L292" s="49"/>
      <c r="M292" s="50"/>
      <c r="N292" s="50"/>
      <c r="O292" s="51"/>
      <c r="P292" s="52">
        <f t="shared" si="147"/>
        <v>0</v>
      </c>
      <c r="Q292" s="49"/>
      <c r="R292" s="50"/>
      <c r="S292" s="50"/>
      <c r="T292" s="51"/>
      <c r="U292" s="52">
        <f t="shared" si="148"/>
        <v>0</v>
      </c>
      <c r="V292" s="49"/>
      <c r="W292" s="50"/>
      <c r="X292" s="50"/>
      <c r="Y292" s="51"/>
      <c r="Z292" s="52">
        <f t="shared" si="149"/>
        <v>0</v>
      </c>
      <c r="AA292" s="49"/>
      <c r="AB292" s="50"/>
      <c r="AC292" s="50"/>
      <c r="AD292" s="51"/>
      <c r="AE292" s="52">
        <f t="shared" si="150"/>
        <v>0</v>
      </c>
      <c r="AF292" s="49"/>
      <c r="AG292" s="50"/>
      <c r="AH292" s="50"/>
      <c r="AI292" s="51"/>
      <c r="AJ292" s="52">
        <f t="shared" si="151"/>
        <v>0</v>
      </c>
      <c r="AK292" s="49"/>
      <c r="AL292" s="50"/>
      <c r="AM292" s="50"/>
      <c r="AN292" s="51"/>
      <c r="AO292" s="52">
        <f t="shared" si="152"/>
        <v>0</v>
      </c>
      <c r="AP292" s="49"/>
      <c r="AQ292" s="50"/>
      <c r="AR292" s="50"/>
      <c r="AS292" s="51"/>
      <c r="AT292" s="52">
        <f t="shared" si="153"/>
        <v>0</v>
      </c>
      <c r="AU292" s="49"/>
      <c r="AV292" s="50"/>
      <c r="AW292" s="50"/>
      <c r="AX292" s="51"/>
      <c r="AY292" s="52">
        <f t="shared" si="154"/>
        <v>0</v>
      </c>
      <c r="AZ292" s="49"/>
      <c r="BA292" s="50"/>
      <c r="BB292" s="50"/>
      <c r="BC292" s="51"/>
      <c r="BD292" s="52">
        <f t="shared" si="155"/>
        <v>0</v>
      </c>
      <c r="BE292" s="49">
        <v>1402</v>
      </c>
      <c r="BF292" s="50"/>
      <c r="BG292" s="50"/>
      <c r="BH292" s="51"/>
      <c r="BI292" s="52">
        <f t="shared" si="156"/>
        <v>1402</v>
      </c>
      <c r="BJ292" s="49">
        <v>1194</v>
      </c>
      <c r="BK292" s="50"/>
      <c r="BL292" s="50"/>
      <c r="BM292" s="51"/>
      <c r="BN292" s="52">
        <f t="shared" si="157"/>
        <v>1194</v>
      </c>
      <c r="BO292" s="167">
        <f>SUM(G292,L292,Q292,V292,AA292,AF292,AK292,AP292,AU292,AZ292,BE292,BJ292)</f>
        <v>2596</v>
      </c>
      <c r="BP292" s="50">
        <f>SUM(H292,M292,R292,W292,AB292,AG292,AL292,AQ292,AV292,BA292,BF292,BK292)</f>
        <v>0</v>
      </c>
      <c r="BQ292" s="50">
        <f>SUM(I292,N292,S292,X292,AC292,AH292,AM292,AR292,AW292,BB292,BG292,BL292)</f>
        <v>0</v>
      </c>
      <c r="BR292" s="51">
        <f>SUM(J292,O292,T292,Y292,AD292,AI292,AN292,AS292,AX292,BC292,BH292,BM292)</f>
        <v>0</v>
      </c>
      <c r="BS292" s="53">
        <f t="shared" si="159"/>
        <v>2596</v>
      </c>
    </row>
    <row r="293" spans="2:71" x14ac:dyDescent="0.3">
      <c r="B293" s="269"/>
      <c r="C293" s="230"/>
      <c r="D293" s="250"/>
      <c r="E293" s="250"/>
      <c r="F293" s="123" t="s">
        <v>720</v>
      </c>
      <c r="G293" s="34"/>
      <c r="H293" s="16"/>
      <c r="I293" s="16"/>
      <c r="J293" s="17"/>
      <c r="K293" s="18">
        <f t="shared" si="174"/>
        <v>0</v>
      </c>
      <c r="L293" s="34"/>
      <c r="M293" s="16"/>
      <c r="N293" s="16"/>
      <c r="O293" s="17"/>
      <c r="P293" s="18">
        <f t="shared" si="147"/>
        <v>0</v>
      </c>
      <c r="Q293" s="34"/>
      <c r="R293" s="16"/>
      <c r="S293" s="16"/>
      <c r="T293" s="17"/>
      <c r="U293" s="18">
        <f t="shared" si="148"/>
        <v>0</v>
      </c>
      <c r="V293" s="34">
        <v>305</v>
      </c>
      <c r="W293" s="16"/>
      <c r="X293" s="16"/>
      <c r="Y293" s="17"/>
      <c r="Z293" s="18">
        <f t="shared" si="149"/>
        <v>305</v>
      </c>
      <c r="AA293" s="34">
        <f>1018</f>
        <v>1018</v>
      </c>
      <c r="AB293" s="16"/>
      <c r="AC293" s="16"/>
      <c r="AD293" s="17"/>
      <c r="AE293" s="18">
        <f t="shared" si="150"/>
        <v>1018</v>
      </c>
      <c r="AF293" s="34">
        <v>712</v>
      </c>
      <c r="AG293" s="16"/>
      <c r="AH293" s="16"/>
      <c r="AI293" s="17"/>
      <c r="AJ293" s="18">
        <f t="shared" si="151"/>
        <v>712</v>
      </c>
      <c r="AK293" s="34">
        <v>307</v>
      </c>
      <c r="AL293" s="16"/>
      <c r="AM293" s="16"/>
      <c r="AN293" s="17"/>
      <c r="AO293" s="18">
        <f t="shared" si="152"/>
        <v>307</v>
      </c>
      <c r="AP293" s="34">
        <v>73</v>
      </c>
      <c r="AQ293" s="16"/>
      <c r="AR293" s="16"/>
      <c r="AS293" s="17"/>
      <c r="AT293" s="18">
        <f t="shared" si="153"/>
        <v>73</v>
      </c>
      <c r="AU293" s="34"/>
      <c r="AV293" s="16"/>
      <c r="AW293" s="16"/>
      <c r="AX293" s="17"/>
      <c r="AY293" s="18">
        <f t="shared" si="154"/>
        <v>0</v>
      </c>
      <c r="AZ293" s="34"/>
      <c r="BA293" s="16"/>
      <c r="BB293" s="16"/>
      <c r="BC293" s="17"/>
      <c r="BD293" s="18">
        <f t="shared" si="155"/>
        <v>0</v>
      </c>
      <c r="BE293" s="34"/>
      <c r="BF293" s="16"/>
      <c r="BG293" s="16"/>
      <c r="BH293" s="17"/>
      <c r="BI293" s="18">
        <f t="shared" si="156"/>
        <v>0</v>
      </c>
      <c r="BJ293" s="34"/>
      <c r="BK293" s="16"/>
      <c r="BL293" s="16"/>
      <c r="BM293" s="17"/>
      <c r="BN293" s="18">
        <f t="shared" si="157"/>
        <v>0</v>
      </c>
      <c r="BO293" s="70">
        <f>SUM(G293,L293,Q293,V293,AA293,AF293,AK293,AP293,AU293,AZ293,BE293,BJ293)</f>
        <v>2415</v>
      </c>
      <c r="BP293" s="16">
        <f>SUM(H293,M293,R293,W293,AB293,AG293,AL293,AQ293,AV293,BA293,BF293,BK293)</f>
        <v>0</v>
      </c>
      <c r="BQ293" s="16">
        <f>SUM(I293,N293,S293,X293,AC293,AH293,AM293,AR293,AW293,BB293,BG293,BL293)</f>
        <v>0</v>
      </c>
      <c r="BR293" s="17">
        <f>SUM(J293,O293,T293,Y293,AD293,AI293,AN293,AS293,AX293,BC293,BH293,BM293)</f>
        <v>0</v>
      </c>
      <c r="BS293" s="35">
        <f t="shared" si="159"/>
        <v>2415</v>
      </c>
    </row>
    <row r="294" spans="2:71" x14ac:dyDescent="0.3">
      <c r="B294" s="269"/>
      <c r="C294" s="230"/>
      <c r="D294" s="250"/>
      <c r="E294" s="250"/>
      <c r="F294" s="123" t="s">
        <v>721</v>
      </c>
      <c r="G294" s="34"/>
      <c r="H294" s="16"/>
      <c r="I294" s="16"/>
      <c r="J294" s="17"/>
      <c r="K294" s="18">
        <f t="shared" si="174"/>
        <v>0</v>
      </c>
      <c r="L294" s="34"/>
      <c r="M294" s="16"/>
      <c r="N294" s="16">
        <v>434</v>
      </c>
      <c r="O294" s="17"/>
      <c r="P294" s="18">
        <f t="shared" si="147"/>
        <v>434</v>
      </c>
      <c r="Q294" s="34"/>
      <c r="R294" s="16"/>
      <c r="S294" s="16">
        <v>528</v>
      </c>
      <c r="T294" s="17"/>
      <c r="U294" s="18">
        <f t="shared" si="148"/>
        <v>528</v>
      </c>
      <c r="V294" s="34"/>
      <c r="W294" s="16"/>
      <c r="X294" s="16">
        <v>652</v>
      </c>
      <c r="Y294" s="17"/>
      <c r="Z294" s="18">
        <f t="shared" si="149"/>
        <v>652</v>
      </c>
      <c r="AA294" s="34"/>
      <c r="AB294" s="16"/>
      <c r="AC294" s="16">
        <v>65</v>
      </c>
      <c r="AD294" s="17"/>
      <c r="AE294" s="18">
        <f t="shared" si="150"/>
        <v>65</v>
      </c>
      <c r="AF294" s="34"/>
      <c r="AG294" s="16"/>
      <c r="AH294" s="16"/>
      <c r="AI294" s="17"/>
      <c r="AJ294" s="18">
        <f t="shared" si="151"/>
        <v>0</v>
      </c>
      <c r="AK294" s="34"/>
      <c r="AL294" s="16"/>
      <c r="AM294" s="16"/>
      <c r="AN294" s="17"/>
      <c r="AO294" s="18">
        <f t="shared" si="152"/>
        <v>0</v>
      </c>
      <c r="AP294" s="34"/>
      <c r="AQ294" s="16"/>
      <c r="AR294" s="16"/>
      <c r="AS294" s="17"/>
      <c r="AT294" s="18">
        <f t="shared" si="153"/>
        <v>0</v>
      </c>
      <c r="AU294" s="34"/>
      <c r="AV294" s="16"/>
      <c r="AW294" s="16">
        <v>69</v>
      </c>
      <c r="AX294" s="17"/>
      <c r="AY294" s="18">
        <f t="shared" si="154"/>
        <v>69</v>
      </c>
      <c r="AZ294" s="34"/>
      <c r="BA294" s="16"/>
      <c r="BB294" s="16">
        <v>138</v>
      </c>
      <c r="BC294" s="17"/>
      <c r="BD294" s="18">
        <f t="shared" si="155"/>
        <v>138</v>
      </c>
      <c r="BE294" s="34"/>
      <c r="BF294" s="16"/>
      <c r="BG294" s="16">
        <v>98</v>
      </c>
      <c r="BH294" s="17"/>
      <c r="BI294" s="18">
        <f t="shared" si="156"/>
        <v>98</v>
      </c>
      <c r="BJ294" s="34"/>
      <c r="BK294" s="16"/>
      <c r="BL294" s="16"/>
      <c r="BM294" s="17"/>
      <c r="BN294" s="18">
        <f t="shared" si="157"/>
        <v>0</v>
      </c>
      <c r="BO294" s="70">
        <f>SUM(G294,L294,Q294,V294,AA294,AF294,AK294,AP294,AU294,AZ294,BE294,BJ294)</f>
        <v>0</v>
      </c>
      <c r="BP294" s="16">
        <f>SUM(H294,M294,R294,W294,AB294,AG294,AL294,AQ294,AV294,BA294,BF294,BK294)</f>
        <v>0</v>
      </c>
      <c r="BQ294" s="16">
        <f>SUM(I294,N294,S294,X294,AC294,AH294,AM294,AR294,AW294,BB294,BG294,BL294)</f>
        <v>1984</v>
      </c>
      <c r="BR294" s="17">
        <f>SUM(J294,O294,T294,Y294,AD294,AI294,AN294,AS294,AX294,BC294,BH294,BM294)</f>
        <v>0</v>
      </c>
      <c r="BS294" s="35">
        <f t="shared" si="159"/>
        <v>1984</v>
      </c>
    </row>
    <row r="295" spans="2:71" x14ac:dyDescent="0.3">
      <c r="B295" s="269"/>
      <c r="C295" s="230"/>
      <c r="D295" s="250"/>
      <c r="E295" s="250"/>
      <c r="F295" s="123" t="s">
        <v>722</v>
      </c>
      <c r="G295" s="49"/>
      <c r="H295" s="50"/>
      <c r="I295" s="50"/>
      <c r="J295" s="51"/>
      <c r="K295" s="52">
        <f t="shared" si="174"/>
        <v>0</v>
      </c>
      <c r="L295" s="49"/>
      <c r="M295" s="50"/>
      <c r="N295" s="50"/>
      <c r="O295" s="51"/>
      <c r="P295" s="52">
        <f t="shared" si="147"/>
        <v>0</v>
      </c>
      <c r="Q295" s="49"/>
      <c r="R295" s="50"/>
      <c r="S295" s="50"/>
      <c r="T295" s="51"/>
      <c r="U295" s="52">
        <f t="shared" si="148"/>
        <v>0</v>
      </c>
      <c r="V295" s="49"/>
      <c r="W295" s="50"/>
      <c r="X295" s="50"/>
      <c r="Y295" s="51"/>
      <c r="Z295" s="52">
        <f t="shared" si="149"/>
        <v>0</v>
      </c>
      <c r="AA295" s="49"/>
      <c r="AB295" s="50"/>
      <c r="AC295" s="50"/>
      <c r="AD295" s="51"/>
      <c r="AE295" s="52">
        <f t="shared" si="150"/>
        <v>0</v>
      </c>
      <c r="AF295" s="49"/>
      <c r="AG295" s="50"/>
      <c r="AH295" s="50"/>
      <c r="AI295" s="51"/>
      <c r="AJ295" s="52">
        <f t="shared" si="151"/>
        <v>0</v>
      </c>
      <c r="AK295" s="49"/>
      <c r="AL295" s="50"/>
      <c r="AM295" s="50"/>
      <c r="AN295" s="51"/>
      <c r="AO295" s="52">
        <f t="shared" si="152"/>
        <v>0</v>
      </c>
      <c r="AP295" s="49"/>
      <c r="AQ295" s="50"/>
      <c r="AR295" s="50"/>
      <c r="AS295" s="51"/>
      <c r="AT295" s="52">
        <f t="shared" si="153"/>
        <v>0</v>
      </c>
      <c r="AU295" s="49"/>
      <c r="AV295" s="50"/>
      <c r="AW295" s="50"/>
      <c r="AX295" s="51"/>
      <c r="AY295" s="52">
        <f t="shared" si="154"/>
        <v>0</v>
      </c>
      <c r="AZ295" s="49"/>
      <c r="BA295" s="50"/>
      <c r="BB295" s="50"/>
      <c r="BC295" s="51"/>
      <c r="BD295" s="52">
        <f t="shared" si="155"/>
        <v>0</v>
      </c>
      <c r="BE295" s="49"/>
      <c r="BF295" s="50"/>
      <c r="BG295" s="295">
        <v>217</v>
      </c>
      <c r="BH295" s="51"/>
      <c r="BI295" s="52">
        <f t="shared" si="156"/>
        <v>217</v>
      </c>
      <c r="BJ295" s="49"/>
      <c r="BK295" s="50"/>
      <c r="BL295" s="50">
        <v>86</v>
      </c>
      <c r="BM295" s="51"/>
      <c r="BN295" s="52">
        <f t="shared" si="157"/>
        <v>86</v>
      </c>
      <c r="BO295" s="167">
        <f>SUM(G295,L295,Q295,V295,AA295,AF295,AK295,AP295,AU295,AZ295,BE295,BJ295)</f>
        <v>0</v>
      </c>
      <c r="BP295" s="50">
        <f>SUM(H295,M295,R295,W295,AB295,AG295,AL295,AQ295,AV295,BA295,BF295,BK295)</f>
        <v>0</v>
      </c>
      <c r="BQ295" s="50">
        <f>SUM(I295,N295,S295,X295,AC295,AH295,AM295,AR295,AW295,BB295,BG295,BL295)</f>
        <v>303</v>
      </c>
      <c r="BR295" s="51">
        <f>SUM(J295,O295,T295,Y295,AD295,AI295,AN295,AS295,AX295,BC295,BH295,BM295)</f>
        <v>0</v>
      </c>
      <c r="BS295" s="53">
        <f t="shared" si="159"/>
        <v>303</v>
      </c>
    </row>
    <row r="296" spans="2:71" x14ac:dyDescent="0.3">
      <c r="B296" s="269"/>
      <c r="C296" s="230"/>
      <c r="D296" s="250"/>
      <c r="E296" s="250"/>
      <c r="F296" s="123" t="s">
        <v>723</v>
      </c>
      <c r="G296" s="34">
        <v>1690</v>
      </c>
      <c r="H296" s="16"/>
      <c r="I296" s="16"/>
      <c r="J296" s="17"/>
      <c r="K296" s="18">
        <f t="shared" si="174"/>
        <v>1690</v>
      </c>
      <c r="L296" s="34">
        <v>1777</v>
      </c>
      <c r="M296" s="16"/>
      <c r="N296" s="16"/>
      <c r="O296" s="17"/>
      <c r="P296" s="18">
        <f t="shared" si="147"/>
        <v>1777</v>
      </c>
      <c r="Q296" s="34">
        <v>1158</v>
      </c>
      <c r="R296" s="16"/>
      <c r="S296" s="16"/>
      <c r="T296" s="17"/>
      <c r="U296" s="18">
        <f t="shared" si="148"/>
        <v>1158</v>
      </c>
      <c r="V296" s="34">
        <v>1874</v>
      </c>
      <c r="W296" s="16"/>
      <c r="X296" s="16"/>
      <c r="Y296" s="17"/>
      <c r="Z296" s="18">
        <f t="shared" si="149"/>
        <v>1874</v>
      </c>
      <c r="AA296" s="34">
        <f>2693</f>
        <v>2693</v>
      </c>
      <c r="AB296" s="16"/>
      <c r="AC296" s="16"/>
      <c r="AD296" s="17"/>
      <c r="AE296" s="18">
        <f t="shared" si="150"/>
        <v>2693</v>
      </c>
      <c r="AF296" s="34">
        <f>2235</f>
        <v>2235</v>
      </c>
      <c r="AG296" s="16"/>
      <c r="AH296" s="16"/>
      <c r="AI296" s="17"/>
      <c r="AJ296" s="18">
        <f t="shared" si="151"/>
        <v>2235</v>
      </c>
      <c r="AK296" s="34">
        <v>967</v>
      </c>
      <c r="AL296" s="16"/>
      <c r="AM296" s="16"/>
      <c r="AN296" s="17"/>
      <c r="AO296" s="18">
        <f t="shared" si="152"/>
        <v>967</v>
      </c>
      <c r="AP296" s="34">
        <v>717</v>
      </c>
      <c r="AQ296" s="16"/>
      <c r="AR296" s="16"/>
      <c r="AS296" s="17"/>
      <c r="AT296" s="18">
        <f t="shared" si="153"/>
        <v>717</v>
      </c>
      <c r="AU296" s="34">
        <v>1088</v>
      </c>
      <c r="AV296" s="16"/>
      <c r="AW296" s="16"/>
      <c r="AX296" s="17"/>
      <c r="AY296" s="18">
        <f t="shared" si="154"/>
        <v>1088</v>
      </c>
      <c r="AZ296" s="34">
        <v>2615</v>
      </c>
      <c r="BA296" s="16"/>
      <c r="BB296" s="16"/>
      <c r="BC296" s="17"/>
      <c r="BD296" s="18">
        <f t="shared" si="155"/>
        <v>2615</v>
      </c>
      <c r="BE296" s="34">
        <v>1060</v>
      </c>
      <c r="BF296" s="16"/>
      <c r="BG296" s="16"/>
      <c r="BH296" s="17"/>
      <c r="BI296" s="18">
        <f t="shared" si="156"/>
        <v>1060</v>
      </c>
      <c r="BJ296" s="34">
        <v>22</v>
      </c>
      <c r="BK296" s="16"/>
      <c r="BL296" s="16"/>
      <c r="BM296" s="17"/>
      <c r="BN296" s="18">
        <f t="shared" si="157"/>
        <v>22</v>
      </c>
      <c r="BO296" s="70">
        <f>SUM(G296,L296,Q296,V296,AA296,AF296,AK296,AP296,AU296,AZ296,BE296,BJ296)</f>
        <v>17896</v>
      </c>
      <c r="BP296" s="16">
        <f>SUM(H296,M296,R296,W296,AB296,AG296,AL296,AQ296,AV296,BA296,BF296,BK296)</f>
        <v>0</v>
      </c>
      <c r="BQ296" s="16">
        <f>SUM(I296,N296,S296,X296,AC296,AH296,AM296,AR296,AW296,BB296,BG296,BL296)</f>
        <v>0</v>
      </c>
      <c r="BR296" s="17">
        <f>SUM(J296,O296,T296,Y296,AD296,AI296,AN296,AS296,AX296,BC296,BH296,BM296)</f>
        <v>0</v>
      </c>
      <c r="BS296" s="35">
        <f t="shared" si="159"/>
        <v>17896</v>
      </c>
    </row>
    <row r="297" spans="2:71" x14ac:dyDescent="0.3">
      <c r="B297" s="269"/>
      <c r="C297" s="230"/>
      <c r="D297" s="250"/>
      <c r="E297" s="250"/>
      <c r="F297" s="123" t="s">
        <v>724</v>
      </c>
      <c r="G297" s="49"/>
      <c r="H297" s="50"/>
      <c r="I297" s="50"/>
      <c r="J297" s="51"/>
      <c r="K297" s="52">
        <f t="shared" si="174"/>
        <v>0</v>
      </c>
      <c r="L297" s="49"/>
      <c r="M297" s="50"/>
      <c r="N297" s="50"/>
      <c r="O297" s="51"/>
      <c r="P297" s="52">
        <f t="shared" si="147"/>
        <v>0</v>
      </c>
      <c r="Q297" s="49"/>
      <c r="R297" s="50"/>
      <c r="S297" s="50"/>
      <c r="T297" s="51"/>
      <c r="U297" s="52">
        <f t="shared" si="148"/>
        <v>0</v>
      </c>
      <c r="V297" s="49"/>
      <c r="W297" s="50"/>
      <c r="X297" s="50"/>
      <c r="Y297" s="51"/>
      <c r="Z297" s="52">
        <f t="shared" si="149"/>
        <v>0</v>
      </c>
      <c r="AA297" s="49"/>
      <c r="AB297" s="50"/>
      <c r="AC297" s="50"/>
      <c r="AD297" s="51"/>
      <c r="AE297" s="52">
        <f t="shared" si="150"/>
        <v>0</v>
      </c>
      <c r="AF297" s="49"/>
      <c r="AG297" s="50"/>
      <c r="AH297" s="50"/>
      <c r="AI297" s="51"/>
      <c r="AJ297" s="52">
        <f t="shared" si="151"/>
        <v>0</v>
      </c>
      <c r="AK297" s="49"/>
      <c r="AL297" s="50"/>
      <c r="AM297" s="50"/>
      <c r="AN297" s="51"/>
      <c r="AO297" s="52">
        <f t="shared" si="152"/>
        <v>0</v>
      </c>
      <c r="AP297" s="49"/>
      <c r="AQ297" s="50"/>
      <c r="AR297" s="50"/>
      <c r="AS297" s="51"/>
      <c r="AT297" s="52">
        <f t="shared" si="153"/>
        <v>0</v>
      </c>
      <c r="AU297" s="49"/>
      <c r="AV297" s="50"/>
      <c r="AW297" s="50"/>
      <c r="AX297" s="51"/>
      <c r="AY297" s="52">
        <f t="shared" si="154"/>
        <v>0</v>
      </c>
      <c r="AZ297" s="49"/>
      <c r="BA297" s="50"/>
      <c r="BB297" s="50"/>
      <c r="BC297" s="51"/>
      <c r="BD297" s="52">
        <f t="shared" si="155"/>
        <v>0</v>
      </c>
      <c r="BE297" s="49">
        <v>541</v>
      </c>
      <c r="BF297" s="50"/>
      <c r="BG297" s="50"/>
      <c r="BH297" s="51"/>
      <c r="BI297" s="52">
        <f t="shared" si="156"/>
        <v>541</v>
      </c>
      <c r="BJ297" s="49">
        <v>764</v>
      </c>
      <c r="BK297" s="50"/>
      <c r="BL297" s="50"/>
      <c r="BM297" s="51"/>
      <c r="BN297" s="52">
        <f t="shared" si="157"/>
        <v>764</v>
      </c>
      <c r="BO297" s="167">
        <f>SUM(G297,L297,Q297,V297,AA297,AF297,AK297,AP297,AU297,AZ297,BE297,BJ297)</f>
        <v>1305</v>
      </c>
      <c r="BP297" s="50">
        <f>SUM(H297,M297,R297,W297,AB297,AG297,AL297,AQ297,AV297,BA297,BF297,BK297)</f>
        <v>0</v>
      </c>
      <c r="BQ297" s="50">
        <f>SUM(I297,N297,S297,X297,AC297,AH297,AM297,AR297,AW297,BB297,BG297,BL297)</f>
        <v>0</v>
      </c>
      <c r="BR297" s="51">
        <f>SUM(J297,O297,T297,Y297,AD297,AI297,AN297,AS297,AX297,BC297,BH297,BM297)</f>
        <v>0</v>
      </c>
      <c r="BS297" s="53">
        <f t="shared" si="159"/>
        <v>1305</v>
      </c>
    </row>
    <row r="298" spans="2:71" x14ac:dyDescent="0.3">
      <c r="B298" s="269"/>
      <c r="C298" s="230"/>
      <c r="D298" s="250"/>
      <c r="E298" s="250"/>
      <c r="F298" s="123" t="s">
        <v>725</v>
      </c>
      <c r="G298" s="34"/>
      <c r="H298" s="16"/>
      <c r="I298" s="16"/>
      <c r="J298" s="17"/>
      <c r="K298" s="18">
        <f t="shared" si="174"/>
        <v>0</v>
      </c>
      <c r="L298" s="34"/>
      <c r="M298" s="16"/>
      <c r="N298" s="16"/>
      <c r="O298" s="17"/>
      <c r="P298" s="18">
        <f t="shared" si="147"/>
        <v>0</v>
      </c>
      <c r="Q298" s="34">
        <v>740</v>
      </c>
      <c r="R298" s="16"/>
      <c r="S298" s="16"/>
      <c r="T298" s="17"/>
      <c r="U298" s="18">
        <f t="shared" si="148"/>
        <v>740</v>
      </c>
      <c r="V298" s="34">
        <v>2122</v>
      </c>
      <c r="W298" s="16"/>
      <c r="X298" s="16"/>
      <c r="Y298" s="17"/>
      <c r="Z298" s="18">
        <f t="shared" si="149"/>
        <v>2122</v>
      </c>
      <c r="AA298" s="34">
        <f>3325</f>
        <v>3325</v>
      </c>
      <c r="AB298" s="16"/>
      <c r="AC298" s="16"/>
      <c r="AD298" s="17"/>
      <c r="AE298" s="18">
        <f t="shared" si="150"/>
        <v>3325</v>
      </c>
      <c r="AF298" s="34">
        <v>1020</v>
      </c>
      <c r="AG298" s="16"/>
      <c r="AH298" s="16"/>
      <c r="AI298" s="17"/>
      <c r="AJ298" s="18">
        <f t="shared" si="151"/>
        <v>1020</v>
      </c>
      <c r="AK298" s="34"/>
      <c r="AL298" s="16"/>
      <c r="AM298" s="16"/>
      <c r="AN298" s="17"/>
      <c r="AO298" s="18">
        <f t="shared" si="152"/>
        <v>0</v>
      </c>
      <c r="AP298" s="34"/>
      <c r="AQ298" s="16"/>
      <c r="AR298" s="16"/>
      <c r="AS298" s="17"/>
      <c r="AT298" s="18">
        <f t="shared" si="153"/>
        <v>0</v>
      </c>
      <c r="AU298" s="34"/>
      <c r="AV298" s="16"/>
      <c r="AW298" s="16"/>
      <c r="AX298" s="17"/>
      <c r="AY298" s="18">
        <f t="shared" si="154"/>
        <v>0</v>
      </c>
      <c r="AZ298" s="34"/>
      <c r="BA298" s="16"/>
      <c r="BB298" s="16"/>
      <c r="BC298" s="17"/>
      <c r="BD298" s="18">
        <f t="shared" si="155"/>
        <v>0</v>
      </c>
      <c r="BE298" s="34"/>
      <c r="BF298" s="16"/>
      <c r="BG298" s="16"/>
      <c r="BH298" s="17"/>
      <c r="BI298" s="18">
        <f t="shared" si="156"/>
        <v>0</v>
      </c>
      <c r="BJ298" s="34"/>
      <c r="BK298" s="16"/>
      <c r="BL298" s="16"/>
      <c r="BM298" s="17"/>
      <c r="BN298" s="18">
        <f t="shared" si="157"/>
        <v>0</v>
      </c>
      <c r="BO298" s="70">
        <f>SUM(G298,L298,Q298,V298,AA298,AF298,AK298,AP298,AU298,AZ298,BE298,BJ298)</f>
        <v>7207</v>
      </c>
      <c r="BP298" s="16">
        <f>SUM(H298,M298,R298,W298,AB298,AG298,AL298,AQ298,AV298,BA298,BF298,BK298)</f>
        <v>0</v>
      </c>
      <c r="BQ298" s="16">
        <f>SUM(I298,N298,S298,X298,AC298,AH298,AM298,AR298,AW298,BB298,BG298,BL298)</f>
        <v>0</v>
      </c>
      <c r="BR298" s="17">
        <f>SUM(J298,O298,T298,Y298,AD298,AI298,AN298,AS298,AX298,BC298,BH298,BM298)</f>
        <v>0</v>
      </c>
      <c r="BS298" s="35">
        <f t="shared" si="159"/>
        <v>7207</v>
      </c>
    </row>
    <row r="299" spans="2:71" x14ac:dyDescent="0.3">
      <c r="B299" s="269"/>
      <c r="C299" s="230"/>
      <c r="D299" s="250"/>
      <c r="E299" s="250"/>
      <c r="F299" s="123" t="s">
        <v>726</v>
      </c>
      <c r="G299" s="34">
        <v>121</v>
      </c>
      <c r="H299" s="16"/>
      <c r="I299" s="16"/>
      <c r="J299" s="17"/>
      <c r="K299" s="18">
        <f t="shared" si="174"/>
        <v>121</v>
      </c>
      <c r="L299" s="34">
        <v>95</v>
      </c>
      <c r="M299" s="16"/>
      <c r="N299" s="16"/>
      <c r="O299" s="17"/>
      <c r="P299" s="18">
        <f t="shared" si="147"/>
        <v>95</v>
      </c>
      <c r="Q299" s="34">
        <v>16</v>
      </c>
      <c r="R299" s="16"/>
      <c r="S299" s="16"/>
      <c r="T299" s="17"/>
      <c r="U299" s="18">
        <f t="shared" si="148"/>
        <v>16</v>
      </c>
      <c r="V299" s="34">
        <v>126</v>
      </c>
      <c r="W299" s="16"/>
      <c r="X299" s="16"/>
      <c r="Y299" s="17"/>
      <c r="Z299" s="18">
        <f t="shared" si="149"/>
        <v>126</v>
      </c>
      <c r="AA299" s="34">
        <v>214</v>
      </c>
      <c r="AB299" s="16"/>
      <c r="AC299" s="16"/>
      <c r="AD299" s="17"/>
      <c r="AE299" s="18">
        <f t="shared" si="150"/>
        <v>214</v>
      </c>
      <c r="AF299" s="34"/>
      <c r="AG299" s="16"/>
      <c r="AH299" s="16"/>
      <c r="AI299" s="17"/>
      <c r="AJ299" s="18">
        <f t="shared" si="151"/>
        <v>0</v>
      </c>
      <c r="AK299" s="34">
        <v>60</v>
      </c>
      <c r="AL299" s="16"/>
      <c r="AM299" s="16"/>
      <c r="AN299" s="17"/>
      <c r="AO299" s="18">
        <f t="shared" si="152"/>
        <v>60</v>
      </c>
      <c r="AP299" s="34">
        <v>176</v>
      </c>
      <c r="AQ299" s="16"/>
      <c r="AR299" s="16"/>
      <c r="AS299" s="17"/>
      <c r="AT299" s="18">
        <f t="shared" si="153"/>
        <v>176</v>
      </c>
      <c r="AU299" s="34">
        <v>545</v>
      </c>
      <c r="AV299" s="16"/>
      <c r="AW299" s="16"/>
      <c r="AX299" s="17"/>
      <c r="AY299" s="18">
        <f t="shared" si="154"/>
        <v>545</v>
      </c>
      <c r="AZ299" s="34"/>
      <c r="BA299" s="16"/>
      <c r="BB299" s="16"/>
      <c r="BC299" s="17"/>
      <c r="BD299" s="18">
        <f t="shared" si="155"/>
        <v>0</v>
      </c>
      <c r="BE299" s="34">
        <v>400</v>
      </c>
      <c r="BF299" s="16"/>
      <c r="BG299" s="16"/>
      <c r="BH299" s="17"/>
      <c r="BI299" s="18">
        <f t="shared" si="156"/>
        <v>400</v>
      </c>
      <c r="BJ299" s="34"/>
      <c r="BK299" s="16"/>
      <c r="BL299" s="16"/>
      <c r="BM299" s="17"/>
      <c r="BN299" s="18">
        <f t="shared" si="157"/>
        <v>0</v>
      </c>
      <c r="BO299" s="70">
        <f>SUM(G299,L299,Q299,V299,AA299,AF299,AK299,AP299,AU299,AZ299,BE299,BJ299)</f>
        <v>1753</v>
      </c>
      <c r="BP299" s="16">
        <f>SUM(H299,M299,R299,W299,AB299,AG299,AL299,AQ299,AV299,BA299,BF299,BK299)</f>
        <v>0</v>
      </c>
      <c r="BQ299" s="16">
        <f>SUM(I299,N299,S299,X299,AC299,AH299,AM299,AR299,AW299,BB299,BG299,BL299)</f>
        <v>0</v>
      </c>
      <c r="BR299" s="17">
        <f>SUM(J299,O299,T299,Y299,AD299,AI299,AN299,AS299,AX299,BC299,BH299,BM299)</f>
        <v>0</v>
      </c>
      <c r="BS299" s="35">
        <f t="shared" si="159"/>
        <v>1753</v>
      </c>
    </row>
    <row r="300" spans="2:71" x14ac:dyDescent="0.3">
      <c r="B300" s="269"/>
      <c r="C300" s="230"/>
      <c r="D300" s="250"/>
      <c r="E300" s="250"/>
      <c r="F300" s="123" t="s">
        <v>727</v>
      </c>
      <c r="G300" s="34"/>
      <c r="H300" s="16"/>
      <c r="I300" s="16"/>
      <c r="J300" s="17"/>
      <c r="K300" s="18">
        <f t="shared" si="174"/>
        <v>0</v>
      </c>
      <c r="L300" s="34"/>
      <c r="M300" s="16"/>
      <c r="N300" s="16"/>
      <c r="O300" s="17"/>
      <c r="P300" s="18">
        <f t="shared" si="147"/>
        <v>0</v>
      </c>
      <c r="Q300" s="34"/>
      <c r="R300" s="16"/>
      <c r="S300" s="16"/>
      <c r="T300" s="17"/>
      <c r="U300" s="18">
        <f t="shared" si="148"/>
        <v>0</v>
      </c>
      <c r="V300" s="34"/>
      <c r="W300" s="16"/>
      <c r="X300" s="16"/>
      <c r="Y300" s="17"/>
      <c r="Z300" s="18">
        <f t="shared" si="149"/>
        <v>0</v>
      </c>
      <c r="AA300" s="34"/>
      <c r="AB300" s="16"/>
      <c r="AC300" s="16"/>
      <c r="AD300" s="17"/>
      <c r="AE300" s="18">
        <f t="shared" si="150"/>
        <v>0</v>
      </c>
      <c r="AF300" s="34">
        <v>475</v>
      </c>
      <c r="AG300" s="16"/>
      <c r="AH300" s="16"/>
      <c r="AI300" s="17"/>
      <c r="AJ300" s="18">
        <f t="shared" si="151"/>
        <v>475</v>
      </c>
      <c r="AK300" s="34">
        <v>405</v>
      </c>
      <c r="AL300" s="16"/>
      <c r="AM300" s="16"/>
      <c r="AN300" s="17"/>
      <c r="AO300" s="18">
        <f t="shared" si="152"/>
        <v>405</v>
      </c>
      <c r="AP300" s="34"/>
      <c r="AQ300" s="16"/>
      <c r="AR300" s="16"/>
      <c r="AS300" s="17"/>
      <c r="AT300" s="18">
        <f t="shared" si="153"/>
        <v>0</v>
      </c>
      <c r="AU300" s="34"/>
      <c r="AV300" s="16"/>
      <c r="AW300" s="16"/>
      <c r="AX300" s="17"/>
      <c r="AY300" s="18">
        <f t="shared" si="154"/>
        <v>0</v>
      </c>
      <c r="AZ300" s="34"/>
      <c r="BA300" s="16"/>
      <c r="BB300" s="16"/>
      <c r="BC300" s="17"/>
      <c r="BD300" s="18">
        <f t="shared" si="155"/>
        <v>0</v>
      </c>
      <c r="BE300" s="34">
        <v>272</v>
      </c>
      <c r="BF300" s="16"/>
      <c r="BG300" s="16"/>
      <c r="BH300" s="17"/>
      <c r="BI300" s="18">
        <f t="shared" si="156"/>
        <v>272</v>
      </c>
      <c r="BJ300" s="34">
        <v>202</v>
      </c>
      <c r="BK300" s="16"/>
      <c r="BL300" s="16"/>
      <c r="BM300" s="17"/>
      <c r="BN300" s="18">
        <f t="shared" si="157"/>
        <v>202</v>
      </c>
      <c r="BO300" s="70">
        <f>SUM(G300,L300,Q300,V300,AA300,AF300,AK300,AP300,AU300,AZ300,BE300,BJ300)</f>
        <v>1354</v>
      </c>
      <c r="BP300" s="16">
        <f>SUM(H300,M300,R300,W300,AB300,AG300,AL300,AQ300,AV300,BA300,BF300,BK300)</f>
        <v>0</v>
      </c>
      <c r="BQ300" s="16">
        <f>SUM(I300,N300,S300,X300,AC300,AH300,AM300,AR300,AW300,BB300,BG300,BL300)</f>
        <v>0</v>
      </c>
      <c r="BR300" s="17">
        <f>SUM(J300,O300,T300,Y300,AD300,AI300,AN300,AS300,AX300,BC300,BH300,BM300)</f>
        <v>0</v>
      </c>
      <c r="BS300" s="35">
        <f t="shared" si="159"/>
        <v>1354</v>
      </c>
    </row>
    <row r="301" spans="2:71" x14ac:dyDescent="0.3">
      <c r="B301" s="269"/>
      <c r="C301" s="230"/>
      <c r="D301" s="250"/>
      <c r="E301" s="250"/>
      <c r="F301" s="123" t="s">
        <v>728</v>
      </c>
      <c r="G301" s="49"/>
      <c r="H301" s="50"/>
      <c r="I301" s="50"/>
      <c r="J301" s="51"/>
      <c r="K301" s="52">
        <f t="shared" si="174"/>
        <v>0</v>
      </c>
      <c r="L301" s="49"/>
      <c r="M301" s="50"/>
      <c r="N301" s="50"/>
      <c r="O301" s="51"/>
      <c r="P301" s="52">
        <f t="shared" si="147"/>
        <v>0</v>
      </c>
      <c r="Q301" s="49"/>
      <c r="R301" s="50"/>
      <c r="S301" s="50"/>
      <c r="T301" s="51"/>
      <c r="U301" s="52">
        <f t="shared" si="148"/>
        <v>0</v>
      </c>
      <c r="V301" s="49">
        <v>135</v>
      </c>
      <c r="W301" s="50"/>
      <c r="X301" s="50"/>
      <c r="Y301" s="51"/>
      <c r="Z301" s="52">
        <f t="shared" si="149"/>
        <v>135</v>
      </c>
      <c r="AA301" s="49">
        <v>51</v>
      </c>
      <c r="AB301" s="50"/>
      <c r="AC301" s="50"/>
      <c r="AD301" s="51"/>
      <c r="AE301" s="52">
        <f t="shared" si="150"/>
        <v>51</v>
      </c>
      <c r="AF301" s="49"/>
      <c r="AG301" s="50"/>
      <c r="AH301" s="50"/>
      <c r="AI301" s="51"/>
      <c r="AJ301" s="52">
        <f t="shared" si="151"/>
        <v>0</v>
      </c>
      <c r="AK301" s="49"/>
      <c r="AL301" s="50"/>
      <c r="AM301" s="50"/>
      <c r="AN301" s="51"/>
      <c r="AO301" s="52">
        <f t="shared" si="152"/>
        <v>0</v>
      </c>
      <c r="AP301" s="49"/>
      <c r="AQ301" s="50"/>
      <c r="AR301" s="50"/>
      <c r="AS301" s="51"/>
      <c r="AT301" s="52">
        <f t="shared" si="153"/>
        <v>0</v>
      </c>
      <c r="AU301" s="49"/>
      <c r="AV301" s="50"/>
      <c r="AW301" s="50"/>
      <c r="AX301" s="51"/>
      <c r="AY301" s="52">
        <f t="shared" si="154"/>
        <v>0</v>
      </c>
      <c r="AZ301" s="49"/>
      <c r="BA301" s="50"/>
      <c r="BB301" s="50"/>
      <c r="BC301" s="51"/>
      <c r="BD301" s="52">
        <f t="shared" si="155"/>
        <v>0</v>
      </c>
      <c r="BE301" s="49"/>
      <c r="BF301" s="50"/>
      <c r="BG301" s="50"/>
      <c r="BH301" s="51"/>
      <c r="BI301" s="52">
        <f t="shared" si="156"/>
        <v>0</v>
      </c>
      <c r="BJ301" s="49"/>
      <c r="BK301" s="50"/>
      <c r="BL301" s="50"/>
      <c r="BM301" s="51"/>
      <c r="BN301" s="52">
        <f t="shared" si="157"/>
        <v>0</v>
      </c>
      <c r="BO301" s="167">
        <f>SUM(G301,L301,Q301,V301,AA301,AF301,AK301,AP301,AU301,AZ301,BE301,BJ301)</f>
        <v>186</v>
      </c>
      <c r="BP301" s="50">
        <f>SUM(H301,M301,R301,W301,AB301,AG301,AL301,AQ301,AV301,BA301,BF301,BK301)</f>
        <v>0</v>
      </c>
      <c r="BQ301" s="50">
        <f>SUM(I301,N301,S301,X301,AC301,AH301,AM301,AR301,AW301,BB301,BG301,BL301)</f>
        <v>0</v>
      </c>
      <c r="BR301" s="51">
        <f>SUM(J301,O301,T301,Y301,AD301,AI301,AN301,AS301,AX301,BC301,BH301,BM301)</f>
        <v>0</v>
      </c>
      <c r="BS301" s="53">
        <f t="shared" si="159"/>
        <v>186</v>
      </c>
    </row>
    <row r="302" spans="2:71" x14ac:dyDescent="0.3">
      <c r="B302" s="269"/>
      <c r="C302" s="230"/>
      <c r="D302" s="250"/>
      <c r="E302" s="250"/>
      <c r="F302" s="123" t="s">
        <v>729</v>
      </c>
      <c r="G302" s="34"/>
      <c r="H302" s="16"/>
      <c r="I302" s="16"/>
      <c r="J302" s="17"/>
      <c r="K302" s="18">
        <f t="shared" si="174"/>
        <v>0</v>
      </c>
      <c r="L302" s="34"/>
      <c r="M302" s="16"/>
      <c r="N302" s="16"/>
      <c r="O302" s="17"/>
      <c r="P302" s="18">
        <f t="shared" si="147"/>
        <v>0</v>
      </c>
      <c r="Q302" s="34"/>
      <c r="R302" s="16"/>
      <c r="S302" s="16"/>
      <c r="T302" s="17"/>
      <c r="U302" s="18">
        <f t="shared" si="148"/>
        <v>0</v>
      </c>
      <c r="V302" s="34"/>
      <c r="W302" s="16"/>
      <c r="X302" s="16"/>
      <c r="Y302" s="17"/>
      <c r="Z302" s="18">
        <f t="shared" si="149"/>
        <v>0</v>
      </c>
      <c r="AA302" s="34"/>
      <c r="AB302" s="16"/>
      <c r="AC302" s="16">
        <v>2029</v>
      </c>
      <c r="AD302" s="17"/>
      <c r="AE302" s="18">
        <f t="shared" si="150"/>
        <v>2029</v>
      </c>
      <c r="AF302" s="34"/>
      <c r="AG302" s="16"/>
      <c r="AH302" s="16">
        <v>1106</v>
      </c>
      <c r="AI302" s="17"/>
      <c r="AJ302" s="18">
        <f t="shared" si="151"/>
        <v>1106</v>
      </c>
      <c r="AK302" s="34"/>
      <c r="AL302" s="16"/>
      <c r="AM302" s="16">
        <v>544</v>
      </c>
      <c r="AN302" s="17"/>
      <c r="AO302" s="18">
        <f t="shared" si="152"/>
        <v>544</v>
      </c>
      <c r="AP302" s="34"/>
      <c r="AQ302" s="16"/>
      <c r="AR302" s="16">
        <v>901</v>
      </c>
      <c r="AS302" s="17"/>
      <c r="AT302" s="18">
        <f t="shared" si="153"/>
        <v>901</v>
      </c>
      <c r="AU302" s="34"/>
      <c r="AV302" s="16"/>
      <c r="AW302" s="16">
        <v>525</v>
      </c>
      <c r="AX302" s="17"/>
      <c r="AY302" s="18">
        <f t="shared" si="154"/>
        <v>525</v>
      </c>
      <c r="AZ302" s="34"/>
      <c r="BA302" s="16"/>
      <c r="BB302" s="16">
        <v>602</v>
      </c>
      <c r="BC302" s="17"/>
      <c r="BD302" s="18">
        <f t="shared" si="155"/>
        <v>602</v>
      </c>
      <c r="BE302" s="34"/>
      <c r="BF302" s="16"/>
      <c r="BG302" s="16">
        <v>454</v>
      </c>
      <c r="BH302" s="17"/>
      <c r="BI302" s="18">
        <f t="shared" si="156"/>
        <v>454</v>
      </c>
      <c r="BJ302" s="34"/>
      <c r="BK302" s="16"/>
      <c r="BL302" s="16">
        <v>64</v>
      </c>
      <c r="BM302" s="17"/>
      <c r="BN302" s="18">
        <f t="shared" si="157"/>
        <v>64</v>
      </c>
      <c r="BO302" s="70">
        <f>SUM(G302,L302,Q302,V302,AA302,AF302,AK302,AP302,AU302,AZ302,BE302,BJ302)</f>
        <v>0</v>
      </c>
      <c r="BP302" s="16">
        <f>SUM(H302,M302,R302,W302,AB302,AG302,AL302,AQ302,AV302,BA302,BF302,BK302)</f>
        <v>0</v>
      </c>
      <c r="BQ302" s="16">
        <f>SUM(I302,N302,S302,X302,AC302,AH302,AM302,AR302,AW302,BB302,BG302,BL302)</f>
        <v>6225</v>
      </c>
      <c r="BR302" s="17">
        <f>SUM(J302,O302,T302,Y302,AD302,AI302,AN302,AS302,AX302,BC302,BH302,BM302)</f>
        <v>0</v>
      </c>
      <c r="BS302" s="35">
        <f t="shared" si="159"/>
        <v>6225</v>
      </c>
    </row>
    <row r="303" spans="2:71" x14ac:dyDescent="0.3">
      <c r="B303" s="269"/>
      <c r="C303" s="230"/>
      <c r="D303" s="250"/>
      <c r="E303" s="250"/>
      <c r="F303" s="123" t="s">
        <v>730</v>
      </c>
      <c r="G303" s="34">
        <v>2230</v>
      </c>
      <c r="H303" s="16"/>
      <c r="I303" s="16"/>
      <c r="J303" s="17"/>
      <c r="K303" s="18">
        <f t="shared" si="174"/>
        <v>2230</v>
      </c>
      <c r="L303" s="34">
        <v>1993</v>
      </c>
      <c r="M303" s="16"/>
      <c r="N303" s="16"/>
      <c r="O303" s="17"/>
      <c r="P303" s="18">
        <f t="shared" si="147"/>
        <v>1993</v>
      </c>
      <c r="Q303" s="34">
        <v>2509</v>
      </c>
      <c r="R303" s="16"/>
      <c r="S303" s="16"/>
      <c r="T303" s="17"/>
      <c r="U303" s="18">
        <f t="shared" si="148"/>
        <v>2509</v>
      </c>
      <c r="V303" s="34">
        <v>2764</v>
      </c>
      <c r="W303" s="16"/>
      <c r="X303" s="16"/>
      <c r="Y303" s="17"/>
      <c r="Z303" s="18">
        <f t="shared" si="149"/>
        <v>2764</v>
      </c>
      <c r="AA303" s="34">
        <v>5439</v>
      </c>
      <c r="AB303" s="16"/>
      <c r="AC303" s="16"/>
      <c r="AD303" s="17"/>
      <c r="AE303" s="18">
        <f t="shared" si="150"/>
        <v>5439</v>
      </c>
      <c r="AF303" s="34">
        <v>2979</v>
      </c>
      <c r="AG303" s="16"/>
      <c r="AH303" s="16"/>
      <c r="AI303" s="17"/>
      <c r="AJ303" s="18">
        <f t="shared" si="151"/>
        <v>2979</v>
      </c>
      <c r="AK303" s="34">
        <v>8</v>
      </c>
      <c r="AL303" s="16"/>
      <c r="AM303" s="16"/>
      <c r="AN303" s="17"/>
      <c r="AO303" s="18">
        <f t="shared" si="152"/>
        <v>8</v>
      </c>
      <c r="AP303" s="34"/>
      <c r="AQ303" s="16"/>
      <c r="AR303" s="16"/>
      <c r="AS303" s="17"/>
      <c r="AT303" s="18">
        <f t="shared" si="153"/>
        <v>0</v>
      </c>
      <c r="AU303" s="34">
        <v>1229</v>
      </c>
      <c r="AV303" s="16"/>
      <c r="AW303" s="16"/>
      <c r="AX303" s="17"/>
      <c r="AY303" s="18">
        <f t="shared" si="154"/>
        <v>1229</v>
      </c>
      <c r="AZ303" s="34">
        <v>3421</v>
      </c>
      <c r="BA303" s="16"/>
      <c r="BB303" s="16"/>
      <c r="BC303" s="17"/>
      <c r="BD303" s="18">
        <f t="shared" si="155"/>
        <v>3421</v>
      </c>
      <c r="BE303" s="34">
        <v>1840</v>
      </c>
      <c r="BF303" s="16"/>
      <c r="BG303" s="16"/>
      <c r="BH303" s="17"/>
      <c r="BI303" s="18">
        <f t="shared" si="156"/>
        <v>1840</v>
      </c>
      <c r="BJ303" s="34">
        <v>584</v>
      </c>
      <c r="BK303" s="16"/>
      <c r="BL303" s="16"/>
      <c r="BM303" s="17"/>
      <c r="BN303" s="18">
        <f t="shared" si="157"/>
        <v>584</v>
      </c>
      <c r="BO303" s="70">
        <f>SUM(G303,L303,Q303,V303,AA303,AF303,AK303,AP303,AU303,AZ303,BE303,BJ303)</f>
        <v>24996</v>
      </c>
      <c r="BP303" s="16">
        <f>SUM(H303,M303,R303,W303,AB303,AG303,AL303,AQ303,AV303,BA303,BF303,BK303)</f>
        <v>0</v>
      </c>
      <c r="BQ303" s="16">
        <f>SUM(I303,N303,S303,X303,AC303,AH303,AM303,AR303,AW303,BB303,BG303,BL303)</f>
        <v>0</v>
      </c>
      <c r="BR303" s="17">
        <f>SUM(J303,O303,T303,Y303,AD303,AI303,AN303,AS303,AX303,BC303,BH303,BM303)</f>
        <v>0</v>
      </c>
      <c r="BS303" s="35">
        <f t="shared" si="159"/>
        <v>24996</v>
      </c>
    </row>
    <row r="304" spans="2:71" x14ac:dyDescent="0.3">
      <c r="B304" s="269"/>
      <c r="C304" s="230"/>
      <c r="D304" s="250"/>
      <c r="E304" s="250"/>
      <c r="F304" s="123" t="s">
        <v>731</v>
      </c>
      <c r="G304" s="34"/>
      <c r="H304" s="16"/>
      <c r="I304" s="16"/>
      <c r="J304" s="17"/>
      <c r="K304" s="18">
        <f t="shared" si="174"/>
        <v>0</v>
      </c>
      <c r="L304" s="34"/>
      <c r="M304" s="16"/>
      <c r="N304" s="16"/>
      <c r="O304" s="17"/>
      <c r="P304" s="18">
        <f t="shared" si="147"/>
        <v>0</v>
      </c>
      <c r="Q304" s="34"/>
      <c r="R304" s="16"/>
      <c r="S304" s="16"/>
      <c r="T304" s="17"/>
      <c r="U304" s="18">
        <f t="shared" si="148"/>
        <v>0</v>
      </c>
      <c r="V304" s="34"/>
      <c r="W304" s="16"/>
      <c r="X304" s="16"/>
      <c r="Y304" s="17"/>
      <c r="Z304" s="18">
        <f t="shared" si="149"/>
        <v>0</v>
      </c>
      <c r="AA304" s="34"/>
      <c r="AB304" s="16"/>
      <c r="AC304" s="16"/>
      <c r="AD304" s="17"/>
      <c r="AE304" s="18">
        <f t="shared" si="150"/>
        <v>0</v>
      </c>
      <c r="AF304" s="34">
        <v>165</v>
      </c>
      <c r="AG304" s="16"/>
      <c r="AH304" s="16"/>
      <c r="AI304" s="17"/>
      <c r="AJ304" s="18">
        <f t="shared" si="151"/>
        <v>165</v>
      </c>
      <c r="AK304" s="34">
        <v>1138</v>
      </c>
      <c r="AL304" s="16"/>
      <c r="AM304" s="16"/>
      <c r="AN304" s="17"/>
      <c r="AO304" s="18">
        <f t="shared" si="152"/>
        <v>1138</v>
      </c>
      <c r="AP304" s="34">
        <v>2482</v>
      </c>
      <c r="AQ304" s="16"/>
      <c r="AR304" s="16"/>
      <c r="AS304" s="17"/>
      <c r="AT304" s="18">
        <f t="shared" si="153"/>
        <v>2482</v>
      </c>
      <c r="AU304" s="34"/>
      <c r="AV304" s="16"/>
      <c r="AW304" s="16"/>
      <c r="AX304" s="17"/>
      <c r="AY304" s="18">
        <f t="shared" si="154"/>
        <v>0</v>
      </c>
      <c r="AZ304" s="34"/>
      <c r="BA304" s="16"/>
      <c r="BB304" s="16"/>
      <c r="BC304" s="17"/>
      <c r="BD304" s="18">
        <f t="shared" si="155"/>
        <v>0</v>
      </c>
      <c r="BE304" s="34"/>
      <c r="BF304" s="16"/>
      <c r="BG304" s="16"/>
      <c r="BH304" s="17"/>
      <c r="BI304" s="18">
        <f t="shared" si="156"/>
        <v>0</v>
      </c>
      <c r="BJ304" s="34"/>
      <c r="BK304" s="16"/>
      <c r="BL304" s="16"/>
      <c r="BM304" s="17"/>
      <c r="BN304" s="18">
        <f t="shared" si="157"/>
        <v>0</v>
      </c>
      <c r="BO304" s="70">
        <f>SUM(G304,L304,Q304,V304,AA304,AF304,AK304,AP304,AU304,AZ304,BE304,BJ304)</f>
        <v>3785</v>
      </c>
      <c r="BP304" s="16">
        <f>SUM(H304,M304,R304,W304,AB304,AG304,AL304,AQ304,AV304,BA304,BF304,BK304)</f>
        <v>0</v>
      </c>
      <c r="BQ304" s="16">
        <f>SUM(I304,N304,S304,X304,AC304,AH304,AM304,AR304,AW304,BB304,BG304,BL304)</f>
        <v>0</v>
      </c>
      <c r="BR304" s="17">
        <f>SUM(J304,O304,T304,Y304,AD304,AI304,AN304,AS304,AX304,BC304,BH304,BM304)</f>
        <v>0</v>
      </c>
      <c r="BS304" s="35">
        <f t="shared" si="159"/>
        <v>3785</v>
      </c>
    </row>
    <row r="305" spans="2:71" x14ac:dyDescent="0.3">
      <c r="B305" s="269"/>
      <c r="C305" s="230"/>
      <c r="D305" s="250"/>
      <c r="E305" s="250"/>
      <c r="F305" s="123" t="s">
        <v>732</v>
      </c>
      <c r="G305" s="34">
        <v>53</v>
      </c>
      <c r="H305" s="16"/>
      <c r="I305" s="16"/>
      <c r="J305" s="17"/>
      <c r="K305" s="18">
        <f t="shared" si="174"/>
        <v>53</v>
      </c>
      <c r="L305" s="34"/>
      <c r="M305" s="16"/>
      <c r="N305" s="16"/>
      <c r="O305" s="17"/>
      <c r="P305" s="18">
        <f t="shared" si="147"/>
        <v>0</v>
      </c>
      <c r="Q305" s="34"/>
      <c r="R305" s="16"/>
      <c r="S305" s="16"/>
      <c r="T305" s="17"/>
      <c r="U305" s="18">
        <f t="shared" si="148"/>
        <v>0</v>
      </c>
      <c r="V305" s="34"/>
      <c r="W305" s="16"/>
      <c r="X305" s="16"/>
      <c r="Y305" s="17"/>
      <c r="Z305" s="18">
        <f t="shared" si="149"/>
        <v>0</v>
      </c>
      <c r="AA305" s="34"/>
      <c r="AB305" s="16"/>
      <c r="AC305" s="16"/>
      <c r="AD305" s="17"/>
      <c r="AE305" s="18">
        <f t="shared" si="150"/>
        <v>0</v>
      </c>
      <c r="AF305" s="34"/>
      <c r="AG305" s="16"/>
      <c r="AH305" s="16"/>
      <c r="AI305" s="17"/>
      <c r="AJ305" s="18">
        <f t="shared" si="151"/>
        <v>0</v>
      </c>
      <c r="AK305" s="34"/>
      <c r="AL305" s="16"/>
      <c r="AM305" s="16"/>
      <c r="AN305" s="17"/>
      <c r="AO305" s="18">
        <f t="shared" si="152"/>
        <v>0</v>
      </c>
      <c r="AP305" s="34"/>
      <c r="AQ305" s="16"/>
      <c r="AR305" s="16"/>
      <c r="AS305" s="17"/>
      <c r="AT305" s="18">
        <f t="shared" si="153"/>
        <v>0</v>
      </c>
      <c r="AU305" s="34"/>
      <c r="AV305" s="16"/>
      <c r="AW305" s="16"/>
      <c r="AX305" s="17"/>
      <c r="AY305" s="18">
        <f t="shared" si="154"/>
        <v>0</v>
      </c>
      <c r="AZ305" s="34"/>
      <c r="BA305" s="16"/>
      <c r="BB305" s="16"/>
      <c r="BC305" s="17"/>
      <c r="BD305" s="18">
        <f t="shared" si="155"/>
        <v>0</v>
      </c>
      <c r="BE305" s="34"/>
      <c r="BF305" s="16"/>
      <c r="BG305" s="16"/>
      <c r="BH305" s="17"/>
      <c r="BI305" s="18">
        <f t="shared" si="156"/>
        <v>0</v>
      </c>
      <c r="BJ305" s="34"/>
      <c r="BK305" s="16"/>
      <c r="BL305" s="16"/>
      <c r="BM305" s="17"/>
      <c r="BN305" s="18">
        <f t="shared" si="157"/>
        <v>0</v>
      </c>
      <c r="BO305" s="70">
        <f>SUM(G305,L305,Q305,V305,AA305,AF305,AK305,AP305,AU305,AZ305,BE305,BJ305)</f>
        <v>53</v>
      </c>
      <c r="BP305" s="16">
        <f>SUM(H305,M305,R305,W305,AB305,AG305,AL305,AQ305,AV305,BA305,BF305,BK305)</f>
        <v>0</v>
      </c>
      <c r="BQ305" s="16">
        <f>SUM(I305,N305,S305,X305,AC305,AH305,AM305,AR305,AW305,BB305,BG305,BL305)</f>
        <v>0</v>
      </c>
      <c r="BR305" s="17">
        <f>SUM(J305,O305,T305,Y305,AD305,AI305,AN305,AS305,AX305,BC305,BH305,BM305)</f>
        <v>0</v>
      </c>
      <c r="BS305" s="35">
        <f t="shared" si="159"/>
        <v>53</v>
      </c>
    </row>
    <row r="306" spans="2:71" x14ac:dyDescent="0.3">
      <c r="B306" s="269"/>
      <c r="C306" s="230"/>
      <c r="D306" s="250"/>
      <c r="E306" s="250"/>
      <c r="F306" s="123" t="s">
        <v>733</v>
      </c>
      <c r="G306" s="34">
        <f>285+1145</f>
        <v>1430</v>
      </c>
      <c r="H306" s="16"/>
      <c r="I306" s="16"/>
      <c r="J306" s="17"/>
      <c r="K306" s="18">
        <f t="shared" si="174"/>
        <v>1430</v>
      </c>
      <c r="L306" s="34">
        <v>128</v>
      </c>
      <c r="M306" s="16"/>
      <c r="N306" s="16"/>
      <c r="O306" s="17"/>
      <c r="P306" s="18">
        <f t="shared" si="147"/>
        <v>128</v>
      </c>
      <c r="Q306" s="34"/>
      <c r="R306" s="16"/>
      <c r="S306" s="16"/>
      <c r="T306" s="17"/>
      <c r="U306" s="18">
        <f t="shared" si="148"/>
        <v>0</v>
      </c>
      <c r="V306" s="34">
        <v>351</v>
      </c>
      <c r="W306" s="16"/>
      <c r="X306" s="16"/>
      <c r="Y306" s="17"/>
      <c r="Z306" s="18">
        <f t="shared" si="149"/>
        <v>351</v>
      </c>
      <c r="AA306" s="34">
        <f>119</f>
        <v>119</v>
      </c>
      <c r="AB306" s="16"/>
      <c r="AC306" s="16"/>
      <c r="AD306" s="17"/>
      <c r="AE306" s="18">
        <f t="shared" si="150"/>
        <v>119</v>
      </c>
      <c r="AF306" s="34"/>
      <c r="AG306" s="16"/>
      <c r="AH306" s="16"/>
      <c r="AI306" s="17"/>
      <c r="AJ306" s="18">
        <f t="shared" si="151"/>
        <v>0</v>
      </c>
      <c r="AK306" s="34"/>
      <c r="AL306" s="16"/>
      <c r="AM306" s="16"/>
      <c r="AN306" s="17"/>
      <c r="AO306" s="18">
        <f t="shared" si="152"/>
        <v>0</v>
      </c>
      <c r="AP306" s="34"/>
      <c r="AQ306" s="16"/>
      <c r="AR306" s="16"/>
      <c r="AS306" s="17"/>
      <c r="AT306" s="18">
        <f t="shared" si="153"/>
        <v>0</v>
      </c>
      <c r="AU306" s="34">
        <v>816</v>
      </c>
      <c r="AV306" s="16"/>
      <c r="AW306" s="16"/>
      <c r="AX306" s="17"/>
      <c r="AY306" s="18">
        <f t="shared" si="154"/>
        <v>816</v>
      </c>
      <c r="AZ306" s="34">
        <v>4729</v>
      </c>
      <c r="BA306" s="16"/>
      <c r="BB306" s="16"/>
      <c r="BC306" s="17"/>
      <c r="BD306" s="18">
        <f t="shared" si="155"/>
        <v>4729</v>
      </c>
      <c r="BE306" s="34">
        <v>1757</v>
      </c>
      <c r="BF306" s="16"/>
      <c r="BG306" s="16"/>
      <c r="BH306" s="17"/>
      <c r="BI306" s="18">
        <f t="shared" si="156"/>
        <v>1757</v>
      </c>
      <c r="BJ306" s="34">
        <v>120</v>
      </c>
      <c r="BK306" s="16"/>
      <c r="BL306" s="16"/>
      <c r="BM306" s="17"/>
      <c r="BN306" s="18">
        <f t="shared" si="157"/>
        <v>120</v>
      </c>
      <c r="BO306" s="70">
        <f>SUM(G306,L306,Q306,V306,AA306,AF306,AK306,AP306,AU306,AZ306,BE306,BJ306)</f>
        <v>9450</v>
      </c>
      <c r="BP306" s="16">
        <f>SUM(H306,M306,R306,W306,AB306,AG306,AL306,AQ306,AV306,BA306,BF306,BK306)</f>
        <v>0</v>
      </c>
      <c r="BQ306" s="16">
        <f>SUM(I306,N306,S306,X306,AC306,AH306,AM306,AR306,AW306,BB306,BG306,BL306)</f>
        <v>0</v>
      </c>
      <c r="BR306" s="17">
        <f>SUM(J306,O306,T306,Y306,AD306,AI306,AN306,AS306,AX306,BC306,BH306,BM306)</f>
        <v>0</v>
      </c>
      <c r="BS306" s="35">
        <f t="shared" si="159"/>
        <v>9450</v>
      </c>
    </row>
    <row r="307" spans="2:71" x14ac:dyDescent="0.3">
      <c r="B307" s="269"/>
      <c r="C307" s="230"/>
      <c r="D307" s="250"/>
      <c r="E307" s="250"/>
      <c r="F307" s="123" t="s">
        <v>734</v>
      </c>
      <c r="G307" s="34"/>
      <c r="H307" s="16"/>
      <c r="I307" s="16"/>
      <c r="J307" s="17"/>
      <c r="K307" s="18">
        <f t="shared" ref="K307" si="175">SUM(G307:J307)</f>
        <v>0</v>
      </c>
      <c r="L307" s="34"/>
      <c r="M307" s="16"/>
      <c r="N307" s="16"/>
      <c r="O307" s="17"/>
      <c r="P307" s="18">
        <f t="shared" ref="P307" si="176">SUM(L307:O307)</f>
        <v>0</v>
      </c>
      <c r="Q307" s="34"/>
      <c r="R307" s="16"/>
      <c r="S307" s="16"/>
      <c r="T307" s="17"/>
      <c r="U307" s="18">
        <f t="shared" ref="U307" si="177">SUM(Q307:T307)</f>
        <v>0</v>
      </c>
      <c r="V307" s="34"/>
      <c r="W307" s="16"/>
      <c r="X307" s="16"/>
      <c r="Y307" s="17"/>
      <c r="Z307" s="18">
        <f t="shared" ref="Z307" si="178">SUM(V307:Y307)</f>
        <v>0</v>
      </c>
      <c r="AA307" s="34"/>
      <c r="AB307" s="16"/>
      <c r="AC307" s="16"/>
      <c r="AD307" s="17"/>
      <c r="AE307" s="18">
        <f t="shared" ref="AE307" si="179">SUM(AA307:AD307)</f>
        <v>0</v>
      </c>
      <c r="AF307" s="34">
        <v>819</v>
      </c>
      <c r="AG307" s="16"/>
      <c r="AH307" s="16"/>
      <c r="AI307" s="17"/>
      <c r="AJ307" s="18">
        <f t="shared" ref="AJ307" si="180">SUM(AF307:AI307)</f>
        <v>819</v>
      </c>
      <c r="AK307" s="34">
        <v>220</v>
      </c>
      <c r="AL307" s="16"/>
      <c r="AM307" s="16"/>
      <c r="AN307" s="17"/>
      <c r="AO307" s="18">
        <f t="shared" ref="AO307" si="181">SUM(AK307:AN307)</f>
        <v>220</v>
      </c>
      <c r="AP307" s="34">
        <v>424</v>
      </c>
      <c r="AQ307" s="16"/>
      <c r="AR307" s="16"/>
      <c r="AS307" s="17"/>
      <c r="AT307" s="18">
        <f t="shared" ref="AT307" si="182">SUM(AP307:AS307)</f>
        <v>424</v>
      </c>
      <c r="AU307" s="34"/>
      <c r="AV307" s="16"/>
      <c r="AW307" s="16"/>
      <c r="AX307" s="17"/>
      <c r="AY307" s="18">
        <f t="shared" ref="AY307" si="183">SUM(AU307:AX307)</f>
        <v>0</v>
      </c>
      <c r="AZ307" s="34"/>
      <c r="BA307" s="16"/>
      <c r="BB307" s="16"/>
      <c r="BC307" s="17"/>
      <c r="BD307" s="18">
        <f t="shared" ref="BD307" si="184">SUM(AZ307:BC307)</f>
        <v>0</v>
      </c>
      <c r="BE307" s="34">
        <v>202</v>
      </c>
      <c r="BF307" s="16"/>
      <c r="BG307" s="16"/>
      <c r="BH307" s="17"/>
      <c r="BI307" s="18">
        <f t="shared" ref="BI307" si="185">SUM(BE307:BH307)</f>
        <v>202</v>
      </c>
      <c r="BJ307" s="34">
        <v>69</v>
      </c>
      <c r="BK307" s="16"/>
      <c r="BL307" s="16"/>
      <c r="BM307" s="17"/>
      <c r="BN307" s="18">
        <f t="shared" ref="BN307" si="186">SUM(BJ307:BM307)</f>
        <v>69</v>
      </c>
      <c r="BO307" s="70">
        <f>SUM(G307,L307,Q307,V307,AA307,AF307,AK307,AP307,AU307,AZ307,BE307,BJ307)</f>
        <v>1734</v>
      </c>
      <c r="BP307" s="16">
        <f>SUM(H307,M307,R307,W307,AB307,AG307,AL307,AQ307,AV307,BA307,BF307,BK307)</f>
        <v>0</v>
      </c>
      <c r="BQ307" s="16">
        <f>SUM(I307,N307,S307,X307,AC307,AH307,AM307,AR307,AW307,BB307,BG307,BL307)</f>
        <v>0</v>
      </c>
      <c r="BR307" s="17">
        <f>SUM(J307,O307,T307,Y307,AD307,AI307,AN307,AS307,AX307,BC307,BH307,BM307)</f>
        <v>0</v>
      </c>
      <c r="BS307" s="35">
        <f t="shared" si="159"/>
        <v>1734</v>
      </c>
    </row>
    <row r="308" spans="2:71" x14ac:dyDescent="0.3">
      <c r="B308" s="269"/>
      <c r="C308" s="230"/>
      <c r="D308" s="250"/>
      <c r="E308" s="250"/>
      <c r="F308" s="133" t="s">
        <v>735</v>
      </c>
      <c r="G308" s="49"/>
      <c r="H308" s="50"/>
      <c r="I308" s="50"/>
      <c r="J308" s="51"/>
      <c r="K308" s="52">
        <f t="shared" ref="K308:K371" si="187">SUM(G308:J308)</f>
        <v>0</v>
      </c>
      <c r="L308" s="49"/>
      <c r="M308" s="50"/>
      <c r="N308" s="50"/>
      <c r="O308" s="51"/>
      <c r="P308" s="52">
        <f t="shared" ref="P308:P371" si="188">SUM(L308:O308)</f>
        <v>0</v>
      </c>
      <c r="Q308" s="49"/>
      <c r="R308" s="50"/>
      <c r="S308" s="50"/>
      <c r="T308" s="51"/>
      <c r="U308" s="52">
        <f t="shared" ref="U308:U371" si="189">SUM(Q308:T308)</f>
        <v>0</v>
      </c>
      <c r="V308" s="49">
        <v>388</v>
      </c>
      <c r="W308" s="50"/>
      <c r="X308" s="50"/>
      <c r="Y308" s="51"/>
      <c r="Z308" s="52">
        <f t="shared" ref="Z308:Z371" si="190">SUM(V308:Y308)</f>
        <v>388</v>
      </c>
      <c r="AA308" s="49">
        <f>2746</f>
        <v>2746</v>
      </c>
      <c r="AB308" s="50"/>
      <c r="AC308" s="50"/>
      <c r="AD308" s="51"/>
      <c r="AE308" s="52">
        <f t="shared" ref="AE308:AE371" si="191">SUM(AA308:AD308)</f>
        <v>2746</v>
      </c>
      <c r="AF308" s="49">
        <v>1125</v>
      </c>
      <c r="AG308" s="50"/>
      <c r="AH308" s="50"/>
      <c r="AI308" s="51"/>
      <c r="AJ308" s="52">
        <f t="shared" ref="AJ308:AJ370" si="192">SUM(AF308:AI308)</f>
        <v>1125</v>
      </c>
      <c r="AK308" s="49"/>
      <c r="AL308" s="50"/>
      <c r="AM308" s="50"/>
      <c r="AN308" s="51"/>
      <c r="AO308" s="52">
        <f t="shared" ref="AO308:AO370" si="193">SUM(AK308:AN308)</f>
        <v>0</v>
      </c>
      <c r="AP308" s="49"/>
      <c r="AQ308" s="50"/>
      <c r="AR308" s="50"/>
      <c r="AS308" s="51"/>
      <c r="AT308" s="52">
        <f t="shared" ref="AT308:AT370" si="194">SUM(AP308:AS308)</f>
        <v>0</v>
      </c>
      <c r="AU308" s="49">
        <v>394</v>
      </c>
      <c r="AV308" s="50"/>
      <c r="AW308" s="50"/>
      <c r="AX308" s="51"/>
      <c r="AY308" s="52">
        <f t="shared" ref="AY308:AY370" si="195">SUM(AU308:AX308)</f>
        <v>394</v>
      </c>
      <c r="AZ308" s="49">
        <v>744</v>
      </c>
      <c r="BA308" s="50"/>
      <c r="BB308" s="50"/>
      <c r="BC308" s="51"/>
      <c r="BD308" s="52">
        <f t="shared" ref="BD308:BD370" si="196">SUM(AZ308:BC308)</f>
        <v>744</v>
      </c>
      <c r="BE308" s="49">
        <v>224</v>
      </c>
      <c r="BF308" s="50"/>
      <c r="BG308" s="50"/>
      <c r="BH308" s="51"/>
      <c r="BI308" s="52">
        <f t="shared" ref="BI308:BI370" si="197">SUM(BE308:BH308)</f>
        <v>224</v>
      </c>
      <c r="BJ308" s="49"/>
      <c r="BK308" s="50"/>
      <c r="BL308" s="50"/>
      <c r="BM308" s="51"/>
      <c r="BN308" s="52">
        <f t="shared" ref="BN308:BN370" si="198">SUM(BJ308:BM308)</f>
        <v>0</v>
      </c>
      <c r="BO308" s="167">
        <f>SUM(G308,L308,Q308,V308,AA308,AF308,AK308,AP308,AU308,AZ308,BE308,BJ308)</f>
        <v>5621</v>
      </c>
      <c r="BP308" s="50">
        <f>SUM(H308,M308,R308,W308,AB308,AG308,AL308,AQ308,AV308,BA308,BF308,BK308)</f>
        <v>0</v>
      </c>
      <c r="BQ308" s="50">
        <f>SUM(I308,N308,S308,X308,AC308,AH308,AM308,AR308,AW308,BB308,BG308,BL308)</f>
        <v>0</v>
      </c>
      <c r="BR308" s="51">
        <f>SUM(J308,O308,T308,Y308,AD308,AI308,AN308,AS308,AX308,BC308,BH308,BM308)</f>
        <v>0</v>
      </c>
      <c r="BS308" s="53">
        <f t="shared" si="159"/>
        <v>5621</v>
      </c>
    </row>
    <row r="309" spans="2:71" x14ac:dyDescent="0.3">
      <c r="B309" s="269"/>
      <c r="C309" s="230"/>
      <c r="D309" s="250"/>
      <c r="E309" s="250"/>
      <c r="F309" s="133" t="s">
        <v>736</v>
      </c>
      <c r="G309" s="49"/>
      <c r="H309" s="50"/>
      <c r="I309" s="50"/>
      <c r="J309" s="51"/>
      <c r="K309" s="52">
        <f t="shared" si="187"/>
        <v>0</v>
      </c>
      <c r="L309" s="49"/>
      <c r="M309" s="50"/>
      <c r="N309" s="50"/>
      <c r="O309" s="51"/>
      <c r="P309" s="52">
        <f t="shared" si="188"/>
        <v>0</v>
      </c>
      <c r="Q309" s="49"/>
      <c r="R309" s="50"/>
      <c r="S309" s="50"/>
      <c r="T309" s="51"/>
      <c r="U309" s="52">
        <f t="shared" si="189"/>
        <v>0</v>
      </c>
      <c r="V309" s="49"/>
      <c r="W309" s="50"/>
      <c r="X309" s="50"/>
      <c r="Y309" s="51"/>
      <c r="Z309" s="52">
        <f t="shared" si="190"/>
        <v>0</v>
      </c>
      <c r="AA309" s="49"/>
      <c r="AB309" s="50"/>
      <c r="AC309" s="50"/>
      <c r="AD309" s="51"/>
      <c r="AE309" s="52">
        <f t="shared" si="191"/>
        <v>0</v>
      </c>
      <c r="AF309" s="49">
        <v>107</v>
      </c>
      <c r="AG309" s="50"/>
      <c r="AH309" s="50"/>
      <c r="AI309" s="51"/>
      <c r="AJ309" s="52">
        <f t="shared" si="192"/>
        <v>107</v>
      </c>
      <c r="AK309" s="49">
        <v>338</v>
      </c>
      <c r="AL309" s="50"/>
      <c r="AM309" s="50"/>
      <c r="AN309" s="51"/>
      <c r="AO309" s="52">
        <f t="shared" si="193"/>
        <v>338</v>
      </c>
      <c r="AP309" s="49"/>
      <c r="AQ309" s="50"/>
      <c r="AR309" s="50"/>
      <c r="AS309" s="51"/>
      <c r="AT309" s="52">
        <f t="shared" si="194"/>
        <v>0</v>
      </c>
      <c r="AU309" s="49"/>
      <c r="AV309" s="50"/>
      <c r="AW309" s="50"/>
      <c r="AX309" s="51"/>
      <c r="AY309" s="52">
        <f t="shared" si="195"/>
        <v>0</v>
      </c>
      <c r="AZ309" s="49"/>
      <c r="BA309" s="50"/>
      <c r="BB309" s="50"/>
      <c r="BC309" s="51"/>
      <c r="BD309" s="52">
        <f t="shared" si="196"/>
        <v>0</v>
      </c>
      <c r="BE309" s="49"/>
      <c r="BF309" s="50"/>
      <c r="BG309" s="50"/>
      <c r="BH309" s="51"/>
      <c r="BI309" s="52">
        <f t="shared" si="197"/>
        <v>0</v>
      </c>
      <c r="BJ309" s="49">
        <v>293</v>
      </c>
      <c r="BK309" s="50"/>
      <c r="BL309" s="50"/>
      <c r="BM309" s="51"/>
      <c r="BN309" s="52">
        <f t="shared" si="198"/>
        <v>293</v>
      </c>
      <c r="BO309" s="167">
        <f>SUM(G309,L309,Q309,V309,AA309,AF309,AK309,AP309,AU309,AZ309,BE309,BJ309)</f>
        <v>738</v>
      </c>
      <c r="BP309" s="50">
        <f>SUM(H309,M309,R309,W309,AB309,AG309,AL309,AQ309,AV309,BA309,BF309,BK309)</f>
        <v>0</v>
      </c>
      <c r="BQ309" s="50">
        <f>SUM(I309,N309,S309,X309,AC309,AH309,AM309,AR309,AW309,BB309,BG309,BL309)</f>
        <v>0</v>
      </c>
      <c r="BR309" s="51">
        <f>SUM(J309,O309,T309,Y309,AD309,AI309,AN309,AS309,AX309,BC309,BH309,BM309)</f>
        <v>0</v>
      </c>
      <c r="BS309" s="53">
        <f t="shared" si="159"/>
        <v>738</v>
      </c>
    </row>
    <row r="310" spans="2:71" x14ac:dyDescent="0.3">
      <c r="B310" s="269"/>
      <c r="C310" s="230"/>
      <c r="D310" s="250"/>
      <c r="E310" s="250"/>
      <c r="F310" s="123" t="s">
        <v>737</v>
      </c>
      <c r="G310" s="49"/>
      <c r="H310" s="50"/>
      <c r="I310" s="50"/>
      <c r="J310" s="51"/>
      <c r="K310" s="52">
        <f t="shared" si="187"/>
        <v>0</v>
      </c>
      <c r="L310" s="49"/>
      <c r="M310" s="50"/>
      <c r="N310" s="50"/>
      <c r="O310" s="51"/>
      <c r="P310" s="52">
        <f t="shared" si="188"/>
        <v>0</v>
      </c>
      <c r="Q310" s="49"/>
      <c r="R310" s="50"/>
      <c r="S310" s="50"/>
      <c r="T310" s="51"/>
      <c r="U310" s="52">
        <f t="shared" si="189"/>
        <v>0</v>
      </c>
      <c r="V310" s="49">
        <v>301</v>
      </c>
      <c r="W310" s="50"/>
      <c r="X310" s="50"/>
      <c r="Y310" s="51"/>
      <c r="Z310" s="52">
        <f t="shared" si="190"/>
        <v>301</v>
      </c>
      <c r="AA310" s="49">
        <f>1165</f>
        <v>1165</v>
      </c>
      <c r="AB310" s="50"/>
      <c r="AC310" s="50"/>
      <c r="AD310" s="51"/>
      <c r="AE310" s="52">
        <f t="shared" si="191"/>
        <v>1165</v>
      </c>
      <c r="AF310" s="49">
        <v>298</v>
      </c>
      <c r="AG310" s="50"/>
      <c r="AH310" s="50"/>
      <c r="AI310" s="51"/>
      <c r="AJ310" s="52">
        <f t="shared" si="192"/>
        <v>298</v>
      </c>
      <c r="AK310" s="49"/>
      <c r="AL310" s="50"/>
      <c r="AM310" s="50"/>
      <c r="AN310" s="51"/>
      <c r="AO310" s="52">
        <f t="shared" si="193"/>
        <v>0</v>
      </c>
      <c r="AP310" s="49"/>
      <c r="AQ310" s="50"/>
      <c r="AR310" s="50"/>
      <c r="AS310" s="51"/>
      <c r="AT310" s="52">
        <f t="shared" si="194"/>
        <v>0</v>
      </c>
      <c r="AU310" s="49"/>
      <c r="AV310" s="50"/>
      <c r="AW310" s="50"/>
      <c r="AX310" s="51"/>
      <c r="AY310" s="52">
        <f t="shared" si="195"/>
        <v>0</v>
      </c>
      <c r="AZ310" s="49"/>
      <c r="BA310" s="50"/>
      <c r="BB310" s="50"/>
      <c r="BC310" s="51"/>
      <c r="BD310" s="52">
        <f t="shared" si="196"/>
        <v>0</v>
      </c>
      <c r="BE310" s="49"/>
      <c r="BF310" s="50"/>
      <c r="BG310" s="50"/>
      <c r="BH310" s="51"/>
      <c r="BI310" s="52">
        <f t="shared" si="197"/>
        <v>0</v>
      </c>
      <c r="BJ310" s="49"/>
      <c r="BK310" s="50"/>
      <c r="BL310" s="50"/>
      <c r="BM310" s="51"/>
      <c r="BN310" s="52">
        <f t="shared" si="198"/>
        <v>0</v>
      </c>
      <c r="BO310" s="167">
        <f>SUM(G310,L310,Q310,V310,AA310,AF310,AK310,AP310,AU310,AZ310,BE310,BJ310)</f>
        <v>1764</v>
      </c>
      <c r="BP310" s="50">
        <f>SUM(H310,M310,R310,W310,AB310,AG310,AL310,AQ310,AV310,BA310,BF310,BK310)</f>
        <v>0</v>
      </c>
      <c r="BQ310" s="50">
        <f>SUM(I310,N310,S310,X310,AC310,AH310,AM310,AR310,AW310,BB310,BG310,BL310)</f>
        <v>0</v>
      </c>
      <c r="BR310" s="51">
        <f>SUM(J310,O310,T310,Y310,AD310,AI310,AN310,AS310,AX310,BC310,BH310,BM310)</f>
        <v>0</v>
      </c>
      <c r="BS310" s="53">
        <f t="shared" si="159"/>
        <v>1764</v>
      </c>
    </row>
    <row r="311" spans="2:71" x14ac:dyDescent="0.3">
      <c r="B311" s="269"/>
      <c r="C311" s="230"/>
      <c r="D311" s="250"/>
      <c r="E311" s="250"/>
      <c r="F311" s="123" t="s">
        <v>738</v>
      </c>
      <c r="G311" s="49"/>
      <c r="H311" s="50"/>
      <c r="I311" s="50"/>
      <c r="J311" s="51"/>
      <c r="K311" s="52">
        <f t="shared" si="187"/>
        <v>0</v>
      </c>
      <c r="L311" s="49"/>
      <c r="M311" s="50"/>
      <c r="N311" s="50"/>
      <c r="O311" s="51"/>
      <c r="P311" s="52">
        <f t="shared" si="188"/>
        <v>0</v>
      </c>
      <c r="Q311" s="49"/>
      <c r="R311" s="50"/>
      <c r="S311" s="50"/>
      <c r="T311" s="51"/>
      <c r="U311" s="52">
        <f t="shared" si="189"/>
        <v>0</v>
      </c>
      <c r="V311" s="49"/>
      <c r="W311" s="50"/>
      <c r="X311" s="50"/>
      <c r="Y311" s="51"/>
      <c r="Z311" s="52">
        <f t="shared" si="190"/>
        <v>0</v>
      </c>
      <c r="AA311" s="49"/>
      <c r="AB311" s="50"/>
      <c r="AC311" s="50"/>
      <c r="AD311" s="51"/>
      <c r="AE311" s="52">
        <f t="shared" si="191"/>
        <v>0</v>
      </c>
      <c r="AF311" s="49">
        <v>151</v>
      </c>
      <c r="AG311" s="50"/>
      <c r="AH311" s="50"/>
      <c r="AI311" s="51"/>
      <c r="AJ311" s="52">
        <f t="shared" si="192"/>
        <v>151</v>
      </c>
      <c r="AK311" s="49">
        <v>72</v>
      </c>
      <c r="AL311" s="50"/>
      <c r="AM311" s="50"/>
      <c r="AN311" s="51"/>
      <c r="AO311" s="52">
        <f t="shared" si="193"/>
        <v>72</v>
      </c>
      <c r="AP311" s="49"/>
      <c r="AQ311" s="50"/>
      <c r="AR311" s="50"/>
      <c r="AS311" s="51"/>
      <c r="AT311" s="52">
        <f t="shared" si="194"/>
        <v>0</v>
      </c>
      <c r="AU311" s="49">
        <v>512</v>
      </c>
      <c r="AV311" s="50"/>
      <c r="AW311" s="50"/>
      <c r="AX311" s="51"/>
      <c r="AY311" s="52">
        <f t="shared" si="195"/>
        <v>512</v>
      </c>
      <c r="AZ311" s="49">
        <v>755</v>
      </c>
      <c r="BA311" s="50"/>
      <c r="BB311" s="50"/>
      <c r="BC311" s="51"/>
      <c r="BD311" s="52">
        <f t="shared" si="196"/>
        <v>755</v>
      </c>
      <c r="BE311" s="49">
        <f>58</f>
        <v>58</v>
      </c>
      <c r="BF311" s="50"/>
      <c r="BG311" s="50"/>
      <c r="BH311" s="51"/>
      <c r="BI311" s="52">
        <f t="shared" si="197"/>
        <v>58</v>
      </c>
      <c r="BJ311" s="49"/>
      <c r="BK311" s="50"/>
      <c r="BL311" s="50"/>
      <c r="BM311" s="51"/>
      <c r="BN311" s="52">
        <f t="shared" si="198"/>
        <v>0</v>
      </c>
      <c r="BO311" s="167">
        <f>SUM(G311,L311,Q311,V311,AA311,AF311,AK311,AP311,AU311,AZ311,BE311,BJ311)</f>
        <v>1548</v>
      </c>
      <c r="BP311" s="50">
        <f>SUM(H311,M311,R311,W311,AB311,AG311,AL311,AQ311,AV311,BA311,BF311,BK311)</f>
        <v>0</v>
      </c>
      <c r="BQ311" s="50">
        <f>SUM(I311,N311,S311,X311,AC311,AH311,AM311,AR311,AW311,BB311,BG311,BL311)</f>
        <v>0</v>
      </c>
      <c r="BR311" s="51">
        <f>SUM(J311,O311,T311,Y311,AD311,AI311,AN311,AS311,AX311,BC311,BH311,BM311)</f>
        <v>0</v>
      </c>
      <c r="BS311" s="53">
        <f t="shared" si="159"/>
        <v>1548</v>
      </c>
    </row>
    <row r="312" spans="2:71" x14ac:dyDescent="0.3">
      <c r="B312" s="269"/>
      <c r="C312" s="230"/>
      <c r="D312" s="250"/>
      <c r="E312" s="250"/>
      <c r="F312" s="133" t="s">
        <v>739</v>
      </c>
      <c r="G312" s="49"/>
      <c r="H312" s="50"/>
      <c r="I312" s="50"/>
      <c r="J312" s="51"/>
      <c r="K312" s="52">
        <f t="shared" si="187"/>
        <v>0</v>
      </c>
      <c r="L312" s="49"/>
      <c r="M312" s="50"/>
      <c r="N312" s="50"/>
      <c r="O312" s="51"/>
      <c r="P312" s="52">
        <f t="shared" si="188"/>
        <v>0</v>
      </c>
      <c r="Q312" s="49"/>
      <c r="R312" s="50"/>
      <c r="S312" s="50"/>
      <c r="T312" s="51"/>
      <c r="U312" s="52">
        <f t="shared" si="189"/>
        <v>0</v>
      </c>
      <c r="V312" s="49">
        <v>273</v>
      </c>
      <c r="W312" s="50"/>
      <c r="X312" s="50"/>
      <c r="Y312" s="51"/>
      <c r="Z312" s="52">
        <f t="shared" si="190"/>
        <v>273</v>
      </c>
      <c r="AA312" s="49">
        <f>960</f>
        <v>960</v>
      </c>
      <c r="AB312" s="50"/>
      <c r="AC312" s="50"/>
      <c r="AD312" s="51"/>
      <c r="AE312" s="52">
        <f t="shared" si="191"/>
        <v>960</v>
      </c>
      <c r="AF312" s="49">
        <v>209</v>
      </c>
      <c r="AG312" s="50"/>
      <c r="AH312" s="50"/>
      <c r="AI312" s="51"/>
      <c r="AJ312" s="52">
        <f t="shared" si="192"/>
        <v>209</v>
      </c>
      <c r="AK312" s="49"/>
      <c r="AL312" s="50"/>
      <c r="AM312" s="50"/>
      <c r="AN312" s="51"/>
      <c r="AO312" s="52">
        <f t="shared" si="193"/>
        <v>0</v>
      </c>
      <c r="AP312" s="49"/>
      <c r="AQ312" s="50"/>
      <c r="AR312" s="50"/>
      <c r="AS312" s="51"/>
      <c r="AT312" s="52">
        <f t="shared" si="194"/>
        <v>0</v>
      </c>
      <c r="AU312" s="49"/>
      <c r="AV312" s="50"/>
      <c r="AW312" s="50"/>
      <c r="AX312" s="51"/>
      <c r="AY312" s="52">
        <f t="shared" si="195"/>
        <v>0</v>
      </c>
      <c r="AZ312" s="49"/>
      <c r="BA312" s="50"/>
      <c r="BB312" s="50"/>
      <c r="BC312" s="51"/>
      <c r="BD312" s="52">
        <f t="shared" si="196"/>
        <v>0</v>
      </c>
      <c r="BE312" s="49"/>
      <c r="BF312" s="50"/>
      <c r="BG312" s="50"/>
      <c r="BH312" s="51"/>
      <c r="BI312" s="52">
        <f t="shared" si="197"/>
        <v>0</v>
      </c>
      <c r="BJ312" s="49"/>
      <c r="BK312" s="50"/>
      <c r="BL312" s="50"/>
      <c r="BM312" s="51"/>
      <c r="BN312" s="52">
        <f t="shared" si="198"/>
        <v>0</v>
      </c>
      <c r="BO312" s="167">
        <f>SUM(G312,L312,Q312,V312,AA312,AF312,AK312,AP312,AU312,AZ312,BE312,BJ312)</f>
        <v>1442</v>
      </c>
      <c r="BP312" s="50">
        <f>SUM(H312,M312,R312,W312,AB312,AG312,AL312,AQ312,AV312,BA312,BF312,BK312)</f>
        <v>0</v>
      </c>
      <c r="BQ312" s="50">
        <f>SUM(I312,N312,S312,X312,AC312,AH312,AM312,AR312,AW312,BB312,BG312,BL312)</f>
        <v>0</v>
      </c>
      <c r="BR312" s="51">
        <f>SUM(J312,O312,T312,Y312,AD312,AI312,AN312,AS312,AX312,BC312,BH312,BM312)</f>
        <v>0</v>
      </c>
      <c r="BS312" s="53">
        <f t="shared" si="159"/>
        <v>1442</v>
      </c>
    </row>
    <row r="313" spans="2:71" x14ac:dyDescent="0.3">
      <c r="B313" s="269"/>
      <c r="C313" s="230"/>
      <c r="D313" s="250"/>
      <c r="E313" s="250"/>
      <c r="F313" s="133" t="s">
        <v>740</v>
      </c>
      <c r="G313" s="49"/>
      <c r="H313" s="50"/>
      <c r="I313" s="50"/>
      <c r="J313" s="51"/>
      <c r="K313" s="52">
        <f t="shared" si="187"/>
        <v>0</v>
      </c>
      <c r="L313" s="49"/>
      <c r="M313" s="50"/>
      <c r="N313" s="50"/>
      <c r="O313" s="51"/>
      <c r="P313" s="52">
        <f t="shared" si="188"/>
        <v>0</v>
      </c>
      <c r="Q313" s="49"/>
      <c r="R313" s="50"/>
      <c r="S313" s="50"/>
      <c r="T313" s="51"/>
      <c r="U313" s="52">
        <f t="shared" si="189"/>
        <v>0</v>
      </c>
      <c r="V313" s="49"/>
      <c r="W313" s="50"/>
      <c r="X313" s="50"/>
      <c r="Y313" s="51"/>
      <c r="Z313" s="52">
        <f t="shared" si="190"/>
        <v>0</v>
      </c>
      <c r="AA313" s="49"/>
      <c r="AB313" s="50"/>
      <c r="AC313" s="50"/>
      <c r="AD313" s="51"/>
      <c r="AE313" s="52">
        <f t="shared" si="191"/>
        <v>0</v>
      </c>
      <c r="AF313" s="49">
        <v>48</v>
      </c>
      <c r="AG313" s="50"/>
      <c r="AH313" s="50"/>
      <c r="AI313" s="51"/>
      <c r="AJ313" s="52">
        <f t="shared" si="192"/>
        <v>48</v>
      </c>
      <c r="AK313" s="49">
        <v>5</v>
      </c>
      <c r="AL313" s="50"/>
      <c r="AM313" s="50"/>
      <c r="AN313" s="51"/>
      <c r="AO313" s="52">
        <f t="shared" si="193"/>
        <v>5</v>
      </c>
      <c r="AP313" s="49"/>
      <c r="AQ313" s="50"/>
      <c r="AR313" s="50"/>
      <c r="AS313" s="51"/>
      <c r="AT313" s="52">
        <f t="shared" si="194"/>
        <v>0</v>
      </c>
      <c r="AU313" s="49"/>
      <c r="AV313" s="50"/>
      <c r="AW313" s="50"/>
      <c r="AX313" s="51"/>
      <c r="AY313" s="52">
        <f t="shared" si="195"/>
        <v>0</v>
      </c>
      <c r="AZ313" s="49"/>
      <c r="BA313" s="50"/>
      <c r="BB313" s="50"/>
      <c r="BC313" s="51"/>
      <c r="BD313" s="52">
        <f t="shared" si="196"/>
        <v>0</v>
      </c>
      <c r="BE313" s="49"/>
      <c r="BF313" s="50"/>
      <c r="BG313" s="50"/>
      <c r="BH313" s="51"/>
      <c r="BI313" s="52">
        <f t="shared" si="197"/>
        <v>0</v>
      </c>
      <c r="BJ313" s="49">
        <v>39</v>
      </c>
      <c r="BK313" s="50"/>
      <c r="BL313" s="50"/>
      <c r="BM313" s="51"/>
      <c r="BN313" s="52">
        <f t="shared" si="198"/>
        <v>39</v>
      </c>
      <c r="BO313" s="167">
        <f>SUM(G313,L313,Q313,V313,AA313,AF313,AK313,AP313,AU313,AZ313,BE313,BJ313)</f>
        <v>92</v>
      </c>
      <c r="BP313" s="50">
        <f>SUM(H313,M313,R313,W313,AB313,AG313,AL313,AQ313,AV313,BA313,BF313,BK313)</f>
        <v>0</v>
      </c>
      <c r="BQ313" s="50">
        <f>SUM(I313,N313,S313,X313,AC313,AH313,AM313,AR313,AW313,BB313,BG313,BL313)</f>
        <v>0</v>
      </c>
      <c r="BR313" s="51">
        <f>SUM(J313,O313,T313,Y313,AD313,AI313,AN313,AS313,AX313,BC313,BH313,BM313)</f>
        <v>0</v>
      </c>
      <c r="BS313" s="53">
        <f t="shared" si="159"/>
        <v>92</v>
      </c>
    </row>
    <row r="314" spans="2:71" x14ac:dyDescent="0.3">
      <c r="B314" s="269"/>
      <c r="C314" s="230"/>
      <c r="D314" s="250"/>
      <c r="E314" s="250"/>
      <c r="F314" s="123" t="s">
        <v>741</v>
      </c>
      <c r="G314" s="49"/>
      <c r="H314" s="50"/>
      <c r="I314" s="50"/>
      <c r="J314" s="51"/>
      <c r="K314" s="52">
        <f t="shared" si="187"/>
        <v>0</v>
      </c>
      <c r="L314" s="49"/>
      <c r="M314" s="50"/>
      <c r="N314" s="50"/>
      <c r="O314" s="51"/>
      <c r="P314" s="52">
        <f t="shared" si="188"/>
        <v>0</v>
      </c>
      <c r="Q314" s="49"/>
      <c r="R314" s="50"/>
      <c r="S314" s="50"/>
      <c r="T314" s="51"/>
      <c r="U314" s="52">
        <f t="shared" si="189"/>
        <v>0</v>
      </c>
      <c r="V314" s="49"/>
      <c r="W314" s="50"/>
      <c r="X314" s="50">
        <v>146</v>
      </c>
      <c r="Y314" s="51"/>
      <c r="Z314" s="52">
        <f t="shared" si="190"/>
        <v>146</v>
      </c>
      <c r="AA314" s="49"/>
      <c r="AB314" s="50"/>
      <c r="AC314" s="50">
        <v>353</v>
      </c>
      <c r="AD314" s="51"/>
      <c r="AE314" s="52">
        <f t="shared" si="191"/>
        <v>353</v>
      </c>
      <c r="AF314" s="49"/>
      <c r="AG314" s="50"/>
      <c r="AH314" s="50">
        <v>1</v>
      </c>
      <c r="AI314" s="51"/>
      <c r="AJ314" s="52">
        <f t="shared" si="192"/>
        <v>1</v>
      </c>
      <c r="AK314" s="49"/>
      <c r="AL314" s="50"/>
      <c r="AM314" s="50"/>
      <c r="AN314" s="51"/>
      <c r="AO314" s="52">
        <f t="shared" si="193"/>
        <v>0</v>
      </c>
      <c r="AP314" s="49"/>
      <c r="AQ314" s="50"/>
      <c r="AR314" s="50"/>
      <c r="AS314" s="51"/>
      <c r="AT314" s="52">
        <f t="shared" si="194"/>
        <v>0</v>
      </c>
      <c r="AU314" s="49"/>
      <c r="AV314" s="50"/>
      <c r="AW314" s="50">
        <v>66</v>
      </c>
      <c r="AX314" s="51"/>
      <c r="AY314" s="52">
        <f t="shared" si="195"/>
        <v>66</v>
      </c>
      <c r="AZ314" s="49"/>
      <c r="BA314" s="50"/>
      <c r="BB314" s="50">
        <v>138</v>
      </c>
      <c r="BC314" s="51"/>
      <c r="BD314" s="52">
        <f t="shared" si="196"/>
        <v>138</v>
      </c>
      <c r="BE314" s="49"/>
      <c r="BF314" s="50"/>
      <c r="BG314" s="50">
        <v>1</v>
      </c>
      <c r="BH314" s="51"/>
      <c r="BI314" s="52">
        <f t="shared" si="197"/>
        <v>1</v>
      </c>
      <c r="BJ314" s="49"/>
      <c r="BK314" s="50"/>
      <c r="BL314" s="50"/>
      <c r="BM314" s="51"/>
      <c r="BN314" s="52">
        <f t="shared" si="198"/>
        <v>0</v>
      </c>
      <c r="BO314" s="167">
        <f>SUM(G314,L314,Q314,V314,AA314,AF314,AK314,AP314,AU314,AZ314,BE314,BJ314)</f>
        <v>0</v>
      </c>
      <c r="BP314" s="50">
        <f>SUM(H314,M314,R314,W314,AB314,AG314,AL314,AQ314,AV314,BA314,BF314,BK314)</f>
        <v>0</v>
      </c>
      <c r="BQ314" s="50">
        <f>SUM(I314,N314,S314,X314,AC314,AH314,AM314,AR314,AW314,BB314,BG314,BL314)</f>
        <v>705</v>
      </c>
      <c r="BR314" s="51">
        <f>SUM(J314,O314,T314,Y314,AD314,AI314,AN314,AS314,AX314,BC314,BH314,BM314)</f>
        <v>0</v>
      </c>
      <c r="BS314" s="53">
        <f t="shared" si="159"/>
        <v>705</v>
      </c>
    </row>
    <row r="315" spans="2:71" x14ac:dyDescent="0.3">
      <c r="B315" s="269"/>
      <c r="C315" s="230"/>
      <c r="D315" s="250"/>
      <c r="E315" s="250"/>
      <c r="F315" s="123" t="s">
        <v>742</v>
      </c>
      <c r="G315" s="49"/>
      <c r="H315" s="50"/>
      <c r="I315" s="50"/>
      <c r="J315" s="51"/>
      <c r="K315" s="52">
        <f t="shared" si="187"/>
        <v>0</v>
      </c>
      <c r="L315" s="49"/>
      <c r="M315" s="50"/>
      <c r="N315" s="50"/>
      <c r="O315" s="51"/>
      <c r="P315" s="52">
        <f t="shared" si="188"/>
        <v>0</v>
      </c>
      <c r="Q315" s="49"/>
      <c r="R315" s="50"/>
      <c r="S315" s="50"/>
      <c r="T315" s="51"/>
      <c r="U315" s="52">
        <f t="shared" si="189"/>
        <v>0</v>
      </c>
      <c r="V315" s="49"/>
      <c r="W315" s="50"/>
      <c r="X315" s="50"/>
      <c r="Y315" s="51"/>
      <c r="Z315" s="52">
        <f t="shared" si="190"/>
        <v>0</v>
      </c>
      <c r="AA315" s="49"/>
      <c r="AB315" s="50"/>
      <c r="AC315" s="50"/>
      <c r="AD315" s="51"/>
      <c r="AE315" s="52">
        <f t="shared" si="191"/>
        <v>0</v>
      </c>
      <c r="AF315" s="49"/>
      <c r="AG315" s="50"/>
      <c r="AH315" s="50">
        <v>74</v>
      </c>
      <c r="AI315" s="51"/>
      <c r="AJ315" s="52">
        <f t="shared" si="192"/>
        <v>74</v>
      </c>
      <c r="AK315" s="49"/>
      <c r="AL315" s="50"/>
      <c r="AM315" s="50">
        <v>20</v>
      </c>
      <c r="AN315" s="51"/>
      <c r="AO315" s="52">
        <f t="shared" si="193"/>
        <v>20</v>
      </c>
      <c r="AP315" s="49"/>
      <c r="AQ315" s="50"/>
      <c r="AR315" s="50"/>
      <c r="AS315" s="51"/>
      <c r="AT315" s="52">
        <f t="shared" si="194"/>
        <v>0</v>
      </c>
      <c r="AU315" s="49"/>
      <c r="AV315" s="50"/>
      <c r="AW315" s="50"/>
      <c r="AX315" s="51"/>
      <c r="AY315" s="52">
        <f t="shared" si="195"/>
        <v>0</v>
      </c>
      <c r="AZ315" s="49"/>
      <c r="BA315" s="50"/>
      <c r="BB315" s="50"/>
      <c r="BC315" s="51"/>
      <c r="BD315" s="52">
        <f t="shared" si="196"/>
        <v>0</v>
      </c>
      <c r="BE315" s="49"/>
      <c r="BF315" s="50"/>
      <c r="BG315" s="50"/>
      <c r="BH315" s="51"/>
      <c r="BI315" s="52">
        <f t="shared" si="197"/>
        <v>0</v>
      </c>
      <c r="BJ315" s="49"/>
      <c r="BK315" s="50"/>
      <c r="BL315" s="50">
        <v>21</v>
      </c>
      <c r="BM315" s="51"/>
      <c r="BN315" s="52">
        <f t="shared" si="198"/>
        <v>21</v>
      </c>
      <c r="BO315" s="167">
        <f>SUM(G315,L315,Q315,V315,AA315,AF315,AK315,AP315,AU315,AZ315,BE315,BJ315)</f>
        <v>0</v>
      </c>
      <c r="BP315" s="50">
        <f>SUM(H315,M315,R315,W315,AB315,AG315,AL315,AQ315,AV315,BA315,BF315,BK315)</f>
        <v>0</v>
      </c>
      <c r="BQ315" s="50">
        <f>SUM(I315,N315,S315,X315,AC315,AH315,AM315,AR315,AW315,BB315,BG315,BL315)</f>
        <v>115</v>
      </c>
      <c r="BR315" s="51">
        <f>SUM(J315,O315,T315,Y315,AD315,AI315,AN315,AS315,AX315,BC315,BH315,BM315)</f>
        <v>0</v>
      </c>
      <c r="BS315" s="53">
        <f t="shared" si="159"/>
        <v>115</v>
      </c>
    </row>
    <row r="316" spans="2:71" x14ac:dyDescent="0.3">
      <c r="B316" s="269"/>
      <c r="C316" s="230"/>
      <c r="D316" s="250"/>
      <c r="E316" s="250"/>
      <c r="F316" s="133" t="s">
        <v>743</v>
      </c>
      <c r="G316" s="49"/>
      <c r="H316" s="50"/>
      <c r="I316" s="50"/>
      <c r="J316" s="51"/>
      <c r="K316" s="52">
        <f t="shared" si="187"/>
        <v>0</v>
      </c>
      <c r="L316" s="49"/>
      <c r="M316" s="50"/>
      <c r="N316" s="50"/>
      <c r="O316" s="51"/>
      <c r="P316" s="52">
        <f t="shared" si="188"/>
        <v>0</v>
      </c>
      <c r="Q316" s="49"/>
      <c r="R316" s="50"/>
      <c r="S316" s="50"/>
      <c r="T316" s="51"/>
      <c r="U316" s="52">
        <f t="shared" si="189"/>
        <v>0</v>
      </c>
      <c r="V316" s="49">
        <v>688</v>
      </c>
      <c r="W316" s="50"/>
      <c r="X316" s="50"/>
      <c r="Y316" s="51"/>
      <c r="Z316" s="52">
        <f t="shared" si="190"/>
        <v>688</v>
      </c>
      <c r="AA316" s="49">
        <f>625</f>
        <v>625</v>
      </c>
      <c r="AB316" s="50"/>
      <c r="AC316" s="50"/>
      <c r="AD316" s="51"/>
      <c r="AE316" s="52">
        <f t="shared" si="191"/>
        <v>625</v>
      </c>
      <c r="AF316" s="49"/>
      <c r="AG316" s="50"/>
      <c r="AH316" s="50"/>
      <c r="AI316" s="51"/>
      <c r="AJ316" s="52">
        <f t="shared" si="192"/>
        <v>0</v>
      </c>
      <c r="AK316" s="49"/>
      <c r="AL316" s="50"/>
      <c r="AM316" s="50"/>
      <c r="AN316" s="51"/>
      <c r="AO316" s="52">
        <f t="shared" si="193"/>
        <v>0</v>
      </c>
      <c r="AP316" s="49"/>
      <c r="AQ316" s="50"/>
      <c r="AR316" s="50"/>
      <c r="AS316" s="51"/>
      <c r="AT316" s="52">
        <f t="shared" si="194"/>
        <v>0</v>
      </c>
      <c r="AU316" s="49"/>
      <c r="AV316" s="50"/>
      <c r="AW316" s="50"/>
      <c r="AX316" s="51"/>
      <c r="AY316" s="52">
        <f t="shared" si="195"/>
        <v>0</v>
      </c>
      <c r="AZ316" s="49"/>
      <c r="BA316" s="50"/>
      <c r="BB316" s="50"/>
      <c r="BC316" s="51"/>
      <c r="BD316" s="52">
        <f t="shared" si="196"/>
        <v>0</v>
      </c>
      <c r="BE316" s="49">
        <f>475</f>
        <v>475</v>
      </c>
      <c r="BF316" s="50"/>
      <c r="BG316" s="50"/>
      <c r="BH316" s="51"/>
      <c r="BI316" s="52">
        <f t="shared" si="197"/>
        <v>475</v>
      </c>
      <c r="BJ316" s="49">
        <v>8</v>
      </c>
      <c r="BK316" s="50"/>
      <c r="BL316" s="50"/>
      <c r="BM316" s="51"/>
      <c r="BN316" s="52">
        <f t="shared" si="198"/>
        <v>8</v>
      </c>
      <c r="BO316" s="167">
        <f>SUM(G316,L316,Q316,V316,AA316,AF316,AK316,AP316,AU316,AZ316,BE316,BJ316)</f>
        <v>1796</v>
      </c>
      <c r="BP316" s="50">
        <f>SUM(H316,M316,R316,W316,AB316,AG316,AL316,AQ316,AV316,BA316,BF316,BK316)</f>
        <v>0</v>
      </c>
      <c r="BQ316" s="50">
        <f>SUM(I316,N316,S316,X316,AC316,AH316,AM316,AR316,AW316,BB316,BG316,BL316)</f>
        <v>0</v>
      </c>
      <c r="BR316" s="51">
        <f>SUM(J316,O316,T316,Y316,AD316,AI316,AN316,AS316,AX316,BC316,BH316,BM316)</f>
        <v>0</v>
      </c>
      <c r="BS316" s="53">
        <f t="shared" si="159"/>
        <v>1796</v>
      </c>
    </row>
    <row r="317" spans="2:71" x14ac:dyDescent="0.3">
      <c r="B317" s="269"/>
      <c r="C317" s="230"/>
      <c r="D317" s="250"/>
      <c r="E317" s="250"/>
      <c r="F317" s="133" t="s">
        <v>744</v>
      </c>
      <c r="G317" s="49"/>
      <c r="H317" s="50"/>
      <c r="I317" s="50"/>
      <c r="J317" s="51"/>
      <c r="K317" s="52">
        <f t="shared" si="187"/>
        <v>0</v>
      </c>
      <c r="L317" s="49"/>
      <c r="M317" s="50"/>
      <c r="N317" s="50"/>
      <c r="O317" s="51"/>
      <c r="P317" s="52">
        <f t="shared" si="188"/>
        <v>0</v>
      </c>
      <c r="Q317" s="49"/>
      <c r="R317" s="50"/>
      <c r="S317" s="50"/>
      <c r="T317" s="51"/>
      <c r="U317" s="52">
        <f t="shared" si="189"/>
        <v>0</v>
      </c>
      <c r="V317" s="49"/>
      <c r="W317" s="50"/>
      <c r="X317" s="50"/>
      <c r="Y317" s="51"/>
      <c r="Z317" s="52">
        <f t="shared" si="190"/>
        <v>0</v>
      </c>
      <c r="AA317" s="49"/>
      <c r="AB317" s="50"/>
      <c r="AC317" s="50"/>
      <c r="AD317" s="51"/>
      <c r="AE317" s="52">
        <f t="shared" si="191"/>
        <v>0</v>
      </c>
      <c r="AF317" s="49"/>
      <c r="AG317" s="50"/>
      <c r="AH317" s="50"/>
      <c r="AI317" s="51"/>
      <c r="AJ317" s="52">
        <f t="shared" si="192"/>
        <v>0</v>
      </c>
      <c r="AK317" s="49"/>
      <c r="AL317" s="50"/>
      <c r="AM317" s="50"/>
      <c r="AN317" s="51"/>
      <c r="AO317" s="52">
        <f t="shared" si="193"/>
        <v>0</v>
      </c>
      <c r="AP317" s="49"/>
      <c r="AQ317" s="50"/>
      <c r="AR317" s="50"/>
      <c r="AS317" s="51"/>
      <c r="AT317" s="52">
        <f t="shared" si="194"/>
        <v>0</v>
      </c>
      <c r="AU317" s="49"/>
      <c r="AV317" s="50"/>
      <c r="AW317" s="50"/>
      <c r="AX317" s="51"/>
      <c r="AY317" s="52">
        <f t="shared" si="195"/>
        <v>0</v>
      </c>
      <c r="AZ317" s="49"/>
      <c r="BA317" s="50"/>
      <c r="BB317" s="50"/>
      <c r="BC317" s="51"/>
      <c r="BD317" s="52">
        <f t="shared" si="196"/>
        <v>0</v>
      </c>
      <c r="BE317" s="49"/>
      <c r="BF317" s="50"/>
      <c r="BG317" s="50"/>
      <c r="BH317" s="51"/>
      <c r="BI317" s="52">
        <f t="shared" si="197"/>
        <v>0</v>
      </c>
      <c r="BJ317" s="49">
        <v>745</v>
      </c>
      <c r="BK317" s="50"/>
      <c r="BL317" s="50"/>
      <c r="BM317" s="51"/>
      <c r="BN317" s="52">
        <f t="shared" si="198"/>
        <v>745</v>
      </c>
      <c r="BO317" s="167">
        <f>SUM(G317,L317,Q317,V317,AA317,AF317,AK317,AP317,AU317,AZ317,BE317,BJ317)</f>
        <v>745</v>
      </c>
      <c r="BP317" s="50">
        <f>SUM(H317,M317,R317,W317,AB317,AG317,AL317,AQ317,AV317,BA317,BF317,BK317)</f>
        <v>0</v>
      </c>
      <c r="BQ317" s="50">
        <f>SUM(I317,N317,S317,X317,AC317,AH317,AM317,AR317,AW317,BB317,BG317,BL317)</f>
        <v>0</v>
      </c>
      <c r="BR317" s="51">
        <f>SUM(J317,O317,T317,Y317,AD317,AI317,AN317,AS317,AX317,BC317,BH317,BM317)</f>
        <v>0</v>
      </c>
      <c r="BS317" s="53">
        <f t="shared" si="159"/>
        <v>745</v>
      </c>
    </row>
    <row r="318" spans="2:71" x14ac:dyDescent="0.3">
      <c r="B318" s="269"/>
      <c r="C318" s="230"/>
      <c r="D318" s="250"/>
      <c r="E318" s="250"/>
      <c r="F318" s="133" t="s">
        <v>745</v>
      </c>
      <c r="G318" s="49"/>
      <c r="H318" s="50"/>
      <c r="I318" s="50"/>
      <c r="J318" s="51"/>
      <c r="K318" s="52">
        <f t="shared" si="187"/>
        <v>0</v>
      </c>
      <c r="L318" s="49"/>
      <c r="M318" s="50"/>
      <c r="N318" s="50"/>
      <c r="O318" s="51"/>
      <c r="P318" s="52">
        <f t="shared" si="188"/>
        <v>0</v>
      </c>
      <c r="Q318" s="49"/>
      <c r="R318" s="50"/>
      <c r="S318" s="50"/>
      <c r="T318" s="51"/>
      <c r="U318" s="52">
        <f t="shared" si="189"/>
        <v>0</v>
      </c>
      <c r="V318" s="49"/>
      <c r="W318" s="50"/>
      <c r="X318" s="50"/>
      <c r="Y318" s="51"/>
      <c r="Z318" s="52">
        <f t="shared" si="190"/>
        <v>0</v>
      </c>
      <c r="AA318" s="49"/>
      <c r="AB318" s="50"/>
      <c r="AC318" s="50"/>
      <c r="AD318" s="51"/>
      <c r="AE318" s="52">
        <f t="shared" si="191"/>
        <v>0</v>
      </c>
      <c r="AF318" s="49"/>
      <c r="AG318" s="50"/>
      <c r="AH318" s="50"/>
      <c r="AI318" s="51"/>
      <c r="AJ318" s="52">
        <f t="shared" si="192"/>
        <v>0</v>
      </c>
      <c r="AK318" s="49"/>
      <c r="AL318" s="50"/>
      <c r="AM318" s="50"/>
      <c r="AN318" s="51"/>
      <c r="AO318" s="52">
        <f t="shared" si="193"/>
        <v>0</v>
      </c>
      <c r="AP318" s="49"/>
      <c r="AQ318" s="50"/>
      <c r="AR318" s="50"/>
      <c r="AS318" s="51"/>
      <c r="AT318" s="52">
        <f t="shared" si="194"/>
        <v>0</v>
      </c>
      <c r="AU318" s="49"/>
      <c r="AV318" s="50"/>
      <c r="AW318" s="50"/>
      <c r="AX318" s="51"/>
      <c r="AY318" s="52">
        <f t="shared" si="195"/>
        <v>0</v>
      </c>
      <c r="AZ318" s="49"/>
      <c r="BA318" s="50"/>
      <c r="BB318" s="50"/>
      <c r="BC318" s="51"/>
      <c r="BD318" s="52">
        <f t="shared" si="196"/>
        <v>0</v>
      </c>
      <c r="BE318" s="49"/>
      <c r="BF318" s="50"/>
      <c r="BG318" s="50"/>
      <c r="BH318" s="51"/>
      <c r="BI318" s="52">
        <f t="shared" si="197"/>
        <v>0</v>
      </c>
      <c r="BJ318" s="49">
        <v>43</v>
      </c>
      <c r="BK318" s="50"/>
      <c r="BL318" s="50"/>
      <c r="BM318" s="51"/>
      <c r="BN318" s="52">
        <f t="shared" si="198"/>
        <v>43</v>
      </c>
      <c r="BO318" s="167">
        <f>SUM(G318,L318,Q318,V318,AA318,AF318,AK318,AP318,AU318,AZ318,BE318,BJ318)</f>
        <v>43</v>
      </c>
      <c r="BP318" s="50">
        <f>SUM(H318,M318,R318,W318,AB318,AG318,AL318,AQ318,AV318,BA318,BF318,BK318)</f>
        <v>0</v>
      </c>
      <c r="BQ318" s="50">
        <f>SUM(I318,N318,S318,X318,AC318,AH318,AM318,AR318,AW318,BB318,BG318,BL318)</f>
        <v>0</v>
      </c>
      <c r="BR318" s="51">
        <f>SUM(J318,O318,T318,Y318,AD318,AI318,AN318,AS318,AX318,BC318,BH318,BM318)</f>
        <v>0</v>
      </c>
      <c r="BS318" s="53">
        <f t="shared" si="159"/>
        <v>43</v>
      </c>
    </row>
    <row r="319" spans="2:71" x14ac:dyDescent="0.3">
      <c r="B319" s="269"/>
      <c r="C319" s="230"/>
      <c r="D319" s="250"/>
      <c r="E319" s="250"/>
      <c r="F319" s="133" t="s">
        <v>746</v>
      </c>
      <c r="G319" s="49"/>
      <c r="H319" s="50"/>
      <c r="I319" s="50"/>
      <c r="J319" s="51"/>
      <c r="K319" s="52">
        <f t="shared" si="187"/>
        <v>0</v>
      </c>
      <c r="L319" s="49"/>
      <c r="M319" s="50"/>
      <c r="N319" s="50"/>
      <c r="O319" s="51"/>
      <c r="P319" s="52">
        <f t="shared" si="188"/>
        <v>0</v>
      </c>
      <c r="Q319" s="49"/>
      <c r="R319" s="50"/>
      <c r="S319" s="50"/>
      <c r="T319" s="51"/>
      <c r="U319" s="52">
        <f t="shared" si="189"/>
        <v>0</v>
      </c>
      <c r="V319" s="49">
        <v>220</v>
      </c>
      <c r="W319" s="50"/>
      <c r="X319" s="50"/>
      <c r="Y319" s="51"/>
      <c r="Z319" s="52">
        <f t="shared" si="190"/>
        <v>220</v>
      </c>
      <c r="AA319" s="49">
        <f>135</f>
        <v>135</v>
      </c>
      <c r="AB319" s="50"/>
      <c r="AC319" s="50"/>
      <c r="AD319" s="51"/>
      <c r="AE319" s="52">
        <f t="shared" si="191"/>
        <v>135</v>
      </c>
      <c r="AF319" s="49"/>
      <c r="AG319" s="50"/>
      <c r="AH319" s="50"/>
      <c r="AI319" s="51"/>
      <c r="AJ319" s="52">
        <f t="shared" si="192"/>
        <v>0</v>
      </c>
      <c r="AK319" s="49"/>
      <c r="AL319" s="50"/>
      <c r="AM319" s="50"/>
      <c r="AN319" s="51"/>
      <c r="AO319" s="52">
        <f t="shared" si="193"/>
        <v>0</v>
      </c>
      <c r="AP319" s="49"/>
      <c r="AQ319" s="50"/>
      <c r="AR319" s="50"/>
      <c r="AS319" s="51"/>
      <c r="AT319" s="52">
        <f t="shared" si="194"/>
        <v>0</v>
      </c>
      <c r="AU319" s="49"/>
      <c r="AV319" s="50"/>
      <c r="AW319" s="50"/>
      <c r="AX319" s="51"/>
      <c r="AY319" s="52">
        <f t="shared" si="195"/>
        <v>0</v>
      </c>
      <c r="AZ319" s="49"/>
      <c r="BA319" s="50"/>
      <c r="BB319" s="50"/>
      <c r="BC319" s="51"/>
      <c r="BD319" s="52">
        <f t="shared" si="196"/>
        <v>0</v>
      </c>
      <c r="BE319" s="49"/>
      <c r="BF319" s="50"/>
      <c r="BG319" s="50"/>
      <c r="BH319" s="51"/>
      <c r="BI319" s="52">
        <f t="shared" si="197"/>
        <v>0</v>
      </c>
      <c r="BJ319" s="49"/>
      <c r="BK319" s="50"/>
      <c r="BL319" s="50"/>
      <c r="BM319" s="51"/>
      <c r="BN319" s="52">
        <f t="shared" si="198"/>
        <v>0</v>
      </c>
      <c r="BO319" s="167">
        <f>SUM(G319,L319,Q319,V319,AA319,AF319,AK319,AP319,AU319,AZ319,BE319,BJ319)</f>
        <v>355</v>
      </c>
      <c r="BP319" s="50">
        <f>SUM(H319,M319,R319,W319,AB319,AG319,AL319,AQ319,AV319,BA319,BF319,BK319)</f>
        <v>0</v>
      </c>
      <c r="BQ319" s="50">
        <f>SUM(I319,N319,S319,X319,AC319,AH319,AM319,AR319,AW319,BB319,BG319,BL319)</f>
        <v>0</v>
      </c>
      <c r="BR319" s="51">
        <f>SUM(J319,O319,T319,Y319,AD319,AI319,AN319,AS319,AX319,BC319,BH319,BM319)</f>
        <v>0</v>
      </c>
      <c r="BS319" s="53">
        <f t="shared" si="159"/>
        <v>355</v>
      </c>
    </row>
    <row r="320" spans="2:71" x14ac:dyDescent="0.3">
      <c r="B320" s="269"/>
      <c r="C320" s="230"/>
      <c r="D320" s="250"/>
      <c r="E320" s="250"/>
      <c r="F320" s="133" t="s">
        <v>747</v>
      </c>
      <c r="G320" s="49"/>
      <c r="H320" s="50"/>
      <c r="I320" s="50"/>
      <c r="J320" s="51"/>
      <c r="K320" s="52">
        <f t="shared" si="187"/>
        <v>0</v>
      </c>
      <c r="L320" s="49"/>
      <c r="M320" s="50"/>
      <c r="N320" s="50"/>
      <c r="O320" s="51"/>
      <c r="P320" s="52">
        <f t="shared" si="188"/>
        <v>0</v>
      </c>
      <c r="Q320" s="49"/>
      <c r="R320" s="50"/>
      <c r="S320" s="50"/>
      <c r="T320" s="51"/>
      <c r="U320" s="52">
        <f t="shared" si="189"/>
        <v>0</v>
      </c>
      <c r="V320" s="49">
        <v>96</v>
      </c>
      <c r="W320" s="50"/>
      <c r="X320" s="50"/>
      <c r="Y320" s="51"/>
      <c r="Z320" s="52">
        <f t="shared" si="190"/>
        <v>96</v>
      </c>
      <c r="AA320" s="49">
        <v>9</v>
      </c>
      <c r="AB320" s="50"/>
      <c r="AC320" s="50"/>
      <c r="AD320" s="51"/>
      <c r="AE320" s="52">
        <f t="shared" si="191"/>
        <v>9</v>
      </c>
      <c r="AF320" s="49"/>
      <c r="AG320" s="50"/>
      <c r="AH320" s="50"/>
      <c r="AI320" s="51"/>
      <c r="AJ320" s="52">
        <f t="shared" si="192"/>
        <v>0</v>
      </c>
      <c r="AK320" s="49"/>
      <c r="AL320" s="50"/>
      <c r="AM320" s="50"/>
      <c r="AN320" s="51"/>
      <c r="AO320" s="52">
        <f t="shared" si="193"/>
        <v>0</v>
      </c>
      <c r="AP320" s="49"/>
      <c r="AQ320" s="50"/>
      <c r="AR320" s="50"/>
      <c r="AS320" s="51"/>
      <c r="AT320" s="52">
        <f t="shared" si="194"/>
        <v>0</v>
      </c>
      <c r="AU320" s="49">
        <v>99</v>
      </c>
      <c r="AV320" s="50"/>
      <c r="AW320" s="50"/>
      <c r="AX320" s="51"/>
      <c r="AY320" s="52">
        <f t="shared" si="195"/>
        <v>99</v>
      </c>
      <c r="AZ320" s="49">
        <v>179</v>
      </c>
      <c r="BA320" s="50"/>
      <c r="BB320" s="50"/>
      <c r="BC320" s="51"/>
      <c r="BD320" s="52">
        <f t="shared" si="196"/>
        <v>179</v>
      </c>
      <c r="BE320" s="49">
        <v>4</v>
      </c>
      <c r="BF320" s="50"/>
      <c r="BG320" s="50"/>
      <c r="BH320" s="51"/>
      <c r="BI320" s="52">
        <f t="shared" si="197"/>
        <v>4</v>
      </c>
      <c r="BJ320" s="49"/>
      <c r="BK320" s="50"/>
      <c r="BL320" s="50"/>
      <c r="BM320" s="51"/>
      <c r="BN320" s="52">
        <f t="shared" si="198"/>
        <v>0</v>
      </c>
      <c r="BO320" s="167">
        <f>SUM(G320,L320,Q320,V320,AA320,AF320,AK320,AP320,AU320,AZ320,BE320,BJ320)</f>
        <v>387</v>
      </c>
      <c r="BP320" s="50">
        <f>SUM(H320,M320,R320,W320,AB320,AG320,AL320,AQ320,AV320,BA320,BF320,BK320)</f>
        <v>0</v>
      </c>
      <c r="BQ320" s="50">
        <f>SUM(I320,N320,S320,X320,AC320,AH320,AM320,AR320,AW320,BB320,BG320,BL320)</f>
        <v>0</v>
      </c>
      <c r="BR320" s="51">
        <f>SUM(J320,O320,T320,Y320,AD320,AI320,AN320,AS320,AX320,BC320,BH320,BM320)</f>
        <v>0</v>
      </c>
      <c r="BS320" s="53">
        <f t="shared" si="159"/>
        <v>387</v>
      </c>
    </row>
    <row r="321" spans="2:71" x14ac:dyDescent="0.3">
      <c r="B321" s="269"/>
      <c r="C321" s="230"/>
      <c r="D321" s="250"/>
      <c r="E321" s="250"/>
      <c r="F321" s="133" t="s">
        <v>748</v>
      </c>
      <c r="G321" s="49"/>
      <c r="H321" s="50"/>
      <c r="I321" s="50"/>
      <c r="J321" s="51"/>
      <c r="K321" s="52">
        <f t="shared" si="187"/>
        <v>0</v>
      </c>
      <c r="L321" s="49"/>
      <c r="M321" s="50"/>
      <c r="N321" s="50"/>
      <c r="O321" s="51"/>
      <c r="P321" s="52">
        <f t="shared" si="188"/>
        <v>0</v>
      </c>
      <c r="Q321" s="49"/>
      <c r="R321" s="50"/>
      <c r="S321" s="50"/>
      <c r="T321" s="51"/>
      <c r="U321" s="52">
        <f t="shared" si="189"/>
        <v>0</v>
      </c>
      <c r="V321" s="49"/>
      <c r="W321" s="50"/>
      <c r="X321" s="50"/>
      <c r="Y321" s="51"/>
      <c r="Z321" s="52">
        <f t="shared" si="190"/>
        <v>0</v>
      </c>
      <c r="AA321" s="49"/>
      <c r="AB321" s="50"/>
      <c r="AC321" s="50"/>
      <c r="AD321" s="51"/>
      <c r="AE321" s="52">
        <f t="shared" si="191"/>
        <v>0</v>
      </c>
      <c r="AF321" s="49">
        <v>42</v>
      </c>
      <c r="AG321" s="50"/>
      <c r="AH321" s="50"/>
      <c r="AI321" s="51"/>
      <c r="AJ321" s="52">
        <f t="shared" si="192"/>
        <v>42</v>
      </c>
      <c r="AK321" s="49">
        <v>116</v>
      </c>
      <c r="AL321" s="50"/>
      <c r="AM321" s="50"/>
      <c r="AN321" s="51"/>
      <c r="AO321" s="52">
        <f t="shared" si="193"/>
        <v>116</v>
      </c>
      <c r="AP321" s="49"/>
      <c r="AQ321" s="50"/>
      <c r="AR321" s="50"/>
      <c r="AS321" s="51"/>
      <c r="AT321" s="52">
        <f t="shared" si="194"/>
        <v>0</v>
      </c>
      <c r="AU321" s="49"/>
      <c r="AV321" s="50"/>
      <c r="AW321" s="50"/>
      <c r="AX321" s="51"/>
      <c r="AY321" s="52">
        <f t="shared" si="195"/>
        <v>0</v>
      </c>
      <c r="AZ321" s="49"/>
      <c r="BA321" s="50"/>
      <c r="BB321" s="50"/>
      <c r="BC321" s="51"/>
      <c r="BD321" s="52">
        <f t="shared" si="196"/>
        <v>0</v>
      </c>
      <c r="BE321" s="49"/>
      <c r="BF321" s="50"/>
      <c r="BG321" s="50"/>
      <c r="BH321" s="51"/>
      <c r="BI321" s="52">
        <f t="shared" si="197"/>
        <v>0</v>
      </c>
      <c r="BJ321" s="49"/>
      <c r="BK321" s="50"/>
      <c r="BL321" s="50"/>
      <c r="BM321" s="51"/>
      <c r="BN321" s="52">
        <f t="shared" si="198"/>
        <v>0</v>
      </c>
      <c r="BO321" s="167">
        <f>SUM(G321,L321,Q321,V321,AA321,AF321,AK321,AP321,AU321,AZ321,BE321,BJ321)</f>
        <v>158</v>
      </c>
      <c r="BP321" s="50">
        <f>SUM(H321,M321,R321,W321,AB321,AG321,AL321,AQ321,AV321,BA321,BF321,BK321)</f>
        <v>0</v>
      </c>
      <c r="BQ321" s="50">
        <f>SUM(I321,N321,S321,X321,AC321,AH321,AM321,AR321,AW321,BB321,BG321,BL321)</f>
        <v>0</v>
      </c>
      <c r="BR321" s="51">
        <f>SUM(J321,O321,T321,Y321,AD321,AI321,AN321,AS321,AX321,BC321,BH321,BM321)</f>
        <v>0</v>
      </c>
      <c r="BS321" s="53">
        <f t="shared" si="159"/>
        <v>158</v>
      </c>
    </row>
    <row r="322" spans="2:71" x14ac:dyDescent="0.3">
      <c r="B322" s="269"/>
      <c r="C322" s="230"/>
      <c r="D322" s="250"/>
      <c r="E322" s="250"/>
      <c r="F322" s="133" t="s">
        <v>749</v>
      </c>
      <c r="G322" s="49"/>
      <c r="H322" s="50"/>
      <c r="I322" s="50"/>
      <c r="J322" s="51"/>
      <c r="K322" s="52">
        <f t="shared" si="187"/>
        <v>0</v>
      </c>
      <c r="L322" s="49"/>
      <c r="M322" s="50"/>
      <c r="N322" s="50"/>
      <c r="O322" s="51"/>
      <c r="P322" s="52">
        <f t="shared" si="188"/>
        <v>0</v>
      </c>
      <c r="Q322" s="49"/>
      <c r="R322" s="50"/>
      <c r="S322" s="50"/>
      <c r="T322" s="51"/>
      <c r="U322" s="52">
        <f t="shared" si="189"/>
        <v>0</v>
      </c>
      <c r="V322" s="49"/>
      <c r="W322" s="50"/>
      <c r="X322" s="50"/>
      <c r="Y322" s="51"/>
      <c r="Z322" s="52">
        <f t="shared" si="190"/>
        <v>0</v>
      </c>
      <c r="AA322" s="49"/>
      <c r="AB322" s="50"/>
      <c r="AC322" s="50"/>
      <c r="AD322" s="51"/>
      <c r="AE322" s="52">
        <f t="shared" si="191"/>
        <v>0</v>
      </c>
      <c r="AF322" s="49"/>
      <c r="AG322" s="50"/>
      <c r="AH322" s="50"/>
      <c r="AI322" s="51"/>
      <c r="AJ322" s="52">
        <f t="shared" si="192"/>
        <v>0</v>
      </c>
      <c r="AK322" s="49">
        <v>2</v>
      </c>
      <c r="AL322" s="50"/>
      <c r="AM322" s="50"/>
      <c r="AN322" s="51"/>
      <c r="AO322" s="52">
        <f t="shared" si="193"/>
        <v>2</v>
      </c>
      <c r="AP322" s="49">
        <v>1029</v>
      </c>
      <c r="AQ322" s="50"/>
      <c r="AR322" s="50"/>
      <c r="AS322" s="51"/>
      <c r="AT322" s="52">
        <f t="shared" si="194"/>
        <v>1029</v>
      </c>
      <c r="AU322" s="49">
        <v>93</v>
      </c>
      <c r="AV322" s="50"/>
      <c r="AW322" s="50"/>
      <c r="AX322" s="51"/>
      <c r="AY322" s="52">
        <f t="shared" si="195"/>
        <v>93</v>
      </c>
      <c r="AZ322" s="49"/>
      <c r="BA322" s="50"/>
      <c r="BB322" s="50"/>
      <c r="BC322" s="51"/>
      <c r="BD322" s="52">
        <f t="shared" si="196"/>
        <v>0</v>
      </c>
      <c r="BE322" s="49"/>
      <c r="BF322" s="50"/>
      <c r="BG322" s="50"/>
      <c r="BH322" s="51"/>
      <c r="BI322" s="52">
        <f t="shared" si="197"/>
        <v>0</v>
      </c>
      <c r="BJ322" s="49"/>
      <c r="BK322" s="50"/>
      <c r="BL322" s="50"/>
      <c r="BM322" s="51"/>
      <c r="BN322" s="52">
        <f t="shared" si="198"/>
        <v>0</v>
      </c>
      <c r="BO322" s="167">
        <f>SUM(G322,L322,Q322,V322,AA322,AF322,AK322,AP322,AU322,AZ322,BE322,BJ322)</f>
        <v>1124</v>
      </c>
      <c r="BP322" s="50">
        <f>SUM(H322,M322,R322,W322,AB322,AG322,AL322,AQ322,AV322,BA322,BF322,BK322)</f>
        <v>0</v>
      </c>
      <c r="BQ322" s="50">
        <f>SUM(I322,N322,S322,X322,AC322,AH322,AM322,AR322,AW322,BB322,BG322,BL322)</f>
        <v>0</v>
      </c>
      <c r="BR322" s="51">
        <f>SUM(J322,O322,T322,Y322,AD322,AI322,AN322,AS322,AX322,BC322,BH322,BM322)</f>
        <v>0</v>
      </c>
      <c r="BS322" s="53">
        <f t="shared" si="159"/>
        <v>1124</v>
      </c>
    </row>
    <row r="323" spans="2:71" x14ac:dyDescent="0.3">
      <c r="B323" s="269"/>
      <c r="C323" s="230"/>
      <c r="D323" s="250"/>
      <c r="E323" s="250"/>
      <c r="F323" s="133" t="s">
        <v>750</v>
      </c>
      <c r="G323" s="49"/>
      <c r="H323" s="50"/>
      <c r="I323" s="50"/>
      <c r="J323" s="51"/>
      <c r="K323" s="52">
        <f t="shared" si="187"/>
        <v>0</v>
      </c>
      <c r="L323" s="49"/>
      <c r="M323" s="50"/>
      <c r="N323" s="50"/>
      <c r="O323" s="51"/>
      <c r="P323" s="52">
        <f t="shared" si="188"/>
        <v>0</v>
      </c>
      <c r="Q323" s="49"/>
      <c r="R323" s="50"/>
      <c r="S323" s="50"/>
      <c r="T323" s="51"/>
      <c r="U323" s="52">
        <f t="shared" si="189"/>
        <v>0</v>
      </c>
      <c r="V323" s="49"/>
      <c r="W323" s="50"/>
      <c r="X323" s="50"/>
      <c r="Y323" s="51"/>
      <c r="Z323" s="52">
        <f t="shared" si="190"/>
        <v>0</v>
      </c>
      <c r="AA323" s="49"/>
      <c r="AB323" s="50"/>
      <c r="AC323" s="50"/>
      <c r="AD323" s="51"/>
      <c r="AE323" s="52">
        <f t="shared" si="191"/>
        <v>0</v>
      </c>
      <c r="AF323" s="49"/>
      <c r="AG323" s="50"/>
      <c r="AH323" s="50"/>
      <c r="AI323" s="51"/>
      <c r="AJ323" s="52">
        <f t="shared" si="192"/>
        <v>0</v>
      </c>
      <c r="AK323" s="49">
        <v>355</v>
      </c>
      <c r="AL323" s="50"/>
      <c r="AM323" s="50"/>
      <c r="AN323" s="51"/>
      <c r="AO323" s="52">
        <f t="shared" si="193"/>
        <v>355</v>
      </c>
      <c r="AP323" s="49">
        <v>2119</v>
      </c>
      <c r="AQ323" s="50"/>
      <c r="AR323" s="50"/>
      <c r="AS323" s="51"/>
      <c r="AT323" s="52">
        <f t="shared" si="194"/>
        <v>2119</v>
      </c>
      <c r="AU323" s="49">
        <v>199</v>
      </c>
      <c r="AV323" s="50"/>
      <c r="AW323" s="50"/>
      <c r="AX323" s="51"/>
      <c r="AY323" s="52">
        <f t="shared" si="195"/>
        <v>199</v>
      </c>
      <c r="AZ323" s="49"/>
      <c r="BA323" s="50"/>
      <c r="BB323" s="50"/>
      <c r="BC323" s="51"/>
      <c r="BD323" s="52">
        <f t="shared" si="196"/>
        <v>0</v>
      </c>
      <c r="BE323" s="49"/>
      <c r="BF323" s="50"/>
      <c r="BG323" s="50"/>
      <c r="BH323" s="51"/>
      <c r="BI323" s="52">
        <f t="shared" si="197"/>
        <v>0</v>
      </c>
      <c r="BJ323" s="49"/>
      <c r="BK323" s="50"/>
      <c r="BL323" s="50"/>
      <c r="BM323" s="51"/>
      <c r="BN323" s="52">
        <f t="shared" si="198"/>
        <v>0</v>
      </c>
      <c r="BO323" s="167">
        <f>SUM(G323,L323,Q323,V323,AA323,AF323,AK323,AP323,AU323,AZ323,BE323,BJ323)</f>
        <v>2673</v>
      </c>
      <c r="BP323" s="50">
        <f>SUM(H323,M323,R323,W323,AB323,AG323,AL323,AQ323,AV323,BA323,BF323,BK323)</f>
        <v>0</v>
      </c>
      <c r="BQ323" s="50">
        <f>SUM(I323,N323,S323,X323,AC323,AH323,AM323,AR323,AW323,BB323,BG323,BL323)</f>
        <v>0</v>
      </c>
      <c r="BR323" s="51">
        <f>SUM(J323,O323,T323,Y323,AD323,AI323,AN323,AS323,AX323,BC323,BH323,BM323)</f>
        <v>0</v>
      </c>
      <c r="BS323" s="53">
        <f t="shared" si="159"/>
        <v>2673</v>
      </c>
    </row>
    <row r="324" spans="2:71" x14ac:dyDescent="0.3">
      <c r="B324" s="269"/>
      <c r="C324" s="230"/>
      <c r="D324" s="250"/>
      <c r="E324" s="250"/>
      <c r="F324" s="133" t="s">
        <v>751</v>
      </c>
      <c r="G324" s="49"/>
      <c r="H324" s="50"/>
      <c r="I324" s="50"/>
      <c r="J324" s="51"/>
      <c r="K324" s="52">
        <f t="shared" si="187"/>
        <v>0</v>
      </c>
      <c r="L324" s="49"/>
      <c r="M324" s="50"/>
      <c r="N324" s="50"/>
      <c r="O324" s="51"/>
      <c r="P324" s="52">
        <f t="shared" si="188"/>
        <v>0</v>
      </c>
      <c r="Q324" s="49"/>
      <c r="R324" s="50"/>
      <c r="S324" s="50"/>
      <c r="T324" s="51"/>
      <c r="U324" s="52">
        <f t="shared" si="189"/>
        <v>0</v>
      </c>
      <c r="V324" s="49"/>
      <c r="W324" s="50"/>
      <c r="X324" s="50"/>
      <c r="Y324" s="51"/>
      <c r="Z324" s="52">
        <f t="shared" si="190"/>
        <v>0</v>
      </c>
      <c r="AA324" s="49"/>
      <c r="AB324" s="50"/>
      <c r="AC324" s="50"/>
      <c r="AD324" s="51"/>
      <c r="AE324" s="52">
        <f t="shared" si="191"/>
        <v>0</v>
      </c>
      <c r="AF324" s="49"/>
      <c r="AG324" s="50"/>
      <c r="AH324" s="50"/>
      <c r="AI324" s="51"/>
      <c r="AJ324" s="52">
        <f t="shared" si="192"/>
        <v>0</v>
      </c>
      <c r="AK324" s="49"/>
      <c r="AL324" s="50"/>
      <c r="AM324" s="50"/>
      <c r="AN324" s="51"/>
      <c r="AO324" s="52">
        <f t="shared" si="193"/>
        <v>0</v>
      </c>
      <c r="AP324" s="49"/>
      <c r="AQ324" s="50"/>
      <c r="AR324" s="50"/>
      <c r="AS324" s="51"/>
      <c r="AT324" s="52">
        <f t="shared" si="194"/>
        <v>0</v>
      </c>
      <c r="AU324" s="49">
        <v>168</v>
      </c>
      <c r="AV324" s="50"/>
      <c r="AW324" s="50"/>
      <c r="AX324" s="51"/>
      <c r="AY324" s="52">
        <f t="shared" si="195"/>
        <v>168</v>
      </c>
      <c r="AZ324" s="49">
        <v>144</v>
      </c>
      <c r="BA324" s="50"/>
      <c r="BB324" s="50"/>
      <c r="BC324" s="51"/>
      <c r="BD324" s="52">
        <f t="shared" si="196"/>
        <v>144</v>
      </c>
      <c r="BE324" s="49"/>
      <c r="BF324" s="50"/>
      <c r="BG324" s="50"/>
      <c r="BH324" s="51"/>
      <c r="BI324" s="52">
        <f t="shared" si="197"/>
        <v>0</v>
      </c>
      <c r="BJ324" s="49"/>
      <c r="BK324" s="50"/>
      <c r="BL324" s="50"/>
      <c r="BM324" s="51"/>
      <c r="BN324" s="52">
        <f t="shared" si="198"/>
        <v>0</v>
      </c>
      <c r="BO324" s="167">
        <f>SUM(G324,L324,Q324,V324,AA324,AF324,AK324,AP324,AU324,AZ324,BE324,BJ324)</f>
        <v>312</v>
      </c>
      <c r="BP324" s="50">
        <f>SUM(H324,M324,R324,W324,AB324,AG324,AL324,AQ324,AV324,BA324,BF324,BK324)</f>
        <v>0</v>
      </c>
      <c r="BQ324" s="50">
        <f>SUM(I324,N324,S324,X324,AC324,AH324,AM324,AR324,AW324,BB324,BG324,BL324)</f>
        <v>0</v>
      </c>
      <c r="BR324" s="51">
        <f>SUM(J324,O324,T324,Y324,AD324,AI324,AN324,AS324,AX324,BC324,BH324,BM324)</f>
        <v>0</v>
      </c>
      <c r="BS324" s="53">
        <f t="shared" si="159"/>
        <v>312</v>
      </c>
    </row>
    <row r="325" spans="2:71" x14ac:dyDescent="0.3">
      <c r="B325" s="269"/>
      <c r="C325" s="230"/>
      <c r="D325" s="250"/>
      <c r="E325" s="250"/>
      <c r="F325" s="133" t="s">
        <v>752</v>
      </c>
      <c r="G325" s="49"/>
      <c r="H325" s="50"/>
      <c r="I325" s="50"/>
      <c r="J325" s="51"/>
      <c r="K325" s="52">
        <f t="shared" si="187"/>
        <v>0</v>
      </c>
      <c r="L325" s="49"/>
      <c r="M325" s="50"/>
      <c r="N325" s="50"/>
      <c r="O325" s="51"/>
      <c r="P325" s="52">
        <f t="shared" si="188"/>
        <v>0</v>
      </c>
      <c r="Q325" s="49"/>
      <c r="R325" s="50"/>
      <c r="S325" s="50"/>
      <c r="T325" s="51"/>
      <c r="U325" s="52">
        <f t="shared" si="189"/>
        <v>0</v>
      </c>
      <c r="V325" s="49"/>
      <c r="W325" s="50"/>
      <c r="X325" s="50"/>
      <c r="Y325" s="51"/>
      <c r="Z325" s="52">
        <f t="shared" si="190"/>
        <v>0</v>
      </c>
      <c r="AA325" s="49"/>
      <c r="AB325" s="50"/>
      <c r="AC325" s="50"/>
      <c r="AD325" s="51"/>
      <c r="AE325" s="52">
        <f t="shared" si="191"/>
        <v>0</v>
      </c>
      <c r="AF325" s="49"/>
      <c r="AG325" s="50"/>
      <c r="AH325" s="50"/>
      <c r="AI325" s="51"/>
      <c r="AJ325" s="52">
        <f t="shared" si="192"/>
        <v>0</v>
      </c>
      <c r="AK325" s="49"/>
      <c r="AL325" s="50"/>
      <c r="AM325" s="50"/>
      <c r="AN325" s="51"/>
      <c r="AO325" s="52">
        <f t="shared" si="193"/>
        <v>0</v>
      </c>
      <c r="AP325" s="49"/>
      <c r="AQ325" s="50"/>
      <c r="AR325" s="50"/>
      <c r="AS325" s="51"/>
      <c r="AT325" s="52">
        <f t="shared" si="194"/>
        <v>0</v>
      </c>
      <c r="AU325" s="49">
        <v>48</v>
      </c>
      <c r="AV325" s="50"/>
      <c r="AW325" s="50"/>
      <c r="AX325" s="51"/>
      <c r="AY325" s="52">
        <f t="shared" si="195"/>
        <v>48</v>
      </c>
      <c r="AZ325" s="49">
        <v>21</v>
      </c>
      <c r="BA325" s="50"/>
      <c r="BB325" s="50"/>
      <c r="BC325" s="51"/>
      <c r="BD325" s="52">
        <f t="shared" si="196"/>
        <v>21</v>
      </c>
      <c r="BE325" s="49"/>
      <c r="BF325" s="50"/>
      <c r="BG325" s="50"/>
      <c r="BH325" s="51"/>
      <c r="BI325" s="52">
        <f t="shared" si="197"/>
        <v>0</v>
      </c>
      <c r="BJ325" s="49"/>
      <c r="BK325" s="50"/>
      <c r="BL325" s="50"/>
      <c r="BM325" s="51"/>
      <c r="BN325" s="52">
        <f t="shared" si="198"/>
        <v>0</v>
      </c>
      <c r="BO325" s="167">
        <f>SUM(G325,L325,Q325,V325,AA325,AF325,AK325,AP325,AU325,AZ325,BE325,BJ325)</f>
        <v>69</v>
      </c>
      <c r="BP325" s="50">
        <f>SUM(H325,M325,R325,W325,AB325,AG325,AL325,AQ325,AV325,BA325,BF325,BK325)</f>
        <v>0</v>
      </c>
      <c r="BQ325" s="50">
        <f>SUM(I325,N325,S325,X325,AC325,AH325,AM325,AR325,AW325,BB325,BG325,BL325)</f>
        <v>0</v>
      </c>
      <c r="BR325" s="51">
        <f>SUM(J325,O325,T325,Y325,AD325,AI325,AN325,AS325,AX325,BC325,BH325,BM325)</f>
        <v>0</v>
      </c>
      <c r="BS325" s="53">
        <f t="shared" si="159"/>
        <v>69</v>
      </c>
    </row>
    <row r="326" spans="2:71" x14ac:dyDescent="0.3">
      <c r="B326" s="269"/>
      <c r="C326" s="230"/>
      <c r="D326" s="250"/>
      <c r="E326" s="250"/>
      <c r="F326" s="133" t="s">
        <v>753</v>
      </c>
      <c r="G326" s="49"/>
      <c r="H326" s="50"/>
      <c r="I326" s="50"/>
      <c r="J326" s="51"/>
      <c r="K326" s="52">
        <f t="shared" si="187"/>
        <v>0</v>
      </c>
      <c r="L326" s="49"/>
      <c r="M326" s="50"/>
      <c r="N326" s="50"/>
      <c r="O326" s="51"/>
      <c r="P326" s="52">
        <f t="shared" si="188"/>
        <v>0</v>
      </c>
      <c r="Q326" s="49"/>
      <c r="R326" s="50"/>
      <c r="S326" s="50"/>
      <c r="T326" s="51"/>
      <c r="U326" s="52">
        <f t="shared" si="189"/>
        <v>0</v>
      </c>
      <c r="V326" s="49"/>
      <c r="W326" s="50"/>
      <c r="X326" s="50"/>
      <c r="Y326" s="51"/>
      <c r="Z326" s="52">
        <f t="shared" si="190"/>
        <v>0</v>
      </c>
      <c r="AA326" s="49"/>
      <c r="AB326" s="50"/>
      <c r="AC326" s="50"/>
      <c r="AD326" s="51"/>
      <c r="AE326" s="52">
        <f t="shared" si="191"/>
        <v>0</v>
      </c>
      <c r="AF326" s="49"/>
      <c r="AG326" s="50"/>
      <c r="AH326" s="50"/>
      <c r="AI326" s="51"/>
      <c r="AJ326" s="52">
        <f t="shared" si="192"/>
        <v>0</v>
      </c>
      <c r="AK326" s="49"/>
      <c r="AL326" s="50"/>
      <c r="AM326" s="50"/>
      <c r="AN326" s="51"/>
      <c r="AO326" s="52">
        <f t="shared" si="193"/>
        <v>0</v>
      </c>
      <c r="AP326" s="49"/>
      <c r="AQ326" s="50"/>
      <c r="AR326" s="50"/>
      <c r="AS326" s="51"/>
      <c r="AT326" s="52">
        <f t="shared" si="194"/>
        <v>0</v>
      </c>
      <c r="AU326" s="49">
        <v>18</v>
      </c>
      <c r="AV326" s="50"/>
      <c r="AW326" s="50"/>
      <c r="AX326" s="51"/>
      <c r="AY326" s="52">
        <f t="shared" si="195"/>
        <v>18</v>
      </c>
      <c r="AZ326" s="49">
        <v>12</v>
      </c>
      <c r="BA326" s="50"/>
      <c r="BB326" s="50"/>
      <c r="BC326" s="51"/>
      <c r="BD326" s="52">
        <f t="shared" si="196"/>
        <v>12</v>
      </c>
      <c r="BE326" s="49"/>
      <c r="BF326" s="50"/>
      <c r="BG326" s="50"/>
      <c r="BH326" s="51"/>
      <c r="BI326" s="52">
        <f t="shared" si="197"/>
        <v>0</v>
      </c>
      <c r="BJ326" s="49"/>
      <c r="BK326" s="50"/>
      <c r="BL326" s="50"/>
      <c r="BM326" s="51"/>
      <c r="BN326" s="52">
        <f t="shared" si="198"/>
        <v>0</v>
      </c>
      <c r="BO326" s="167">
        <f>SUM(G326,L326,Q326,V326,AA326,AF326,AK326,AP326,AU326,AZ326,BE326,BJ326)</f>
        <v>30</v>
      </c>
      <c r="BP326" s="50">
        <f>SUM(H326,M326,R326,W326,AB326,AG326,AL326,AQ326,AV326,BA326,BF326,BK326)</f>
        <v>0</v>
      </c>
      <c r="BQ326" s="50">
        <f>SUM(I326,N326,S326,X326,AC326,AH326,AM326,AR326,AW326,BB326,BG326,BL326)</f>
        <v>0</v>
      </c>
      <c r="BR326" s="51">
        <f>SUM(J326,O326,T326,Y326,AD326,AI326,AN326,AS326,AX326,BC326,BH326,BM326)</f>
        <v>0</v>
      </c>
      <c r="BS326" s="53">
        <f t="shared" si="159"/>
        <v>30</v>
      </c>
    </row>
    <row r="327" spans="2:71" x14ac:dyDescent="0.3">
      <c r="B327" s="269"/>
      <c r="C327" s="230"/>
      <c r="D327" s="250"/>
      <c r="E327" s="250"/>
      <c r="F327" s="133" t="s">
        <v>754</v>
      </c>
      <c r="G327" s="49"/>
      <c r="H327" s="50"/>
      <c r="I327" s="50"/>
      <c r="J327" s="51"/>
      <c r="K327" s="52">
        <f t="shared" si="187"/>
        <v>0</v>
      </c>
      <c r="L327" s="49"/>
      <c r="M327" s="50"/>
      <c r="N327" s="50"/>
      <c r="O327" s="51"/>
      <c r="P327" s="52">
        <f t="shared" si="188"/>
        <v>0</v>
      </c>
      <c r="Q327" s="49"/>
      <c r="R327" s="50"/>
      <c r="S327" s="50"/>
      <c r="T327" s="51"/>
      <c r="U327" s="52">
        <f t="shared" si="189"/>
        <v>0</v>
      </c>
      <c r="V327" s="49"/>
      <c r="W327" s="50"/>
      <c r="X327" s="50"/>
      <c r="Y327" s="51"/>
      <c r="Z327" s="52">
        <f t="shared" si="190"/>
        <v>0</v>
      </c>
      <c r="AA327" s="49"/>
      <c r="AB327" s="50"/>
      <c r="AC327" s="50"/>
      <c r="AD327" s="51"/>
      <c r="AE327" s="52">
        <f t="shared" si="191"/>
        <v>0</v>
      </c>
      <c r="AF327" s="49"/>
      <c r="AG327" s="50"/>
      <c r="AH327" s="50"/>
      <c r="AI327" s="51"/>
      <c r="AJ327" s="52">
        <f t="shared" si="192"/>
        <v>0</v>
      </c>
      <c r="AK327" s="49"/>
      <c r="AL327" s="50"/>
      <c r="AM327" s="50"/>
      <c r="AN327" s="51"/>
      <c r="AO327" s="52">
        <f t="shared" si="193"/>
        <v>0</v>
      </c>
      <c r="AP327" s="49"/>
      <c r="AQ327" s="50"/>
      <c r="AR327" s="50"/>
      <c r="AS327" s="51"/>
      <c r="AT327" s="52">
        <f t="shared" si="194"/>
        <v>0</v>
      </c>
      <c r="AU327" s="49"/>
      <c r="AV327" s="50"/>
      <c r="AW327" s="50"/>
      <c r="AX327" s="51"/>
      <c r="AY327" s="52">
        <f t="shared" si="195"/>
        <v>0</v>
      </c>
      <c r="AZ327" s="49"/>
      <c r="BA327" s="50"/>
      <c r="BB327" s="50"/>
      <c r="BC327" s="51"/>
      <c r="BD327" s="52">
        <f t="shared" si="196"/>
        <v>0</v>
      </c>
      <c r="BE327" s="49"/>
      <c r="BF327" s="50"/>
      <c r="BG327" s="50"/>
      <c r="BH327" s="51"/>
      <c r="BI327" s="52">
        <f t="shared" si="197"/>
        <v>0</v>
      </c>
      <c r="BJ327" s="49">
        <v>558</v>
      </c>
      <c r="BK327" s="50"/>
      <c r="BL327" s="50"/>
      <c r="BM327" s="51"/>
      <c r="BN327" s="52">
        <f t="shared" si="198"/>
        <v>558</v>
      </c>
      <c r="BO327" s="167">
        <f>SUM(G327,L327,Q327,V327,AA327,AF327,AK327,AP327,AU327,AZ327,BE327,BJ327)</f>
        <v>558</v>
      </c>
      <c r="BP327" s="50">
        <f>SUM(H327,M327,R327,W327,AB327,AG327,AL327,AQ327,AV327,BA327,BF327,BK327)</f>
        <v>0</v>
      </c>
      <c r="BQ327" s="50">
        <f>SUM(I327,N327,S327,X327,AC327,AH327,AM327,AR327,AW327,BB327,BG327,BL327)</f>
        <v>0</v>
      </c>
      <c r="BR327" s="51">
        <f>SUM(J327,O327,T327,Y327,AD327,AI327,AN327,AS327,AX327,BC327,BH327,BM327)</f>
        <v>0</v>
      </c>
      <c r="BS327" s="53">
        <f t="shared" si="159"/>
        <v>558</v>
      </c>
    </row>
    <row r="328" spans="2:71" x14ac:dyDescent="0.3">
      <c r="B328" s="269"/>
      <c r="C328" s="230"/>
      <c r="D328" s="250"/>
      <c r="E328" s="250"/>
      <c r="F328" s="133" t="s">
        <v>355</v>
      </c>
      <c r="G328" s="49"/>
      <c r="H328" s="50"/>
      <c r="I328" s="50"/>
      <c r="J328" s="51"/>
      <c r="K328" s="52">
        <f t="shared" si="187"/>
        <v>0</v>
      </c>
      <c r="L328" s="49"/>
      <c r="M328" s="50"/>
      <c r="N328" s="50"/>
      <c r="O328" s="51"/>
      <c r="P328" s="52">
        <f t="shared" si="188"/>
        <v>0</v>
      </c>
      <c r="Q328" s="49"/>
      <c r="R328" s="50"/>
      <c r="S328" s="50"/>
      <c r="T328" s="51"/>
      <c r="U328" s="52">
        <f t="shared" si="189"/>
        <v>0</v>
      </c>
      <c r="V328" s="49"/>
      <c r="W328" s="50"/>
      <c r="X328" s="50"/>
      <c r="Y328" s="51"/>
      <c r="Z328" s="52">
        <f t="shared" si="190"/>
        <v>0</v>
      </c>
      <c r="AA328" s="49"/>
      <c r="AB328" s="50"/>
      <c r="AC328" s="50"/>
      <c r="AD328" s="51"/>
      <c r="AE328" s="52">
        <f t="shared" si="191"/>
        <v>0</v>
      </c>
      <c r="AF328" s="49"/>
      <c r="AG328" s="50"/>
      <c r="AH328" s="50"/>
      <c r="AI328" s="51"/>
      <c r="AJ328" s="52">
        <f t="shared" si="192"/>
        <v>0</v>
      </c>
      <c r="AK328" s="49">
        <v>12941</v>
      </c>
      <c r="AL328" s="50"/>
      <c r="AM328" s="50"/>
      <c r="AN328" s="51"/>
      <c r="AO328" s="52">
        <f t="shared" si="193"/>
        <v>12941</v>
      </c>
      <c r="AP328" s="49">
        <f>1293+1</f>
        <v>1294</v>
      </c>
      <c r="AQ328" s="50"/>
      <c r="AR328" s="50"/>
      <c r="AS328" s="51"/>
      <c r="AT328" s="52">
        <f t="shared" si="194"/>
        <v>1294</v>
      </c>
      <c r="AU328" s="49"/>
      <c r="AV328" s="50"/>
      <c r="AW328" s="50"/>
      <c r="AX328" s="51"/>
      <c r="AY328" s="52">
        <f t="shared" si="195"/>
        <v>0</v>
      </c>
      <c r="AZ328" s="49"/>
      <c r="BA328" s="50"/>
      <c r="BB328" s="50"/>
      <c r="BC328" s="51"/>
      <c r="BD328" s="52">
        <f t="shared" si="196"/>
        <v>0</v>
      </c>
      <c r="BE328" s="49"/>
      <c r="BF328" s="50"/>
      <c r="BG328" s="50"/>
      <c r="BH328" s="51"/>
      <c r="BI328" s="52">
        <f t="shared" si="197"/>
        <v>0</v>
      </c>
      <c r="BJ328" s="49"/>
      <c r="BK328" s="50"/>
      <c r="BL328" s="50"/>
      <c r="BM328" s="51"/>
      <c r="BN328" s="52">
        <f t="shared" si="198"/>
        <v>0</v>
      </c>
      <c r="BO328" s="167">
        <f>SUM(G328,L328,Q328,V328,AA328,AF328,AK328,AP328,AU328,AZ328,BE328,BJ328)</f>
        <v>14235</v>
      </c>
      <c r="BP328" s="50">
        <f>SUM(H328,M328,R328,W328,AB328,AG328,AL328,AQ328,AV328,BA328,BF328,BK328)</f>
        <v>0</v>
      </c>
      <c r="BQ328" s="50">
        <f>SUM(I328,N328,S328,X328,AC328,AH328,AM328,AR328,AW328,BB328,BG328,BL328)</f>
        <v>0</v>
      </c>
      <c r="BR328" s="51">
        <f>SUM(J328,O328,T328,Y328,AD328,AI328,AN328,AS328,AX328,BC328,BH328,BM328)</f>
        <v>0</v>
      </c>
      <c r="BS328" s="53">
        <f t="shared" si="159"/>
        <v>14235</v>
      </c>
    </row>
    <row r="329" spans="2:71" x14ac:dyDescent="0.3">
      <c r="B329" s="269"/>
      <c r="C329" s="230"/>
      <c r="D329" s="250"/>
      <c r="E329" s="250"/>
      <c r="F329" s="133" t="s">
        <v>331</v>
      </c>
      <c r="G329" s="49"/>
      <c r="H329" s="50"/>
      <c r="I329" s="50"/>
      <c r="J329" s="51"/>
      <c r="K329" s="52">
        <f t="shared" si="187"/>
        <v>0</v>
      </c>
      <c r="L329" s="49"/>
      <c r="M329" s="50"/>
      <c r="N329" s="50"/>
      <c r="O329" s="51"/>
      <c r="P329" s="52">
        <f t="shared" si="188"/>
        <v>0</v>
      </c>
      <c r="Q329" s="49"/>
      <c r="R329" s="50"/>
      <c r="S329" s="50"/>
      <c r="T329" s="51"/>
      <c r="U329" s="52">
        <f t="shared" si="189"/>
        <v>0</v>
      </c>
      <c r="V329" s="49"/>
      <c r="W329" s="50"/>
      <c r="X329" s="50"/>
      <c r="Y329" s="51"/>
      <c r="Z329" s="52">
        <f t="shared" si="190"/>
        <v>0</v>
      </c>
      <c r="AA329" s="49"/>
      <c r="AB329" s="50"/>
      <c r="AC329" s="50"/>
      <c r="AD329" s="51"/>
      <c r="AE329" s="52">
        <f t="shared" si="191"/>
        <v>0</v>
      </c>
      <c r="AF329" s="49"/>
      <c r="AG329" s="50"/>
      <c r="AH329" s="50"/>
      <c r="AI329" s="51"/>
      <c r="AJ329" s="52">
        <f t="shared" si="192"/>
        <v>0</v>
      </c>
      <c r="AK329" s="49"/>
      <c r="AL329" s="50"/>
      <c r="AM329" s="50"/>
      <c r="AN329" s="51"/>
      <c r="AO329" s="52">
        <f t="shared" si="193"/>
        <v>0</v>
      </c>
      <c r="AP329" s="49"/>
      <c r="AQ329" s="50"/>
      <c r="AR329" s="50"/>
      <c r="AS329" s="51"/>
      <c r="AT329" s="52">
        <f t="shared" si="194"/>
        <v>0</v>
      </c>
      <c r="AU329" s="49"/>
      <c r="AV329" s="50"/>
      <c r="AW329" s="50"/>
      <c r="AX329" s="51"/>
      <c r="AY329" s="52">
        <f t="shared" si="195"/>
        <v>0</v>
      </c>
      <c r="AZ329" s="49"/>
      <c r="BA329" s="50"/>
      <c r="BB329" s="50"/>
      <c r="BC329" s="51"/>
      <c r="BD329" s="52">
        <f t="shared" si="196"/>
        <v>0</v>
      </c>
      <c r="BE329" s="49">
        <v>1000</v>
      </c>
      <c r="BF329" s="50"/>
      <c r="BG329" s="50"/>
      <c r="BH329" s="51"/>
      <c r="BI329" s="52">
        <f t="shared" si="197"/>
        <v>1000</v>
      </c>
      <c r="BJ329" s="49"/>
      <c r="BK329" s="50"/>
      <c r="BL329" s="50"/>
      <c r="BM329" s="51"/>
      <c r="BN329" s="52">
        <f t="shared" si="198"/>
        <v>0</v>
      </c>
      <c r="BO329" s="167">
        <f>SUM(G329,L329,Q329,V329,AA329,AF329,AK329,AP329,AU329,AZ329,BE329,BJ329)</f>
        <v>1000</v>
      </c>
      <c r="BP329" s="50">
        <f>SUM(H329,M329,R329,W329,AB329,AG329,AL329,AQ329,AV329,BA329,BF329,BK329)</f>
        <v>0</v>
      </c>
      <c r="BQ329" s="50">
        <f>SUM(I329,N329,S329,X329,AC329,AH329,AM329,AR329,AW329,BB329,BG329,BL329)</f>
        <v>0</v>
      </c>
      <c r="BR329" s="51">
        <f>SUM(J329,O329,T329,Y329,AD329,AI329,AN329,AS329,AX329,BC329,BH329,BM329)</f>
        <v>0</v>
      </c>
      <c r="BS329" s="53">
        <f t="shared" si="159"/>
        <v>1000</v>
      </c>
    </row>
    <row r="330" spans="2:71" x14ac:dyDescent="0.3">
      <c r="B330" s="269"/>
      <c r="C330" s="231"/>
      <c r="D330" s="251"/>
      <c r="E330" s="251"/>
      <c r="F330" s="114" t="s">
        <v>4</v>
      </c>
      <c r="G330" s="40">
        <f>SUM(G280:G329)</f>
        <v>10159</v>
      </c>
      <c r="H330" s="22">
        <f>SUM(H280:H329)</f>
        <v>0</v>
      </c>
      <c r="I330" s="22">
        <f>SUM(I280:I329)</f>
        <v>2177</v>
      </c>
      <c r="J330" s="23">
        <f>SUM(J280:J329)</f>
        <v>0</v>
      </c>
      <c r="K330" s="24">
        <f t="shared" si="187"/>
        <v>12336</v>
      </c>
      <c r="L330" s="40">
        <f>SUM(L280:L329)</f>
        <v>8380</v>
      </c>
      <c r="M330" s="22">
        <f>SUM(M280:M329)</f>
        <v>0</v>
      </c>
      <c r="N330" s="22">
        <f>SUM(N280:N329)</f>
        <v>2546</v>
      </c>
      <c r="O330" s="23">
        <f>SUM(O280:O329)</f>
        <v>0</v>
      </c>
      <c r="P330" s="24">
        <f t="shared" si="188"/>
        <v>10926</v>
      </c>
      <c r="Q330" s="40">
        <f>SUM(Q280:Q329)</f>
        <v>10857</v>
      </c>
      <c r="R330" s="22">
        <f>SUM(R280:R329)</f>
        <v>0</v>
      </c>
      <c r="S330" s="22">
        <f>SUM(S280:S329)</f>
        <v>2815</v>
      </c>
      <c r="T330" s="23">
        <f>SUM(T280:T329)</f>
        <v>0</v>
      </c>
      <c r="U330" s="24">
        <f t="shared" si="189"/>
        <v>13672</v>
      </c>
      <c r="V330" s="40">
        <f>SUM(V280:V329)</f>
        <v>18928</v>
      </c>
      <c r="W330" s="22">
        <f>SUM(W280:W329)</f>
        <v>0</v>
      </c>
      <c r="X330" s="22">
        <f>SUM(X280:X329)</f>
        <v>3165</v>
      </c>
      <c r="Y330" s="23">
        <f>SUM(Y280:Y329)</f>
        <v>0</v>
      </c>
      <c r="Z330" s="24">
        <f t="shared" si="190"/>
        <v>22093</v>
      </c>
      <c r="AA330" s="40">
        <f>SUM(AA280:AA329)</f>
        <v>35013</v>
      </c>
      <c r="AB330" s="22">
        <f>SUM(AB280:AB329)</f>
        <v>0</v>
      </c>
      <c r="AC330" s="22">
        <f>SUM(AC280:AC329)</f>
        <v>7564</v>
      </c>
      <c r="AD330" s="23">
        <f>SUM(AD280:AD329)</f>
        <v>0</v>
      </c>
      <c r="AE330" s="24">
        <f t="shared" si="191"/>
        <v>42577</v>
      </c>
      <c r="AF330" s="40">
        <f>SUM(AF280:AF329)</f>
        <v>22193</v>
      </c>
      <c r="AG330" s="22">
        <f>SUM(AG280:AG329)</f>
        <v>0</v>
      </c>
      <c r="AH330" s="22">
        <f>SUM(AH280:AH329)</f>
        <v>3878</v>
      </c>
      <c r="AI330" s="23">
        <f>SUM(AI280:AI329)</f>
        <v>0</v>
      </c>
      <c r="AJ330" s="24">
        <f t="shared" si="192"/>
        <v>26071</v>
      </c>
      <c r="AK330" s="40">
        <f>SUM(AK280:AK329)</f>
        <v>22643</v>
      </c>
      <c r="AL330" s="22">
        <f>SUM(AL280:AL329)</f>
        <v>0</v>
      </c>
      <c r="AM330" s="22">
        <f>SUM(AM280:AM329)</f>
        <v>1500</v>
      </c>
      <c r="AN330" s="23">
        <f>SUM(AN280:AN329)</f>
        <v>0</v>
      </c>
      <c r="AO330" s="24">
        <f t="shared" si="193"/>
        <v>24143</v>
      </c>
      <c r="AP330" s="40">
        <f>SUM(AP280:AP329)</f>
        <v>20743</v>
      </c>
      <c r="AQ330" s="22">
        <f>SUM(AQ280:AQ329)</f>
        <v>0</v>
      </c>
      <c r="AR330" s="22">
        <f>SUM(AR280:AR329)</f>
        <v>2615</v>
      </c>
      <c r="AS330" s="23">
        <f>SUM(AS280:AS329)</f>
        <v>0</v>
      </c>
      <c r="AT330" s="24">
        <f t="shared" si="194"/>
        <v>23358</v>
      </c>
      <c r="AU330" s="40">
        <f>SUM(AU280:AU329)</f>
        <v>13808</v>
      </c>
      <c r="AV330" s="22">
        <f>SUM(AV280:AV329)</f>
        <v>0</v>
      </c>
      <c r="AW330" s="22">
        <f>SUM(AW280:AW329)</f>
        <v>2299</v>
      </c>
      <c r="AX330" s="23">
        <f>SUM(AX280:AX329)</f>
        <v>0</v>
      </c>
      <c r="AY330" s="24">
        <f t="shared" si="195"/>
        <v>16107</v>
      </c>
      <c r="AZ330" s="40">
        <f>SUM(AZ280:AZ329)</f>
        <v>30117</v>
      </c>
      <c r="BA330" s="22">
        <f>SUM(BA280:BA329)</f>
        <v>0</v>
      </c>
      <c r="BB330" s="22">
        <f>SUM(BB280:BB329)</f>
        <v>4586</v>
      </c>
      <c r="BC330" s="23">
        <f>SUM(BC280:BC329)</f>
        <v>0</v>
      </c>
      <c r="BD330" s="24">
        <f t="shared" si="196"/>
        <v>34703</v>
      </c>
      <c r="BE330" s="40">
        <f>SUM(BE280:BE329)</f>
        <v>18887</v>
      </c>
      <c r="BF330" s="22">
        <f>SUM(BF280:BF329)</f>
        <v>0</v>
      </c>
      <c r="BG330" s="22">
        <f>SUM(BG280:BG329)</f>
        <v>2909</v>
      </c>
      <c r="BH330" s="23">
        <f>SUM(BH280:BH329)</f>
        <v>0</v>
      </c>
      <c r="BI330" s="24">
        <f t="shared" si="197"/>
        <v>21796</v>
      </c>
      <c r="BJ330" s="40">
        <f>SUM(BJ280:BJ329)</f>
        <v>8296</v>
      </c>
      <c r="BK330" s="22">
        <f>SUM(BK280:BK329)</f>
        <v>0</v>
      </c>
      <c r="BL330" s="22">
        <f>SUM(BL280:BL329)</f>
        <v>781</v>
      </c>
      <c r="BM330" s="23">
        <f>SUM(BM280:BM329)</f>
        <v>0</v>
      </c>
      <c r="BN330" s="24">
        <f t="shared" si="198"/>
        <v>9077</v>
      </c>
      <c r="BO330" s="68">
        <f>SUM(BO280:BO329)</f>
        <v>220024</v>
      </c>
      <c r="BP330" s="22">
        <f>SUM(BP280:BP329)</f>
        <v>0</v>
      </c>
      <c r="BQ330" s="22">
        <f>SUM(BQ280:BQ329)</f>
        <v>36835</v>
      </c>
      <c r="BR330" s="23">
        <f>SUM(BR280:BR329)</f>
        <v>0</v>
      </c>
      <c r="BS330" s="41">
        <f t="shared" si="159"/>
        <v>256859</v>
      </c>
    </row>
    <row r="331" spans="2:71" x14ac:dyDescent="0.3">
      <c r="B331" s="269"/>
      <c r="C331" s="215" t="s">
        <v>74</v>
      </c>
      <c r="D331" s="216"/>
      <c r="E331" s="220" t="s">
        <v>75</v>
      </c>
      <c r="F331" s="123" t="s">
        <v>118</v>
      </c>
      <c r="G331" s="34">
        <v>2</v>
      </c>
      <c r="H331" s="16"/>
      <c r="I331" s="16">
        <v>2</v>
      </c>
      <c r="J331" s="51"/>
      <c r="K331" s="18">
        <f t="shared" si="187"/>
        <v>4</v>
      </c>
      <c r="L331" s="34">
        <v>2</v>
      </c>
      <c r="M331" s="16"/>
      <c r="N331" s="16"/>
      <c r="O331" s="51"/>
      <c r="P331" s="18">
        <f t="shared" si="188"/>
        <v>2</v>
      </c>
      <c r="Q331" s="34">
        <v>3</v>
      </c>
      <c r="R331" s="16"/>
      <c r="S331" s="16">
        <v>2</v>
      </c>
      <c r="T331" s="51"/>
      <c r="U331" s="18">
        <f t="shared" si="189"/>
        <v>5</v>
      </c>
      <c r="V331" s="34">
        <v>9</v>
      </c>
      <c r="W331" s="16"/>
      <c r="X331" s="16">
        <v>6</v>
      </c>
      <c r="Y331" s="51"/>
      <c r="Z331" s="18">
        <f t="shared" si="190"/>
        <v>15</v>
      </c>
      <c r="AA331" s="34">
        <v>8</v>
      </c>
      <c r="AB331" s="16"/>
      <c r="AC331" s="16">
        <v>6</v>
      </c>
      <c r="AD331" s="51"/>
      <c r="AE331" s="18">
        <f t="shared" si="191"/>
        <v>14</v>
      </c>
      <c r="AF331" s="34">
        <v>14</v>
      </c>
      <c r="AG331" s="16"/>
      <c r="AH331" s="16">
        <v>7</v>
      </c>
      <c r="AI331" s="51"/>
      <c r="AJ331" s="18">
        <f t="shared" si="192"/>
        <v>21</v>
      </c>
      <c r="AK331" s="34">
        <v>3</v>
      </c>
      <c r="AL331" s="16"/>
      <c r="AM331" s="16">
        <v>3</v>
      </c>
      <c r="AN331" s="51"/>
      <c r="AO331" s="18">
        <f t="shared" si="193"/>
        <v>6</v>
      </c>
      <c r="AP331" s="34">
        <v>9</v>
      </c>
      <c r="AQ331" s="16"/>
      <c r="AR331" s="16">
        <v>7</v>
      </c>
      <c r="AS331" s="51"/>
      <c r="AT331" s="18">
        <f t="shared" si="194"/>
        <v>16</v>
      </c>
      <c r="AU331" s="34"/>
      <c r="AV331" s="16"/>
      <c r="AW331" s="16"/>
      <c r="AX331" s="51"/>
      <c r="AY331" s="18">
        <f t="shared" si="195"/>
        <v>0</v>
      </c>
      <c r="AZ331" s="34">
        <v>2</v>
      </c>
      <c r="BA331" s="16"/>
      <c r="BB331" s="16">
        <v>1</v>
      </c>
      <c r="BC331" s="51"/>
      <c r="BD331" s="18">
        <f t="shared" si="196"/>
        <v>3</v>
      </c>
      <c r="BE331" s="34">
        <v>4</v>
      </c>
      <c r="BF331" s="16"/>
      <c r="BG331" s="16">
        <v>3</v>
      </c>
      <c r="BH331" s="51"/>
      <c r="BI331" s="18">
        <f t="shared" si="197"/>
        <v>7</v>
      </c>
      <c r="BJ331" s="34">
        <v>4</v>
      </c>
      <c r="BK331" s="16"/>
      <c r="BL331" s="16">
        <v>1</v>
      </c>
      <c r="BM331" s="51"/>
      <c r="BN331" s="18">
        <f t="shared" si="198"/>
        <v>5</v>
      </c>
      <c r="BO331" s="70">
        <f>SUM(G331,L331,Q331,V331,AA331,AF331,AK331,AP331,AU331,AZ331,BE331,BJ331)</f>
        <v>60</v>
      </c>
      <c r="BP331" s="16">
        <f>SUM(H331,M331,R331,W331,AB331,AG331,AL331,AQ331,AV331,BA331,BF331,BK331)</f>
        <v>0</v>
      </c>
      <c r="BQ331" s="16">
        <f>SUM(I331,N331,S331,X331,AC331,AH331,AM331,AR331,AW331,BB331,BG331,BL331)</f>
        <v>38</v>
      </c>
      <c r="BR331" s="17">
        <f>SUM(J331,O331,T331,Y331,AD331,AI331,AN331,AS331,AX331,BC331,BH331,BM331)</f>
        <v>0</v>
      </c>
      <c r="BS331" s="35">
        <f t="shared" si="159"/>
        <v>98</v>
      </c>
    </row>
    <row r="332" spans="2:71" x14ac:dyDescent="0.3">
      <c r="B332" s="269"/>
      <c r="C332" s="215"/>
      <c r="D332" s="216"/>
      <c r="E332" s="220"/>
      <c r="F332" s="123" t="s">
        <v>77</v>
      </c>
      <c r="G332" s="34">
        <v>28</v>
      </c>
      <c r="H332" s="16"/>
      <c r="I332" s="16">
        <v>14</v>
      </c>
      <c r="J332" s="151">
        <v>16</v>
      </c>
      <c r="K332" s="18">
        <f t="shared" si="187"/>
        <v>58</v>
      </c>
      <c r="L332" s="34">
        <v>16</v>
      </c>
      <c r="M332" s="16"/>
      <c r="N332" s="16">
        <v>2</v>
      </c>
      <c r="O332" s="151">
        <v>14</v>
      </c>
      <c r="P332" s="18">
        <f t="shared" si="188"/>
        <v>32</v>
      </c>
      <c r="Q332" s="34">
        <v>39</v>
      </c>
      <c r="R332" s="16"/>
      <c r="S332" s="16">
        <v>16</v>
      </c>
      <c r="T332" s="151">
        <v>28</v>
      </c>
      <c r="U332" s="18">
        <f t="shared" si="189"/>
        <v>83</v>
      </c>
      <c r="V332" s="34">
        <v>24</v>
      </c>
      <c r="W332" s="16"/>
      <c r="X332" s="16">
        <v>8</v>
      </c>
      <c r="Y332" s="151">
        <v>16</v>
      </c>
      <c r="Z332" s="18">
        <f t="shared" si="190"/>
        <v>48</v>
      </c>
      <c r="AA332" s="34">
        <v>38</v>
      </c>
      <c r="AB332" s="16"/>
      <c r="AC332" s="16">
        <v>16</v>
      </c>
      <c r="AD332" s="151">
        <v>21</v>
      </c>
      <c r="AE332" s="18">
        <f t="shared" si="191"/>
        <v>75</v>
      </c>
      <c r="AF332" s="34">
        <v>42</v>
      </c>
      <c r="AG332" s="16"/>
      <c r="AH332" s="16">
        <v>14</v>
      </c>
      <c r="AI332" s="151">
        <v>24</v>
      </c>
      <c r="AJ332" s="18">
        <f t="shared" si="192"/>
        <v>80</v>
      </c>
      <c r="AK332" s="34">
        <v>17</v>
      </c>
      <c r="AL332" s="16"/>
      <c r="AM332" s="16">
        <v>7</v>
      </c>
      <c r="AN332" s="151">
        <v>10</v>
      </c>
      <c r="AO332" s="18">
        <f t="shared" si="193"/>
        <v>34</v>
      </c>
      <c r="AP332" s="34">
        <v>28</v>
      </c>
      <c r="AQ332" s="16"/>
      <c r="AR332" s="16">
        <v>12</v>
      </c>
      <c r="AS332" s="151">
        <v>15</v>
      </c>
      <c r="AT332" s="18">
        <f t="shared" si="194"/>
        <v>55</v>
      </c>
      <c r="AU332" s="34">
        <v>21</v>
      </c>
      <c r="AV332" s="16"/>
      <c r="AW332" s="16">
        <v>9</v>
      </c>
      <c r="AX332" s="151">
        <v>12</v>
      </c>
      <c r="AY332" s="18">
        <f t="shared" si="195"/>
        <v>42</v>
      </c>
      <c r="AZ332" s="34">
        <v>19</v>
      </c>
      <c r="BA332" s="16"/>
      <c r="BB332" s="16">
        <v>15</v>
      </c>
      <c r="BC332" s="151">
        <v>19</v>
      </c>
      <c r="BD332" s="18">
        <f t="shared" si="196"/>
        <v>53</v>
      </c>
      <c r="BE332" s="34">
        <v>24</v>
      </c>
      <c r="BF332" s="16"/>
      <c r="BG332" s="16">
        <v>5</v>
      </c>
      <c r="BH332" s="151">
        <v>11</v>
      </c>
      <c r="BI332" s="18">
        <f t="shared" si="197"/>
        <v>40</v>
      </c>
      <c r="BJ332" s="34">
        <v>7</v>
      </c>
      <c r="BK332" s="16"/>
      <c r="BL332" s="16">
        <v>6</v>
      </c>
      <c r="BM332" s="151">
        <v>9</v>
      </c>
      <c r="BN332" s="18">
        <f t="shared" si="198"/>
        <v>22</v>
      </c>
      <c r="BO332" s="70">
        <f>SUM(G332,L332,Q332,V332,AA332,AF332,AK332,AP332,AU332,AZ332,BE332,BJ332)</f>
        <v>303</v>
      </c>
      <c r="BP332" s="16">
        <f>SUM(H332,M332,R332,W332,AB332,AG332,AL332,AQ332,AV332,BA332,BF332,BK332)</f>
        <v>0</v>
      </c>
      <c r="BQ332" s="16">
        <f>SUM(I332,N332,S332,X332,AC332,AH332,AM332,AR332,AW332,BB332,BG332,BL332)</f>
        <v>124</v>
      </c>
      <c r="BR332" s="17">
        <f>SUM(J332,O332,T332,Y332,AD332,AI332,AN332,AS332,AX332,BC332,BH332,BM332)</f>
        <v>195</v>
      </c>
      <c r="BS332" s="35">
        <f t="shared" si="159"/>
        <v>622</v>
      </c>
    </row>
    <row r="333" spans="2:71" x14ac:dyDescent="0.3">
      <c r="B333" s="269"/>
      <c r="C333" s="215"/>
      <c r="D333" s="216"/>
      <c r="E333" s="220"/>
      <c r="F333" s="123" t="s">
        <v>78</v>
      </c>
      <c r="G333" s="34">
        <v>15</v>
      </c>
      <c r="H333" s="16"/>
      <c r="I333" s="16">
        <v>9</v>
      </c>
      <c r="J333" s="151">
        <v>3</v>
      </c>
      <c r="K333" s="18">
        <f t="shared" si="187"/>
        <v>27</v>
      </c>
      <c r="L333" s="34">
        <v>33</v>
      </c>
      <c r="M333" s="16"/>
      <c r="N333" s="16">
        <v>16</v>
      </c>
      <c r="O333" s="151">
        <v>6</v>
      </c>
      <c r="P333" s="18">
        <f t="shared" si="188"/>
        <v>55</v>
      </c>
      <c r="Q333" s="34">
        <v>56</v>
      </c>
      <c r="R333" s="16"/>
      <c r="S333" s="16">
        <v>13</v>
      </c>
      <c r="T333" s="296">
        <v>22</v>
      </c>
      <c r="U333" s="18">
        <f t="shared" si="189"/>
        <v>91</v>
      </c>
      <c r="V333" s="34">
        <v>35</v>
      </c>
      <c r="W333" s="16"/>
      <c r="X333" s="16">
        <v>17</v>
      </c>
      <c r="Y333" s="151">
        <v>16</v>
      </c>
      <c r="Z333" s="18">
        <f t="shared" si="190"/>
        <v>68</v>
      </c>
      <c r="AA333" s="34">
        <v>49</v>
      </c>
      <c r="AB333" s="16"/>
      <c r="AC333" s="16">
        <v>27</v>
      </c>
      <c r="AD333" s="151">
        <v>13</v>
      </c>
      <c r="AE333" s="18">
        <f t="shared" si="191"/>
        <v>89</v>
      </c>
      <c r="AF333" s="34">
        <v>43</v>
      </c>
      <c r="AG333" s="16"/>
      <c r="AH333" s="16">
        <v>13</v>
      </c>
      <c r="AI333" s="151">
        <v>13</v>
      </c>
      <c r="AJ333" s="18">
        <f t="shared" si="192"/>
        <v>69</v>
      </c>
      <c r="AK333" s="34">
        <v>32</v>
      </c>
      <c r="AL333" s="16"/>
      <c r="AM333" s="16">
        <v>18</v>
      </c>
      <c r="AN333" s="151">
        <v>8</v>
      </c>
      <c r="AO333" s="18">
        <f t="shared" si="193"/>
        <v>58</v>
      </c>
      <c r="AP333" s="34">
        <v>27</v>
      </c>
      <c r="AQ333" s="16"/>
      <c r="AR333" s="16">
        <v>9</v>
      </c>
      <c r="AS333" s="151">
        <v>7</v>
      </c>
      <c r="AT333" s="18">
        <f t="shared" si="194"/>
        <v>43</v>
      </c>
      <c r="AU333" s="34">
        <v>25</v>
      </c>
      <c r="AV333" s="16"/>
      <c r="AW333" s="16">
        <v>10</v>
      </c>
      <c r="AX333" s="151">
        <v>19</v>
      </c>
      <c r="AY333" s="18">
        <f t="shared" si="195"/>
        <v>54</v>
      </c>
      <c r="AZ333" s="34">
        <v>24</v>
      </c>
      <c r="BA333" s="16"/>
      <c r="BB333" s="16">
        <v>14</v>
      </c>
      <c r="BC333" s="151">
        <v>10</v>
      </c>
      <c r="BD333" s="18">
        <f t="shared" si="196"/>
        <v>48</v>
      </c>
      <c r="BE333" s="34">
        <v>15</v>
      </c>
      <c r="BF333" s="16"/>
      <c r="BG333" s="16">
        <v>9</v>
      </c>
      <c r="BH333" s="151">
        <v>8</v>
      </c>
      <c r="BI333" s="18">
        <f t="shared" si="197"/>
        <v>32</v>
      </c>
      <c r="BJ333" s="34">
        <v>17</v>
      </c>
      <c r="BK333" s="16"/>
      <c r="BL333" s="16">
        <v>6</v>
      </c>
      <c r="BM333" s="151">
        <v>7</v>
      </c>
      <c r="BN333" s="18">
        <f t="shared" si="198"/>
        <v>30</v>
      </c>
      <c r="BO333" s="70">
        <f>SUM(G333,L333,Q333,V333,AA333,AF333,AK333,AP333,AU333,AZ333,BE333,BJ333)</f>
        <v>371</v>
      </c>
      <c r="BP333" s="16">
        <f>SUM(H333,M333,R333,W333,AB333,AG333,AL333,AQ333,AV333,BA333,BF333,BK333)</f>
        <v>0</v>
      </c>
      <c r="BQ333" s="16">
        <f>SUM(I333,N333,S333,X333,AC333,AH333,AM333,AR333,AW333,BB333,BG333,BL333)</f>
        <v>161</v>
      </c>
      <c r="BR333" s="17">
        <f>SUM(J333,O333,T333,Y333,AD333,AI333,AN333,AS333,AX333,BC333,BH333,BM333)</f>
        <v>132</v>
      </c>
      <c r="BS333" s="35">
        <f t="shared" si="159"/>
        <v>664</v>
      </c>
    </row>
    <row r="334" spans="2:71" x14ac:dyDescent="0.3">
      <c r="B334" s="269"/>
      <c r="C334" s="215"/>
      <c r="D334" s="216"/>
      <c r="E334" s="220"/>
      <c r="F334" s="123" t="s">
        <v>79</v>
      </c>
      <c r="G334" s="34">
        <v>6</v>
      </c>
      <c r="H334" s="16"/>
      <c r="I334" s="16">
        <v>7</v>
      </c>
      <c r="J334" s="17"/>
      <c r="K334" s="18">
        <f t="shared" si="187"/>
        <v>13</v>
      </c>
      <c r="L334" s="34">
        <v>18</v>
      </c>
      <c r="M334" s="16"/>
      <c r="N334" s="16">
        <v>15</v>
      </c>
      <c r="O334" s="17"/>
      <c r="P334" s="18">
        <f t="shared" si="188"/>
        <v>33</v>
      </c>
      <c r="Q334" s="34">
        <v>55</v>
      </c>
      <c r="R334" s="16"/>
      <c r="S334" s="16">
        <v>34</v>
      </c>
      <c r="T334" s="151">
        <v>2</v>
      </c>
      <c r="U334" s="18">
        <f t="shared" si="189"/>
        <v>91</v>
      </c>
      <c r="V334" s="34">
        <v>28</v>
      </c>
      <c r="W334" s="16"/>
      <c r="X334" s="16">
        <v>19</v>
      </c>
      <c r="Y334" s="17"/>
      <c r="Z334" s="18">
        <f t="shared" si="190"/>
        <v>47</v>
      </c>
      <c r="AA334" s="34">
        <v>57</v>
      </c>
      <c r="AB334" s="16"/>
      <c r="AC334" s="16">
        <v>32</v>
      </c>
      <c r="AD334" s="17"/>
      <c r="AE334" s="18">
        <f t="shared" si="191"/>
        <v>89</v>
      </c>
      <c r="AF334" s="34">
        <v>24</v>
      </c>
      <c r="AG334" s="16"/>
      <c r="AH334" s="16">
        <v>23</v>
      </c>
      <c r="AI334" s="17"/>
      <c r="AJ334" s="18">
        <f t="shared" si="192"/>
        <v>47</v>
      </c>
      <c r="AK334" s="34">
        <v>21</v>
      </c>
      <c r="AL334" s="16"/>
      <c r="AM334" s="16">
        <v>16</v>
      </c>
      <c r="AN334" s="151">
        <v>1</v>
      </c>
      <c r="AO334" s="18">
        <f t="shared" si="193"/>
        <v>38</v>
      </c>
      <c r="AP334" s="34">
        <v>13</v>
      </c>
      <c r="AQ334" s="16"/>
      <c r="AR334" s="16">
        <v>12</v>
      </c>
      <c r="AS334" s="151">
        <v>1</v>
      </c>
      <c r="AT334" s="18">
        <f t="shared" si="194"/>
        <v>26</v>
      </c>
      <c r="AU334" s="34">
        <v>24</v>
      </c>
      <c r="AV334" s="16"/>
      <c r="AW334" s="16">
        <v>12</v>
      </c>
      <c r="AX334" s="17"/>
      <c r="AY334" s="18">
        <f t="shared" si="195"/>
        <v>36</v>
      </c>
      <c r="AZ334" s="34">
        <v>38</v>
      </c>
      <c r="BA334" s="16"/>
      <c r="BB334" s="16">
        <v>21</v>
      </c>
      <c r="BC334" s="151">
        <v>1</v>
      </c>
      <c r="BD334" s="18">
        <f t="shared" si="196"/>
        <v>60</v>
      </c>
      <c r="BE334" s="34">
        <v>32</v>
      </c>
      <c r="BF334" s="16"/>
      <c r="BG334" s="16">
        <v>20</v>
      </c>
      <c r="BH334" s="17"/>
      <c r="BI334" s="18">
        <f t="shared" si="197"/>
        <v>52</v>
      </c>
      <c r="BJ334" s="34">
        <v>13</v>
      </c>
      <c r="BK334" s="16"/>
      <c r="BL334" s="16">
        <v>10</v>
      </c>
      <c r="BM334" s="17"/>
      <c r="BN334" s="18">
        <f t="shared" si="198"/>
        <v>23</v>
      </c>
      <c r="BO334" s="70">
        <f>SUM(G334,L334,Q334,V334,AA334,AF334,AK334,AP334,AU334,AZ334,BE334,BJ334)</f>
        <v>329</v>
      </c>
      <c r="BP334" s="16">
        <f>SUM(H334,M334,R334,W334,AB334,AG334,AL334,AQ334,AV334,BA334,BF334,BK334)</f>
        <v>0</v>
      </c>
      <c r="BQ334" s="16">
        <f>SUM(I334,N334,S334,X334,AC334,AH334,AM334,AR334,AW334,BB334,BG334,BL334)</f>
        <v>221</v>
      </c>
      <c r="BR334" s="17">
        <f>SUM(J334,O334,T334,Y334,AD334,AI334,AN334,AS334,AX334,BC334,BH334,BM334)</f>
        <v>5</v>
      </c>
      <c r="BS334" s="35">
        <f t="shared" si="159"/>
        <v>555</v>
      </c>
    </row>
    <row r="335" spans="2:71" x14ac:dyDescent="0.3">
      <c r="B335" s="269"/>
      <c r="C335" s="215"/>
      <c r="D335" s="216"/>
      <c r="E335" s="220"/>
      <c r="F335" s="123" t="s">
        <v>80</v>
      </c>
      <c r="G335" s="34">
        <v>18</v>
      </c>
      <c r="H335" s="16"/>
      <c r="I335" s="16">
        <v>13</v>
      </c>
      <c r="J335" s="17"/>
      <c r="K335" s="18">
        <f t="shared" si="187"/>
        <v>31</v>
      </c>
      <c r="L335" s="34">
        <v>22</v>
      </c>
      <c r="M335" s="16"/>
      <c r="N335" s="16">
        <v>10</v>
      </c>
      <c r="O335" s="17"/>
      <c r="P335" s="18">
        <f t="shared" si="188"/>
        <v>32</v>
      </c>
      <c r="Q335" s="34">
        <v>46</v>
      </c>
      <c r="R335" s="16"/>
      <c r="S335" s="16">
        <v>20</v>
      </c>
      <c r="T335" s="17"/>
      <c r="U335" s="18">
        <f t="shared" si="189"/>
        <v>66</v>
      </c>
      <c r="V335" s="34">
        <v>27</v>
      </c>
      <c r="W335" s="16"/>
      <c r="X335" s="16">
        <v>21</v>
      </c>
      <c r="Y335" s="17"/>
      <c r="Z335" s="18">
        <f t="shared" si="190"/>
        <v>48</v>
      </c>
      <c r="AA335" s="34">
        <v>39</v>
      </c>
      <c r="AB335" s="16"/>
      <c r="AC335" s="16">
        <v>27</v>
      </c>
      <c r="AD335" s="17"/>
      <c r="AE335" s="18">
        <f t="shared" si="191"/>
        <v>66</v>
      </c>
      <c r="AF335" s="34">
        <v>47</v>
      </c>
      <c r="AG335" s="16"/>
      <c r="AH335" s="16">
        <v>29</v>
      </c>
      <c r="AI335" s="17"/>
      <c r="AJ335" s="18">
        <f t="shared" si="192"/>
        <v>76</v>
      </c>
      <c r="AK335" s="34">
        <v>26</v>
      </c>
      <c r="AL335" s="16"/>
      <c r="AM335" s="16">
        <v>13</v>
      </c>
      <c r="AN335" s="17"/>
      <c r="AO335" s="18">
        <f t="shared" si="193"/>
        <v>39</v>
      </c>
      <c r="AP335" s="34">
        <v>36</v>
      </c>
      <c r="AQ335" s="16"/>
      <c r="AR335" s="16">
        <v>24</v>
      </c>
      <c r="AS335" s="17"/>
      <c r="AT335" s="18">
        <f t="shared" si="194"/>
        <v>60</v>
      </c>
      <c r="AU335" s="34">
        <v>26</v>
      </c>
      <c r="AV335" s="16"/>
      <c r="AW335" s="16">
        <v>13</v>
      </c>
      <c r="AX335" s="17"/>
      <c r="AY335" s="18">
        <f t="shared" si="195"/>
        <v>39</v>
      </c>
      <c r="AZ335" s="34">
        <v>57</v>
      </c>
      <c r="BA335" s="16"/>
      <c r="BB335" s="16">
        <v>33</v>
      </c>
      <c r="BC335" s="17"/>
      <c r="BD335" s="18">
        <f t="shared" si="196"/>
        <v>90</v>
      </c>
      <c r="BE335" s="34">
        <v>25</v>
      </c>
      <c r="BF335" s="16"/>
      <c r="BG335" s="16">
        <v>23</v>
      </c>
      <c r="BH335" s="17"/>
      <c r="BI335" s="18">
        <f t="shared" si="197"/>
        <v>48</v>
      </c>
      <c r="BJ335" s="34">
        <v>16</v>
      </c>
      <c r="BK335" s="16"/>
      <c r="BL335" s="16">
        <v>10</v>
      </c>
      <c r="BM335" s="17"/>
      <c r="BN335" s="18">
        <f t="shared" si="198"/>
        <v>26</v>
      </c>
      <c r="BO335" s="70">
        <f>SUM(G335,L335,Q335,V335,AA335,AF335,AK335,AP335,AU335,AZ335,BE335,BJ335)</f>
        <v>385</v>
      </c>
      <c r="BP335" s="16">
        <f>SUM(H335,M335,R335,W335,AB335,AG335,AL335,AQ335,AV335,BA335,BF335,BK335)</f>
        <v>0</v>
      </c>
      <c r="BQ335" s="16">
        <f>SUM(I335,N335,S335,X335,AC335,AH335,AM335,AR335,AW335,BB335,BG335,BL335)</f>
        <v>236</v>
      </c>
      <c r="BR335" s="17">
        <f>SUM(J335,O335,T335,Y335,AD335,AI335,AN335,AS335,AX335,BC335,BH335,BM335)</f>
        <v>0</v>
      </c>
      <c r="BS335" s="35">
        <f t="shared" si="159"/>
        <v>621</v>
      </c>
    </row>
    <row r="336" spans="2:71" x14ac:dyDescent="0.3">
      <c r="B336" s="269"/>
      <c r="C336" s="215"/>
      <c r="D336" s="216"/>
      <c r="E336" s="220"/>
      <c r="F336" s="123" t="s">
        <v>84</v>
      </c>
      <c r="G336" s="34">
        <v>5</v>
      </c>
      <c r="H336" s="16"/>
      <c r="I336" s="16"/>
      <c r="J336" s="17"/>
      <c r="K336" s="18">
        <f t="shared" ref="K336:K339" si="199">SUM(G336:J336)</f>
        <v>5</v>
      </c>
      <c r="L336" s="34"/>
      <c r="M336" s="16"/>
      <c r="N336" s="16"/>
      <c r="O336" s="17"/>
      <c r="P336" s="18">
        <f t="shared" si="188"/>
        <v>0</v>
      </c>
      <c r="Q336" s="34">
        <v>3</v>
      </c>
      <c r="R336" s="16"/>
      <c r="S336" s="16"/>
      <c r="T336" s="17"/>
      <c r="U336" s="18">
        <f t="shared" si="189"/>
        <v>3</v>
      </c>
      <c r="V336" s="34">
        <v>2</v>
      </c>
      <c r="W336" s="16"/>
      <c r="X336" s="16"/>
      <c r="Y336" s="17"/>
      <c r="Z336" s="18">
        <f t="shared" si="190"/>
        <v>2</v>
      </c>
      <c r="AA336" s="34">
        <v>3</v>
      </c>
      <c r="AB336" s="16"/>
      <c r="AC336" s="16"/>
      <c r="AD336" s="17"/>
      <c r="AE336" s="18">
        <f t="shared" si="191"/>
        <v>3</v>
      </c>
      <c r="AF336" s="34">
        <v>2</v>
      </c>
      <c r="AG336" s="16"/>
      <c r="AH336" s="16"/>
      <c r="AI336" s="17"/>
      <c r="AJ336" s="18">
        <f t="shared" si="192"/>
        <v>2</v>
      </c>
      <c r="AK336" s="34">
        <v>1</v>
      </c>
      <c r="AL336" s="16"/>
      <c r="AM336" s="16"/>
      <c r="AN336" s="17"/>
      <c r="AO336" s="18">
        <f t="shared" si="193"/>
        <v>1</v>
      </c>
      <c r="AP336" s="34">
        <v>1</v>
      </c>
      <c r="AQ336" s="16"/>
      <c r="AR336" s="16"/>
      <c r="AS336" s="17"/>
      <c r="AT336" s="18">
        <f t="shared" si="194"/>
        <v>1</v>
      </c>
      <c r="AU336" s="34">
        <v>1</v>
      </c>
      <c r="AV336" s="16"/>
      <c r="AW336" s="16"/>
      <c r="AX336" s="17"/>
      <c r="AY336" s="18">
        <f t="shared" si="195"/>
        <v>1</v>
      </c>
      <c r="AZ336" s="34">
        <v>4</v>
      </c>
      <c r="BA336" s="16"/>
      <c r="BB336" s="16"/>
      <c r="BC336" s="17"/>
      <c r="BD336" s="18">
        <f t="shared" si="196"/>
        <v>4</v>
      </c>
      <c r="BE336" s="34">
        <v>2</v>
      </c>
      <c r="BF336" s="16"/>
      <c r="BG336" s="16"/>
      <c r="BH336" s="17"/>
      <c r="BI336" s="18">
        <f t="shared" si="197"/>
        <v>2</v>
      </c>
      <c r="BJ336" s="34"/>
      <c r="BK336" s="16"/>
      <c r="BL336" s="16"/>
      <c r="BM336" s="17"/>
      <c r="BN336" s="18">
        <f t="shared" si="198"/>
        <v>0</v>
      </c>
      <c r="BO336" s="70">
        <f>SUM(G336,L336,Q336,V336,AA336,AF336,AK336,AP336,AU336,AZ336,BE336,BJ336)</f>
        <v>24</v>
      </c>
      <c r="BP336" s="16">
        <f>SUM(H336,M336,R336,W336,AB336,AG336,AL336,AQ336,AV336,BA336,BF336,BK336)</f>
        <v>0</v>
      </c>
      <c r="BQ336" s="16">
        <f>SUM(I336,N336,S336,X336,AC336,AH336,AM336,AR336,AW336,BB336,BG336,BL336)</f>
        <v>0</v>
      </c>
      <c r="BR336" s="17">
        <f>SUM(J336,O336,T336,Y336,AD336,AI336,AN336,AS336,AX336,BC336,BH336,BM336)</f>
        <v>0</v>
      </c>
      <c r="BS336" s="35">
        <f t="shared" si="159"/>
        <v>24</v>
      </c>
    </row>
    <row r="337" spans="2:71" x14ac:dyDescent="0.3">
      <c r="B337" s="269"/>
      <c r="C337" s="215"/>
      <c r="D337" s="216"/>
      <c r="E337" s="220"/>
      <c r="F337" s="123" t="s">
        <v>145</v>
      </c>
      <c r="G337" s="34">
        <v>1</v>
      </c>
      <c r="H337" s="16"/>
      <c r="I337" s="16"/>
      <c r="J337" s="17"/>
      <c r="K337" s="18">
        <f t="shared" si="199"/>
        <v>1</v>
      </c>
      <c r="L337" s="34"/>
      <c r="M337" s="16"/>
      <c r="N337" s="16"/>
      <c r="O337" s="17"/>
      <c r="P337" s="18">
        <f t="shared" si="188"/>
        <v>0</v>
      </c>
      <c r="Q337" s="34"/>
      <c r="R337" s="16"/>
      <c r="S337" s="16"/>
      <c r="T337" s="17"/>
      <c r="U337" s="18">
        <f t="shared" si="189"/>
        <v>0</v>
      </c>
      <c r="V337" s="34"/>
      <c r="W337" s="16"/>
      <c r="X337" s="16"/>
      <c r="Y337" s="17"/>
      <c r="Z337" s="18">
        <f t="shared" si="190"/>
        <v>0</v>
      </c>
      <c r="AA337" s="34"/>
      <c r="AB337" s="16"/>
      <c r="AC337" s="16"/>
      <c r="AD337" s="17"/>
      <c r="AE337" s="18">
        <f t="shared" si="191"/>
        <v>0</v>
      </c>
      <c r="AF337" s="34"/>
      <c r="AG337" s="16"/>
      <c r="AH337" s="16"/>
      <c r="AI337" s="17"/>
      <c r="AJ337" s="18">
        <f t="shared" si="192"/>
        <v>0</v>
      </c>
      <c r="AK337" s="34">
        <v>1</v>
      </c>
      <c r="AL337" s="16"/>
      <c r="AM337" s="16"/>
      <c r="AN337" s="17"/>
      <c r="AO337" s="18">
        <f t="shared" si="193"/>
        <v>1</v>
      </c>
      <c r="AP337" s="34"/>
      <c r="AQ337" s="16"/>
      <c r="AR337" s="16"/>
      <c r="AS337" s="17"/>
      <c r="AT337" s="18">
        <f t="shared" si="194"/>
        <v>0</v>
      </c>
      <c r="AU337" s="34">
        <v>4</v>
      </c>
      <c r="AV337" s="16"/>
      <c r="AW337" s="16"/>
      <c r="AX337" s="17"/>
      <c r="AY337" s="18">
        <f t="shared" si="195"/>
        <v>4</v>
      </c>
      <c r="AZ337" s="34"/>
      <c r="BA337" s="16"/>
      <c r="BB337" s="16"/>
      <c r="BC337" s="17"/>
      <c r="BD337" s="18">
        <f t="shared" si="196"/>
        <v>0</v>
      </c>
      <c r="BE337" s="34"/>
      <c r="BF337" s="16"/>
      <c r="BG337" s="16"/>
      <c r="BH337" s="17"/>
      <c r="BI337" s="18">
        <f t="shared" si="197"/>
        <v>0</v>
      </c>
      <c r="BJ337" s="34"/>
      <c r="BK337" s="16"/>
      <c r="BL337" s="16"/>
      <c r="BM337" s="17"/>
      <c r="BN337" s="18">
        <f t="shared" si="198"/>
        <v>0</v>
      </c>
      <c r="BO337" s="70">
        <f>SUM(G337,L337,Q337,V337,AA337,AF337,AK337,AP337,AU337,AZ337,BE337,BJ337)</f>
        <v>6</v>
      </c>
      <c r="BP337" s="16">
        <f>SUM(H337,M337,R337,W337,AB337,AG337,AL337,AQ337,AV337,BA337,BF337,BK337)</f>
        <v>0</v>
      </c>
      <c r="BQ337" s="16">
        <f>SUM(I337,N337,S337,X337,AC337,AH337,AM337,AR337,AW337,BB337,BG337,BL337)</f>
        <v>0</v>
      </c>
      <c r="BR337" s="17">
        <f>SUM(J337,O337,T337,Y337,AD337,AI337,AN337,AS337,AX337,BC337,BH337,BM337)</f>
        <v>0</v>
      </c>
      <c r="BS337" s="35">
        <f t="shared" si="159"/>
        <v>6</v>
      </c>
    </row>
    <row r="338" spans="2:71" x14ac:dyDescent="0.3">
      <c r="B338" s="269"/>
      <c r="C338" s="215"/>
      <c r="D338" s="216"/>
      <c r="E338" s="220"/>
      <c r="F338" s="123" t="s">
        <v>146</v>
      </c>
      <c r="G338" s="34"/>
      <c r="H338" s="16"/>
      <c r="I338" s="16"/>
      <c r="J338" s="17"/>
      <c r="K338" s="18">
        <f t="shared" si="199"/>
        <v>0</v>
      </c>
      <c r="L338" s="34"/>
      <c r="M338" s="16"/>
      <c r="N338" s="16"/>
      <c r="O338" s="17"/>
      <c r="P338" s="18">
        <f t="shared" si="188"/>
        <v>0</v>
      </c>
      <c r="Q338" s="34">
        <v>1</v>
      </c>
      <c r="R338" s="16"/>
      <c r="S338" s="16"/>
      <c r="T338" s="17"/>
      <c r="U338" s="18">
        <f t="shared" si="189"/>
        <v>1</v>
      </c>
      <c r="V338" s="34"/>
      <c r="W338" s="16"/>
      <c r="X338" s="16"/>
      <c r="Y338" s="17"/>
      <c r="Z338" s="18">
        <f t="shared" si="190"/>
        <v>0</v>
      </c>
      <c r="AA338" s="34"/>
      <c r="AB338" s="16"/>
      <c r="AC338" s="16"/>
      <c r="AD338" s="17"/>
      <c r="AE338" s="18">
        <f t="shared" si="191"/>
        <v>0</v>
      </c>
      <c r="AF338" s="34"/>
      <c r="AG338" s="16"/>
      <c r="AH338" s="16"/>
      <c r="AI338" s="17"/>
      <c r="AJ338" s="18">
        <f t="shared" si="192"/>
        <v>0</v>
      </c>
      <c r="AK338" s="34"/>
      <c r="AL338" s="16"/>
      <c r="AM338" s="16"/>
      <c r="AN338" s="17"/>
      <c r="AO338" s="18">
        <f t="shared" si="193"/>
        <v>0</v>
      </c>
      <c r="AP338" s="34"/>
      <c r="AQ338" s="16"/>
      <c r="AR338" s="16"/>
      <c r="AS338" s="17"/>
      <c r="AT338" s="18">
        <f t="shared" si="194"/>
        <v>0</v>
      </c>
      <c r="AU338" s="34"/>
      <c r="AV338" s="16"/>
      <c r="AW338" s="16"/>
      <c r="AX338" s="17"/>
      <c r="AY338" s="18">
        <f t="shared" si="195"/>
        <v>0</v>
      </c>
      <c r="AZ338" s="34"/>
      <c r="BA338" s="16"/>
      <c r="BB338" s="16"/>
      <c r="BC338" s="17"/>
      <c r="BD338" s="18">
        <f t="shared" si="196"/>
        <v>0</v>
      </c>
      <c r="BE338" s="34"/>
      <c r="BF338" s="16"/>
      <c r="BG338" s="16"/>
      <c r="BH338" s="17"/>
      <c r="BI338" s="18">
        <f t="shared" si="197"/>
        <v>0</v>
      </c>
      <c r="BJ338" s="34"/>
      <c r="BK338" s="16"/>
      <c r="BL338" s="16"/>
      <c r="BM338" s="17"/>
      <c r="BN338" s="18">
        <f t="shared" si="198"/>
        <v>0</v>
      </c>
      <c r="BO338" s="70">
        <f>SUM(G338,L338,Q338,V338,AA338,AF338,AK338,AP338,AU338,AZ338,BE338,BJ338)</f>
        <v>1</v>
      </c>
      <c r="BP338" s="16">
        <f>SUM(H338,M338,R338,W338,AB338,AG338,AL338,AQ338,AV338,BA338,BF338,BK338)</f>
        <v>0</v>
      </c>
      <c r="BQ338" s="16">
        <f>SUM(I338,N338,S338,X338,AC338,AH338,AM338,AR338,AW338,BB338,BG338,BL338)</f>
        <v>0</v>
      </c>
      <c r="BR338" s="17">
        <f>SUM(J338,O338,T338,Y338,AD338,AI338,AN338,AS338,AX338,BC338,BH338,BM338)</f>
        <v>0</v>
      </c>
      <c r="BS338" s="35">
        <f t="shared" si="159"/>
        <v>1</v>
      </c>
    </row>
    <row r="339" spans="2:71" x14ac:dyDescent="0.3">
      <c r="B339" s="269"/>
      <c r="C339" s="215"/>
      <c r="D339" s="216"/>
      <c r="E339" s="220"/>
      <c r="F339" s="123" t="s">
        <v>147</v>
      </c>
      <c r="G339" s="34">
        <v>3</v>
      </c>
      <c r="H339" s="16"/>
      <c r="I339" s="16"/>
      <c r="J339" s="17"/>
      <c r="K339" s="18">
        <f t="shared" si="199"/>
        <v>3</v>
      </c>
      <c r="L339" s="34">
        <v>1</v>
      </c>
      <c r="M339" s="16"/>
      <c r="N339" s="16"/>
      <c r="O339" s="17"/>
      <c r="P339" s="18">
        <f t="shared" si="188"/>
        <v>1</v>
      </c>
      <c r="Q339" s="34">
        <v>2</v>
      </c>
      <c r="R339" s="16"/>
      <c r="S339" s="16"/>
      <c r="T339" s="17"/>
      <c r="U339" s="18">
        <f t="shared" si="189"/>
        <v>2</v>
      </c>
      <c r="V339" s="34"/>
      <c r="W339" s="16"/>
      <c r="X339" s="16"/>
      <c r="Y339" s="17"/>
      <c r="Z339" s="18">
        <f t="shared" si="190"/>
        <v>0</v>
      </c>
      <c r="AA339" s="34"/>
      <c r="AB339" s="16"/>
      <c r="AC339" s="16"/>
      <c r="AD339" s="17"/>
      <c r="AE339" s="18">
        <f t="shared" si="191"/>
        <v>0</v>
      </c>
      <c r="AF339" s="34">
        <v>1</v>
      </c>
      <c r="AG339" s="16"/>
      <c r="AH339" s="16"/>
      <c r="AI339" s="17"/>
      <c r="AJ339" s="18">
        <f t="shared" si="192"/>
        <v>1</v>
      </c>
      <c r="AK339" s="34"/>
      <c r="AL339" s="16"/>
      <c r="AM339" s="16"/>
      <c r="AN339" s="17"/>
      <c r="AO339" s="18">
        <f t="shared" si="193"/>
        <v>0</v>
      </c>
      <c r="AP339" s="34">
        <v>1</v>
      </c>
      <c r="AQ339" s="16"/>
      <c r="AR339" s="16"/>
      <c r="AS339" s="17"/>
      <c r="AT339" s="18">
        <f t="shared" si="194"/>
        <v>1</v>
      </c>
      <c r="AU339" s="34">
        <v>2</v>
      </c>
      <c r="AV339" s="16"/>
      <c r="AW339" s="16"/>
      <c r="AX339" s="17"/>
      <c r="AY339" s="18">
        <f t="shared" si="195"/>
        <v>2</v>
      </c>
      <c r="AZ339" s="34">
        <v>2</v>
      </c>
      <c r="BA339" s="16"/>
      <c r="BB339" s="16"/>
      <c r="BC339" s="17"/>
      <c r="BD339" s="18">
        <f t="shared" si="196"/>
        <v>2</v>
      </c>
      <c r="BE339" s="34">
        <v>1</v>
      </c>
      <c r="BF339" s="16"/>
      <c r="BG339" s="16"/>
      <c r="BH339" s="17"/>
      <c r="BI339" s="18">
        <f t="shared" si="197"/>
        <v>1</v>
      </c>
      <c r="BJ339" s="34">
        <v>1</v>
      </c>
      <c r="BK339" s="16"/>
      <c r="BL339" s="16"/>
      <c r="BM339" s="17"/>
      <c r="BN339" s="18">
        <f t="shared" si="198"/>
        <v>1</v>
      </c>
      <c r="BO339" s="70">
        <f>SUM(G339,L339,Q339,V339,AA339,AF339,AK339,AP339,AU339,AZ339,BE339,BJ339)</f>
        <v>14</v>
      </c>
      <c r="BP339" s="16">
        <f>SUM(H339,M339,R339,W339,AB339,AG339,AL339,AQ339,AV339,BA339,BF339,BK339)</f>
        <v>0</v>
      </c>
      <c r="BQ339" s="16">
        <f>SUM(I339,N339,S339,X339,AC339,AH339,AM339,AR339,AW339,BB339,BG339,BL339)</f>
        <v>0</v>
      </c>
      <c r="BR339" s="17">
        <f>SUM(J339,O339,T339,Y339,AD339,AI339,AN339,AS339,AX339,BC339,BH339,BM339)</f>
        <v>0</v>
      </c>
      <c r="BS339" s="35">
        <f t="shared" ref="BS339:BS402" si="200">SUM(BO339:BR339)</f>
        <v>14</v>
      </c>
    </row>
    <row r="340" spans="2:71" x14ac:dyDescent="0.3">
      <c r="B340" s="269"/>
      <c r="C340" s="215"/>
      <c r="D340" s="216"/>
      <c r="E340" s="220"/>
      <c r="F340" s="123" t="s">
        <v>409</v>
      </c>
      <c r="G340" s="34"/>
      <c r="H340" s="16"/>
      <c r="I340" s="16"/>
      <c r="J340" s="287"/>
      <c r="K340" s="18">
        <f t="shared" si="187"/>
        <v>0</v>
      </c>
      <c r="L340" s="34">
        <v>1</v>
      </c>
      <c r="M340" s="16"/>
      <c r="N340" s="16">
        <v>1</v>
      </c>
      <c r="O340" s="151">
        <v>1</v>
      </c>
      <c r="P340" s="18">
        <f t="shared" ref="P340:P342" si="201">SUM(L340:O340)</f>
        <v>3</v>
      </c>
      <c r="Q340" s="34">
        <v>2</v>
      </c>
      <c r="R340" s="16"/>
      <c r="S340" s="16">
        <v>2</v>
      </c>
      <c r="T340" s="287"/>
      <c r="U340" s="18">
        <f t="shared" si="189"/>
        <v>4</v>
      </c>
      <c r="V340" s="34"/>
      <c r="W340" s="16"/>
      <c r="X340" s="16"/>
      <c r="Y340" s="287"/>
      <c r="Z340" s="18">
        <f t="shared" si="190"/>
        <v>0</v>
      </c>
      <c r="AA340" s="34">
        <v>10</v>
      </c>
      <c r="AB340" s="16"/>
      <c r="AC340" s="16">
        <v>7</v>
      </c>
      <c r="AD340" s="151">
        <v>3</v>
      </c>
      <c r="AE340" s="18">
        <f t="shared" si="191"/>
        <v>20</v>
      </c>
      <c r="AF340" s="34">
        <v>3</v>
      </c>
      <c r="AG340" s="16"/>
      <c r="AH340" s="16">
        <v>5</v>
      </c>
      <c r="AI340" s="151">
        <v>1</v>
      </c>
      <c r="AJ340" s="18">
        <f t="shared" si="192"/>
        <v>9</v>
      </c>
      <c r="AK340" s="34"/>
      <c r="AL340" s="16"/>
      <c r="AM340" s="16"/>
      <c r="AN340" s="287"/>
      <c r="AO340" s="18">
        <f t="shared" si="193"/>
        <v>0</v>
      </c>
      <c r="AP340" s="34">
        <v>2</v>
      </c>
      <c r="AQ340" s="16"/>
      <c r="AR340" s="16">
        <v>1</v>
      </c>
      <c r="AS340" s="151">
        <v>1</v>
      </c>
      <c r="AT340" s="18">
        <f t="shared" si="194"/>
        <v>4</v>
      </c>
      <c r="AU340" s="34"/>
      <c r="AV340" s="16"/>
      <c r="AW340" s="16"/>
      <c r="AX340" s="287"/>
      <c r="AY340" s="18">
        <f t="shared" si="195"/>
        <v>0</v>
      </c>
      <c r="AZ340" s="34">
        <v>2</v>
      </c>
      <c r="BA340" s="16"/>
      <c r="BB340" s="16">
        <v>5</v>
      </c>
      <c r="BC340" s="287"/>
      <c r="BD340" s="18">
        <f t="shared" si="196"/>
        <v>7</v>
      </c>
      <c r="BE340" s="34"/>
      <c r="BF340" s="16"/>
      <c r="BG340" s="16"/>
      <c r="BH340" s="287"/>
      <c r="BI340" s="18">
        <f t="shared" si="197"/>
        <v>0</v>
      </c>
      <c r="BJ340" s="34"/>
      <c r="BK340" s="16"/>
      <c r="BL340" s="16"/>
      <c r="BM340" s="287"/>
      <c r="BN340" s="18">
        <f t="shared" si="198"/>
        <v>0</v>
      </c>
      <c r="BO340" s="70">
        <f>SUM(G340,L340,Q340,V340,AA340,AF340,AK340,AP340,AU340,AZ340,BE340,BJ340)</f>
        <v>20</v>
      </c>
      <c r="BP340" s="16">
        <f>SUM(H340,M340,R340,W340,AB340,AG340,AL340,AQ340,AV340,BA340,BF340,BK340)</f>
        <v>0</v>
      </c>
      <c r="BQ340" s="16">
        <f>SUM(I340,N340,S340,X340,AC340,AH340,AM340,AR340,AW340,BB340,BG340,BL340)</f>
        <v>21</v>
      </c>
      <c r="BR340" s="17">
        <f>SUM(J340,O340,T340,Y340,AD340,AI340,AN340,AS340,AX340,BC340,BH340,BM340)</f>
        <v>6</v>
      </c>
      <c r="BS340" s="35">
        <f t="shared" si="200"/>
        <v>47</v>
      </c>
    </row>
    <row r="341" spans="2:71" x14ac:dyDescent="0.3">
      <c r="B341" s="269"/>
      <c r="C341" s="215"/>
      <c r="D341" s="216"/>
      <c r="E341" s="220"/>
      <c r="F341" s="123" t="s">
        <v>391</v>
      </c>
      <c r="G341" s="34">
        <v>5</v>
      </c>
      <c r="H341" s="16"/>
      <c r="I341" s="16">
        <v>5</v>
      </c>
      <c r="J341" s="151">
        <v>1</v>
      </c>
      <c r="K341" s="18">
        <f t="shared" si="187"/>
        <v>11</v>
      </c>
      <c r="L341" s="34">
        <v>1</v>
      </c>
      <c r="M341" s="16"/>
      <c r="N341" s="16">
        <v>6</v>
      </c>
      <c r="O341" s="151">
        <v>1</v>
      </c>
      <c r="P341" s="18">
        <f t="shared" si="201"/>
        <v>8</v>
      </c>
      <c r="Q341" s="34">
        <v>11</v>
      </c>
      <c r="R341" s="16"/>
      <c r="S341" s="16">
        <v>10</v>
      </c>
      <c r="T341" s="287"/>
      <c r="U341" s="18">
        <f t="shared" si="189"/>
        <v>21</v>
      </c>
      <c r="V341" s="34">
        <v>1</v>
      </c>
      <c r="W341" s="16"/>
      <c r="X341" s="16">
        <v>1</v>
      </c>
      <c r="Y341" s="151">
        <v>1</v>
      </c>
      <c r="Z341" s="18">
        <f t="shared" si="190"/>
        <v>3</v>
      </c>
      <c r="AA341" s="34">
        <v>14</v>
      </c>
      <c r="AB341" s="16"/>
      <c r="AC341" s="16">
        <v>7</v>
      </c>
      <c r="AD341" s="151">
        <v>3</v>
      </c>
      <c r="AE341" s="18">
        <f t="shared" si="191"/>
        <v>24</v>
      </c>
      <c r="AF341" s="34">
        <v>9</v>
      </c>
      <c r="AG341" s="16"/>
      <c r="AH341" s="16">
        <v>11</v>
      </c>
      <c r="AI341" s="151">
        <v>2</v>
      </c>
      <c r="AJ341" s="18">
        <f t="shared" si="192"/>
        <v>22</v>
      </c>
      <c r="AK341" s="34">
        <v>7</v>
      </c>
      <c r="AL341" s="16"/>
      <c r="AM341" s="16">
        <v>7</v>
      </c>
      <c r="AN341" s="151">
        <v>6</v>
      </c>
      <c r="AO341" s="18">
        <f t="shared" si="193"/>
        <v>20</v>
      </c>
      <c r="AP341" s="34">
        <v>11</v>
      </c>
      <c r="AQ341" s="16"/>
      <c r="AR341" s="16">
        <v>9</v>
      </c>
      <c r="AS341" s="151">
        <v>9</v>
      </c>
      <c r="AT341" s="18">
        <f t="shared" si="194"/>
        <v>29</v>
      </c>
      <c r="AU341" s="34"/>
      <c r="AV341" s="16"/>
      <c r="AW341" s="16"/>
      <c r="AX341" s="287"/>
      <c r="AY341" s="18">
        <f t="shared" si="195"/>
        <v>0</v>
      </c>
      <c r="AZ341" s="34">
        <v>20</v>
      </c>
      <c r="BA341" s="16"/>
      <c r="BB341" s="16">
        <v>11</v>
      </c>
      <c r="BC341" s="151">
        <v>5</v>
      </c>
      <c r="BD341" s="18">
        <f t="shared" si="196"/>
        <v>36</v>
      </c>
      <c r="BE341" s="34">
        <v>10</v>
      </c>
      <c r="BF341" s="16"/>
      <c r="BG341" s="16">
        <v>8</v>
      </c>
      <c r="BH341" s="151">
        <v>4</v>
      </c>
      <c r="BI341" s="18">
        <f t="shared" si="197"/>
        <v>22</v>
      </c>
      <c r="BJ341" s="34">
        <v>4</v>
      </c>
      <c r="BK341" s="16"/>
      <c r="BL341" s="16">
        <v>3</v>
      </c>
      <c r="BM341" s="151">
        <v>2</v>
      </c>
      <c r="BN341" s="18">
        <f t="shared" si="198"/>
        <v>9</v>
      </c>
      <c r="BO341" s="70">
        <f>SUM(G341,L341,Q341,V341,AA341,AF341,AK341,AP341,AU341,AZ341,BE341,BJ341)</f>
        <v>93</v>
      </c>
      <c r="BP341" s="16">
        <f>SUM(H341,M341,R341,W341,AB341,AG341,AL341,AQ341,AV341,BA341,BF341,BK341)</f>
        <v>0</v>
      </c>
      <c r="BQ341" s="16">
        <f>SUM(I341,N341,S341,X341,AC341,AH341,AM341,AR341,AW341,BB341,BG341,BL341)</f>
        <v>78</v>
      </c>
      <c r="BR341" s="17">
        <f>SUM(J341,O341,T341,Y341,AD341,AI341,AN341,AS341,AX341,BC341,BH341,BM341)</f>
        <v>34</v>
      </c>
      <c r="BS341" s="35">
        <f t="shared" si="200"/>
        <v>205</v>
      </c>
    </row>
    <row r="342" spans="2:71" x14ac:dyDescent="0.3">
      <c r="B342" s="269"/>
      <c r="C342" s="215"/>
      <c r="D342" s="216"/>
      <c r="E342" s="220"/>
      <c r="F342" s="123" t="s">
        <v>172</v>
      </c>
      <c r="G342" s="34">
        <v>84</v>
      </c>
      <c r="H342" s="16"/>
      <c r="I342" s="16">
        <v>37</v>
      </c>
      <c r="J342" s="151">
        <v>19</v>
      </c>
      <c r="K342" s="18">
        <f t="shared" si="187"/>
        <v>140</v>
      </c>
      <c r="L342" s="34">
        <v>98</v>
      </c>
      <c r="M342" s="16"/>
      <c r="N342" s="16">
        <v>38</v>
      </c>
      <c r="O342" s="151">
        <v>16</v>
      </c>
      <c r="P342" s="18">
        <f t="shared" si="201"/>
        <v>152</v>
      </c>
      <c r="Q342" s="34">
        <v>64</v>
      </c>
      <c r="R342" s="16"/>
      <c r="S342" s="16">
        <v>34</v>
      </c>
      <c r="T342" s="151">
        <v>15</v>
      </c>
      <c r="U342" s="18">
        <f t="shared" si="189"/>
        <v>113</v>
      </c>
      <c r="V342" s="34"/>
      <c r="W342" s="16"/>
      <c r="X342" s="16"/>
      <c r="Y342" s="287"/>
      <c r="Z342" s="18">
        <f t="shared" si="190"/>
        <v>0</v>
      </c>
      <c r="AA342" s="34"/>
      <c r="AB342" s="16"/>
      <c r="AC342" s="16"/>
      <c r="AD342" s="151"/>
      <c r="AE342" s="18">
        <f t="shared" si="191"/>
        <v>0</v>
      </c>
      <c r="AF342" s="34"/>
      <c r="AG342" s="16"/>
      <c r="AH342" s="16"/>
      <c r="AI342" s="287"/>
      <c r="AJ342" s="18">
        <f t="shared" si="192"/>
        <v>0</v>
      </c>
      <c r="AK342" s="34"/>
      <c r="AL342" s="16"/>
      <c r="AM342" s="16"/>
      <c r="AN342" s="151"/>
      <c r="AO342" s="18">
        <f t="shared" si="193"/>
        <v>0</v>
      </c>
      <c r="AP342" s="34"/>
      <c r="AQ342" s="16"/>
      <c r="AR342" s="16"/>
      <c r="AS342" s="287"/>
      <c r="AT342" s="18">
        <f t="shared" si="194"/>
        <v>0</v>
      </c>
      <c r="AU342" s="34"/>
      <c r="AV342" s="16"/>
      <c r="AW342" s="16"/>
      <c r="AX342" s="151"/>
      <c r="AY342" s="18">
        <f t="shared" si="195"/>
        <v>0</v>
      </c>
      <c r="AZ342" s="34"/>
      <c r="BA342" s="16"/>
      <c r="BB342" s="16"/>
      <c r="BC342" s="151"/>
      <c r="BD342" s="18">
        <f t="shared" si="196"/>
        <v>0</v>
      </c>
      <c r="BE342" s="34"/>
      <c r="BF342" s="16"/>
      <c r="BG342" s="16"/>
      <c r="BH342" s="151"/>
      <c r="BI342" s="18">
        <f t="shared" si="197"/>
        <v>0</v>
      </c>
      <c r="BJ342" s="34"/>
      <c r="BK342" s="16"/>
      <c r="BL342" s="16"/>
      <c r="BM342" s="151"/>
      <c r="BN342" s="18">
        <f t="shared" si="198"/>
        <v>0</v>
      </c>
      <c r="BO342" s="70">
        <f>SUM(G342,L342,Q342,V342,AA342,AF342,AK342,AP342,AU342,AZ342,BE342,BJ342)</f>
        <v>246</v>
      </c>
      <c r="BP342" s="16">
        <f>SUM(H342,M342,R342,W342,AB342,AG342,AL342,AQ342,AV342,BA342,BF342,BK342)</f>
        <v>0</v>
      </c>
      <c r="BQ342" s="16">
        <f>SUM(I342,N342,S342,X342,AC342,AH342,AM342,AR342,AW342,BB342,BG342,BL342)</f>
        <v>109</v>
      </c>
      <c r="BR342" s="17">
        <f>SUM(J342,O342,T342,Y342,AD342,AI342,AN342,AS342,AX342,BC342,BH342,BM342)</f>
        <v>50</v>
      </c>
      <c r="BS342" s="35">
        <f t="shared" si="200"/>
        <v>405</v>
      </c>
    </row>
    <row r="343" spans="2:71" x14ac:dyDescent="0.3">
      <c r="B343" s="269"/>
      <c r="C343" s="215"/>
      <c r="D343" s="216"/>
      <c r="E343" s="220"/>
      <c r="F343" s="123" t="s">
        <v>246</v>
      </c>
      <c r="G343" s="34">
        <v>635</v>
      </c>
      <c r="H343" s="16"/>
      <c r="I343" s="16">
        <v>438</v>
      </c>
      <c r="J343" s="17"/>
      <c r="K343" s="18">
        <f t="shared" si="187"/>
        <v>1073</v>
      </c>
      <c r="L343" s="34">
        <v>304</v>
      </c>
      <c r="M343" s="16"/>
      <c r="N343" s="16">
        <v>239</v>
      </c>
      <c r="O343" s="17"/>
      <c r="P343" s="18">
        <f t="shared" si="188"/>
        <v>543</v>
      </c>
      <c r="Q343" s="34">
        <v>917</v>
      </c>
      <c r="R343" s="16"/>
      <c r="S343" s="16">
        <v>619</v>
      </c>
      <c r="T343" s="17"/>
      <c r="U343" s="18">
        <f t="shared" si="189"/>
        <v>1536</v>
      </c>
      <c r="V343" s="34">
        <v>709</v>
      </c>
      <c r="W343" s="16"/>
      <c r="X343" s="16">
        <v>510</v>
      </c>
      <c r="Y343" s="17"/>
      <c r="Z343" s="18">
        <f t="shared" si="190"/>
        <v>1219</v>
      </c>
      <c r="AA343" s="34">
        <f>523</f>
        <v>523</v>
      </c>
      <c r="AB343" s="16"/>
      <c r="AC343" s="16">
        <f>379</f>
        <v>379</v>
      </c>
      <c r="AD343" s="17"/>
      <c r="AE343" s="18">
        <f t="shared" si="191"/>
        <v>902</v>
      </c>
      <c r="AF343" s="34">
        <v>623</v>
      </c>
      <c r="AG343" s="16"/>
      <c r="AH343" s="16">
        <v>457</v>
      </c>
      <c r="AI343" s="17"/>
      <c r="AJ343" s="18">
        <f t="shared" si="192"/>
        <v>1080</v>
      </c>
      <c r="AK343" s="34">
        <v>356</v>
      </c>
      <c r="AL343" s="16"/>
      <c r="AM343" s="16">
        <v>260</v>
      </c>
      <c r="AN343" s="17"/>
      <c r="AO343" s="18">
        <f t="shared" si="193"/>
        <v>616</v>
      </c>
      <c r="AP343" s="34">
        <v>243</v>
      </c>
      <c r="AQ343" s="16"/>
      <c r="AR343" s="16">
        <v>144</v>
      </c>
      <c r="AS343" s="17"/>
      <c r="AT343" s="18">
        <f t="shared" si="194"/>
        <v>387</v>
      </c>
      <c r="AU343" s="34">
        <v>459</v>
      </c>
      <c r="AV343" s="16"/>
      <c r="AW343" s="16">
        <v>304</v>
      </c>
      <c r="AX343" s="17"/>
      <c r="AY343" s="18">
        <f t="shared" si="195"/>
        <v>763</v>
      </c>
      <c r="AZ343" s="34">
        <v>564</v>
      </c>
      <c r="BA343" s="16"/>
      <c r="BB343" s="16">
        <v>356</v>
      </c>
      <c r="BC343" s="17"/>
      <c r="BD343" s="18">
        <f t="shared" si="196"/>
        <v>920</v>
      </c>
      <c r="BE343" s="34">
        <v>337</v>
      </c>
      <c r="BF343" s="16"/>
      <c r="BG343" s="16">
        <v>215</v>
      </c>
      <c r="BH343" s="17"/>
      <c r="BI343" s="18">
        <f t="shared" si="197"/>
        <v>552</v>
      </c>
      <c r="BJ343" s="34">
        <v>178</v>
      </c>
      <c r="BK343" s="16"/>
      <c r="BL343" s="16">
        <v>135</v>
      </c>
      <c r="BM343" s="17"/>
      <c r="BN343" s="18">
        <f t="shared" si="198"/>
        <v>313</v>
      </c>
      <c r="BO343" s="70">
        <f>SUM(G343,L343,Q343,V343,AA343,AF343,AK343,AP343,AU343,AZ343,BE343,BJ343)</f>
        <v>5848</v>
      </c>
      <c r="BP343" s="16">
        <f>SUM(H343,M343,R343,W343,AB343,AG343,AL343,AQ343,AV343,BA343,BF343,BK343)</f>
        <v>0</v>
      </c>
      <c r="BQ343" s="16">
        <f>SUM(I343,N343,S343,X343,AC343,AH343,AM343,AR343,AW343,BB343,BG343,BL343)</f>
        <v>4056</v>
      </c>
      <c r="BR343" s="17">
        <f>SUM(J343,O343,T343,Y343,AD343,AI343,AN343,AS343,AX343,BC343,BH343,BM343)</f>
        <v>0</v>
      </c>
      <c r="BS343" s="35">
        <f t="shared" si="200"/>
        <v>9904</v>
      </c>
    </row>
    <row r="344" spans="2:71" x14ac:dyDescent="0.3">
      <c r="B344" s="269"/>
      <c r="C344" s="215"/>
      <c r="D344" s="216"/>
      <c r="E344" s="220"/>
      <c r="F344" s="123" t="s">
        <v>755</v>
      </c>
      <c r="G344" s="34"/>
      <c r="H344" s="16"/>
      <c r="I344" s="16"/>
      <c r="J344" s="17"/>
      <c r="K344" s="18">
        <f t="shared" si="187"/>
        <v>0</v>
      </c>
      <c r="L344" s="34">
        <v>2</v>
      </c>
      <c r="M344" s="16"/>
      <c r="N344" s="16">
        <v>2</v>
      </c>
      <c r="O344" s="17"/>
      <c r="P344" s="18">
        <f t="shared" si="188"/>
        <v>4</v>
      </c>
      <c r="Q344" s="34"/>
      <c r="R344" s="16"/>
      <c r="S344" s="16"/>
      <c r="T344" s="17"/>
      <c r="U344" s="18">
        <f t="shared" si="189"/>
        <v>0</v>
      </c>
      <c r="V344" s="34"/>
      <c r="W344" s="16"/>
      <c r="X344" s="16"/>
      <c r="Y344" s="17"/>
      <c r="Z344" s="18">
        <f t="shared" si="190"/>
        <v>0</v>
      </c>
      <c r="AA344" s="34"/>
      <c r="AB344" s="16"/>
      <c r="AC344" s="16"/>
      <c r="AD344" s="17"/>
      <c r="AE344" s="18">
        <f t="shared" si="191"/>
        <v>0</v>
      </c>
      <c r="AF344" s="34"/>
      <c r="AG344" s="16"/>
      <c r="AH344" s="16"/>
      <c r="AI344" s="17"/>
      <c r="AJ344" s="18">
        <f t="shared" si="192"/>
        <v>0</v>
      </c>
      <c r="AK344" s="34"/>
      <c r="AL344" s="16"/>
      <c r="AM344" s="16"/>
      <c r="AN344" s="17"/>
      <c r="AO344" s="18">
        <f t="shared" si="193"/>
        <v>0</v>
      </c>
      <c r="AP344" s="34"/>
      <c r="AQ344" s="16"/>
      <c r="AR344" s="16"/>
      <c r="AS344" s="17"/>
      <c r="AT344" s="18">
        <f t="shared" si="194"/>
        <v>0</v>
      </c>
      <c r="AU344" s="34"/>
      <c r="AV344" s="16"/>
      <c r="AW344" s="16"/>
      <c r="AX344" s="17"/>
      <c r="AY344" s="18">
        <f t="shared" si="195"/>
        <v>0</v>
      </c>
      <c r="AZ344" s="34"/>
      <c r="BA344" s="16"/>
      <c r="BB344" s="16"/>
      <c r="BC344" s="17"/>
      <c r="BD344" s="18">
        <f t="shared" si="196"/>
        <v>0</v>
      </c>
      <c r="BE344" s="34"/>
      <c r="BF344" s="16"/>
      <c r="BG344" s="16"/>
      <c r="BH344" s="17"/>
      <c r="BI344" s="18">
        <f t="shared" si="197"/>
        <v>0</v>
      </c>
      <c r="BJ344" s="34"/>
      <c r="BK344" s="16"/>
      <c r="BL344" s="16"/>
      <c r="BM344" s="17"/>
      <c r="BN344" s="18">
        <f t="shared" si="198"/>
        <v>0</v>
      </c>
      <c r="BO344" s="70">
        <f>SUM(G344,L344,Q344,V344,AA344,AF344,AK344,AP344,AU344,AZ344,BE344,BJ344)</f>
        <v>2</v>
      </c>
      <c r="BP344" s="16">
        <f>SUM(H344,M344,R344,W344,AB344,AG344,AL344,AQ344,AV344,BA344,BF344,BK344)</f>
        <v>0</v>
      </c>
      <c r="BQ344" s="16">
        <f>SUM(I344,N344,S344,X344,AC344,AH344,AM344,AR344,AW344,BB344,BG344,BL344)</f>
        <v>2</v>
      </c>
      <c r="BR344" s="17">
        <f>SUM(J344,O344,T344,Y344,AD344,AI344,AN344,AS344,AX344,BC344,BH344,BM344)</f>
        <v>0</v>
      </c>
      <c r="BS344" s="35">
        <f t="shared" si="200"/>
        <v>4</v>
      </c>
    </row>
    <row r="345" spans="2:71" x14ac:dyDescent="0.3">
      <c r="B345" s="269"/>
      <c r="C345" s="215"/>
      <c r="D345" s="216"/>
      <c r="E345" s="220"/>
      <c r="F345" s="123" t="s">
        <v>756</v>
      </c>
      <c r="G345" s="34">
        <v>63</v>
      </c>
      <c r="H345" s="16"/>
      <c r="I345" s="16">
        <v>44</v>
      </c>
      <c r="J345" s="17"/>
      <c r="K345" s="18">
        <f t="shared" si="187"/>
        <v>107</v>
      </c>
      <c r="L345" s="34">
        <v>19</v>
      </c>
      <c r="M345" s="16"/>
      <c r="N345" s="16">
        <v>15</v>
      </c>
      <c r="O345" s="17"/>
      <c r="P345" s="18">
        <f t="shared" si="188"/>
        <v>34</v>
      </c>
      <c r="Q345" s="34">
        <v>53</v>
      </c>
      <c r="R345" s="16"/>
      <c r="S345" s="16">
        <v>38</v>
      </c>
      <c r="T345" s="17"/>
      <c r="U345" s="18">
        <f t="shared" si="189"/>
        <v>91</v>
      </c>
      <c r="V345" s="34">
        <v>6</v>
      </c>
      <c r="W345" s="16"/>
      <c r="X345" s="16">
        <v>6</v>
      </c>
      <c r="Y345" s="17"/>
      <c r="Z345" s="18">
        <f t="shared" si="190"/>
        <v>12</v>
      </c>
      <c r="AA345" s="34">
        <f>36</f>
        <v>36</v>
      </c>
      <c r="AB345" s="16"/>
      <c r="AC345" s="16">
        <v>23</v>
      </c>
      <c r="AD345" s="17"/>
      <c r="AE345" s="18">
        <f t="shared" si="191"/>
        <v>59</v>
      </c>
      <c r="AF345" s="34">
        <v>73</v>
      </c>
      <c r="AG345" s="16"/>
      <c r="AH345" s="16">
        <v>53</v>
      </c>
      <c r="AI345" s="17"/>
      <c r="AJ345" s="18">
        <f t="shared" si="192"/>
        <v>126</v>
      </c>
      <c r="AK345" s="34">
        <v>30</v>
      </c>
      <c r="AL345" s="16"/>
      <c r="AM345" s="16">
        <v>20</v>
      </c>
      <c r="AN345" s="17"/>
      <c r="AO345" s="18">
        <f t="shared" si="193"/>
        <v>50</v>
      </c>
      <c r="AP345" s="34">
        <v>14</v>
      </c>
      <c r="AQ345" s="16"/>
      <c r="AR345" s="16">
        <v>10</v>
      </c>
      <c r="AS345" s="17"/>
      <c r="AT345" s="18">
        <f t="shared" si="194"/>
        <v>24</v>
      </c>
      <c r="AU345" s="34">
        <v>17</v>
      </c>
      <c r="AV345" s="16"/>
      <c r="AW345" s="16">
        <v>12</v>
      </c>
      <c r="AX345" s="17"/>
      <c r="AY345" s="18">
        <f t="shared" si="195"/>
        <v>29</v>
      </c>
      <c r="AZ345" s="34">
        <v>15</v>
      </c>
      <c r="BA345" s="16"/>
      <c r="BB345" s="16">
        <v>10</v>
      </c>
      <c r="BC345" s="17"/>
      <c r="BD345" s="18">
        <f t="shared" si="196"/>
        <v>25</v>
      </c>
      <c r="BE345" s="34">
        <v>30</v>
      </c>
      <c r="BF345" s="16"/>
      <c r="BG345" s="16">
        <v>21</v>
      </c>
      <c r="BH345" s="17"/>
      <c r="BI345" s="18">
        <f t="shared" si="197"/>
        <v>51</v>
      </c>
      <c r="BJ345" s="34">
        <v>10</v>
      </c>
      <c r="BK345" s="16"/>
      <c r="BL345" s="16">
        <v>11</v>
      </c>
      <c r="BM345" s="17"/>
      <c r="BN345" s="18">
        <f t="shared" si="198"/>
        <v>21</v>
      </c>
      <c r="BO345" s="70">
        <f>SUM(G345,L345,Q345,V345,AA345,AF345,AK345,AP345,AU345,AZ345,BE345,BJ345)</f>
        <v>366</v>
      </c>
      <c r="BP345" s="16">
        <f>SUM(H345,M345,R345,W345,AB345,AG345,AL345,AQ345,AV345,BA345,BF345,BK345)</f>
        <v>0</v>
      </c>
      <c r="BQ345" s="16">
        <f>SUM(I345,N345,S345,X345,AC345,AH345,AM345,AR345,AW345,BB345,BG345,BL345)</f>
        <v>263</v>
      </c>
      <c r="BR345" s="17">
        <f>SUM(J345,O345,T345,Y345,AD345,AI345,AN345,AS345,AX345,BC345,BH345,BM345)</f>
        <v>0</v>
      </c>
      <c r="BS345" s="35">
        <f t="shared" si="200"/>
        <v>629</v>
      </c>
    </row>
    <row r="346" spans="2:71" x14ac:dyDescent="0.3">
      <c r="B346" s="269"/>
      <c r="C346" s="215"/>
      <c r="D346" s="216"/>
      <c r="E346" s="220"/>
      <c r="F346" s="123" t="s">
        <v>757</v>
      </c>
      <c r="G346" s="34"/>
      <c r="H346" s="16"/>
      <c r="I346" s="16"/>
      <c r="J346" s="17"/>
      <c r="K346" s="18">
        <f t="shared" si="187"/>
        <v>0</v>
      </c>
      <c r="L346" s="34"/>
      <c r="M346" s="16"/>
      <c r="N346" s="16"/>
      <c r="O346" s="17"/>
      <c r="P346" s="18">
        <f t="shared" si="188"/>
        <v>0</v>
      </c>
      <c r="Q346" s="34"/>
      <c r="R346" s="16"/>
      <c r="S346" s="16"/>
      <c r="T346" s="17"/>
      <c r="U346" s="18">
        <f t="shared" si="189"/>
        <v>0</v>
      </c>
      <c r="V346" s="34">
        <v>1739</v>
      </c>
      <c r="W346" s="16"/>
      <c r="X346" s="16">
        <v>926</v>
      </c>
      <c r="Y346" s="151">
        <v>398</v>
      </c>
      <c r="Z346" s="18">
        <f t="shared" si="190"/>
        <v>3063</v>
      </c>
      <c r="AA346" s="34"/>
      <c r="AB346" s="16"/>
      <c r="AC346" s="16"/>
      <c r="AD346" s="17"/>
      <c r="AE346" s="18">
        <f t="shared" si="191"/>
        <v>0</v>
      </c>
      <c r="AF346" s="34"/>
      <c r="AG346" s="16"/>
      <c r="AH346" s="16"/>
      <c r="AI346" s="17"/>
      <c r="AJ346" s="18">
        <f t="shared" si="192"/>
        <v>0</v>
      </c>
      <c r="AK346" s="34"/>
      <c r="AL346" s="16"/>
      <c r="AM346" s="16"/>
      <c r="AN346" s="17"/>
      <c r="AO346" s="18">
        <f t="shared" si="193"/>
        <v>0</v>
      </c>
      <c r="AP346" s="34"/>
      <c r="AQ346" s="16"/>
      <c r="AR346" s="16"/>
      <c r="AS346" s="17"/>
      <c r="AT346" s="18">
        <f t="shared" si="194"/>
        <v>0</v>
      </c>
      <c r="AU346" s="34">
        <v>1056</v>
      </c>
      <c r="AV346" s="16"/>
      <c r="AW346" s="16">
        <v>501</v>
      </c>
      <c r="AX346" s="151">
        <v>263</v>
      </c>
      <c r="AY346" s="18">
        <f t="shared" si="195"/>
        <v>1820</v>
      </c>
      <c r="AZ346" s="34"/>
      <c r="BA346" s="16"/>
      <c r="BB346" s="16"/>
      <c r="BC346" s="17"/>
      <c r="BD346" s="18">
        <f t="shared" si="196"/>
        <v>0</v>
      </c>
      <c r="BE346" s="34"/>
      <c r="BF346" s="16"/>
      <c r="BG346" s="16"/>
      <c r="BH346" s="17"/>
      <c r="BI346" s="18">
        <f t="shared" si="197"/>
        <v>0</v>
      </c>
      <c r="BJ346" s="34"/>
      <c r="BK346" s="16"/>
      <c r="BL346" s="16"/>
      <c r="BM346" s="17"/>
      <c r="BN346" s="18">
        <f t="shared" si="198"/>
        <v>0</v>
      </c>
      <c r="BO346" s="70">
        <f>SUM(G346,L346,Q346,V346,AA346,AF346,AK346,AP346,AU346,AZ346,BE346,BJ346)</f>
        <v>2795</v>
      </c>
      <c r="BP346" s="16">
        <f>SUM(H346,M346,R346,W346,AB346,AG346,AL346,AQ346,AV346,BA346,BF346,BK346)</f>
        <v>0</v>
      </c>
      <c r="BQ346" s="16">
        <f>SUM(I346,N346,S346,X346,AC346,AH346,AM346,AR346,AW346,BB346,BG346,BL346)</f>
        <v>1427</v>
      </c>
      <c r="BR346" s="17">
        <f>SUM(J346,O346,T346,Y346,AD346,AI346,AN346,AS346,AX346,BC346,BH346,BM346)</f>
        <v>661</v>
      </c>
      <c r="BS346" s="35">
        <f t="shared" si="200"/>
        <v>4883</v>
      </c>
    </row>
    <row r="347" spans="2:71" x14ac:dyDescent="0.3">
      <c r="B347" s="269"/>
      <c r="C347" s="215"/>
      <c r="D347" s="216"/>
      <c r="E347" s="220"/>
      <c r="F347" s="123" t="s">
        <v>758</v>
      </c>
      <c r="G347" s="34"/>
      <c r="H347" s="16"/>
      <c r="I347" s="16"/>
      <c r="J347" s="17"/>
      <c r="K347" s="18">
        <f t="shared" si="187"/>
        <v>0</v>
      </c>
      <c r="L347" s="34"/>
      <c r="M347" s="16"/>
      <c r="N347" s="16"/>
      <c r="O347" s="17"/>
      <c r="P347" s="18">
        <f t="shared" si="188"/>
        <v>0</v>
      </c>
      <c r="Q347" s="34"/>
      <c r="R347" s="16"/>
      <c r="S347" s="16"/>
      <c r="T347" s="17"/>
      <c r="U347" s="18">
        <f t="shared" si="189"/>
        <v>0</v>
      </c>
      <c r="V347" s="34">
        <v>20</v>
      </c>
      <c r="W347" s="16"/>
      <c r="X347" s="16"/>
      <c r="Y347" s="17"/>
      <c r="Z347" s="18">
        <f t="shared" si="190"/>
        <v>20</v>
      </c>
      <c r="AA347" s="34"/>
      <c r="AB347" s="16"/>
      <c r="AC347" s="16"/>
      <c r="AD347" s="17"/>
      <c r="AE347" s="18">
        <f t="shared" si="191"/>
        <v>0</v>
      </c>
      <c r="AF347" s="34"/>
      <c r="AG347" s="16"/>
      <c r="AH347" s="16"/>
      <c r="AI347" s="17"/>
      <c r="AJ347" s="18">
        <f t="shared" si="192"/>
        <v>0</v>
      </c>
      <c r="AK347" s="34"/>
      <c r="AL347" s="16"/>
      <c r="AM347" s="16"/>
      <c r="AN347" s="17"/>
      <c r="AO347" s="18">
        <f t="shared" si="193"/>
        <v>0</v>
      </c>
      <c r="AP347" s="34"/>
      <c r="AQ347" s="16"/>
      <c r="AR347" s="16"/>
      <c r="AS347" s="17"/>
      <c r="AT347" s="18">
        <f t="shared" si="194"/>
        <v>0</v>
      </c>
      <c r="AU347" s="34">
        <v>12</v>
      </c>
      <c r="AV347" s="16"/>
      <c r="AW347" s="16"/>
      <c r="AX347" s="17"/>
      <c r="AY347" s="18">
        <f t="shared" si="195"/>
        <v>12</v>
      </c>
      <c r="AZ347" s="34"/>
      <c r="BA347" s="16"/>
      <c r="BB347" s="16"/>
      <c r="BC347" s="17"/>
      <c r="BD347" s="18">
        <f t="shared" si="196"/>
        <v>0</v>
      </c>
      <c r="BE347" s="34"/>
      <c r="BF347" s="16"/>
      <c r="BG347" s="16"/>
      <c r="BH347" s="17"/>
      <c r="BI347" s="18">
        <f t="shared" si="197"/>
        <v>0</v>
      </c>
      <c r="BJ347" s="34"/>
      <c r="BK347" s="16"/>
      <c r="BL347" s="16"/>
      <c r="BM347" s="17"/>
      <c r="BN347" s="18">
        <f t="shared" si="198"/>
        <v>0</v>
      </c>
      <c r="BO347" s="70">
        <f>SUM(G347,L347,Q347,V347,AA347,AF347,AK347,AP347,AU347,AZ347,BE347,BJ347)</f>
        <v>32</v>
      </c>
      <c r="BP347" s="16">
        <f>SUM(H347,M347,R347,W347,AB347,AG347,AL347,AQ347,AV347,BA347,BF347,BK347)</f>
        <v>0</v>
      </c>
      <c r="BQ347" s="16">
        <f>SUM(I347,N347,S347,X347,AC347,AH347,AM347,AR347,AW347,BB347,BG347,BL347)</f>
        <v>0</v>
      </c>
      <c r="BR347" s="17">
        <f>SUM(J347,O347,T347,Y347,AD347,AI347,AN347,AS347,AX347,BC347,BH347,BM347)</f>
        <v>0</v>
      </c>
      <c r="BS347" s="35">
        <f t="shared" si="200"/>
        <v>32</v>
      </c>
    </row>
    <row r="348" spans="2:71" x14ac:dyDescent="0.3">
      <c r="B348" s="269"/>
      <c r="C348" s="215"/>
      <c r="D348" s="216"/>
      <c r="E348" s="220"/>
      <c r="F348" s="123" t="s">
        <v>759</v>
      </c>
      <c r="G348" s="34">
        <v>237</v>
      </c>
      <c r="H348" s="16"/>
      <c r="I348" s="16">
        <v>212</v>
      </c>
      <c r="J348" s="17"/>
      <c r="K348" s="18">
        <f t="shared" si="187"/>
        <v>449</v>
      </c>
      <c r="L348" s="34">
        <v>181</v>
      </c>
      <c r="M348" s="16"/>
      <c r="N348" s="16">
        <v>163</v>
      </c>
      <c r="O348" s="17"/>
      <c r="P348" s="18">
        <f t="shared" si="188"/>
        <v>344</v>
      </c>
      <c r="Q348" s="34">
        <v>179</v>
      </c>
      <c r="R348" s="16"/>
      <c r="S348" s="16">
        <v>157</v>
      </c>
      <c r="T348" s="17"/>
      <c r="U348" s="18">
        <f t="shared" si="189"/>
        <v>336</v>
      </c>
      <c r="V348" s="34">
        <v>155</v>
      </c>
      <c r="W348" s="16"/>
      <c r="X348" s="16">
        <v>127</v>
      </c>
      <c r="Y348" s="17"/>
      <c r="Z348" s="18">
        <f t="shared" si="190"/>
        <v>282</v>
      </c>
      <c r="AA348" s="34">
        <f>17</f>
        <v>17</v>
      </c>
      <c r="AB348" s="16"/>
      <c r="AC348" s="16">
        <f>15</f>
        <v>15</v>
      </c>
      <c r="AD348" s="17"/>
      <c r="AE348" s="18">
        <f t="shared" si="191"/>
        <v>32</v>
      </c>
      <c r="AF348" s="34"/>
      <c r="AG348" s="16"/>
      <c r="AH348" s="16"/>
      <c r="AI348" s="17"/>
      <c r="AJ348" s="18">
        <f t="shared" si="192"/>
        <v>0</v>
      </c>
      <c r="AK348" s="34"/>
      <c r="AL348" s="16"/>
      <c r="AM348" s="16"/>
      <c r="AN348" s="17"/>
      <c r="AO348" s="18">
        <f t="shared" si="193"/>
        <v>0</v>
      </c>
      <c r="AP348" s="34"/>
      <c r="AQ348" s="16"/>
      <c r="AR348" s="16"/>
      <c r="AS348" s="17"/>
      <c r="AT348" s="18">
        <f t="shared" si="194"/>
        <v>0</v>
      </c>
      <c r="AU348" s="34"/>
      <c r="AV348" s="16"/>
      <c r="AW348" s="16"/>
      <c r="AX348" s="17"/>
      <c r="AY348" s="18">
        <f t="shared" si="195"/>
        <v>0</v>
      </c>
      <c r="AZ348" s="34"/>
      <c r="BA348" s="16"/>
      <c r="BB348" s="16"/>
      <c r="BC348" s="17"/>
      <c r="BD348" s="18">
        <f t="shared" si="196"/>
        <v>0</v>
      </c>
      <c r="BE348" s="34"/>
      <c r="BF348" s="16"/>
      <c r="BG348" s="16"/>
      <c r="BH348" s="17"/>
      <c r="BI348" s="18">
        <f t="shared" si="197"/>
        <v>0</v>
      </c>
      <c r="BJ348" s="34"/>
      <c r="BK348" s="16"/>
      <c r="BL348" s="16"/>
      <c r="BM348" s="17"/>
      <c r="BN348" s="18">
        <f t="shared" si="198"/>
        <v>0</v>
      </c>
      <c r="BO348" s="70">
        <f>SUM(G348,L348,Q348,V348,AA348,AF348,AK348,AP348,AU348,AZ348,BE348,BJ348)</f>
        <v>769</v>
      </c>
      <c r="BP348" s="16">
        <f>SUM(H348,M348,R348,W348,AB348,AG348,AL348,AQ348,AV348,BA348,BF348,BK348)</f>
        <v>0</v>
      </c>
      <c r="BQ348" s="16">
        <f>SUM(I348,N348,S348,X348,AC348,AH348,AM348,AR348,AW348,BB348,BG348,BL348)</f>
        <v>674</v>
      </c>
      <c r="BR348" s="17">
        <f>SUM(J348,O348,T348,Y348,AD348,AI348,AN348,AS348,AX348,BC348,BH348,BM348)</f>
        <v>0</v>
      </c>
      <c r="BS348" s="35">
        <f t="shared" si="200"/>
        <v>1443</v>
      </c>
    </row>
    <row r="349" spans="2:71" x14ac:dyDescent="0.3">
      <c r="B349" s="269"/>
      <c r="C349" s="215"/>
      <c r="D349" s="216"/>
      <c r="E349" s="220"/>
      <c r="F349" s="123" t="s">
        <v>760</v>
      </c>
      <c r="G349" s="34"/>
      <c r="H349" s="16"/>
      <c r="I349" s="16"/>
      <c r="J349" s="17"/>
      <c r="K349" s="18">
        <f t="shared" si="187"/>
        <v>0</v>
      </c>
      <c r="L349" s="34"/>
      <c r="M349" s="16"/>
      <c r="N349" s="16"/>
      <c r="O349" s="17"/>
      <c r="P349" s="18">
        <f t="shared" si="188"/>
        <v>0</v>
      </c>
      <c r="Q349" s="34"/>
      <c r="R349" s="16"/>
      <c r="S349" s="16"/>
      <c r="T349" s="17"/>
      <c r="U349" s="18">
        <f t="shared" si="189"/>
        <v>0</v>
      </c>
      <c r="V349" s="34"/>
      <c r="W349" s="16"/>
      <c r="X349" s="16"/>
      <c r="Y349" s="17"/>
      <c r="Z349" s="18">
        <f t="shared" si="190"/>
        <v>0</v>
      </c>
      <c r="AA349" s="34">
        <v>136</v>
      </c>
      <c r="AB349" s="16"/>
      <c r="AC349" s="16">
        <v>108</v>
      </c>
      <c r="AD349" s="17"/>
      <c r="AE349" s="18">
        <f t="shared" si="191"/>
        <v>244</v>
      </c>
      <c r="AF349" s="34">
        <v>201</v>
      </c>
      <c r="AG349" s="16"/>
      <c r="AH349" s="16">
        <v>187</v>
      </c>
      <c r="AI349" s="17"/>
      <c r="AJ349" s="18">
        <f t="shared" si="192"/>
        <v>388</v>
      </c>
      <c r="AK349" s="34">
        <v>138</v>
      </c>
      <c r="AL349" s="16"/>
      <c r="AM349" s="16">
        <v>136</v>
      </c>
      <c r="AN349" s="17"/>
      <c r="AO349" s="18">
        <f t="shared" si="193"/>
        <v>274</v>
      </c>
      <c r="AP349" s="34">
        <v>90</v>
      </c>
      <c r="AQ349" s="16"/>
      <c r="AR349" s="16">
        <v>86</v>
      </c>
      <c r="AS349" s="17"/>
      <c r="AT349" s="18">
        <f t="shared" si="194"/>
        <v>176</v>
      </c>
      <c r="AU349" s="34">
        <v>186</v>
      </c>
      <c r="AV349" s="16"/>
      <c r="AW349" s="16">
        <v>130</v>
      </c>
      <c r="AX349" s="17"/>
      <c r="AY349" s="18">
        <f t="shared" si="195"/>
        <v>316</v>
      </c>
      <c r="AZ349" s="34">
        <v>142</v>
      </c>
      <c r="BA349" s="16"/>
      <c r="BB349" s="16">
        <v>110</v>
      </c>
      <c r="BC349" s="17"/>
      <c r="BD349" s="18">
        <f t="shared" si="196"/>
        <v>252</v>
      </c>
      <c r="BE349" s="34">
        <v>112</v>
      </c>
      <c r="BF349" s="16"/>
      <c r="BG349" s="16">
        <v>90</v>
      </c>
      <c r="BH349" s="17"/>
      <c r="BI349" s="18">
        <f t="shared" si="197"/>
        <v>202</v>
      </c>
      <c r="BJ349" s="34">
        <v>58</v>
      </c>
      <c r="BK349" s="16"/>
      <c r="BL349" s="16">
        <v>48</v>
      </c>
      <c r="BM349" s="17"/>
      <c r="BN349" s="18">
        <f t="shared" si="198"/>
        <v>106</v>
      </c>
      <c r="BO349" s="70">
        <f>SUM(G349,L349,Q349,V349,AA349,AF349,AK349,AP349,AU349,AZ349,BE349,BJ349)</f>
        <v>1063</v>
      </c>
      <c r="BP349" s="16">
        <f>SUM(H349,M349,R349,W349,AB349,AG349,AL349,AQ349,AV349,BA349,BF349,BK349)</f>
        <v>0</v>
      </c>
      <c r="BQ349" s="16">
        <f>SUM(I349,N349,S349,X349,AC349,AH349,AM349,AR349,AW349,BB349,BG349,BL349)</f>
        <v>895</v>
      </c>
      <c r="BR349" s="17">
        <f>SUM(J349,O349,T349,Y349,AD349,AI349,AN349,AS349,AX349,BC349,BH349,BM349)</f>
        <v>0</v>
      </c>
      <c r="BS349" s="35">
        <f t="shared" si="200"/>
        <v>1958</v>
      </c>
    </row>
    <row r="350" spans="2:71" x14ac:dyDescent="0.3">
      <c r="B350" s="269"/>
      <c r="C350" s="215"/>
      <c r="D350" s="216"/>
      <c r="E350" s="220"/>
      <c r="F350" s="123" t="s">
        <v>761</v>
      </c>
      <c r="G350" s="34">
        <v>15</v>
      </c>
      <c r="H350" s="16"/>
      <c r="I350" s="16">
        <v>18</v>
      </c>
      <c r="J350" s="17"/>
      <c r="K350" s="18">
        <f t="shared" si="187"/>
        <v>33</v>
      </c>
      <c r="L350" s="34">
        <v>13</v>
      </c>
      <c r="M350" s="16"/>
      <c r="N350" s="16">
        <v>12</v>
      </c>
      <c r="O350" s="17"/>
      <c r="P350" s="18">
        <f t="shared" si="188"/>
        <v>25</v>
      </c>
      <c r="Q350" s="34">
        <v>13</v>
      </c>
      <c r="R350" s="16"/>
      <c r="S350" s="16">
        <v>14</v>
      </c>
      <c r="T350" s="17"/>
      <c r="U350" s="18">
        <f t="shared" si="189"/>
        <v>27</v>
      </c>
      <c r="V350" s="34">
        <v>14</v>
      </c>
      <c r="W350" s="16"/>
      <c r="X350" s="16">
        <v>13</v>
      </c>
      <c r="Y350" s="17"/>
      <c r="Z350" s="18">
        <f t="shared" si="190"/>
        <v>27</v>
      </c>
      <c r="AA350" s="34"/>
      <c r="AB350" s="16"/>
      <c r="AC350" s="16"/>
      <c r="AD350" s="17"/>
      <c r="AE350" s="18">
        <f t="shared" si="191"/>
        <v>0</v>
      </c>
      <c r="AF350" s="34"/>
      <c r="AG350" s="16"/>
      <c r="AH350" s="16"/>
      <c r="AI350" s="17"/>
      <c r="AJ350" s="18">
        <f t="shared" si="192"/>
        <v>0</v>
      </c>
      <c r="AK350" s="34"/>
      <c r="AL350" s="16"/>
      <c r="AM350" s="16"/>
      <c r="AN350" s="17"/>
      <c r="AO350" s="18">
        <f t="shared" si="193"/>
        <v>0</v>
      </c>
      <c r="AP350" s="34"/>
      <c r="AQ350" s="16"/>
      <c r="AR350" s="16"/>
      <c r="AS350" s="17"/>
      <c r="AT350" s="18">
        <f t="shared" si="194"/>
        <v>0</v>
      </c>
      <c r="AU350" s="34"/>
      <c r="AV350" s="16"/>
      <c r="AW350" s="16"/>
      <c r="AX350" s="17"/>
      <c r="AY350" s="18">
        <f t="shared" si="195"/>
        <v>0</v>
      </c>
      <c r="AZ350" s="34"/>
      <c r="BA350" s="16"/>
      <c r="BB350" s="16"/>
      <c r="BC350" s="17"/>
      <c r="BD350" s="18">
        <f t="shared" si="196"/>
        <v>0</v>
      </c>
      <c r="BE350" s="34"/>
      <c r="BF350" s="16"/>
      <c r="BG350" s="16"/>
      <c r="BH350" s="17"/>
      <c r="BI350" s="18">
        <f t="shared" si="197"/>
        <v>0</v>
      </c>
      <c r="BJ350" s="34"/>
      <c r="BK350" s="16"/>
      <c r="BL350" s="16"/>
      <c r="BM350" s="17"/>
      <c r="BN350" s="18">
        <f t="shared" si="198"/>
        <v>0</v>
      </c>
      <c r="BO350" s="70">
        <f>SUM(G350,L350,Q350,V350,AA350,AF350,AK350,AP350,AU350,AZ350,BE350,BJ350)</f>
        <v>55</v>
      </c>
      <c r="BP350" s="16">
        <f>SUM(H350,M350,R350,W350,AB350,AG350,AL350,AQ350,AV350,BA350,BF350,BK350)</f>
        <v>0</v>
      </c>
      <c r="BQ350" s="16">
        <f>SUM(I350,N350,S350,X350,AC350,AH350,AM350,AR350,AW350,BB350,BG350,BL350)</f>
        <v>57</v>
      </c>
      <c r="BR350" s="17">
        <f>SUM(J350,O350,T350,Y350,AD350,AI350,AN350,AS350,AX350,BC350,BH350,BM350)</f>
        <v>0</v>
      </c>
      <c r="BS350" s="35">
        <f t="shared" si="200"/>
        <v>112</v>
      </c>
    </row>
    <row r="351" spans="2:71" x14ac:dyDescent="0.3">
      <c r="B351" s="269"/>
      <c r="C351" s="215"/>
      <c r="D351" s="216"/>
      <c r="E351" s="220"/>
      <c r="F351" s="123" t="s">
        <v>762</v>
      </c>
      <c r="G351" s="34"/>
      <c r="H351" s="16"/>
      <c r="I351" s="16"/>
      <c r="J351" s="17"/>
      <c r="K351" s="18">
        <f t="shared" si="187"/>
        <v>0</v>
      </c>
      <c r="L351" s="34"/>
      <c r="M351" s="16"/>
      <c r="N351" s="16"/>
      <c r="O351" s="17"/>
      <c r="P351" s="18">
        <f t="shared" si="188"/>
        <v>0</v>
      </c>
      <c r="Q351" s="34"/>
      <c r="R351" s="16"/>
      <c r="S351" s="16"/>
      <c r="T351" s="17"/>
      <c r="U351" s="18">
        <f t="shared" si="189"/>
        <v>0</v>
      </c>
      <c r="V351" s="34">
        <v>4</v>
      </c>
      <c r="W351" s="16"/>
      <c r="X351" s="16">
        <v>3</v>
      </c>
      <c r="Y351" s="17"/>
      <c r="Z351" s="18">
        <f t="shared" si="190"/>
        <v>7</v>
      </c>
      <c r="AA351" s="34">
        <f>251</f>
        <v>251</v>
      </c>
      <c r="AB351" s="16"/>
      <c r="AC351" s="16">
        <f>224</f>
        <v>224</v>
      </c>
      <c r="AD351" s="17"/>
      <c r="AE351" s="18">
        <f t="shared" si="191"/>
        <v>475</v>
      </c>
      <c r="AF351" s="34">
        <v>52</v>
      </c>
      <c r="AG351" s="16"/>
      <c r="AH351" s="16">
        <v>34</v>
      </c>
      <c r="AI351" s="17"/>
      <c r="AJ351" s="18">
        <f t="shared" si="192"/>
        <v>86</v>
      </c>
      <c r="AK351" s="34">
        <v>25</v>
      </c>
      <c r="AL351" s="16"/>
      <c r="AM351" s="16">
        <v>27</v>
      </c>
      <c r="AN351" s="17"/>
      <c r="AO351" s="18">
        <f t="shared" si="193"/>
        <v>52</v>
      </c>
      <c r="AP351" s="34">
        <v>9</v>
      </c>
      <c r="AQ351" s="16"/>
      <c r="AR351" s="16">
        <v>7</v>
      </c>
      <c r="AS351" s="17"/>
      <c r="AT351" s="18">
        <f t="shared" si="194"/>
        <v>16</v>
      </c>
      <c r="AU351" s="34">
        <v>27</v>
      </c>
      <c r="AV351" s="16"/>
      <c r="AW351" s="16">
        <v>20</v>
      </c>
      <c r="AX351" s="17"/>
      <c r="AY351" s="18">
        <f t="shared" si="195"/>
        <v>47</v>
      </c>
      <c r="AZ351" s="34">
        <v>18</v>
      </c>
      <c r="BA351" s="16"/>
      <c r="BB351" s="16">
        <v>20</v>
      </c>
      <c r="BC351" s="17"/>
      <c r="BD351" s="18">
        <f t="shared" si="196"/>
        <v>38</v>
      </c>
      <c r="BE351" s="34">
        <v>22</v>
      </c>
      <c r="BF351" s="16"/>
      <c r="BG351" s="16">
        <v>15</v>
      </c>
      <c r="BH351" s="17"/>
      <c r="BI351" s="18">
        <f t="shared" si="197"/>
        <v>37</v>
      </c>
      <c r="BJ351" s="34">
        <v>8</v>
      </c>
      <c r="BK351" s="16"/>
      <c r="BL351" s="16">
        <v>7</v>
      </c>
      <c r="BM351" s="17"/>
      <c r="BN351" s="18">
        <f t="shared" si="198"/>
        <v>15</v>
      </c>
      <c r="BO351" s="70">
        <f>SUM(G351,L351,Q351,V351,AA351,AF351,AK351,AP351,AU351,AZ351,BE351,BJ351)</f>
        <v>416</v>
      </c>
      <c r="BP351" s="16">
        <f>SUM(H351,M351,R351,W351,AB351,AG351,AL351,AQ351,AV351,BA351,BF351,BK351)</f>
        <v>0</v>
      </c>
      <c r="BQ351" s="16">
        <f>SUM(I351,N351,S351,X351,AC351,AH351,AM351,AR351,AW351,BB351,BG351,BL351)</f>
        <v>357</v>
      </c>
      <c r="BR351" s="17">
        <f>SUM(J351,O351,T351,Y351,AD351,AI351,AN351,AS351,AX351,BC351,BH351,BM351)</f>
        <v>0</v>
      </c>
      <c r="BS351" s="35">
        <f t="shared" si="200"/>
        <v>773</v>
      </c>
    </row>
    <row r="352" spans="2:71" x14ac:dyDescent="0.3">
      <c r="B352" s="269"/>
      <c r="C352" s="215"/>
      <c r="D352" s="216"/>
      <c r="E352" s="220"/>
      <c r="F352" s="123" t="s">
        <v>763</v>
      </c>
      <c r="G352" s="34"/>
      <c r="H352" s="16"/>
      <c r="I352" s="16"/>
      <c r="J352" s="17"/>
      <c r="K352" s="18">
        <f t="shared" si="187"/>
        <v>0</v>
      </c>
      <c r="L352" s="34"/>
      <c r="M352" s="16"/>
      <c r="N352" s="16"/>
      <c r="O352" s="17"/>
      <c r="P352" s="18">
        <f t="shared" si="188"/>
        <v>0</v>
      </c>
      <c r="Q352" s="34"/>
      <c r="R352" s="16"/>
      <c r="S352" s="16"/>
      <c r="T352" s="17"/>
      <c r="U352" s="18">
        <f t="shared" si="189"/>
        <v>0</v>
      </c>
      <c r="V352" s="34">
        <v>28</v>
      </c>
      <c r="W352" s="16"/>
      <c r="X352" s="16">
        <v>27</v>
      </c>
      <c r="Y352" s="17"/>
      <c r="Z352" s="18">
        <f t="shared" si="190"/>
        <v>55</v>
      </c>
      <c r="AA352" s="34">
        <f>6</f>
        <v>6</v>
      </c>
      <c r="AB352" s="16"/>
      <c r="AC352" s="16">
        <f>5</f>
        <v>5</v>
      </c>
      <c r="AD352" s="17"/>
      <c r="AE352" s="18">
        <f t="shared" si="191"/>
        <v>11</v>
      </c>
      <c r="AF352" s="34"/>
      <c r="AG352" s="16"/>
      <c r="AH352" s="16"/>
      <c r="AI352" s="17"/>
      <c r="AJ352" s="18">
        <f t="shared" si="192"/>
        <v>0</v>
      </c>
      <c r="AK352" s="34"/>
      <c r="AL352" s="16"/>
      <c r="AM352" s="16"/>
      <c r="AN352" s="17"/>
      <c r="AO352" s="18">
        <f t="shared" si="193"/>
        <v>0</v>
      </c>
      <c r="AP352" s="34"/>
      <c r="AQ352" s="16"/>
      <c r="AR352" s="16"/>
      <c r="AS352" s="17"/>
      <c r="AT352" s="18">
        <f t="shared" si="194"/>
        <v>0</v>
      </c>
      <c r="AU352" s="34"/>
      <c r="AV352" s="16"/>
      <c r="AW352" s="16"/>
      <c r="AX352" s="17"/>
      <c r="AY352" s="18">
        <f t="shared" si="195"/>
        <v>0</v>
      </c>
      <c r="AZ352" s="34"/>
      <c r="BA352" s="16"/>
      <c r="BB352" s="16"/>
      <c r="BC352" s="17"/>
      <c r="BD352" s="18">
        <f t="shared" si="196"/>
        <v>0</v>
      </c>
      <c r="BE352" s="34"/>
      <c r="BF352" s="16"/>
      <c r="BG352" s="16"/>
      <c r="BH352" s="17"/>
      <c r="BI352" s="18">
        <f t="shared" si="197"/>
        <v>0</v>
      </c>
      <c r="BJ352" s="34"/>
      <c r="BK352" s="16"/>
      <c r="BL352" s="16"/>
      <c r="BM352" s="17"/>
      <c r="BN352" s="18">
        <f t="shared" si="198"/>
        <v>0</v>
      </c>
      <c r="BO352" s="70">
        <f>SUM(G352,L352,Q352,V352,AA352,AF352,AK352,AP352,AU352,AZ352,BE352,BJ352)</f>
        <v>34</v>
      </c>
      <c r="BP352" s="16">
        <f>SUM(H352,M352,R352,W352,AB352,AG352,AL352,AQ352,AV352,BA352,BF352,BK352)</f>
        <v>0</v>
      </c>
      <c r="BQ352" s="16">
        <f>SUM(I352,N352,S352,X352,AC352,AH352,AM352,AR352,AW352,BB352,BG352,BL352)</f>
        <v>32</v>
      </c>
      <c r="BR352" s="17">
        <f>SUM(J352,O352,T352,Y352,AD352,AI352,AN352,AS352,AX352,BC352,BH352,BM352)</f>
        <v>0</v>
      </c>
      <c r="BS352" s="35">
        <f t="shared" si="200"/>
        <v>66</v>
      </c>
    </row>
    <row r="353" spans="2:71" x14ac:dyDescent="0.3">
      <c r="B353" s="269"/>
      <c r="C353" s="215"/>
      <c r="D353" s="216"/>
      <c r="E353" s="220"/>
      <c r="F353" s="123" t="s">
        <v>764</v>
      </c>
      <c r="G353" s="34"/>
      <c r="H353" s="16"/>
      <c r="I353" s="16"/>
      <c r="J353" s="17"/>
      <c r="K353" s="18">
        <f t="shared" si="187"/>
        <v>0</v>
      </c>
      <c r="L353" s="34"/>
      <c r="M353" s="16"/>
      <c r="N353" s="16"/>
      <c r="O353" s="17"/>
      <c r="P353" s="18">
        <f t="shared" si="188"/>
        <v>0</v>
      </c>
      <c r="Q353" s="34"/>
      <c r="R353" s="16"/>
      <c r="S353" s="16"/>
      <c r="T353" s="17"/>
      <c r="U353" s="18">
        <f t="shared" si="189"/>
        <v>0</v>
      </c>
      <c r="V353" s="34"/>
      <c r="W353" s="16"/>
      <c r="X353" s="16"/>
      <c r="Y353" s="17"/>
      <c r="Z353" s="18">
        <f t="shared" si="190"/>
        <v>0</v>
      </c>
      <c r="AA353" s="34">
        <v>30</v>
      </c>
      <c r="AB353" s="16"/>
      <c r="AC353" s="16">
        <v>30</v>
      </c>
      <c r="AD353" s="17"/>
      <c r="AE353" s="18">
        <f t="shared" si="191"/>
        <v>60</v>
      </c>
      <c r="AF353" s="34">
        <v>5</v>
      </c>
      <c r="AG353" s="16"/>
      <c r="AH353" s="16">
        <v>5</v>
      </c>
      <c r="AI353" s="17"/>
      <c r="AJ353" s="18">
        <f t="shared" si="192"/>
        <v>10</v>
      </c>
      <c r="AK353" s="34">
        <v>17</v>
      </c>
      <c r="AL353" s="16"/>
      <c r="AM353" s="297">
        <v>15</v>
      </c>
      <c r="AN353" s="17"/>
      <c r="AO353" s="18">
        <f t="shared" si="193"/>
        <v>32</v>
      </c>
      <c r="AP353" s="34">
        <v>12</v>
      </c>
      <c r="AQ353" s="16"/>
      <c r="AR353" s="16">
        <v>15</v>
      </c>
      <c r="AS353" s="17"/>
      <c r="AT353" s="18">
        <f t="shared" si="194"/>
        <v>27</v>
      </c>
      <c r="AU353" s="34"/>
      <c r="AV353" s="16"/>
      <c r="AW353" s="16"/>
      <c r="AX353" s="17"/>
      <c r="AY353" s="18">
        <f t="shared" si="195"/>
        <v>0</v>
      </c>
      <c r="AZ353" s="34"/>
      <c r="BA353" s="16"/>
      <c r="BB353" s="16"/>
      <c r="BC353" s="17"/>
      <c r="BD353" s="18">
        <f t="shared" si="196"/>
        <v>0</v>
      </c>
      <c r="BE353" s="34"/>
      <c r="BF353" s="16"/>
      <c r="BG353" s="16"/>
      <c r="BH353" s="17"/>
      <c r="BI353" s="18">
        <f t="shared" si="197"/>
        <v>0</v>
      </c>
      <c r="BJ353" s="34"/>
      <c r="BK353" s="16"/>
      <c r="BL353" s="16"/>
      <c r="BM353" s="17"/>
      <c r="BN353" s="18">
        <f t="shared" si="198"/>
        <v>0</v>
      </c>
      <c r="BO353" s="70">
        <f>SUM(G353,L353,Q353,V353,AA353,AF353,AK353,AP353,AU353,AZ353,BE353,BJ353)</f>
        <v>64</v>
      </c>
      <c r="BP353" s="16">
        <f>SUM(H353,M353,R353,W353,AB353,AG353,AL353,AQ353,AV353,BA353,BF353,BK353)</f>
        <v>0</v>
      </c>
      <c r="BQ353" s="16">
        <f>SUM(I353,N353,S353,X353,AC353,AH353,AM353,AR353,AW353,BB353,BG353,BL353)</f>
        <v>65</v>
      </c>
      <c r="BR353" s="17">
        <f>SUM(J353,O353,T353,Y353,AD353,AI353,AN353,AS353,AX353,BC353,BH353,BM353)</f>
        <v>0</v>
      </c>
      <c r="BS353" s="35">
        <f t="shared" si="200"/>
        <v>129</v>
      </c>
    </row>
    <row r="354" spans="2:71" x14ac:dyDescent="0.3">
      <c r="B354" s="269"/>
      <c r="C354" s="215"/>
      <c r="D354" s="216"/>
      <c r="E354" s="220"/>
      <c r="F354" s="123" t="s">
        <v>765</v>
      </c>
      <c r="G354" s="34"/>
      <c r="H354" s="16"/>
      <c r="I354" s="16"/>
      <c r="J354" s="17"/>
      <c r="K354" s="18">
        <f t="shared" si="187"/>
        <v>0</v>
      </c>
      <c r="L354" s="34"/>
      <c r="M354" s="16"/>
      <c r="N354" s="16"/>
      <c r="O354" s="17"/>
      <c r="P354" s="18">
        <f t="shared" si="188"/>
        <v>0</v>
      </c>
      <c r="Q354" s="34"/>
      <c r="R354" s="16"/>
      <c r="S354" s="16"/>
      <c r="T354" s="17"/>
      <c r="U354" s="18">
        <f t="shared" si="189"/>
        <v>0</v>
      </c>
      <c r="V354" s="34">
        <v>11</v>
      </c>
      <c r="W354" s="16"/>
      <c r="X354" s="16">
        <v>9</v>
      </c>
      <c r="Y354" s="17"/>
      <c r="Z354" s="18">
        <f t="shared" si="190"/>
        <v>20</v>
      </c>
      <c r="AA354" s="34">
        <f>2</f>
        <v>2</v>
      </c>
      <c r="AB354" s="16"/>
      <c r="AC354" s="16">
        <f>2</f>
        <v>2</v>
      </c>
      <c r="AD354" s="17"/>
      <c r="AE354" s="18">
        <f t="shared" si="191"/>
        <v>4</v>
      </c>
      <c r="AF354" s="34"/>
      <c r="AG354" s="16"/>
      <c r="AH354" s="16"/>
      <c r="AI354" s="17"/>
      <c r="AJ354" s="18">
        <f t="shared" si="192"/>
        <v>0</v>
      </c>
      <c r="AK354" s="34"/>
      <c r="AL354" s="16"/>
      <c r="AM354" s="16"/>
      <c r="AN354" s="17"/>
      <c r="AO354" s="18">
        <f t="shared" si="193"/>
        <v>0</v>
      </c>
      <c r="AP354" s="34"/>
      <c r="AQ354" s="16"/>
      <c r="AR354" s="16"/>
      <c r="AS354" s="17"/>
      <c r="AT354" s="18">
        <f t="shared" si="194"/>
        <v>0</v>
      </c>
      <c r="AU354" s="34"/>
      <c r="AV354" s="16"/>
      <c r="AW354" s="16"/>
      <c r="AX354" s="17"/>
      <c r="AY354" s="18">
        <f t="shared" si="195"/>
        <v>0</v>
      </c>
      <c r="AZ354" s="34"/>
      <c r="BA354" s="16"/>
      <c r="BB354" s="16"/>
      <c r="BC354" s="17"/>
      <c r="BD354" s="18">
        <f t="shared" si="196"/>
        <v>0</v>
      </c>
      <c r="BE354" s="34"/>
      <c r="BF354" s="16"/>
      <c r="BG354" s="16"/>
      <c r="BH354" s="17"/>
      <c r="BI354" s="18">
        <f t="shared" si="197"/>
        <v>0</v>
      </c>
      <c r="BJ354" s="34"/>
      <c r="BK354" s="16"/>
      <c r="BL354" s="16"/>
      <c r="BM354" s="17"/>
      <c r="BN354" s="18">
        <f t="shared" si="198"/>
        <v>0</v>
      </c>
      <c r="BO354" s="70">
        <f>SUM(G354,L354,Q354,V354,AA354,AF354,AK354,AP354,AU354,AZ354,BE354,BJ354)</f>
        <v>13</v>
      </c>
      <c r="BP354" s="16">
        <f>SUM(H354,M354,R354,W354,AB354,AG354,AL354,AQ354,AV354,BA354,BF354,BK354)</f>
        <v>0</v>
      </c>
      <c r="BQ354" s="16">
        <f>SUM(I354,N354,S354,X354,AC354,AH354,AM354,AR354,AW354,BB354,BG354,BL354)</f>
        <v>11</v>
      </c>
      <c r="BR354" s="17">
        <f>SUM(J354,O354,T354,Y354,AD354,AI354,AN354,AS354,AX354,BC354,BH354,BM354)</f>
        <v>0</v>
      </c>
      <c r="BS354" s="35">
        <f t="shared" si="200"/>
        <v>24</v>
      </c>
    </row>
    <row r="355" spans="2:71" x14ac:dyDescent="0.3">
      <c r="B355" s="269"/>
      <c r="C355" s="215"/>
      <c r="D355" s="216"/>
      <c r="E355" s="220"/>
      <c r="F355" s="123" t="s">
        <v>766</v>
      </c>
      <c r="G355" s="34"/>
      <c r="H355" s="16"/>
      <c r="I355" s="16"/>
      <c r="J355" s="17"/>
      <c r="K355" s="18">
        <f t="shared" si="187"/>
        <v>0</v>
      </c>
      <c r="L355" s="34"/>
      <c r="M355" s="16"/>
      <c r="N355" s="16"/>
      <c r="O355" s="17"/>
      <c r="P355" s="18">
        <f t="shared" si="188"/>
        <v>0</v>
      </c>
      <c r="Q355" s="34"/>
      <c r="R355" s="16"/>
      <c r="S355" s="16"/>
      <c r="T355" s="17"/>
      <c r="U355" s="18">
        <f t="shared" si="189"/>
        <v>0</v>
      </c>
      <c r="V355" s="34"/>
      <c r="W355" s="16"/>
      <c r="X355" s="16"/>
      <c r="Y355" s="17"/>
      <c r="Z355" s="18">
        <f t="shared" si="190"/>
        <v>0</v>
      </c>
      <c r="AA355" s="34">
        <v>9</v>
      </c>
      <c r="AB355" s="16"/>
      <c r="AC355" s="16">
        <v>8</v>
      </c>
      <c r="AD355" s="17"/>
      <c r="AE355" s="18">
        <f t="shared" si="191"/>
        <v>17</v>
      </c>
      <c r="AF355" s="34"/>
      <c r="AG355" s="16"/>
      <c r="AH355" s="16"/>
      <c r="AI355" s="17"/>
      <c r="AJ355" s="18">
        <f t="shared" si="192"/>
        <v>0</v>
      </c>
      <c r="AK355" s="34"/>
      <c r="AL355" s="16"/>
      <c r="AM355" s="16"/>
      <c r="AN355" s="17"/>
      <c r="AO355" s="18">
        <f t="shared" si="193"/>
        <v>0</v>
      </c>
      <c r="AP355" s="34"/>
      <c r="AQ355" s="16"/>
      <c r="AR355" s="16"/>
      <c r="AS355" s="17"/>
      <c r="AT355" s="18">
        <f t="shared" si="194"/>
        <v>0</v>
      </c>
      <c r="AU355" s="34"/>
      <c r="AV355" s="16"/>
      <c r="AW355" s="16"/>
      <c r="AX355" s="17"/>
      <c r="AY355" s="18">
        <f t="shared" si="195"/>
        <v>0</v>
      </c>
      <c r="AZ355" s="34"/>
      <c r="BA355" s="16"/>
      <c r="BB355" s="16"/>
      <c r="BC355" s="17"/>
      <c r="BD355" s="18">
        <f t="shared" si="196"/>
        <v>0</v>
      </c>
      <c r="BE355" s="34"/>
      <c r="BF355" s="16"/>
      <c r="BG355" s="16"/>
      <c r="BH355" s="17"/>
      <c r="BI355" s="18">
        <f t="shared" si="197"/>
        <v>0</v>
      </c>
      <c r="BJ355" s="34"/>
      <c r="BK355" s="16"/>
      <c r="BL355" s="16"/>
      <c r="BM355" s="17"/>
      <c r="BN355" s="18">
        <f t="shared" si="198"/>
        <v>0</v>
      </c>
      <c r="BO355" s="70">
        <f>SUM(G355,L355,Q355,V355,AA355,AF355,AK355,AP355,AU355,AZ355,BE355,BJ355)</f>
        <v>9</v>
      </c>
      <c r="BP355" s="16">
        <f>SUM(H355,M355,R355,W355,AB355,AG355,AL355,AQ355,AV355,BA355,BF355,BK355)</f>
        <v>0</v>
      </c>
      <c r="BQ355" s="16">
        <f>SUM(I355,N355,S355,X355,AC355,AH355,AM355,AR355,AW355,BB355,BG355,BL355)</f>
        <v>8</v>
      </c>
      <c r="BR355" s="17">
        <f>SUM(J355,O355,T355,Y355,AD355,AI355,AN355,AS355,AX355,BC355,BH355,BM355)</f>
        <v>0</v>
      </c>
      <c r="BS355" s="35">
        <f t="shared" si="200"/>
        <v>17</v>
      </c>
    </row>
    <row r="356" spans="2:71" x14ac:dyDescent="0.3">
      <c r="B356" s="269"/>
      <c r="C356" s="215"/>
      <c r="D356" s="216"/>
      <c r="E356" s="220"/>
      <c r="F356" s="123" t="s">
        <v>767</v>
      </c>
      <c r="G356" s="34"/>
      <c r="H356" s="16"/>
      <c r="I356" s="16"/>
      <c r="J356" s="17"/>
      <c r="K356" s="18">
        <f t="shared" si="187"/>
        <v>0</v>
      </c>
      <c r="L356" s="34"/>
      <c r="M356" s="16"/>
      <c r="N356" s="16"/>
      <c r="O356" s="17"/>
      <c r="P356" s="18">
        <f t="shared" si="188"/>
        <v>0</v>
      </c>
      <c r="Q356" s="34"/>
      <c r="R356" s="16"/>
      <c r="S356" s="16"/>
      <c r="T356" s="17"/>
      <c r="U356" s="18">
        <f t="shared" si="189"/>
        <v>0</v>
      </c>
      <c r="V356" s="34">
        <v>75</v>
      </c>
      <c r="W356" s="16"/>
      <c r="X356" s="16">
        <v>56</v>
      </c>
      <c r="Y356" s="17"/>
      <c r="Z356" s="18">
        <f t="shared" si="190"/>
        <v>131</v>
      </c>
      <c r="AA356" s="34">
        <f>50+41</f>
        <v>91</v>
      </c>
      <c r="AB356" s="16"/>
      <c r="AC356" s="16">
        <f>41+28</f>
        <v>69</v>
      </c>
      <c r="AD356" s="17"/>
      <c r="AE356" s="18">
        <f t="shared" si="191"/>
        <v>160</v>
      </c>
      <c r="AF356" s="34">
        <v>7</v>
      </c>
      <c r="AG356" s="16"/>
      <c r="AH356" s="16">
        <v>6</v>
      </c>
      <c r="AI356" s="17"/>
      <c r="AJ356" s="18">
        <f t="shared" ref="AJ356" si="202">SUM(AF356:AI356)</f>
        <v>13</v>
      </c>
      <c r="AK356" s="34">
        <v>7</v>
      </c>
      <c r="AL356" s="16"/>
      <c r="AM356" s="16">
        <v>5</v>
      </c>
      <c r="AN356" s="17"/>
      <c r="AO356" s="18">
        <f t="shared" ref="AO356" si="203">SUM(AK356:AN356)</f>
        <v>12</v>
      </c>
      <c r="AP356" s="34">
        <v>74</v>
      </c>
      <c r="AQ356" s="16"/>
      <c r="AR356" s="16">
        <v>58</v>
      </c>
      <c r="AS356" s="17"/>
      <c r="AT356" s="18">
        <f t="shared" ref="AT356" si="204">SUM(AP356:AS356)</f>
        <v>132</v>
      </c>
      <c r="AU356" s="34"/>
      <c r="AV356" s="16"/>
      <c r="AW356" s="16"/>
      <c r="AX356" s="17"/>
      <c r="AY356" s="18">
        <f t="shared" ref="AY356" si="205">SUM(AU356:AX356)</f>
        <v>0</v>
      </c>
      <c r="AZ356" s="34"/>
      <c r="BA356" s="16"/>
      <c r="BB356" s="16"/>
      <c r="BC356" s="17"/>
      <c r="BD356" s="18">
        <f t="shared" ref="BD356" si="206">SUM(AZ356:BC356)</f>
        <v>0</v>
      </c>
      <c r="BE356" s="34"/>
      <c r="BF356" s="16"/>
      <c r="BG356" s="16"/>
      <c r="BH356" s="17"/>
      <c r="BI356" s="18">
        <f t="shared" ref="BI356" si="207">SUM(BE356:BH356)</f>
        <v>0</v>
      </c>
      <c r="BJ356" s="34"/>
      <c r="BK356" s="16"/>
      <c r="BL356" s="16"/>
      <c r="BM356" s="17"/>
      <c r="BN356" s="18">
        <f t="shared" ref="BN356" si="208">SUM(BJ356:BM356)</f>
        <v>0</v>
      </c>
      <c r="BO356" s="70">
        <f>SUM(G356,L356,Q356,V356,AA356,AF356,AK356,AP356,AU356,AZ356,BE356,BJ356)</f>
        <v>254</v>
      </c>
      <c r="BP356" s="16">
        <f>SUM(H356,M356,R356,W356,AB356,AG356,AL356,AQ356,AV356,BA356,BF356,BK356)</f>
        <v>0</v>
      </c>
      <c r="BQ356" s="16">
        <f>SUM(I356,N356,S356,X356,AC356,AH356,AM356,AR356,AW356,BB356,BG356,BL356)</f>
        <v>194</v>
      </c>
      <c r="BR356" s="17">
        <f>SUM(J356,O356,T356,Y356,AD356,AI356,AN356,AS356,AX356,BC356,BH356,BM356)</f>
        <v>0</v>
      </c>
      <c r="BS356" s="35">
        <f t="shared" si="200"/>
        <v>448</v>
      </c>
    </row>
    <row r="357" spans="2:71" x14ac:dyDescent="0.3">
      <c r="B357" s="269"/>
      <c r="C357" s="215"/>
      <c r="D357" s="216"/>
      <c r="E357" s="220"/>
      <c r="F357" s="123" t="s">
        <v>768</v>
      </c>
      <c r="G357" s="34"/>
      <c r="H357" s="16"/>
      <c r="I357" s="16"/>
      <c r="J357" s="17"/>
      <c r="K357" s="18">
        <f t="shared" si="187"/>
        <v>0</v>
      </c>
      <c r="L357" s="34"/>
      <c r="M357" s="16"/>
      <c r="N357" s="16"/>
      <c r="O357" s="17"/>
      <c r="P357" s="18">
        <f t="shared" si="188"/>
        <v>0</v>
      </c>
      <c r="Q357" s="34"/>
      <c r="R357" s="16"/>
      <c r="S357" s="16"/>
      <c r="T357" s="17"/>
      <c r="U357" s="18">
        <f t="shared" si="189"/>
        <v>0</v>
      </c>
      <c r="V357" s="34">
        <v>23</v>
      </c>
      <c r="W357" s="16"/>
      <c r="X357" s="16">
        <v>13</v>
      </c>
      <c r="Y357" s="17"/>
      <c r="Z357" s="18">
        <f t="shared" si="190"/>
        <v>36</v>
      </c>
      <c r="AA357" s="34">
        <f>3+3</f>
        <v>6</v>
      </c>
      <c r="AB357" s="16"/>
      <c r="AC357" s="16">
        <f>2+4</f>
        <v>6</v>
      </c>
      <c r="AD357" s="17"/>
      <c r="AE357" s="18">
        <f t="shared" si="191"/>
        <v>12</v>
      </c>
      <c r="AF357" s="34"/>
      <c r="AG357" s="16"/>
      <c r="AH357" s="16"/>
      <c r="AI357" s="17"/>
      <c r="AJ357" s="18">
        <f t="shared" si="192"/>
        <v>0</v>
      </c>
      <c r="AK357" s="34"/>
      <c r="AL357" s="16"/>
      <c r="AM357" s="16"/>
      <c r="AN357" s="17"/>
      <c r="AO357" s="18">
        <f t="shared" si="193"/>
        <v>0</v>
      </c>
      <c r="AP357" s="34"/>
      <c r="AQ357" s="16"/>
      <c r="AR357" s="16"/>
      <c r="AS357" s="17"/>
      <c r="AT357" s="18">
        <f t="shared" si="194"/>
        <v>0</v>
      </c>
      <c r="AU357" s="34"/>
      <c r="AV357" s="16"/>
      <c r="AW357" s="16"/>
      <c r="AX357" s="17"/>
      <c r="AY357" s="18">
        <f t="shared" si="195"/>
        <v>0</v>
      </c>
      <c r="AZ357" s="34"/>
      <c r="BA357" s="16"/>
      <c r="BB357" s="16"/>
      <c r="BC357" s="17"/>
      <c r="BD357" s="18">
        <f t="shared" si="196"/>
        <v>0</v>
      </c>
      <c r="BE357" s="34"/>
      <c r="BF357" s="16"/>
      <c r="BG357" s="16"/>
      <c r="BH357" s="17"/>
      <c r="BI357" s="18">
        <f t="shared" si="197"/>
        <v>0</v>
      </c>
      <c r="BJ357" s="34"/>
      <c r="BK357" s="16"/>
      <c r="BL357" s="16"/>
      <c r="BM357" s="17"/>
      <c r="BN357" s="18">
        <f t="shared" si="198"/>
        <v>0</v>
      </c>
      <c r="BO357" s="70">
        <f>SUM(G357,L357,Q357,V357,AA357,AF357,AK357,AP357,AU357,AZ357,BE357,BJ357)</f>
        <v>29</v>
      </c>
      <c r="BP357" s="16">
        <f>SUM(H357,M357,R357,W357,AB357,AG357,AL357,AQ357,AV357,BA357,BF357,BK357)</f>
        <v>0</v>
      </c>
      <c r="BQ357" s="16">
        <f>SUM(I357,N357,S357,X357,AC357,AH357,AM357,AR357,AW357,BB357,BG357,BL357)</f>
        <v>19</v>
      </c>
      <c r="BR357" s="17">
        <f>SUM(J357,O357,T357,Y357,AD357,AI357,AN357,AS357,AX357,BC357,BH357,BM357)</f>
        <v>0</v>
      </c>
      <c r="BS357" s="35">
        <f t="shared" si="200"/>
        <v>48</v>
      </c>
    </row>
    <row r="358" spans="2:71" x14ac:dyDescent="0.3">
      <c r="B358" s="269"/>
      <c r="C358" s="215"/>
      <c r="D358" s="216"/>
      <c r="E358" s="220"/>
      <c r="F358" s="123" t="s">
        <v>769</v>
      </c>
      <c r="G358" s="34"/>
      <c r="H358" s="16"/>
      <c r="I358" s="16"/>
      <c r="J358" s="17"/>
      <c r="K358" s="18">
        <f t="shared" si="187"/>
        <v>0</v>
      </c>
      <c r="L358" s="34"/>
      <c r="M358" s="16"/>
      <c r="N358" s="16"/>
      <c r="O358" s="17"/>
      <c r="P358" s="18">
        <f t="shared" si="188"/>
        <v>0</v>
      </c>
      <c r="Q358" s="34"/>
      <c r="R358" s="16"/>
      <c r="S358" s="16"/>
      <c r="T358" s="17"/>
      <c r="U358" s="18">
        <f t="shared" si="189"/>
        <v>0</v>
      </c>
      <c r="V358" s="34"/>
      <c r="W358" s="16"/>
      <c r="X358" s="16"/>
      <c r="Y358" s="17"/>
      <c r="Z358" s="18">
        <f t="shared" si="190"/>
        <v>0</v>
      </c>
      <c r="AA358" s="34"/>
      <c r="AB358" s="16"/>
      <c r="AC358" s="16"/>
      <c r="AD358" s="17"/>
      <c r="AE358" s="18">
        <f t="shared" si="191"/>
        <v>0</v>
      </c>
      <c r="AF358" s="34"/>
      <c r="AG358" s="16"/>
      <c r="AH358" s="16"/>
      <c r="AI358" s="17"/>
      <c r="AJ358" s="18">
        <f t="shared" si="192"/>
        <v>0</v>
      </c>
      <c r="AK358" s="34">
        <v>29</v>
      </c>
      <c r="AL358" s="16"/>
      <c r="AM358" s="16">
        <v>29</v>
      </c>
      <c r="AN358" s="17"/>
      <c r="AO358" s="18">
        <f t="shared" si="193"/>
        <v>58</v>
      </c>
      <c r="AP358" s="34">
        <v>342</v>
      </c>
      <c r="AQ358" s="16"/>
      <c r="AR358" s="16">
        <v>222</v>
      </c>
      <c r="AS358" s="17"/>
      <c r="AT358" s="18">
        <f t="shared" si="194"/>
        <v>564</v>
      </c>
      <c r="AU358" s="34"/>
      <c r="AV358" s="16"/>
      <c r="AW358" s="16"/>
      <c r="AX358" s="17"/>
      <c r="AY358" s="18">
        <f t="shared" si="195"/>
        <v>0</v>
      </c>
      <c r="AZ358" s="34"/>
      <c r="BA358" s="16"/>
      <c r="BB358" s="16"/>
      <c r="BC358" s="17"/>
      <c r="BD358" s="18">
        <f t="shared" si="196"/>
        <v>0</v>
      </c>
      <c r="BE358" s="34"/>
      <c r="BF358" s="16"/>
      <c r="BG358" s="16"/>
      <c r="BH358" s="17"/>
      <c r="BI358" s="18">
        <f t="shared" si="197"/>
        <v>0</v>
      </c>
      <c r="BJ358" s="34"/>
      <c r="BK358" s="16"/>
      <c r="BL358" s="16"/>
      <c r="BM358" s="17"/>
      <c r="BN358" s="18">
        <f t="shared" si="198"/>
        <v>0</v>
      </c>
      <c r="BO358" s="70">
        <f>SUM(G358,L358,Q358,V358,AA358,AF358,AK358,AP358,AU358,AZ358,BE358,BJ358)</f>
        <v>371</v>
      </c>
      <c r="BP358" s="16">
        <f>SUM(H358,M358,R358,W358,AB358,AG358,AL358,AQ358,AV358,BA358,BF358,BK358)</f>
        <v>0</v>
      </c>
      <c r="BQ358" s="16">
        <f>SUM(I358,N358,S358,X358,AC358,AH358,AM358,AR358,AW358,BB358,BG358,BL358)</f>
        <v>251</v>
      </c>
      <c r="BR358" s="17">
        <f>SUM(J358,O358,T358,Y358,AD358,AI358,AN358,AS358,AX358,BC358,BH358,BM358)</f>
        <v>0</v>
      </c>
      <c r="BS358" s="35">
        <f t="shared" si="200"/>
        <v>622</v>
      </c>
    </row>
    <row r="359" spans="2:71" x14ac:dyDescent="0.3">
      <c r="B359" s="269"/>
      <c r="C359" s="215"/>
      <c r="D359" s="216"/>
      <c r="E359" s="219" t="s">
        <v>81</v>
      </c>
      <c r="F359" s="120" t="s">
        <v>77</v>
      </c>
      <c r="G359" s="30">
        <v>8</v>
      </c>
      <c r="H359" s="7"/>
      <c r="I359" s="7">
        <v>2</v>
      </c>
      <c r="J359" s="150">
        <v>4</v>
      </c>
      <c r="K359" s="9">
        <f t="shared" si="187"/>
        <v>14</v>
      </c>
      <c r="L359" s="30">
        <v>7</v>
      </c>
      <c r="M359" s="7"/>
      <c r="N359" s="7"/>
      <c r="O359" s="150">
        <v>4</v>
      </c>
      <c r="P359" s="9">
        <f t="shared" si="188"/>
        <v>11</v>
      </c>
      <c r="Q359" s="30">
        <v>25</v>
      </c>
      <c r="R359" s="7"/>
      <c r="S359" s="7">
        <v>9</v>
      </c>
      <c r="T359" s="150">
        <v>10</v>
      </c>
      <c r="U359" s="9">
        <f t="shared" si="189"/>
        <v>44</v>
      </c>
      <c r="V359" s="30">
        <v>10</v>
      </c>
      <c r="W359" s="7"/>
      <c r="X359" s="7">
        <v>3</v>
      </c>
      <c r="Y359" s="150">
        <v>10</v>
      </c>
      <c r="Z359" s="9">
        <f t="shared" si="190"/>
        <v>23</v>
      </c>
      <c r="AA359" s="30">
        <v>23</v>
      </c>
      <c r="AB359" s="7"/>
      <c r="AC359" s="7">
        <v>8</v>
      </c>
      <c r="AD359" s="150">
        <v>12</v>
      </c>
      <c r="AE359" s="9">
        <f t="shared" si="191"/>
        <v>43</v>
      </c>
      <c r="AF359" s="30">
        <v>5</v>
      </c>
      <c r="AG359" s="7"/>
      <c r="AH359" s="7">
        <v>4</v>
      </c>
      <c r="AI359" s="150">
        <v>2</v>
      </c>
      <c r="AJ359" s="9">
        <f t="shared" si="192"/>
        <v>11</v>
      </c>
      <c r="AK359" s="30">
        <v>6</v>
      </c>
      <c r="AL359" s="7"/>
      <c r="AM359" s="7">
        <v>4</v>
      </c>
      <c r="AN359" s="150">
        <v>4</v>
      </c>
      <c r="AO359" s="9">
        <f t="shared" si="193"/>
        <v>14</v>
      </c>
      <c r="AP359" s="30">
        <v>13</v>
      </c>
      <c r="AQ359" s="7"/>
      <c r="AR359" s="7">
        <v>6</v>
      </c>
      <c r="AS359" s="150">
        <v>2</v>
      </c>
      <c r="AT359" s="9">
        <f t="shared" si="194"/>
        <v>21</v>
      </c>
      <c r="AU359" s="30">
        <v>17</v>
      </c>
      <c r="AV359" s="7"/>
      <c r="AW359" s="7">
        <v>1</v>
      </c>
      <c r="AX359" s="150">
        <v>7</v>
      </c>
      <c r="AY359" s="9">
        <f t="shared" si="195"/>
        <v>25</v>
      </c>
      <c r="AZ359" s="30">
        <v>15</v>
      </c>
      <c r="BA359" s="7"/>
      <c r="BB359" s="7">
        <v>5</v>
      </c>
      <c r="BC359" s="150">
        <v>6</v>
      </c>
      <c r="BD359" s="9">
        <f t="shared" si="196"/>
        <v>26</v>
      </c>
      <c r="BE359" s="30">
        <v>2</v>
      </c>
      <c r="BF359" s="7"/>
      <c r="BG359" s="7">
        <v>1</v>
      </c>
      <c r="BH359" s="150">
        <v>2</v>
      </c>
      <c r="BI359" s="9">
        <f t="shared" si="197"/>
        <v>5</v>
      </c>
      <c r="BJ359" s="30"/>
      <c r="BK359" s="7"/>
      <c r="BL359" s="7"/>
      <c r="BM359" s="150"/>
      <c r="BN359" s="9">
        <f t="shared" si="198"/>
        <v>0</v>
      </c>
      <c r="BO359" s="65">
        <f>SUM(G359,L359,Q359,V359,AA359,AF359,AK359,AP359,AU359,AZ359,BE359,BJ359)</f>
        <v>131</v>
      </c>
      <c r="BP359" s="7">
        <f>SUM(H359,M359,R359,W359,AB359,AG359,AL359,AQ359,AV359,BA359,BF359,BK359)</f>
        <v>0</v>
      </c>
      <c r="BQ359" s="7">
        <f>SUM(I359,N359,S359,X359,AC359,AH359,AM359,AR359,AW359,BB359,BG359,BL359)</f>
        <v>43</v>
      </c>
      <c r="BR359" s="8">
        <f>SUM(J359,O359,T359,Y359,AD359,AI359,AN359,AS359,AX359,BC359,BH359,BM359)</f>
        <v>63</v>
      </c>
      <c r="BS359" s="31">
        <f t="shared" si="200"/>
        <v>237</v>
      </c>
    </row>
    <row r="360" spans="2:71" x14ac:dyDescent="0.3">
      <c r="B360" s="269"/>
      <c r="C360" s="215"/>
      <c r="D360" s="216"/>
      <c r="E360" s="220"/>
      <c r="F360" s="123" t="s">
        <v>83</v>
      </c>
      <c r="G360" s="34">
        <v>5</v>
      </c>
      <c r="H360" s="16"/>
      <c r="I360" s="16">
        <v>5</v>
      </c>
      <c r="J360" s="151">
        <v>1</v>
      </c>
      <c r="K360" s="18">
        <f t="shared" si="187"/>
        <v>11</v>
      </c>
      <c r="L360" s="34">
        <v>11</v>
      </c>
      <c r="M360" s="16"/>
      <c r="N360" s="16">
        <v>2</v>
      </c>
      <c r="O360" s="151">
        <v>3</v>
      </c>
      <c r="P360" s="18">
        <f t="shared" si="188"/>
        <v>16</v>
      </c>
      <c r="Q360" s="34">
        <v>23</v>
      </c>
      <c r="R360" s="16"/>
      <c r="S360" s="16">
        <v>12</v>
      </c>
      <c r="T360" s="151">
        <v>7</v>
      </c>
      <c r="U360" s="18">
        <f t="shared" si="189"/>
        <v>42</v>
      </c>
      <c r="V360" s="34">
        <v>17</v>
      </c>
      <c r="W360" s="16"/>
      <c r="X360" s="16">
        <v>13</v>
      </c>
      <c r="Y360" s="151">
        <v>4</v>
      </c>
      <c r="Z360" s="18">
        <f t="shared" si="190"/>
        <v>34</v>
      </c>
      <c r="AA360" s="34">
        <v>13</v>
      </c>
      <c r="AB360" s="16"/>
      <c r="AC360" s="16">
        <v>3</v>
      </c>
      <c r="AD360" s="151">
        <v>3</v>
      </c>
      <c r="AE360" s="18">
        <f t="shared" si="191"/>
        <v>19</v>
      </c>
      <c r="AF360" s="34">
        <v>11</v>
      </c>
      <c r="AG360" s="16"/>
      <c r="AH360" s="16">
        <v>6</v>
      </c>
      <c r="AI360" s="151">
        <v>1</v>
      </c>
      <c r="AJ360" s="18">
        <f t="shared" si="192"/>
        <v>18</v>
      </c>
      <c r="AK360" s="34">
        <v>5</v>
      </c>
      <c r="AL360" s="16"/>
      <c r="AM360" s="16">
        <v>2</v>
      </c>
      <c r="AN360" s="151">
        <v>1</v>
      </c>
      <c r="AO360" s="18">
        <f t="shared" si="193"/>
        <v>8</v>
      </c>
      <c r="AP360" s="34">
        <v>5</v>
      </c>
      <c r="AQ360" s="16"/>
      <c r="AR360" s="16">
        <v>1</v>
      </c>
      <c r="AS360" s="151">
        <v>2</v>
      </c>
      <c r="AT360" s="18">
        <f t="shared" si="194"/>
        <v>8</v>
      </c>
      <c r="AU360" s="34">
        <v>7</v>
      </c>
      <c r="AV360" s="16"/>
      <c r="AW360" s="16">
        <v>7</v>
      </c>
      <c r="AX360" s="151">
        <v>3</v>
      </c>
      <c r="AY360" s="18">
        <f t="shared" si="195"/>
        <v>17</v>
      </c>
      <c r="AZ360" s="34">
        <v>4</v>
      </c>
      <c r="BA360" s="16"/>
      <c r="BB360" s="16">
        <v>5</v>
      </c>
      <c r="BC360" s="151"/>
      <c r="BD360" s="18">
        <f t="shared" si="196"/>
        <v>9</v>
      </c>
      <c r="BE360" s="34">
        <v>11</v>
      </c>
      <c r="BF360" s="16"/>
      <c r="BG360" s="16">
        <v>3</v>
      </c>
      <c r="BH360" s="151">
        <v>2</v>
      </c>
      <c r="BI360" s="18">
        <f t="shared" si="197"/>
        <v>16</v>
      </c>
      <c r="BJ360" s="34"/>
      <c r="BK360" s="16"/>
      <c r="BL360" s="16"/>
      <c r="BM360" s="151"/>
      <c r="BN360" s="18">
        <f t="shared" si="198"/>
        <v>0</v>
      </c>
      <c r="BO360" s="70">
        <f>SUM(G360,L360,Q360,V360,AA360,AF360,AK360,AP360,AU360,AZ360,BE360,BJ360)</f>
        <v>112</v>
      </c>
      <c r="BP360" s="16">
        <f>SUM(H360,M360,R360,W360,AB360,AG360,AL360,AQ360,AV360,BA360,BF360,BK360)</f>
        <v>0</v>
      </c>
      <c r="BQ360" s="16">
        <f>SUM(I360,N360,S360,X360,AC360,AH360,AM360,AR360,AW360,BB360,BG360,BL360)</f>
        <v>59</v>
      </c>
      <c r="BR360" s="17">
        <f>SUM(J360,O360,T360,Y360,AD360,AI360,AN360,AS360,AX360,BC360,BH360,BM360)</f>
        <v>27</v>
      </c>
      <c r="BS360" s="35">
        <f t="shared" si="200"/>
        <v>198</v>
      </c>
    </row>
    <row r="361" spans="2:71" x14ac:dyDescent="0.3">
      <c r="B361" s="269"/>
      <c r="C361" s="215"/>
      <c r="D361" s="216"/>
      <c r="E361" s="219" t="s">
        <v>82</v>
      </c>
      <c r="F361" s="120" t="s">
        <v>77</v>
      </c>
      <c r="G361" s="30">
        <v>1</v>
      </c>
      <c r="H361" s="7"/>
      <c r="I361" s="7"/>
      <c r="J361" s="8"/>
      <c r="K361" s="9">
        <f t="shared" si="187"/>
        <v>1</v>
      </c>
      <c r="L361" s="30">
        <v>4</v>
      </c>
      <c r="M361" s="7"/>
      <c r="N361" s="7"/>
      <c r="O361" s="8"/>
      <c r="P361" s="9">
        <f t="shared" si="188"/>
        <v>4</v>
      </c>
      <c r="Q361" s="30">
        <v>11</v>
      </c>
      <c r="R361" s="7"/>
      <c r="S361" s="7">
        <v>2</v>
      </c>
      <c r="T361" s="8"/>
      <c r="U361" s="9">
        <f t="shared" si="189"/>
        <v>13</v>
      </c>
      <c r="V361" s="30">
        <v>13</v>
      </c>
      <c r="W361" s="7"/>
      <c r="X361" s="7">
        <v>2</v>
      </c>
      <c r="Y361" s="8"/>
      <c r="Z361" s="9">
        <f t="shared" si="190"/>
        <v>15</v>
      </c>
      <c r="AA361" s="30">
        <v>13</v>
      </c>
      <c r="AB361" s="7"/>
      <c r="AC361" s="7">
        <v>2</v>
      </c>
      <c r="AD361" s="8"/>
      <c r="AE361" s="9">
        <f t="shared" si="191"/>
        <v>15</v>
      </c>
      <c r="AF361" s="30">
        <v>10</v>
      </c>
      <c r="AG361" s="7"/>
      <c r="AH361" s="7">
        <v>1</v>
      </c>
      <c r="AI361" s="8"/>
      <c r="AJ361" s="9">
        <f t="shared" si="192"/>
        <v>11</v>
      </c>
      <c r="AK361" s="30">
        <v>4</v>
      </c>
      <c r="AL361" s="7"/>
      <c r="AM361" s="7"/>
      <c r="AN361" s="8"/>
      <c r="AO361" s="9">
        <f t="shared" si="193"/>
        <v>4</v>
      </c>
      <c r="AP361" s="30">
        <v>1</v>
      </c>
      <c r="AQ361" s="7"/>
      <c r="AR361" s="7"/>
      <c r="AS361" s="8"/>
      <c r="AT361" s="9">
        <f t="shared" si="194"/>
        <v>1</v>
      </c>
      <c r="AU361" s="30">
        <v>6</v>
      </c>
      <c r="AV361" s="7"/>
      <c r="AW361" s="7"/>
      <c r="AX361" s="8"/>
      <c r="AY361" s="9">
        <f t="shared" si="195"/>
        <v>6</v>
      </c>
      <c r="AZ361" s="30">
        <v>8</v>
      </c>
      <c r="BA361" s="7"/>
      <c r="BB361" s="7">
        <v>1</v>
      </c>
      <c r="BC361" s="8"/>
      <c r="BD361" s="9">
        <f t="shared" si="196"/>
        <v>9</v>
      </c>
      <c r="BE361" s="30"/>
      <c r="BF361" s="7"/>
      <c r="BG361" s="7"/>
      <c r="BH361" s="8"/>
      <c r="BI361" s="9">
        <f t="shared" si="197"/>
        <v>0</v>
      </c>
      <c r="BJ361" s="30"/>
      <c r="BK361" s="7"/>
      <c r="BL361" s="7"/>
      <c r="BM361" s="8"/>
      <c r="BN361" s="9">
        <f t="shared" si="198"/>
        <v>0</v>
      </c>
      <c r="BO361" s="65">
        <f>SUM(G361,L361,Q361,V361,AA361,AF361,AK361,AP361,AU361,AZ361,BE361,BJ361)</f>
        <v>71</v>
      </c>
      <c r="BP361" s="7">
        <f>SUM(H361,M361,R361,W361,AB361,AG361,AL361,AQ361,AV361,BA361,BF361,BK361)</f>
        <v>0</v>
      </c>
      <c r="BQ361" s="7">
        <f>SUM(I361,N361,S361,X361,AC361,AH361,AM361,AR361,AW361,BB361,BG361,BL361)</f>
        <v>8</v>
      </c>
      <c r="BR361" s="8">
        <f>SUM(J361,O361,T361,Y361,AD361,AI361,AN361,AS361,AX361,BC361,BH361,BM361)</f>
        <v>0</v>
      </c>
      <c r="BS361" s="31">
        <f t="shared" si="200"/>
        <v>79</v>
      </c>
    </row>
    <row r="362" spans="2:71" x14ac:dyDescent="0.3">
      <c r="B362" s="269"/>
      <c r="C362" s="215"/>
      <c r="D362" s="216"/>
      <c r="E362" s="220"/>
      <c r="F362" s="123" t="s">
        <v>83</v>
      </c>
      <c r="G362" s="34">
        <v>8</v>
      </c>
      <c r="H362" s="16"/>
      <c r="I362" s="16"/>
      <c r="J362" s="17"/>
      <c r="K362" s="18">
        <f t="shared" si="187"/>
        <v>8</v>
      </c>
      <c r="L362" s="34">
        <v>8</v>
      </c>
      <c r="M362" s="16"/>
      <c r="N362" s="16"/>
      <c r="O362" s="17"/>
      <c r="P362" s="18">
        <f t="shared" si="188"/>
        <v>8</v>
      </c>
      <c r="Q362" s="34">
        <v>23</v>
      </c>
      <c r="R362" s="16"/>
      <c r="S362" s="16"/>
      <c r="T362" s="17"/>
      <c r="U362" s="18">
        <f t="shared" si="189"/>
        <v>23</v>
      </c>
      <c r="V362" s="34">
        <v>30</v>
      </c>
      <c r="W362" s="16"/>
      <c r="X362" s="16">
        <v>4</v>
      </c>
      <c r="Y362" s="17"/>
      <c r="Z362" s="18">
        <f t="shared" si="190"/>
        <v>34</v>
      </c>
      <c r="AA362" s="34">
        <v>6</v>
      </c>
      <c r="AB362" s="16"/>
      <c r="AC362" s="16">
        <v>1</v>
      </c>
      <c r="AD362" s="17"/>
      <c r="AE362" s="18">
        <f t="shared" si="191"/>
        <v>7</v>
      </c>
      <c r="AF362" s="34">
        <v>6</v>
      </c>
      <c r="AG362" s="16"/>
      <c r="AH362" s="16"/>
      <c r="AI362" s="17"/>
      <c r="AJ362" s="18">
        <f t="shared" si="192"/>
        <v>6</v>
      </c>
      <c r="AK362" s="34">
        <v>3</v>
      </c>
      <c r="AL362" s="16"/>
      <c r="AM362" s="16"/>
      <c r="AN362" s="17"/>
      <c r="AO362" s="18">
        <f t="shared" si="193"/>
        <v>3</v>
      </c>
      <c r="AP362" s="34">
        <v>5</v>
      </c>
      <c r="AQ362" s="16"/>
      <c r="AR362" s="16"/>
      <c r="AS362" s="17"/>
      <c r="AT362" s="18">
        <f t="shared" si="194"/>
        <v>5</v>
      </c>
      <c r="AU362" s="34">
        <v>17</v>
      </c>
      <c r="AV362" s="16"/>
      <c r="AW362" s="16">
        <v>1</v>
      </c>
      <c r="AX362" s="17"/>
      <c r="AY362" s="18">
        <f t="shared" si="195"/>
        <v>18</v>
      </c>
      <c r="AZ362" s="34">
        <v>14</v>
      </c>
      <c r="BA362" s="16"/>
      <c r="BB362" s="16"/>
      <c r="BC362" s="17"/>
      <c r="BD362" s="18">
        <f t="shared" si="196"/>
        <v>14</v>
      </c>
      <c r="BE362" s="34">
        <v>7</v>
      </c>
      <c r="BF362" s="16"/>
      <c r="BG362" s="16"/>
      <c r="BH362" s="17"/>
      <c r="BI362" s="18">
        <f t="shared" si="197"/>
        <v>7</v>
      </c>
      <c r="BJ362" s="34"/>
      <c r="BK362" s="16"/>
      <c r="BL362" s="16"/>
      <c r="BM362" s="17"/>
      <c r="BN362" s="18">
        <f t="shared" si="198"/>
        <v>0</v>
      </c>
      <c r="BO362" s="70">
        <f>SUM(G362,L362,Q362,V362,AA362,AF362,AK362,AP362,AU362,AZ362,BE362,BJ362)</f>
        <v>127</v>
      </c>
      <c r="BP362" s="16">
        <f>SUM(H362,M362,R362,W362,AB362,AG362,AL362,AQ362,AV362,BA362,BF362,BK362)</f>
        <v>0</v>
      </c>
      <c r="BQ362" s="16">
        <f>SUM(I362,N362,S362,X362,AC362,AH362,AM362,AR362,AW362,BB362,BG362,BL362)</f>
        <v>6</v>
      </c>
      <c r="BR362" s="17">
        <f>SUM(J362,O362,T362,Y362,AD362,AI362,AN362,AS362,AX362,BC362,BH362,BM362)</f>
        <v>0</v>
      </c>
      <c r="BS362" s="35">
        <f t="shared" si="200"/>
        <v>133</v>
      </c>
    </row>
    <row r="363" spans="2:71" x14ac:dyDescent="0.3">
      <c r="B363" s="269"/>
      <c r="C363" s="215"/>
      <c r="D363" s="216"/>
      <c r="E363" s="220"/>
      <c r="F363" s="123" t="s">
        <v>354</v>
      </c>
      <c r="G363" s="34"/>
      <c r="H363" s="16"/>
      <c r="I363" s="16"/>
      <c r="J363" s="17"/>
      <c r="K363" s="18">
        <f t="shared" si="187"/>
        <v>0</v>
      </c>
      <c r="L363" s="34"/>
      <c r="M363" s="16"/>
      <c r="N363" s="16"/>
      <c r="O363" s="17"/>
      <c r="P363" s="18">
        <f t="shared" si="188"/>
        <v>0</v>
      </c>
      <c r="Q363" s="34"/>
      <c r="R363" s="16"/>
      <c r="S363" s="16"/>
      <c r="T363" s="17"/>
      <c r="U363" s="18">
        <f t="shared" si="189"/>
        <v>0</v>
      </c>
      <c r="V363" s="34"/>
      <c r="W363" s="16"/>
      <c r="X363" s="16"/>
      <c r="Y363" s="17"/>
      <c r="Z363" s="18">
        <f t="shared" si="190"/>
        <v>0</v>
      </c>
      <c r="AA363" s="34"/>
      <c r="AB363" s="16"/>
      <c r="AC363" s="16"/>
      <c r="AD363" s="17"/>
      <c r="AE363" s="18">
        <f t="shared" si="191"/>
        <v>0</v>
      </c>
      <c r="AF363" s="34"/>
      <c r="AG363" s="16"/>
      <c r="AH363" s="16"/>
      <c r="AI363" s="17"/>
      <c r="AJ363" s="18">
        <f t="shared" si="192"/>
        <v>0</v>
      </c>
      <c r="AK363" s="34">
        <v>30</v>
      </c>
      <c r="AL363" s="16"/>
      <c r="AM363" s="16"/>
      <c r="AN363" s="17"/>
      <c r="AO363" s="18">
        <f t="shared" si="193"/>
        <v>30</v>
      </c>
      <c r="AP363" s="34"/>
      <c r="AQ363" s="16"/>
      <c r="AR363" s="16"/>
      <c r="AS363" s="17"/>
      <c r="AT363" s="18">
        <f t="shared" si="194"/>
        <v>0</v>
      </c>
      <c r="AU363" s="34"/>
      <c r="AV363" s="16"/>
      <c r="AW363" s="16"/>
      <c r="AX363" s="17"/>
      <c r="AY363" s="18">
        <f t="shared" si="195"/>
        <v>0</v>
      </c>
      <c r="AZ363" s="34"/>
      <c r="BA363" s="16"/>
      <c r="BB363" s="16"/>
      <c r="BC363" s="17"/>
      <c r="BD363" s="18">
        <f t="shared" si="196"/>
        <v>0</v>
      </c>
      <c r="BE363" s="34"/>
      <c r="BF363" s="16"/>
      <c r="BG363" s="16"/>
      <c r="BH363" s="17"/>
      <c r="BI363" s="18">
        <f t="shared" si="197"/>
        <v>0</v>
      </c>
      <c r="BJ363" s="34"/>
      <c r="BK363" s="16"/>
      <c r="BL363" s="16"/>
      <c r="BM363" s="17"/>
      <c r="BN363" s="18">
        <f t="shared" si="198"/>
        <v>0</v>
      </c>
      <c r="BO363" s="70">
        <f>SUM(G363,L363,Q363,V363,AA363,AF363,AK363,AP363,AU363,AZ363,BE363,BJ363)</f>
        <v>30</v>
      </c>
      <c r="BP363" s="16">
        <f>SUM(H363,M363,R363,W363,AB363,AG363,AL363,AQ363,AV363,BA363,BF363,BK363)</f>
        <v>0</v>
      </c>
      <c r="BQ363" s="16">
        <f>SUM(I363,N363,S363,X363,AC363,AH363,AM363,AR363,AW363,BB363,BG363,BL363)</f>
        <v>0</v>
      </c>
      <c r="BR363" s="17">
        <f>SUM(J363,O363,T363,Y363,AD363,AI363,AN363,AS363,AX363,BC363,BH363,BM363)</f>
        <v>0</v>
      </c>
      <c r="BS363" s="35">
        <f t="shared" si="200"/>
        <v>30</v>
      </c>
    </row>
    <row r="364" spans="2:71" x14ac:dyDescent="0.3">
      <c r="B364" s="269"/>
      <c r="C364" s="215"/>
      <c r="D364" s="216"/>
      <c r="E364" s="219" t="s">
        <v>86</v>
      </c>
      <c r="F364" s="120" t="s">
        <v>770</v>
      </c>
      <c r="G364" s="30">
        <v>162</v>
      </c>
      <c r="H364" s="7"/>
      <c r="I364" s="7"/>
      <c r="J364" s="8"/>
      <c r="K364" s="9">
        <f t="shared" si="187"/>
        <v>162</v>
      </c>
      <c r="L364" s="30">
        <v>130</v>
      </c>
      <c r="M364" s="7"/>
      <c r="N364" s="7"/>
      <c r="O364" s="8"/>
      <c r="P364" s="9">
        <f t="shared" si="188"/>
        <v>130</v>
      </c>
      <c r="Q364" s="30">
        <v>119</v>
      </c>
      <c r="R364" s="7"/>
      <c r="S364" s="7"/>
      <c r="T364" s="8"/>
      <c r="U364" s="9">
        <f t="shared" si="189"/>
        <v>119</v>
      </c>
      <c r="V364" s="30"/>
      <c r="W364" s="7"/>
      <c r="X364" s="7"/>
      <c r="Y364" s="8"/>
      <c r="Z364" s="9">
        <f t="shared" si="190"/>
        <v>0</v>
      </c>
      <c r="AA364" s="30">
        <v>440</v>
      </c>
      <c r="AB364" s="7"/>
      <c r="AC364" s="7">
        <v>372</v>
      </c>
      <c r="AD364" s="8"/>
      <c r="AE364" s="9">
        <f t="shared" si="191"/>
        <v>812</v>
      </c>
      <c r="AF364" s="30">
        <v>331</v>
      </c>
      <c r="AG364" s="7"/>
      <c r="AH364" s="7">
        <v>260</v>
      </c>
      <c r="AI364" s="8"/>
      <c r="AJ364" s="9">
        <f t="shared" si="192"/>
        <v>591</v>
      </c>
      <c r="AK364" s="30">
        <v>163</v>
      </c>
      <c r="AL364" s="7"/>
      <c r="AM364" s="7">
        <v>142</v>
      </c>
      <c r="AN364" s="8"/>
      <c r="AO364" s="9">
        <f t="shared" si="193"/>
        <v>305</v>
      </c>
      <c r="AP364" s="30">
        <v>141</v>
      </c>
      <c r="AQ364" s="7"/>
      <c r="AR364" s="7">
        <v>121</v>
      </c>
      <c r="AS364" s="8"/>
      <c r="AT364" s="9">
        <f t="shared" si="194"/>
        <v>262</v>
      </c>
      <c r="AU364" s="30">
        <v>78</v>
      </c>
      <c r="AV364" s="7"/>
      <c r="AW364" s="7">
        <v>66</v>
      </c>
      <c r="AX364" s="8"/>
      <c r="AY364" s="9">
        <f t="shared" si="195"/>
        <v>144</v>
      </c>
      <c r="AZ364" s="30">
        <v>33</v>
      </c>
      <c r="BA364" s="7"/>
      <c r="BB364" s="7">
        <v>32</v>
      </c>
      <c r="BC364" s="8"/>
      <c r="BD364" s="9">
        <f t="shared" si="196"/>
        <v>65</v>
      </c>
      <c r="BE364" s="30">
        <v>43</v>
      </c>
      <c r="BF364" s="7"/>
      <c r="BG364" s="7">
        <v>36</v>
      </c>
      <c r="BH364" s="8"/>
      <c r="BI364" s="9">
        <f t="shared" si="197"/>
        <v>79</v>
      </c>
      <c r="BJ364" s="30"/>
      <c r="BK364" s="7"/>
      <c r="BL364" s="7"/>
      <c r="BM364" s="8"/>
      <c r="BN364" s="9">
        <f t="shared" si="198"/>
        <v>0</v>
      </c>
      <c r="BO364" s="65">
        <f>SUM(G364,L364,Q364,V364,AA364,AF364,AK364,AP364,AU364,AZ364,BE364,BJ364)</f>
        <v>1640</v>
      </c>
      <c r="BP364" s="7">
        <f>SUM(H364,M364,R364,W364,AB364,AG364,AL364,AQ364,AV364,BA364,BF364,BK364)</f>
        <v>0</v>
      </c>
      <c r="BQ364" s="7">
        <f>SUM(I364,N364,S364,X364,AC364,AH364,AM364,AR364,AW364,BB364,BG364,BL364)</f>
        <v>1029</v>
      </c>
      <c r="BR364" s="8">
        <f>SUM(J364,O364,T364,Y364,AD364,AI364,AN364,AS364,AX364,BC364,BH364,BM364)</f>
        <v>0</v>
      </c>
      <c r="BS364" s="31">
        <f t="shared" si="200"/>
        <v>2669</v>
      </c>
    </row>
    <row r="365" spans="2:71" x14ac:dyDescent="0.3">
      <c r="B365" s="269"/>
      <c r="C365" s="215"/>
      <c r="D365" s="216"/>
      <c r="E365" s="235"/>
      <c r="F365" s="121" t="s">
        <v>771</v>
      </c>
      <c r="G365" s="32">
        <v>7</v>
      </c>
      <c r="H365" s="13"/>
      <c r="I365" s="13"/>
      <c r="J365" s="14"/>
      <c r="K365" s="15">
        <f t="shared" si="187"/>
        <v>7</v>
      </c>
      <c r="L365" s="32"/>
      <c r="M365" s="13"/>
      <c r="N365" s="13"/>
      <c r="O365" s="14"/>
      <c r="P365" s="15">
        <f t="shared" si="188"/>
        <v>0</v>
      </c>
      <c r="Q365" s="32"/>
      <c r="R365" s="13"/>
      <c r="S365" s="13"/>
      <c r="T365" s="14"/>
      <c r="U365" s="15">
        <f t="shared" si="189"/>
        <v>0</v>
      </c>
      <c r="V365" s="32">
        <v>8</v>
      </c>
      <c r="W365" s="13"/>
      <c r="X365" s="13">
        <v>6</v>
      </c>
      <c r="Y365" s="14"/>
      <c r="Z365" s="15">
        <f t="shared" si="190"/>
        <v>14</v>
      </c>
      <c r="AA365" s="32">
        <v>112</v>
      </c>
      <c r="AB365" s="13"/>
      <c r="AC365" s="13">
        <v>94</v>
      </c>
      <c r="AD365" s="14"/>
      <c r="AE365" s="15">
        <f t="shared" si="191"/>
        <v>206</v>
      </c>
      <c r="AF365" s="32">
        <v>136</v>
      </c>
      <c r="AG365" s="13"/>
      <c r="AH365" s="13">
        <v>103</v>
      </c>
      <c r="AI365" s="14"/>
      <c r="AJ365" s="15">
        <f t="shared" si="192"/>
        <v>239</v>
      </c>
      <c r="AK365" s="32">
        <v>59</v>
      </c>
      <c r="AL365" s="13"/>
      <c r="AM365" s="13">
        <v>49</v>
      </c>
      <c r="AN365" s="14"/>
      <c r="AO365" s="15">
        <f t="shared" si="193"/>
        <v>108</v>
      </c>
      <c r="AP365" s="32">
        <v>46</v>
      </c>
      <c r="AQ365" s="13"/>
      <c r="AR365" s="13">
        <v>40</v>
      </c>
      <c r="AS365" s="14"/>
      <c r="AT365" s="15">
        <f t="shared" si="194"/>
        <v>86</v>
      </c>
      <c r="AU365" s="32">
        <v>65</v>
      </c>
      <c r="AV365" s="13"/>
      <c r="AW365" s="13">
        <v>54</v>
      </c>
      <c r="AX365" s="14"/>
      <c r="AY365" s="15">
        <f t="shared" si="195"/>
        <v>119</v>
      </c>
      <c r="AZ365" s="32">
        <v>62</v>
      </c>
      <c r="BA365" s="13"/>
      <c r="BB365" s="13">
        <v>55</v>
      </c>
      <c r="BC365" s="14"/>
      <c r="BD365" s="15">
        <f t="shared" si="196"/>
        <v>117</v>
      </c>
      <c r="BE365" s="32">
        <v>3</v>
      </c>
      <c r="BF365" s="13"/>
      <c r="BG365" s="13">
        <v>6</v>
      </c>
      <c r="BH365" s="14"/>
      <c r="BI365" s="15">
        <f t="shared" si="197"/>
        <v>9</v>
      </c>
      <c r="BJ365" s="32"/>
      <c r="BK365" s="13"/>
      <c r="BL365" s="13"/>
      <c r="BM365" s="14"/>
      <c r="BN365" s="15">
        <f t="shared" si="198"/>
        <v>0</v>
      </c>
      <c r="BO365" s="66">
        <f>SUM(G365,L365,Q365,V365,AA365,AF365,AK365,AP365,AU365,AZ365,BE365,BJ365)</f>
        <v>498</v>
      </c>
      <c r="BP365" s="13">
        <f>SUM(H365,M365,R365,W365,AB365,AG365,AL365,AQ365,AV365,BA365,BF365,BK365)</f>
        <v>0</v>
      </c>
      <c r="BQ365" s="13">
        <f>SUM(I365,N365,S365,X365,AC365,AH365,AM365,AR365,AW365,BB365,BG365,BL365)</f>
        <v>407</v>
      </c>
      <c r="BR365" s="14">
        <f>SUM(J365,O365,T365,Y365,AD365,AI365,AN365,AS365,AX365,BC365,BH365,BM365)</f>
        <v>0</v>
      </c>
      <c r="BS365" s="33">
        <f t="shared" si="200"/>
        <v>905</v>
      </c>
    </row>
    <row r="366" spans="2:71" x14ac:dyDescent="0.3">
      <c r="B366" s="269"/>
      <c r="C366" s="215"/>
      <c r="D366" s="216"/>
      <c r="E366" s="235"/>
      <c r="F366" s="121" t="s">
        <v>772</v>
      </c>
      <c r="G366" s="32"/>
      <c r="H366" s="13"/>
      <c r="I366" s="13"/>
      <c r="J366" s="14"/>
      <c r="K366" s="15">
        <f t="shared" si="187"/>
        <v>0</v>
      </c>
      <c r="L366" s="32"/>
      <c r="M366" s="13"/>
      <c r="N366" s="13"/>
      <c r="O366" s="14"/>
      <c r="P366" s="15">
        <f t="shared" si="188"/>
        <v>0</v>
      </c>
      <c r="Q366" s="32"/>
      <c r="R366" s="13"/>
      <c r="S366" s="13"/>
      <c r="T366" s="14"/>
      <c r="U366" s="15">
        <f t="shared" si="189"/>
        <v>0</v>
      </c>
      <c r="V366" s="32"/>
      <c r="W366" s="13"/>
      <c r="X366" s="13"/>
      <c r="Y366" s="14"/>
      <c r="Z366" s="15">
        <f t="shared" si="190"/>
        <v>0</v>
      </c>
      <c r="AA366" s="32"/>
      <c r="AB366" s="13"/>
      <c r="AC366" s="13"/>
      <c r="AD366" s="14"/>
      <c r="AE366" s="15">
        <f t="shared" si="191"/>
        <v>0</v>
      </c>
      <c r="AF366" s="32"/>
      <c r="AG366" s="13"/>
      <c r="AH366" s="13"/>
      <c r="AI366" s="14"/>
      <c r="AJ366" s="15">
        <f t="shared" si="192"/>
        <v>0</v>
      </c>
      <c r="AK366" s="32"/>
      <c r="AL366" s="13"/>
      <c r="AM366" s="13"/>
      <c r="AN366" s="14"/>
      <c r="AO366" s="15">
        <f t="shared" si="193"/>
        <v>0</v>
      </c>
      <c r="AP366" s="32"/>
      <c r="AQ366" s="13"/>
      <c r="AR366" s="13"/>
      <c r="AS366" s="14"/>
      <c r="AT366" s="15">
        <f t="shared" si="194"/>
        <v>0</v>
      </c>
      <c r="AU366" s="32"/>
      <c r="AV366" s="13"/>
      <c r="AW366" s="13"/>
      <c r="AX366" s="14"/>
      <c r="AY366" s="15">
        <f t="shared" si="195"/>
        <v>0</v>
      </c>
      <c r="AZ366" s="32"/>
      <c r="BA366" s="13"/>
      <c r="BB366" s="13"/>
      <c r="BC366" s="14"/>
      <c r="BD366" s="15">
        <f t="shared" si="196"/>
        <v>0</v>
      </c>
      <c r="BE366" s="32">
        <v>106</v>
      </c>
      <c r="BF366" s="13"/>
      <c r="BG366" s="13">
        <v>95</v>
      </c>
      <c r="BH366" s="14"/>
      <c r="BI366" s="15">
        <f t="shared" si="197"/>
        <v>201</v>
      </c>
      <c r="BJ366" s="32">
        <v>32</v>
      </c>
      <c r="BK366" s="13"/>
      <c r="BL366" s="13">
        <v>33</v>
      </c>
      <c r="BM366" s="14"/>
      <c r="BN366" s="15">
        <f t="shared" si="198"/>
        <v>65</v>
      </c>
      <c r="BO366" s="66">
        <f>SUM(G366,L366,Q366,V366,AA366,AF366,AK366,AP366,AU366,AZ366,BE366,BJ366)</f>
        <v>138</v>
      </c>
      <c r="BP366" s="13">
        <f>SUM(H366,M366,R366,W366,AB366,AG366,AL366,AQ366,AV366,BA366,BF366,BK366)</f>
        <v>0</v>
      </c>
      <c r="BQ366" s="13">
        <f>SUM(I366,N366,S366,X366,AC366,AH366,AM366,AR366,AW366,BB366,BG366,BL366)</f>
        <v>128</v>
      </c>
      <c r="BR366" s="14">
        <f>SUM(J366,O366,T366,Y366,AD366,AI366,AN366,AS366,AX366,BC366,BH366,BM366)</f>
        <v>0</v>
      </c>
      <c r="BS366" s="33">
        <f t="shared" si="200"/>
        <v>266</v>
      </c>
    </row>
    <row r="367" spans="2:71" x14ac:dyDescent="0.3">
      <c r="B367" s="269"/>
      <c r="C367" s="215"/>
      <c r="D367" s="216"/>
      <c r="E367" s="235"/>
      <c r="F367" s="121" t="s">
        <v>773</v>
      </c>
      <c r="G367" s="32"/>
      <c r="H367" s="13"/>
      <c r="I367" s="13"/>
      <c r="J367" s="14"/>
      <c r="K367" s="15">
        <f t="shared" si="187"/>
        <v>0</v>
      </c>
      <c r="L367" s="32"/>
      <c r="M367" s="13"/>
      <c r="N367" s="13"/>
      <c r="O367" s="14"/>
      <c r="P367" s="15">
        <f t="shared" si="188"/>
        <v>0</v>
      </c>
      <c r="Q367" s="32"/>
      <c r="R367" s="13"/>
      <c r="S367" s="13"/>
      <c r="T367" s="14"/>
      <c r="U367" s="15">
        <f t="shared" si="189"/>
        <v>0</v>
      </c>
      <c r="V367" s="32"/>
      <c r="W367" s="13"/>
      <c r="X367" s="13"/>
      <c r="Y367" s="14"/>
      <c r="Z367" s="15">
        <f t="shared" si="190"/>
        <v>0</v>
      </c>
      <c r="AA367" s="32"/>
      <c r="AB367" s="13"/>
      <c r="AC367" s="13"/>
      <c r="AD367" s="14"/>
      <c r="AE367" s="15">
        <f t="shared" si="191"/>
        <v>0</v>
      </c>
      <c r="AF367" s="32"/>
      <c r="AG367" s="13"/>
      <c r="AH367" s="13"/>
      <c r="AI367" s="14"/>
      <c r="AJ367" s="15">
        <f t="shared" si="192"/>
        <v>0</v>
      </c>
      <c r="AK367" s="32"/>
      <c r="AL367" s="13"/>
      <c r="AM367" s="13"/>
      <c r="AN367" s="14"/>
      <c r="AO367" s="15">
        <f t="shared" si="193"/>
        <v>0</v>
      </c>
      <c r="AP367" s="32"/>
      <c r="AQ367" s="13"/>
      <c r="AR367" s="13"/>
      <c r="AS367" s="14"/>
      <c r="AT367" s="15">
        <f t="shared" si="194"/>
        <v>0</v>
      </c>
      <c r="AU367" s="32"/>
      <c r="AV367" s="13"/>
      <c r="AW367" s="13"/>
      <c r="AX367" s="14"/>
      <c r="AY367" s="15">
        <f t="shared" si="195"/>
        <v>0</v>
      </c>
      <c r="AZ367" s="32"/>
      <c r="BA367" s="13"/>
      <c r="BB367" s="13"/>
      <c r="BC367" s="14"/>
      <c r="BD367" s="15">
        <f t="shared" si="196"/>
        <v>0</v>
      </c>
      <c r="BE367" s="32">
        <v>26</v>
      </c>
      <c r="BF367" s="13"/>
      <c r="BG367" s="13">
        <v>16</v>
      </c>
      <c r="BH367" s="14"/>
      <c r="BI367" s="15">
        <f t="shared" si="197"/>
        <v>42</v>
      </c>
      <c r="BJ367" s="32">
        <v>12</v>
      </c>
      <c r="BK367" s="13"/>
      <c r="BL367" s="13">
        <v>9</v>
      </c>
      <c r="BM367" s="14"/>
      <c r="BN367" s="15">
        <f t="shared" si="198"/>
        <v>21</v>
      </c>
      <c r="BO367" s="66">
        <f>SUM(G367,L367,Q367,V367,AA367,AF367,AK367,AP367,AU367,AZ367,BE367,BJ367)</f>
        <v>38</v>
      </c>
      <c r="BP367" s="13">
        <f>SUM(H367,M367,R367,W367,AB367,AG367,AL367,AQ367,AV367,BA367,BF367,BK367)</f>
        <v>0</v>
      </c>
      <c r="BQ367" s="13">
        <f>SUM(I367,N367,S367,X367,AC367,AH367,AM367,AR367,AW367,BB367,BG367,BL367)</f>
        <v>25</v>
      </c>
      <c r="BR367" s="14">
        <f>SUM(J367,O367,T367,Y367,AD367,AI367,AN367,AS367,AX367,BC367,BH367,BM367)</f>
        <v>0</v>
      </c>
      <c r="BS367" s="33">
        <f t="shared" si="200"/>
        <v>63</v>
      </c>
    </row>
    <row r="368" spans="2:71" x14ac:dyDescent="0.3">
      <c r="B368" s="269"/>
      <c r="C368" s="217"/>
      <c r="D368" s="218"/>
      <c r="E368" s="238" t="s">
        <v>4</v>
      </c>
      <c r="F368" s="252"/>
      <c r="G368" s="40">
        <f>SUM(G331:G367)</f>
        <v>1308</v>
      </c>
      <c r="H368" s="22">
        <f>SUM(H331:H367)</f>
        <v>0</v>
      </c>
      <c r="I368" s="22">
        <f>SUM(I331:I367)</f>
        <v>806</v>
      </c>
      <c r="J368" s="23">
        <f>SUM(J331:J367)</f>
        <v>44</v>
      </c>
      <c r="K368" s="24">
        <f t="shared" si="187"/>
        <v>2158</v>
      </c>
      <c r="L368" s="40">
        <f>SUM(L331:L367)</f>
        <v>871</v>
      </c>
      <c r="M368" s="22">
        <f>SUM(M331:M367)</f>
        <v>0</v>
      </c>
      <c r="N368" s="22">
        <f>SUM(N331:N367)</f>
        <v>521</v>
      </c>
      <c r="O368" s="23">
        <f>SUM(O331:O367)</f>
        <v>45</v>
      </c>
      <c r="P368" s="24">
        <f t="shared" si="188"/>
        <v>1437</v>
      </c>
      <c r="Q368" s="40">
        <f>SUM(Q331:Q367)</f>
        <v>1645</v>
      </c>
      <c r="R368" s="22">
        <f>SUM(R331:R367)</f>
        <v>0</v>
      </c>
      <c r="S368" s="22">
        <f>SUM(S331:S367)</f>
        <v>982</v>
      </c>
      <c r="T368" s="23">
        <f>SUM(T331:T367)</f>
        <v>84</v>
      </c>
      <c r="U368" s="24">
        <f t="shared" si="189"/>
        <v>2711</v>
      </c>
      <c r="V368" s="40">
        <f>SUM(V331:V367)</f>
        <v>2988</v>
      </c>
      <c r="W368" s="22">
        <f>SUM(W331:W367)</f>
        <v>0</v>
      </c>
      <c r="X368" s="22">
        <f>SUM(X331:X367)</f>
        <v>1790</v>
      </c>
      <c r="Y368" s="23">
        <f>SUM(Y331:Y367)</f>
        <v>445</v>
      </c>
      <c r="Z368" s="24">
        <f t="shared" si="190"/>
        <v>5223</v>
      </c>
      <c r="AA368" s="40">
        <f>SUM(AA331:AA367)</f>
        <v>1932</v>
      </c>
      <c r="AB368" s="22">
        <f>SUM(AB331:AB367)</f>
        <v>0</v>
      </c>
      <c r="AC368" s="22">
        <f>SUM(AC331:AC367)</f>
        <v>1471</v>
      </c>
      <c r="AD368" s="23">
        <f>SUM(AD331:AD367)</f>
        <v>55</v>
      </c>
      <c r="AE368" s="24">
        <f t="shared" si="191"/>
        <v>3458</v>
      </c>
      <c r="AF368" s="40">
        <f>SUM(AF331:AF367)</f>
        <v>1645</v>
      </c>
      <c r="AG368" s="22">
        <f>SUM(AG331:AG367)</f>
        <v>0</v>
      </c>
      <c r="AH368" s="22">
        <f>SUM(AH331:AH367)</f>
        <v>1218</v>
      </c>
      <c r="AI368" s="23">
        <f>SUM(AI331:AI367)</f>
        <v>43</v>
      </c>
      <c r="AJ368" s="24">
        <f t="shared" si="192"/>
        <v>2906</v>
      </c>
      <c r="AK368" s="40">
        <f>SUM(AK331:AK367)</f>
        <v>980</v>
      </c>
      <c r="AL368" s="22">
        <f>SUM(AL331:AL367)</f>
        <v>0</v>
      </c>
      <c r="AM368" s="22">
        <f>SUM(AM331:AM367)</f>
        <v>753</v>
      </c>
      <c r="AN368" s="23">
        <f>SUM(AN331:AN367)</f>
        <v>30</v>
      </c>
      <c r="AO368" s="24">
        <f t="shared" si="193"/>
        <v>1763</v>
      </c>
      <c r="AP368" s="40">
        <f>SUM(AP331:AP367)</f>
        <v>1123</v>
      </c>
      <c r="AQ368" s="22">
        <f>SUM(AQ331:AQ367)</f>
        <v>0</v>
      </c>
      <c r="AR368" s="22">
        <f>SUM(AR331:AR367)</f>
        <v>784</v>
      </c>
      <c r="AS368" s="23">
        <f>SUM(AS331:AS367)</f>
        <v>37</v>
      </c>
      <c r="AT368" s="24">
        <f t="shared" si="194"/>
        <v>1944</v>
      </c>
      <c r="AU368" s="40">
        <f>SUM(AU331:AU367)</f>
        <v>2050</v>
      </c>
      <c r="AV368" s="22">
        <f>SUM(AV331:AV367)</f>
        <v>0</v>
      </c>
      <c r="AW368" s="22">
        <f>SUM(AW331:AW367)</f>
        <v>1140</v>
      </c>
      <c r="AX368" s="23">
        <f>SUM(AX331:AX367)</f>
        <v>304</v>
      </c>
      <c r="AY368" s="24">
        <f t="shared" si="195"/>
        <v>3494</v>
      </c>
      <c r="AZ368" s="40">
        <f>SUM(AZ331:AZ367)</f>
        <v>1043</v>
      </c>
      <c r="BA368" s="22">
        <f>SUM(BA331:BA367)</f>
        <v>0</v>
      </c>
      <c r="BB368" s="22">
        <f>SUM(BB331:BB367)</f>
        <v>694</v>
      </c>
      <c r="BC368" s="23">
        <f>SUM(BC331:BC367)</f>
        <v>41</v>
      </c>
      <c r="BD368" s="24">
        <f t="shared" si="196"/>
        <v>1778</v>
      </c>
      <c r="BE368" s="40">
        <f>SUM(BE331:BE367)</f>
        <v>812</v>
      </c>
      <c r="BF368" s="22">
        <f>SUM(BF331:BF367)</f>
        <v>0</v>
      </c>
      <c r="BG368" s="22">
        <f>SUM(BG331:BG367)</f>
        <v>566</v>
      </c>
      <c r="BH368" s="23">
        <f>SUM(BH331:BH367)</f>
        <v>27</v>
      </c>
      <c r="BI368" s="24">
        <f t="shared" si="197"/>
        <v>1405</v>
      </c>
      <c r="BJ368" s="40">
        <f>SUM(BJ331:BJ367)</f>
        <v>360</v>
      </c>
      <c r="BK368" s="22">
        <f>SUM(BK331:BK367)</f>
        <v>0</v>
      </c>
      <c r="BL368" s="22">
        <f>SUM(BL331:BL367)</f>
        <v>279</v>
      </c>
      <c r="BM368" s="23">
        <f>SUM(BM331:BM367)</f>
        <v>18</v>
      </c>
      <c r="BN368" s="24">
        <f t="shared" si="198"/>
        <v>657</v>
      </c>
      <c r="BO368" s="68">
        <f>SUM(BO331:BO367)</f>
        <v>16757</v>
      </c>
      <c r="BP368" s="22">
        <f>SUM(BP331:BP367)</f>
        <v>0</v>
      </c>
      <c r="BQ368" s="22">
        <f>SUM(BQ331:BQ367)</f>
        <v>11004</v>
      </c>
      <c r="BR368" s="23">
        <f>SUM(BR331:BR367)</f>
        <v>1173</v>
      </c>
      <c r="BS368" s="41">
        <f t="shared" si="200"/>
        <v>28934</v>
      </c>
    </row>
    <row r="369" spans="2:71" s="75" customFormat="1" ht="22.5" customHeight="1" thickBot="1" x14ac:dyDescent="0.35">
      <c r="B369" s="270"/>
      <c r="C369" s="259" t="s">
        <v>22</v>
      </c>
      <c r="D369" s="259"/>
      <c r="E369" s="259"/>
      <c r="F369" s="260"/>
      <c r="G369" s="76">
        <f>SUM(G8,G148,G181,G279,G330,G368)</f>
        <v>25400</v>
      </c>
      <c r="H369" s="77">
        <f>SUM(H8,H148,H181,H279,H330,H368)</f>
        <v>1040</v>
      </c>
      <c r="I369" s="77">
        <f>SUM(I8,I148,I181,I279,I330,I368)</f>
        <v>6230</v>
      </c>
      <c r="J369" s="78">
        <f>SUM(J8,J148,J181,J279,J330,J368)</f>
        <v>44</v>
      </c>
      <c r="K369" s="79">
        <f t="shared" si="187"/>
        <v>32714</v>
      </c>
      <c r="L369" s="76">
        <f>SUM(L8,L148,L181,L279,L330,L368)</f>
        <v>23344</v>
      </c>
      <c r="M369" s="77">
        <f>SUM(M8,M148,M181,M279,M330,M368)</f>
        <v>1918</v>
      </c>
      <c r="N369" s="77">
        <f>SUM(N8,N148,N181,N279,N330,N368)</f>
        <v>6272</v>
      </c>
      <c r="O369" s="78">
        <f>SUM(O8,O148,O181,O279,O330,O368)</f>
        <v>45</v>
      </c>
      <c r="P369" s="79">
        <f t="shared" si="188"/>
        <v>31579</v>
      </c>
      <c r="Q369" s="76">
        <f>SUM(Q8,Q148,Q181,Q279,Q330,Q368)</f>
        <v>27815</v>
      </c>
      <c r="R369" s="77">
        <f>SUM(R8,R148,R181,R279,R330,R368)</f>
        <v>753</v>
      </c>
      <c r="S369" s="77">
        <f>SUM(S8,S148,S181,S279,S330,S368)</f>
        <v>7636</v>
      </c>
      <c r="T369" s="78">
        <f>SUM(T8,T148,T181,T279,T330,T368)</f>
        <v>84</v>
      </c>
      <c r="U369" s="79">
        <f t="shared" si="189"/>
        <v>36288</v>
      </c>
      <c r="V369" s="76">
        <f>SUM(V8,V148,V181,V279,V330,V368)</f>
        <v>47082</v>
      </c>
      <c r="W369" s="77">
        <f>SUM(W8,W148,W181,W279,W330,W368)</f>
        <v>394</v>
      </c>
      <c r="X369" s="77">
        <f>SUM(X8,X148,X181,X279,X330,X368)</f>
        <v>9303</v>
      </c>
      <c r="Y369" s="78">
        <f>SUM(Y8,Y148,Y181,Y279,Y330,Y368)</f>
        <v>445</v>
      </c>
      <c r="Z369" s="79">
        <f t="shared" si="190"/>
        <v>57224</v>
      </c>
      <c r="AA369" s="76">
        <f>SUM(AA8,AA148,AA181,AA279,AA330,AA368)</f>
        <v>78286</v>
      </c>
      <c r="AB369" s="77">
        <f>SUM(AB8,AB148,AB181,AB279,AB330,AB368)</f>
        <v>2068</v>
      </c>
      <c r="AC369" s="77">
        <f>SUM(AC8,AC148,AC181,AC279,AC330,AC368)</f>
        <v>16850</v>
      </c>
      <c r="AD369" s="78">
        <f>SUM(AD8,AD148,AD181,AD279,AD330,AD368)</f>
        <v>55</v>
      </c>
      <c r="AE369" s="79">
        <f t="shared" si="191"/>
        <v>97259</v>
      </c>
      <c r="AF369" s="76">
        <f>SUM(AF8,AF148,AF181,AF279,AF330,AF368)</f>
        <v>47972</v>
      </c>
      <c r="AG369" s="77">
        <f>SUM(AG8,AG148,AG181,AG279,AG330,AG368)</f>
        <v>559</v>
      </c>
      <c r="AH369" s="77">
        <f>SUM(AH8,AH148,AH181,AH279,AH330,AH368)</f>
        <v>8614</v>
      </c>
      <c r="AI369" s="78">
        <f>SUM(AI8,AI148,AI181,AI279,AI330,AI368)</f>
        <v>43</v>
      </c>
      <c r="AJ369" s="79">
        <f t="shared" si="192"/>
        <v>57188</v>
      </c>
      <c r="AK369" s="76">
        <f>SUM(AK8,AK148,AK181,AK279,AK330,AK368)</f>
        <v>31208</v>
      </c>
      <c r="AL369" s="77">
        <f>SUM(AL8,AL148,AL181,AL279,AL330,AL368)</f>
        <v>665</v>
      </c>
      <c r="AM369" s="77">
        <f>SUM(AM8,AM148,AM181,AM279,AM330,AM368)</f>
        <v>3714</v>
      </c>
      <c r="AN369" s="78">
        <f>SUM(AN8,AN148,AN181,AN279,AN330,AN368)</f>
        <v>30</v>
      </c>
      <c r="AO369" s="79">
        <f t="shared" si="193"/>
        <v>35617</v>
      </c>
      <c r="AP369" s="76">
        <f>SUM(AP8,AP148,AP181,AP279,AP330,AP368)</f>
        <v>36434</v>
      </c>
      <c r="AQ369" s="77">
        <f>SUM(AQ8,AQ148,AQ181,AQ279,AQ330,AQ368)</f>
        <v>731</v>
      </c>
      <c r="AR369" s="77">
        <f>SUM(AR8,AR148,AR181,AR279,AR330,AR368)</f>
        <v>6763</v>
      </c>
      <c r="AS369" s="78">
        <f>SUM(AS8,AS148,AS181,AS279,AS330,AS368)</f>
        <v>37</v>
      </c>
      <c r="AT369" s="79">
        <f t="shared" si="194"/>
        <v>43965</v>
      </c>
      <c r="AU369" s="76">
        <f>SUM(AU8,AU148,AU181,AU279,AU330,AU368)</f>
        <v>31435</v>
      </c>
      <c r="AV369" s="77">
        <f>SUM(AV8,AV148,AV181,AV279,AV330,AV368)</f>
        <v>446</v>
      </c>
      <c r="AW369" s="77">
        <f>SUM(AW8,AW148,AW181,AW279,AW330,AW368)</f>
        <v>6540</v>
      </c>
      <c r="AX369" s="78">
        <f>SUM(AX8,AX148,AX181,AX279,AX330,AX368)</f>
        <v>304</v>
      </c>
      <c r="AY369" s="79">
        <f t="shared" si="195"/>
        <v>38725</v>
      </c>
      <c r="AZ369" s="76">
        <f>SUM(AZ8,AZ148,AZ181,AZ279,AZ330,AZ368)</f>
        <v>64921</v>
      </c>
      <c r="BA369" s="77">
        <f>SUM(BA8,BA148,BA181,BA279,BA330,BA368)</f>
        <v>1497</v>
      </c>
      <c r="BB369" s="77">
        <f>SUM(BB8,BB148,BB181,BB279,BB330,BB368)</f>
        <v>12799</v>
      </c>
      <c r="BC369" s="78">
        <f>SUM(BC8,BC148,BC181,BC279,BC330,BC368)</f>
        <v>41</v>
      </c>
      <c r="BD369" s="79">
        <f t="shared" si="196"/>
        <v>79258</v>
      </c>
      <c r="BE369" s="76">
        <f>SUM(BE8,BE148,BE181,BE279,BE330,BE368)</f>
        <v>45699</v>
      </c>
      <c r="BF369" s="77">
        <f>SUM(BF8,BF148,BF181,BF279,BF330,BF368)</f>
        <v>1056</v>
      </c>
      <c r="BG369" s="77">
        <f>SUM(BG8,BG148,BG181,BG279,BG330,BG368)</f>
        <v>7418</v>
      </c>
      <c r="BH369" s="78">
        <f>SUM(BH8,BH148,BH181,BH279,BH330,BH368)</f>
        <v>27</v>
      </c>
      <c r="BI369" s="79">
        <f t="shared" si="197"/>
        <v>54200</v>
      </c>
      <c r="BJ369" s="76">
        <f>SUM(BJ8,BJ148,BJ181,BJ279,BJ330,BJ368)</f>
        <v>20682</v>
      </c>
      <c r="BK369" s="77">
        <f>SUM(BK8,BK148,BK181,BK279,BK330,BK368)</f>
        <v>1328</v>
      </c>
      <c r="BL369" s="77">
        <f>SUM(BL8,BL148,BL181,BL279,BL330,BL368)</f>
        <v>2184</v>
      </c>
      <c r="BM369" s="78">
        <f>SUM(BM8,BM148,BM181,BM279,BM330,BM368)</f>
        <v>18</v>
      </c>
      <c r="BN369" s="79">
        <f t="shared" si="198"/>
        <v>24212</v>
      </c>
      <c r="BO369" s="168">
        <f>SUM(BO8,BO148,BO181,BO279,BO330,BO368)</f>
        <v>480278</v>
      </c>
      <c r="BP369" s="77">
        <f>SUM(BP8,BP148,BP181,BP279,BP330,BP368)</f>
        <v>12455</v>
      </c>
      <c r="BQ369" s="77">
        <f>SUM(BQ8,BQ148,BQ181,BQ279,BQ330,BQ368)</f>
        <v>94323</v>
      </c>
      <c r="BR369" s="78">
        <f>SUM(BR8,BR148,BR181,BR279,BR330,BR368)</f>
        <v>1173</v>
      </c>
      <c r="BS369" s="80">
        <f t="shared" si="200"/>
        <v>588229</v>
      </c>
    </row>
    <row r="370" spans="2:71" x14ac:dyDescent="0.3">
      <c r="B370" s="263" t="s">
        <v>23</v>
      </c>
      <c r="C370" s="221" t="s">
        <v>15</v>
      </c>
      <c r="D370" s="222"/>
      <c r="E370" s="222"/>
      <c r="F370" s="134" t="s">
        <v>528</v>
      </c>
      <c r="G370" s="30">
        <f>34+675</f>
        <v>709</v>
      </c>
      <c r="H370" s="7"/>
      <c r="I370" s="7"/>
      <c r="J370" s="8"/>
      <c r="K370" s="9">
        <f t="shared" si="187"/>
        <v>709</v>
      </c>
      <c r="L370" s="30">
        <v>1170</v>
      </c>
      <c r="M370" s="7"/>
      <c r="N370" s="7"/>
      <c r="O370" s="8"/>
      <c r="P370" s="9">
        <f t="shared" si="188"/>
        <v>1170</v>
      </c>
      <c r="Q370" s="30">
        <v>509</v>
      </c>
      <c r="R370" s="7"/>
      <c r="S370" s="7"/>
      <c r="T370" s="8"/>
      <c r="U370" s="9">
        <f t="shared" si="189"/>
        <v>509</v>
      </c>
      <c r="V370" s="30"/>
      <c r="W370" s="7"/>
      <c r="X370" s="7"/>
      <c r="Y370" s="8"/>
      <c r="Z370" s="9">
        <f t="shared" si="190"/>
        <v>0</v>
      </c>
      <c r="AA370" s="30"/>
      <c r="AB370" s="7"/>
      <c r="AC370" s="7"/>
      <c r="AD370" s="8"/>
      <c r="AE370" s="9">
        <f t="shared" si="191"/>
        <v>0</v>
      </c>
      <c r="AF370" s="30"/>
      <c r="AG370" s="7"/>
      <c r="AH370" s="7"/>
      <c r="AI370" s="8"/>
      <c r="AJ370" s="9">
        <f t="shared" si="192"/>
        <v>0</v>
      </c>
      <c r="AK370" s="30"/>
      <c r="AL370" s="7"/>
      <c r="AM370" s="7"/>
      <c r="AN370" s="8"/>
      <c r="AO370" s="9">
        <f t="shared" si="193"/>
        <v>0</v>
      </c>
      <c r="AP370" s="30"/>
      <c r="AQ370" s="7"/>
      <c r="AR370" s="7"/>
      <c r="AS370" s="8"/>
      <c r="AT370" s="9">
        <f t="shared" si="194"/>
        <v>0</v>
      </c>
      <c r="AU370" s="30"/>
      <c r="AV370" s="7"/>
      <c r="AW370" s="7"/>
      <c r="AX370" s="8"/>
      <c r="AY370" s="9">
        <f t="shared" si="195"/>
        <v>0</v>
      </c>
      <c r="AZ370" s="30"/>
      <c r="BA370" s="7"/>
      <c r="BB370" s="7"/>
      <c r="BC370" s="8"/>
      <c r="BD370" s="9">
        <f t="shared" si="196"/>
        <v>0</v>
      </c>
      <c r="BE370" s="30">
        <v>1187</v>
      </c>
      <c r="BF370" s="7"/>
      <c r="BG370" s="7"/>
      <c r="BH370" s="8"/>
      <c r="BI370" s="9">
        <f t="shared" si="197"/>
        <v>1187</v>
      </c>
      <c r="BJ370" s="30">
        <v>808</v>
      </c>
      <c r="BK370" s="7"/>
      <c r="BL370" s="7"/>
      <c r="BM370" s="8"/>
      <c r="BN370" s="9">
        <f t="shared" si="198"/>
        <v>808</v>
      </c>
      <c r="BO370" s="65">
        <f>SUM(G370,L370,Q370,V370,AA370,AF370,AK370,AP370,AU370,AZ370,BE370,BJ370)</f>
        <v>4383</v>
      </c>
      <c r="BP370" s="7">
        <f>SUM(H370,M370,R370,W370,AB370,AG370,AL370,AQ370,AV370,BA370,BF370,BK370)</f>
        <v>0</v>
      </c>
      <c r="BQ370" s="7">
        <f>SUM(I370,N370,S370,X370,AC370,AH370,AM370,AR370,AW370,BB370,BG370,BL370)</f>
        <v>0</v>
      </c>
      <c r="BR370" s="8">
        <f>SUM(J370,O370,T370,Y370,AD370,AI370,AN370,AS370,AX370,BC370,BH370,BM370)</f>
        <v>0</v>
      </c>
      <c r="BS370" s="31">
        <f t="shared" si="200"/>
        <v>4383</v>
      </c>
    </row>
    <row r="371" spans="2:71" x14ac:dyDescent="0.3">
      <c r="B371" s="264"/>
      <c r="C371" s="223"/>
      <c r="D371" s="224"/>
      <c r="E371" s="224"/>
      <c r="F371" s="121" t="s">
        <v>530</v>
      </c>
      <c r="G371" s="34"/>
      <c r="H371" s="16"/>
      <c r="I371" s="16"/>
      <c r="J371" s="17"/>
      <c r="K371" s="18">
        <f t="shared" si="187"/>
        <v>0</v>
      </c>
      <c r="L371" s="34"/>
      <c r="M371" s="16"/>
      <c r="N371" s="16"/>
      <c r="O371" s="17"/>
      <c r="P371" s="18">
        <f t="shared" si="188"/>
        <v>0</v>
      </c>
      <c r="Q371" s="34"/>
      <c r="R371" s="16"/>
      <c r="S371" s="16"/>
      <c r="T371" s="17"/>
      <c r="U371" s="18">
        <f t="shared" si="189"/>
        <v>0</v>
      </c>
      <c r="V371" s="34">
        <v>766</v>
      </c>
      <c r="W371" s="16"/>
      <c r="X371" s="16"/>
      <c r="Y371" s="17"/>
      <c r="Z371" s="18">
        <f t="shared" si="190"/>
        <v>766</v>
      </c>
      <c r="AA371" s="34">
        <f>799+15</f>
        <v>814</v>
      </c>
      <c r="AB371" s="16"/>
      <c r="AC371" s="16"/>
      <c r="AD371" s="17"/>
      <c r="AE371" s="18">
        <f t="shared" si="191"/>
        <v>814</v>
      </c>
      <c r="AF371" s="34"/>
      <c r="AG371" s="16"/>
      <c r="AH371" s="16"/>
      <c r="AI371" s="17"/>
      <c r="AJ371" s="18">
        <f t="shared" ref="AJ371" si="209">SUM(AF371:AI371)</f>
        <v>0</v>
      </c>
      <c r="AK371" s="34"/>
      <c r="AL371" s="16"/>
      <c r="AM371" s="16"/>
      <c r="AN371" s="17"/>
      <c r="AO371" s="18">
        <f t="shared" ref="AO371" si="210">SUM(AK371:AN371)</f>
        <v>0</v>
      </c>
      <c r="AP371" s="34"/>
      <c r="AQ371" s="16"/>
      <c r="AR371" s="16"/>
      <c r="AS371" s="17"/>
      <c r="AT371" s="18">
        <f t="shared" ref="AT371" si="211">SUM(AP371:AS371)</f>
        <v>0</v>
      </c>
      <c r="AU371" s="34">
        <v>1659</v>
      </c>
      <c r="AV371" s="16"/>
      <c r="AW371" s="16"/>
      <c r="AX371" s="17"/>
      <c r="AY371" s="18">
        <f t="shared" ref="AY371" si="212">SUM(AU371:AX371)</f>
        <v>1659</v>
      </c>
      <c r="AZ371" s="34">
        <f>19+1193</f>
        <v>1212</v>
      </c>
      <c r="BA371" s="16"/>
      <c r="BB371" s="16"/>
      <c r="BC371" s="17"/>
      <c r="BD371" s="18">
        <f t="shared" ref="BD371" si="213">SUM(AZ371:BC371)</f>
        <v>1212</v>
      </c>
      <c r="BE371" s="34"/>
      <c r="BF371" s="16"/>
      <c r="BG371" s="16"/>
      <c r="BH371" s="17"/>
      <c r="BI371" s="18">
        <f t="shared" ref="BI371" si="214">SUM(BE371:BH371)</f>
        <v>0</v>
      </c>
      <c r="BJ371" s="34"/>
      <c r="BK371" s="16"/>
      <c r="BL371" s="16"/>
      <c r="BM371" s="17"/>
      <c r="BN371" s="18">
        <f t="shared" ref="BN371" si="215">SUM(BJ371:BM371)</f>
        <v>0</v>
      </c>
      <c r="BO371" s="66">
        <f>SUM(G371,L371,Q371,V371,AA371,AF371,AK371,AP371,AU371,AZ371,BE371,BJ371)</f>
        <v>4451</v>
      </c>
      <c r="BP371" s="13">
        <f>SUM(H371,M371,R371,W371,AB371,AG371,AL371,AQ371,AV371,BA371,BF371,BK371)</f>
        <v>0</v>
      </c>
      <c r="BQ371" s="13">
        <f>SUM(I371,N371,S371,X371,AC371,AH371,AM371,AR371,AW371,BB371,BG371,BL371)</f>
        <v>0</v>
      </c>
      <c r="BR371" s="14">
        <f>SUM(J371,O371,T371,Y371,AD371,AI371,AN371,AS371,AX371,BC371,BH371,BM371)</f>
        <v>0</v>
      </c>
      <c r="BS371" s="35">
        <f t="shared" si="200"/>
        <v>4451</v>
      </c>
    </row>
    <row r="372" spans="2:71" x14ac:dyDescent="0.3">
      <c r="B372" s="264"/>
      <c r="C372" s="223"/>
      <c r="D372" s="224"/>
      <c r="E372" s="224"/>
      <c r="F372" s="121" t="s">
        <v>774</v>
      </c>
      <c r="G372" s="34"/>
      <c r="H372" s="16"/>
      <c r="I372" s="16"/>
      <c r="J372" s="17"/>
      <c r="K372" s="18">
        <f t="shared" ref="K372:K460" si="216">SUM(G372:J372)</f>
        <v>0</v>
      </c>
      <c r="L372" s="34"/>
      <c r="M372" s="16"/>
      <c r="N372" s="16"/>
      <c r="O372" s="17"/>
      <c r="P372" s="18">
        <f t="shared" ref="P372:P387" si="217">SUM(L372:O372)</f>
        <v>0</v>
      </c>
      <c r="Q372" s="34">
        <v>76</v>
      </c>
      <c r="R372" s="16"/>
      <c r="S372" s="16"/>
      <c r="T372" s="17"/>
      <c r="U372" s="18">
        <f t="shared" ref="U372:U387" si="218">SUM(Q372:T372)</f>
        <v>76</v>
      </c>
      <c r="V372" s="34"/>
      <c r="W372" s="16"/>
      <c r="X372" s="16"/>
      <c r="Y372" s="17"/>
      <c r="Z372" s="18">
        <f t="shared" ref="Z372:Z387" si="219">SUM(V372:Y372)</f>
        <v>0</v>
      </c>
      <c r="AA372" s="34">
        <v>267</v>
      </c>
      <c r="AB372" s="16"/>
      <c r="AC372" s="16"/>
      <c r="AD372" s="17"/>
      <c r="AE372" s="18">
        <f t="shared" ref="AE372:AE387" si="220">SUM(AA372:AD372)</f>
        <v>267</v>
      </c>
      <c r="AF372" s="34"/>
      <c r="AG372" s="16"/>
      <c r="AH372" s="16"/>
      <c r="AI372" s="17"/>
      <c r="AJ372" s="18">
        <f t="shared" ref="AJ372:AJ387" si="221">SUM(AF372:AI372)</f>
        <v>0</v>
      </c>
      <c r="AK372" s="34"/>
      <c r="AL372" s="16"/>
      <c r="AM372" s="16"/>
      <c r="AN372" s="17"/>
      <c r="AO372" s="18">
        <f t="shared" ref="AO372:AO387" si="222">SUM(AK372:AN372)</f>
        <v>0</v>
      </c>
      <c r="AP372" s="34"/>
      <c r="AQ372" s="16"/>
      <c r="AR372" s="16"/>
      <c r="AS372" s="17"/>
      <c r="AT372" s="18">
        <f t="shared" ref="AT372:AT387" si="223">SUM(AP372:AS372)</f>
        <v>0</v>
      </c>
      <c r="AU372" s="34"/>
      <c r="AV372" s="16"/>
      <c r="AW372" s="16"/>
      <c r="AX372" s="17"/>
      <c r="AY372" s="18">
        <f t="shared" ref="AY372:AY387" si="224">SUM(AU372:AX372)</f>
        <v>0</v>
      </c>
      <c r="AZ372" s="34">
        <f>81+126+37</f>
        <v>244</v>
      </c>
      <c r="BA372" s="16"/>
      <c r="BB372" s="16"/>
      <c r="BC372" s="17"/>
      <c r="BD372" s="18">
        <f t="shared" ref="BD372:BD387" si="225">SUM(AZ372:BC372)</f>
        <v>244</v>
      </c>
      <c r="BE372" s="34">
        <v>17</v>
      </c>
      <c r="BF372" s="16"/>
      <c r="BG372" s="16"/>
      <c r="BH372" s="17"/>
      <c r="BI372" s="18">
        <f t="shared" ref="BI372:BI387" si="226">SUM(BE372:BH372)</f>
        <v>17</v>
      </c>
      <c r="BJ372" s="34"/>
      <c r="BK372" s="16"/>
      <c r="BL372" s="16"/>
      <c r="BM372" s="17"/>
      <c r="BN372" s="18">
        <f t="shared" ref="BN372:BN387" si="227">SUM(BJ372:BM372)</f>
        <v>0</v>
      </c>
      <c r="BO372" s="66">
        <f>SUM(G372,L372,Q372,V372,AA372,AF372,AK372,AP372,AU372,AZ372,BE372,BJ372)</f>
        <v>604</v>
      </c>
      <c r="BP372" s="13">
        <f>SUM(H372,M372,R372,W372,AB372,AG372,AL372,AQ372,AV372,BA372,BF372,BK372)</f>
        <v>0</v>
      </c>
      <c r="BQ372" s="13">
        <f>SUM(I372,N372,S372,X372,AC372,AH372,AM372,AR372,AW372,BB372,BG372,BL372)</f>
        <v>0</v>
      </c>
      <c r="BR372" s="14">
        <f>SUM(J372,O372,T372,Y372,AD372,AI372,AN372,AS372,AX372,BC372,BH372,BM372)</f>
        <v>0</v>
      </c>
      <c r="BS372" s="35">
        <f t="shared" si="200"/>
        <v>604</v>
      </c>
    </row>
    <row r="373" spans="2:71" x14ac:dyDescent="0.3">
      <c r="B373" s="264"/>
      <c r="C373" s="223"/>
      <c r="D373" s="224"/>
      <c r="E373" s="224"/>
      <c r="F373" s="121" t="s">
        <v>775</v>
      </c>
      <c r="G373" s="34"/>
      <c r="H373" s="16"/>
      <c r="I373" s="16"/>
      <c r="J373" s="17"/>
      <c r="K373" s="18">
        <f t="shared" ref="K373" si="228">SUM(G373:J373)</f>
        <v>0</v>
      </c>
      <c r="L373" s="34"/>
      <c r="M373" s="16"/>
      <c r="N373" s="16"/>
      <c r="O373" s="17"/>
      <c r="P373" s="18">
        <f t="shared" si="217"/>
        <v>0</v>
      </c>
      <c r="Q373" s="34">
        <v>7</v>
      </c>
      <c r="R373" s="16"/>
      <c r="S373" s="16"/>
      <c r="T373" s="17"/>
      <c r="U373" s="18">
        <f t="shared" si="218"/>
        <v>7</v>
      </c>
      <c r="V373" s="34"/>
      <c r="W373" s="16"/>
      <c r="X373" s="16"/>
      <c r="Y373" s="17"/>
      <c r="Z373" s="18">
        <f t="shared" si="219"/>
        <v>0</v>
      </c>
      <c r="AA373" s="34"/>
      <c r="AB373" s="16"/>
      <c r="AC373" s="16"/>
      <c r="AD373" s="17"/>
      <c r="AE373" s="18">
        <f t="shared" si="220"/>
        <v>0</v>
      </c>
      <c r="AF373" s="34"/>
      <c r="AG373" s="16"/>
      <c r="AH373" s="16"/>
      <c r="AI373" s="17"/>
      <c r="AJ373" s="18">
        <f t="shared" si="221"/>
        <v>0</v>
      </c>
      <c r="AK373" s="34"/>
      <c r="AL373" s="16"/>
      <c r="AM373" s="16"/>
      <c r="AN373" s="17"/>
      <c r="AO373" s="18">
        <f t="shared" si="222"/>
        <v>0</v>
      </c>
      <c r="AP373" s="34"/>
      <c r="AQ373" s="16"/>
      <c r="AR373" s="16"/>
      <c r="AS373" s="17"/>
      <c r="AT373" s="18">
        <f t="shared" si="223"/>
        <v>0</v>
      </c>
      <c r="AU373" s="34"/>
      <c r="AV373" s="16"/>
      <c r="AW373" s="16"/>
      <c r="AX373" s="17"/>
      <c r="AY373" s="18">
        <f t="shared" si="224"/>
        <v>0</v>
      </c>
      <c r="AZ373" s="34">
        <v>5</v>
      </c>
      <c r="BA373" s="16"/>
      <c r="BB373" s="16"/>
      <c r="BC373" s="17"/>
      <c r="BD373" s="18">
        <f t="shared" si="225"/>
        <v>5</v>
      </c>
      <c r="BE373" s="34"/>
      <c r="BF373" s="16"/>
      <c r="BG373" s="16"/>
      <c r="BH373" s="17"/>
      <c r="BI373" s="18">
        <f t="shared" si="226"/>
        <v>0</v>
      </c>
      <c r="BJ373" s="34"/>
      <c r="BK373" s="16"/>
      <c r="BL373" s="16"/>
      <c r="BM373" s="17"/>
      <c r="BN373" s="18">
        <f t="shared" si="227"/>
        <v>0</v>
      </c>
      <c r="BO373" s="66">
        <f>SUM(G373,L373,Q373,V373,AA373,AF373,AK373,AP373,AU373,AZ373,BE373,BJ373)</f>
        <v>12</v>
      </c>
      <c r="BP373" s="13">
        <f>SUM(H373,M373,R373,W373,AB373,AG373,AL373,AQ373,AV373,BA373,BF373,BK373)</f>
        <v>0</v>
      </c>
      <c r="BQ373" s="13">
        <f>SUM(I373,N373,S373,X373,AC373,AH373,AM373,AR373,AW373,BB373,BG373,BL373)</f>
        <v>0</v>
      </c>
      <c r="BR373" s="14">
        <f>SUM(J373,O373,T373,Y373,AD373,AI373,AN373,AS373,AX373,BC373,BH373,BM373)</f>
        <v>0</v>
      </c>
      <c r="BS373" s="35">
        <f t="shared" si="200"/>
        <v>12</v>
      </c>
    </row>
    <row r="374" spans="2:71" x14ac:dyDescent="0.3">
      <c r="B374" s="264"/>
      <c r="C374" s="223"/>
      <c r="D374" s="224"/>
      <c r="E374" s="224"/>
      <c r="F374" s="121" t="s">
        <v>776</v>
      </c>
      <c r="G374" s="34"/>
      <c r="H374" s="16"/>
      <c r="I374" s="16"/>
      <c r="J374" s="17"/>
      <c r="K374" s="18">
        <f t="shared" si="216"/>
        <v>0</v>
      </c>
      <c r="L374" s="34"/>
      <c r="M374" s="16"/>
      <c r="N374" s="16"/>
      <c r="O374" s="17"/>
      <c r="P374" s="18">
        <f t="shared" si="217"/>
        <v>0</v>
      </c>
      <c r="Q374" s="34"/>
      <c r="R374" s="16"/>
      <c r="S374" s="16"/>
      <c r="T374" s="17"/>
      <c r="U374" s="18">
        <f t="shared" si="218"/>
        <v>0</v>
      </c>
      <c r="V374" s="34"/>
      <c r="W374" s="16"/>
      <c r="X374" s="16"/>
      <c r="Y374" s="17"/>
      <c r="Z374" s="18">
        <f t="shared" si="219"/>
        <v>0</v>
      </c>
      <c r="AA374" s="34"/>
      <c r="AB374" s="16"/>
      <c r="AC374" s="16"/>
      <c r="AD374" s="17"/>
      <c r="AE374" s="18">
        <f t="shared" si="220"/>
        <v>0</v>
      </c>
      <c r="AF374" s="34">
        <v>667</v>
      </c>
      <c r="AG374" s="16"/>
      <c r="AH374" s="16"/>
      <c r="AI374" s="17"/>
      <c r="AJ374" s="18">
        <f t="shared" si="221"/>
        <v>667</v>
      </c>
      <c r="AK374" s="34">
        <v>10</v>
      </c>
      <c r="AL374" s="16"/>
      <c r="AM374" s="16"/>
      <c r="AN374" s="17"/>
      <c r="AO374" s="18">
        <f t="shared" si="222"/>
        <v>10</v>
      </c>
      <c r="AP374" s="34">
        <v>135</v>
      </c>
      <c r="AQ374" s="16"/>
      <c r="AR374" s="16"/>
      <c r="AS374" s="17"/>
      <c r="AT374" s="18">
        <f t="shared" si="223"/>
        <v>135</v>
      </c>
      <c r="AU374" s="34"/>
      <c r="AV374" s="16"/>
      <c r="AW374" s="16"/>
      <c r="AX374" s="17"/>
      <c r="AY374" s="18">
        <f t="shared" si="224"/>
        <v>0</v>
      </c>
      <c r="AZ374" s="34"/>
      <c r="BA374" s="16"/>
      <c r="BB374" s="16"/>
      <c r="BC374" s="17"/>
      <c r="BD374" s="18">
        <f t="shared" si="225"/>
        <v>0</v>
      </c>
      <c r="BE374" s="34"/>
      <c r="BF374" s="16"/>
      <c r="BG374" s="16"/>
      <c r="BH374" s="17"/>
      <c r="BI374" s="18">
        <f t="shared" si="226"/>
        <v>0</v>
      </c>
      <c r="BJ374" s="34"/>
      <c r="BK374" s="16"/>
      <c r="BL374" s="16"/>
      <c r="BM374" s="17"/>
      <c r="BN374" s="18">
        <f t="shared" si="227"/>
        <v>0</v>
      </c>
      <c r="BO374" s="66">
        <f>SUM(G374,L374,Q374,V374,AA374,AF374,AK374,AP374,AU374,AZ374,BE374,BJ374)</f>
        <v>812</v>
      </c>
      <c r="BP374" s="13">
        <f>SUM(H374,M374,R374,W374,AB374,AG374,AL374,AQ374,AV374,BA374,BF374,BK374)</f>
        <v>0</v>
      </c>
      <c r="BQ374" s="13">
        <f>SUM(I374,N374,S374,X374,AC374,AH374,AM374,AR374,AW374,BB374,BG374,BL374)</f>
        <v>0</v>
      </c>
      <c r="BR374" s="14">
        <f>SUM(J374,O374,T374,Y374,AD374,AI374,AN374,AS374,AX374,BC374,BH374,BM374)</f>
        <v>0</v>
      </c>
      <c r="BS374" s="35">
        <f t="shared" si="200"/>
        <v>812</v>
      </c>
    </row>
    <row r="375" spans="2:71" x14ac:dyDescent="0.3">
      <c r="B375" s="264"/>
      <c r="C375" s="223"/>
      <c r="D375" s="224"/>
      <c r="E375" s="224"/>
      <c r="F375" s="121" t="s">
        <v>777</v>
      </c>
      <c r="G375" s="34"/>
      <c r="H375" s="16"/>
      <c r="I375" s="16"/>
      <c r="J375" s="17"/>
      <c r="K375" s="18">
        <f t="shared" si="216"/>
        <v>0</v>
      </c>
      <c r="L375" s="34"/>
      <c r="M375" s="16"/>
      <c r="N375" s="16"/>
      <c r="O375" s="17"/>
      <c r="P375" s="18">
        <f t="shared" si="217"/>
        <v>0</v>
      </c>
      <c r="Q375" s="34"/>
      <c r="R375" s="16"/>
      <c r="S375" s="16"/>
      <c r="T375" s="17"/>
      <c r="U375" s="18">
        <f t="shared" si="218"/>
        <v>0</v>
      </c>
      <c r="V375" s="34"/>
      <c r="W375" s="16"/>
      <c r="X375" s="16"/>
      <c r="Y375" s="17"/>
      <c r="Z375" s="18">
        <f t="shared" si="219"/>
        <v>0</v>
      </c>
      <c r="AA375" s="34"/>
      <c r="AB375" s="16"/>
      <c r="AC375" s="16"/>
      <c r="AD375" s="17"/>
      <c r="AE375" s="18">
        <f t="shared" si="220"/>
        <v>0</v>
      </c>
      <c r="AF375" s="34"/>
      <c r="AG375" s="16"/>
      <c r="AH375" s="16"/>
      <c r="AI375" s="17"/>
      <c r="AJ375" s="18">
        <f t="shared" si="221"/>
        <v>0</v>
      </c>
      <c r="AK375" s="34">
        <v>7</v>
      </c>
      <c r="AL375" s="16"/>
      <c r="AM375" s="16"/>
      <c r="AN375" s="17"/>
      <c r="AO375" s="18">
        <f t="shared" si="222"/>
        <v>7</v>
      </c>
      <c r="AP375" s="34"/>
      <c r="AQ375" s="16"/>
      <c r="AR375" s="16"/>
      <c r="AS375" s="17"/>
      <c r="AT375" s="18">
        <f t="shared" si="223"/>
        <v>0</v>
      </c>
      <c r="AU375" s="34"/>
      <c r="AV375" s="16"/>
      <c r="AW375" s="16"/>
      <c r="AX375" s="17"/>
      <c r="AY375" s="18">
        <f t="shared" si="224"/>
        <v>0</v>
      </c>
      <c r="AZ375" s="34"/>
      <c r="BA375" s="16"/>
      <c r="BB375" s="16"/>
      <c r="BC375" s="17"/>
      <c r="BD375" s="18">
        <f t="shared" si="225"/>
        <v>0</v>
      </c>
      <c r="BE375" s="34"/>
      <c r="BF375" s="16"/>
      <c r="BG375" s="16"/>
      <c r="BH375" s="17"/>
      <c r="BI375" s="18">
        <f t="shared" si="226"/>
        <v>0</v>
      </c>
      <c r="BJ375" s="34"/>
      <c r="BK375" s="16"/>
      <c r="BL375" s="16"/>
      <c r="BM375" s="17"/>
      <c r="BN375" s="18">
        <f t="shared" si="227"/>
        <v>0</v>
      </c>
      <c r="BO375" s="66">
        <f>SUM(G375,L375,Q375,V375,AA375,AF375,AK375,AP375,AU375,AZ375,BE375,BJ375)</f>
        <v>7</v>
      </c>
      <c r="BP375" s="13">
        <f>SUM(H375,M375,R375,W375,AB375,AG375,AL375,AQ375,AV375,BA375,BF375,BK375)</f>
        <v>0</v>
      </c>
      <c r="BQ375" s="13">
        <f>SUM(I375,N375,S375,X375,AC375,AH375,AM375,AR375,AW375,BB375,BG375,BL375)</f>
        <v>0</v>
      </c>
      <c r="BR375" s="14">
        <f>SUM(J375,O375,T375,Y375,AD375,AI375,AN375,AS375,AX375,BC375,BH375,BM375)</f>
        <v>0</v>
      </c>
      <c r="BS375" s="35">
        <f t="shared" si="200"/>
        <v>7</v>
      </c>
    </row>
    <row r="376" spans="2:71" x14ac:dyDescent="0.3">
      <c r="B376" s="264"/>
      <c r="C376" s="223"/>
      <c r="D376" s="224"/>
      <c r="E376" s="224"/>
      <c r="F376" s="123" t="s">
        <v>778</v>
      </c>
      <c r="G376" s="34"/>
      <c r="H376" s="16"/>
      <c r="I376" s="16"/>
      <c r="J376" s="17"/>
      <c r="K376" s="18">
        <f t="shared" si="216"/>
        <v>0</v>
      </c>
      <c r="L376" s="34"/>
      <c r="M376" s="16"/>
      <c r="N376" s="16"/>
      <c r="O376" s="17"/>
      <c r="P376" s="18">
        <f t="shared" si="217"/>
        <v>0</v>
      </c>
      <c r="Q376" s="34"/>
      <c r="R376" s="16"/>
      <c r="S376" s="16"/>
      <c r="T376" s="17"/>
      <c r="U376" s="18">
        <f t="shared" si="218"/>
        <v>0</v>
      </c>
      <c r="V376" s="34"/>
      <c r="W376" s="16"/>
      <c r="X376" s="16"/>
      <c r="Y376" s="17"/>
      <c r="Z376" s="18">
        <f t="shared" si="219"/>
        <v>0</v>
      </c>
      <c r="AA376" s="34"/>
      <c r="AB376" s="16"/>
      <c r="AC376" s="16"/>
      <c r="AD376" s="17"/>
      <c r="AE376" s="18">
        <f t="shared" si="220"/>
        <v>0</v>
      </c>
      <c r="AF376" s="34"/>
      <c r="AG376" s="16"/>
      <c r="AH376" s="16"/>
      <c r="AI376" s="17"/>
      <c r="AJ376" s="18">
        <f t="shared" si="221"/>
        <v>0</v>
      </c>
      <c r="AK376" s="34"/>
      <c r="AL376" s="16"/>
      <c r="AM376" s="16"/>
      <c r="AN376" s="17"/>
      <c r="AO376" s="18">
        <f t="shared" si="222"/>
        <v>0</v>
      </c>
      <c r="AP376" s="34"/>
      <c r="AQ376" s="16"/>
      <c r="AR376" s="16"/>
      <c r="AS376" s="17"/>
      <c r="AT376" s="18">
        <f t="shared" si="223"/>
        <v>0</v>
      </c>
      <c r="AU376" s="34"/>
      <c r="AV376" s="16"/>
      <c r="AW376" s="16"/>
      <c r="AX376" s="17"/>
      <c r="AY376" s="18">
        <f t="shared" si="224"/>
        <v>0</v>
      </c>
      <c r="AZ376" s="34"/>
      <c r="BA376" s="16"/>
      <c r="BB376" s="16"/>
      <c r="BC376" s="17"/>
      <c r="BD376" s="18">
        <f t="shared" si="225"/>
        <v>0</v>
      </c>
      <c r="BE376" s="34">
        <v>940</v>
      </c>
      <c r="BF376" s="16"/>
      <c r="BG376" s="16"/>
      <c r="BH376" s="17"/>
      <c r="BI376" s="18">
        <f t="shared" si="226"/>
        <v>940</v>
      </c>
      <c r="BJ376" s="34"/>
      <c r="BK376" s="16"/>
      <c r="BL376" s="16"/>
      <c r="BM376" s="17"/>
      <c r="BN376" s="18">
        <f t="shared" si="227"/>
        <v>0</v>
      </c>
      <c r="BO376" s="70">
        <f>SUM(G376,L376,Q376,V376,AA376,AF376,AK376,AP376,AU376,AZ376,BE376,BJ376)</f>
        <v>940</v>
      </c>
      <c r="BP376" s="16">
        <f>SUM(H376,M376,R376,W376,AB376,AG376,AL376,AQ376,AV376,BA376,BF376,BK376)</f>
        <v>0</v>
      </c>
      <c r="BQ376" s="16">
        <f>SUM(I376,N376,S376,X376,AC376,AH376,AM376,AR376,AW376,BB376,BG376,BL376)</f>
        <v>0</v>
      </c>
      <c r="BR376" s="17">
        <f>SUM(J376,O376,T376,Y376,AD376,AI376,AN376,AS376,AX376,BC376,BH376,BM376)</f>
        <v>0</v>
      </c>
      <c r="BS376" s="35">
        <f t="shared" si="200"/>
        <v>940</v>
      </c>
    </row>
    <row r="377" spans="2:71" x14ac:dyDescent="0.3">
      <c r="B377" s="264"/>
      <c r="C377" s="225"/>
      <c r="D377" s="226"/>
      <c r="E377" s="226"/>
      <c r="F377" s="116" t="s">
        <v>4</v>
      </c>
      <c r="G377" s="54">
        <f>SUM(G370:G376)</f>
        <v>709</v>
      </c>
      <c r="H377" s="55">
        <f>SUM(H370:H376)</f>
        <v>0</v>
      </c>
      <c r="I377" s="55">
        <f>SUM(I370:I376)</f>
        <v>0</v>
      </c>
      <c r="J377" s="56">
        <f>SUM(J370:J376)</f>
        <v>0</v>
      </c>
      <c r="K377" s="57">
        <f t="shared" si="216"/>
        <v>709</v>
      </c>
      <c r="L377" s="54">
        <f>SUM(L370:L376)</f>
        <v>1170</v>
      </c>
      <c r="M377" s="55">
        <f>SUM(M370:M376)</f>
        <v>0</v>
      </c>
      <c r="N377" s="55">
        <f>SUM(N370:N376)</f>
        <v>0</v>
      </c>
      <c r="O377" s="56">
        <f>SUM(O370:O376)</f>
        <v>0</v>
      </c>
      <c r="P377" s="57">
        <f t="shared" si="217"/>
        <v>1170</v>
      </c>
      <c r="Q377" s="54">
        <f>SUM(Q370:Q376)</f>
        <v>592</v>
      </c>
      <c r="R377" s="55">
        <f>SUM(R370:R376)</f>
        <v>0</v>
      </c>
      <c r="S377" s="55">
        <f>SUM(S370:S376)</f>
        <v>0</v>
      </c>
      <c r="T377" s="56">
        <f>SUM(T370:T376)</f>
        <v>0</v>
      </c>
      <c r="U377" s="57">
        <f t="shared" si="218"/>
        <v>592</v>
      </c>
      <c r="V377" s="54">
        <f>SUM(V370:V376)</f>
        <v>766</v>
      </c>
      <c r="W377" s="55">
        <f>SUM(W370:W376)</f>
        <v>0</v>
      </c>
      <c r="X377" s="55">
        <f>SUM(X370:X376)</f>
        <v>0</v>
      </c>
      <c r="Y377" s="56">
        <f>SUM(Y370:Y376)</f>
        <v>0</v>
      </c>
      <c r="Z377" s="57">
        <f t="shared" si="219"/>
        <v>766</v>
      </c>
      <c r="AA377" s="54">
        <f>SUM(AA370:AA376)</f>
        <v>1081</v>
      </c>
      <c r="AB377" s="55">
        <f>SUM(AB370:AB376)</f>
        <v>0</v>
      </c>
      <c r="AC377" s="55">
        <f>SUM(AC370:AC376)</f>
        <v>0</v>
      </c>
      <c r="AD377" s="56">
        <f>SUM(AD370:AD376)</f>
        <v>0</v>
      </c>
      <c r="AE377" s="57">
        <f t="shared" si="220"/>
        <v>1081</v>
      </c>
      <c r="AF377" s="54">
        <f>SUM(AF370:AF376)</f>
        <v>667</v>
      </c>
      <c r="AG377" s="55">
        <f>SUM(AG370:AG376)</f>
        <v>0</v>
      </c>
      <c r="AH377" s="55">
        <f>SUM(AH370:AH376)</f>
        <v>0</v>
      </c>
      <c r="AI377" s="56">
        <f>SUM(AI370:AI376)</f>
        <v>0</v>
      </c>
      <c r="AJ377" s="57">
        <f t="shared" si="221"/>
        <v>667</v>
      </c>
      <c r="AK377" s="54">
        <f>SUM(AK370:AK376)</f>
        <v>17</v>
      </c>
      <c r="AL377" s="55">
        <f>SUM(AL370:AL376)</f>
        <v>0</v>
      </c>
      <c r="AM377" s="55">
        <f>SUM(AM370:AM376)</f>
        <v>0</v>
      </c>
      <c r="AN377" s="56">
        <f>SUM(AN370:AN376)</f>
        <v>0</v>
      </c>
      <c r="AO377" s="57">
        <f t="shared" si="222"/>
        <v>17</v>
      </c>
      <c r="AP377" s="54">
        <f>SUM(AP370:AP376)</f>
        <v>135</v>
      </c>
      <c r="AQ377" s="55">
        <f>SUM(AQ370:AQ376)</f>
        <v>0</v>
      </c>
      <c r="AR377" s="55">
        <f>SUM(AR370:AR376)</f>
        <v>0</v>
      </c>
      <c r="AS377" s="56">
        <f>SUM(AS370:AS376)</f>
        <v>0</v>
      </c>
      <c r="AT377" s="57">
        <f t="shared" si="223"/>
        <v>135</v>
      </c>
      <c r="AU377" s="54">
        <f>SUM(AU370:AU376)</f>
        <v>1659</v>
      </c>
      <c r="AV377" s="55">
        <f>SUM(AV370:AV376)</f>
        <v>0</v>
      </c>
      <c r="AW377" s="55">
        <f>SUM(AW370:AW376)</f>
        <v>0</v>
      </c>
      <c r="AX377" s="56">
        <f>SUM(AX370:AX376)</f>
        <v>0</v>
      </c>
      <c r="AY377" s="57">
        <f t="shared" si="224"/>
        <v>1659</v>
      </c>
      <c r="AZ377" s="54">
        <f>SUM(AZ370:AZ376)</f>
        <v>1461</v>
      </c>
      <c r="BA377" s="55">
        <f>SUM(BA370:BA376)</f>
        <v>0</v>
      </c>
      <c r="BB377" s="55">
        <f>SUM(BB370:BB376)</f>
        <v>0</v>
      </c>
      <c r="BC377" s="56">
        <f>SUM(BC370:BC376)</f>
        <v>0</v>
      </c>
      <c r="BD377" s="57">
        <f t="shared" si="225"/>
        <v>1461</v>
      </c>
      <c r="BE377" s="54">
        <f>SUM(BE370:BE376)</f>
        <v>2144</v>
      </c>
      <c r="BF377" s="55">
        <f>SUM(BF370:BF376)</f>
        <v>0</v>
      </c>
      <c r="BG377" s="55">
        <f>SUM(BG370:BG376)</f>
        <v>0</v>
      </c>
      <c r="BH377" s="56">
        <f>SUM(BH370:BH376)</f>
        <v>0</v>
      </c>
      <c r="BI377" s="57">
        <f t="shared" si="226"/>
        <v>2144</v>
      </c>
      <c r="BJ377" s="54">
        <f>SUM(BJ370:BJ376)</f>
        <v>808</v>
      </c>
      <c r="BK377" s="55">
        <f>SUM(BK370:BK376)</f>
        <v>0</v>
      </c>
      <c r="BL377" s="55">
        <f>SUM(BL370:BL376)</f>
        <v>0</v>
      </c>
      <c r="BM377" s="56">
        <f>SUM(BM370:BM376)</f>
        <v>0</v>
      </c>
      <c r="BN377" s="57">
        <f t="shared" si="227"/>
        <v>808</v>
      </c>
      <c r="BO377" s="72">
        <f>SUM(BO370:BO376)</f>
        <v>11209</v>
      </c>
      <c r="BP377" s="55">
        <f>SUM(BP370:BP376)</f>
        <v>0</v>
      </c>
      <c r="BQ377" s="55">
        <f>SUM(BQ370:BQ376)</f>
        <v>0</v>
      </c>
      <c r="BR377" s="56">
        <f>SUM(BR370:BR376)</f>
        <v>0</v>
      </c>
      <c r="BS377" s="58">
        <f t="shared" si="200"/>
        <v>11209</v>
      </c>
    </row>
    <row r="378" spans="2:71" x14ac:dyDescent="0.3">
      <c r="B378" s="264"/>
      <c r="C378" s="227" t="s">
        <v>16</v>
      </c>
      <c r="D378" s="228"/>
      <c r="E378" s="210" t="s">
        <v>87</v>
      </c>
      <c r="F378" s="120" t="s">
        <v>779</v>
      </c>
      <c r="G378" s="30"/>
      <c r="H378" s="7"/>
      <c r="I378" s="7">
        <v>119</v>
      </c>
      <c r="J378" s="8"/>
      <c r="K378" s="9">
        <f t="shared" si="216"/>
        <v>119</v>
      </c>
      <c r="L378" s="30"/>
      <c r="M378" s="7"/>
      <c r="N378" s="7">
        <v>20</v>
      </c>
      <c r="O378" s="8"/>
      <c r="P378" s="9">
        <f t="shared" si="217"/>
        <v>20</v>
      </c>
      <c r="Q378" s="30"/>
      <c r="R378" s="7"/>
      <c r="S378" s="7"/>
      <c r="T378" s="8"/>
      <c r="U378" s="9">
        <f t="shared" si="218"/>
        <v>0</v>
      </c>
      <c r="V378" s="30"/>
      <c r="W378" s="7"/>
      <c r="X378" s="7"/>
      <c r="Y378" s="8"/>
      <c r="Z378" s="9">
        <f t="shared" si="219"/>
        <v>0</v>
      </c>
      <c r="AA378" s="30"/>
      <c r="AB378" s="7"/>
      <c r="AC378" s="7"/>
      <c r="AD378" s="8"/>
      <c r="AE378" s="9">
        <f t="shared" si="220"/>
        <v>0</v>
      </c>
      <c r="AF378" s="30"/>
      <c r="AG378" s="7"/>
      <c r="AH378" s="7"/>
      <c r="AI378" s="8"/>
      <c r="AJ378" s="9">
        <f t="shared" si="221"/>
        <v>0</v>
      </c>
      <c r="AK378" s="30"/>
      <c r="AL378" s="7"/>
      <c r="AM378" s="7"/>
      <c r="AN378" s="8"/>
      <c r="AO378" s="9">
        <f t="shared" si="222"/>
        <v>0</v>
      </c>
      <c r="AP378" s="30"/>
      <c r="AQ378" s="7"/>
      <c r="AR378" s="7"/>
      <c r="AS378" s="8"/>
      <c r="AT378" s="9">
        <f t="shared" si="223"/>
        <v>0</v>
      </c>
      <c r="AU378" s="30"/>
      <c r="AV378" s="7"/>
      <c r="AW378" s="7"/>
      <c r="AX378" s="8"/>
      <c r="AY378" s="9">
        <f t="shared" si="224"/>
        <v>0</v>
      </c>
      <c r="AZ378" s="30"/>
      <c r="BA378" s="7"/>
      <c r="BB378" s="7"/>
      <c r="BC378" s="8"/>
      <c r="BD378" s="9">
        <f t="shared" si="225"/>
        <v>0</v>
      </c>
      <c r="BE378" s="30"/>
      <c r="BF378" s="7"/>
      <c r="BG378" s="7"/>
      <c r="BH378" s="8"/>
      <c r="BI378" s="9">
        <f t="shared" si="226"/>
        <v>0</v>
      </c>
      <c r="BJ378" s="30"/>
      <c r="BK378" s="7"/>
      <c r="BL378" s="7"/>
      <c r="BM378" s="8"/>
      <c r="BN378" s="9">
        <f t="shared" si="227"/>
        <v>0</v>
      </c>
      <c r="BO378" s="65">
        <f>SUM(G378,L378,Q378,V378,AA378,AF378,AK378,AP378,AU378,AZ378,BE378,BJ378)</f>
        <v>0</v>
      </c>
      <c r="BP378" s="7">
        <f>SUM(H378,M378,R378,W378,AB378,AG378,AL378,AQ378,AV378,BA378,BF378,BK378)</f>
        <v>0</v>
      </c>
      <c r="BQ378" s="7">
        <f>SUM(I378,N378,S378,X378,AC378,AH378,AM378,AR378,AW378,BB378,BG378,BL378)</f>
        <v>139</v>
      </c>
      <c r="BR378" s="8">
        <f>SUM(J378,O378,T378,Y378,AD378,AI378,AN378,AS378,AX378,BC378,BH378,BM378)</f>
        <v>0</v>
      </c>
      <c r="BS378" s="31">
        <f t="shared" si="200"/>
        <v>139</v>
      </c>
    </row>
    <row r="379" spans="2:71" x14ac:dyDescent="0.3">
      <c r="B379" s="264"/>
      <c r="C379" s="223"/>
      <c r="D379" s="224"/>
      <c r="E379" s="211"/>
      <c r="F379" s="121" t="s">
        <v>780</v>
      </c>
      <c r="G379" s="32"/>
      <c r="H379" s="13"/>
      <c r="I379" s="13"/>
      <c r="J379" s="14"/>
      <c r="K379" s="15">
        <f t="shared" si="216"/>
        <v>0</v>
      </c>
      <c r="L379" s="32"/>
      <c r="M379" s="13"/>
      <c r="N379" s="13"/>
      <c r="O379" s="14"/>
      <c r="P379" s="15">
        <f t="shared" si="217"/>
        <v>0</v>
      </c>
      <c r="Q379" s="32"/>
      <c r="R379" s="13"/>
      <c r="S379" s="13">
        <v>56</v>
      </c>
      <c r="T379" s="14"/>
      <c r="U379" s="15">
        <f t="shared" si="218"/>
        <v>56</v>
      </c>
      <c r="V379" s="32"/>
      <c r="W379" s="13"/>
      <c r="X379" s="13"/>
      <c r="Y379" s="14"/>
      <c r="Z379" s="15">
        <f t="shared" si="219"/>
        <v>0</v>
      </c>
      <c r="AA379" s="32"/>
      <c r="AB379" s="13"/>
      <c r="AC379" s="13"/>
      <c r="AD379" s="14"/>
      <c r="AE379" s="15">
        <f t="shared" si="220"/>
        <v>0</v>
      </c>
      <c r="AF379" s="32"/>
      <c r="AG379" s="13"/>
      <c r="AH379" s="13"/>
      <c r="AI379" s="14"/>
      <c r="AJ379" s="15">
        <f t="shared" si="221"/>
        <v>0</v>
      </c>
      <c r="AK379" s="32"/>
      <c r="AL379" s="13"/>
      <c r="AM379" s="13"/>
      <c r="AN379" s="14"/>
      <c r="AO379" s="15">
        <f t="shared" si="222"/>
        <v>0</v>
      </c>
      <c r="AP379" s="32"/>
      <c r="AQ379" s="13"/>
      <c r="AR379" s="13"/>
      <c r="AS379" s="14"/>
      <c r="AT379" s="15">
        <f t="shared" si="223"/>
        <v>0</v>
      </c>
      <c r="AU379" s="32"/>
      <c r="AV379" s="13"/>
      <c r="AW379" s="13"/>
      <c r="AX379" s="14"/>
      <c r="AY379" s="15">
        <f t="shared" si="224"/>
        <v>0</v>
      </c>
      <c r="AZ379" s="32"/>
      <c r="BA379" s="13"/>
      <c r="BB379" s="13"/>
      <c r="BC379" s="14"/>
      <c r="BD379" s="15">
        <f t="shared" si="225"/>
        <v>0</v>
      </c>
      <c r="BE379" s="32"/>
      <c r="BF379" s="13"/>
      <c r="BG379" s="13">
        <f>846+83</f>
        <v>929</v>
      </c>
      <c r="BH379" s="14"/>
      <c r="BI379" s="15">
        <f t="shared" si="226"/>
        <v>929</v>
      </c>
      <c r="BJ379" s="32"/>
      <c r="BK379" s="13"/>
      <c r="BL379" s="13">
        <v>27</v>
      </c>
      <c r="BM379" s="14"/>
      <c r="BN379" s="15">
        <f t="shared" si="227"/>
        <v>27</v>
      </c>
      <c r="BO379" s="66">
        <f>SUM(G379,L379,Q379,V379,AA379,AF379,AK379,AP379,AU379,AZ379,BE379,BJ379)</f>
        <v>0</v>
      </c>
      <c r="BP379" s="13">
        <f>SUM(H379,M379,R379,W379,AB379,AG379,AL379,AQ379,AV379,BA379,BF379,BK379)</f>
        <v>0</v>
      </c>
      <c r="BQ379" s="13">
        <f>SUM(I379,N379,S379,X379,AC379,AH379,AM379,AR379,AW379,BB379,BG379,BL379)</f>
        <v>1012</v>
      </c>
      <c r="BR379" s="14">
        <f>SUM(J379,O379,T379,Y379,AD379,AI379,AN379,AS379,AX379,BC379,BH379,BM379)</f>
        <v>0</v>
      </c>
      <c r="BS379" s="33">
        <f t="shared" ref="BS379:BS382" si="229">SUM(BO379:BR379)</f>
        <v>1012</v>
      </c>
    </row>
    <row r="380" spans="2:71" x14ac:dyDescent="0.3">
      <c r="B380" s="264"/>
      <c r="C380" s="223"/>
      <c r="D380" s="224"/>
      <c r="E380" s="211"/>
      <c r="F380" s="121" t="s">
        <v>781</v>
      </c>
      <c r="G380" s="32"/>
      <c r="H380" s="13"/>
      <c r="I380" s="13"/>
      <c r="J380" s="14"/>
      <c r="K380" s="15">
        <f t="shared" si="216"/>
        <v>0</v>
      </c>
      <c r="L380" s="32"/>
      <c r="M380" s="13"/>
      <c r="N380" s="13"/>
      <c r="O380" s="14"/>
      <c r="P380" s="15">
        <f t="shared" si="217"/>
        <v>0</v>
      </c>
      <c r="Q380" s="32"/>
      <c r="R380" s="13"/>
      <c r="S380" s="13">
        <v>69</v>
      </c>
      <c r="T380" s="14"/>
      <c r="U380" s="15">
        <f t="shared" si="218"/>
        <v>69</v>
      </c>
      <c r="V380" s="32"/>
      <c r="W380" s="13"/>
      <c r="X380" s="13"/>
      <c r="Y380" s="14"/>
      <c r="Z380" s="15">
        <f t="shared" si="219"/>
        <v>0</v>
      </c>
      <c r="AA380" s="32"/>
      <c r="AB380" s="13"/>
      <c r="AC380" s="13"/>
      <c r="AD380" s="14"/>
      <c r="AE380" s="15">
        <f t="shared" si="220"/>
        <v>0</v>
      </c>
      <c r="AF380" s="32"/>
      <c r="AG380" s="13"/>
      <c r="AH380" s="13"/>
      <c r="AI380" s="14"/>
      <c r="AJ380" s="15">
        <f t="shared" si="221"/>
        <v>0</v>
      </c>
      <c r="AK380" s="32"/>
      <c r="AL380" s="13"/>
      <c r="AM380" s="13"/>
      <c r="AN380" s="14"/>
      <c r="AO380" s="15">
        <f t="shared" si="222"/>
        <v>0</v>
      </c>
      <c r="AP380" s="32"/>
      <c r="AQ380" s="13"/>
      <c r="AR380" s="13"/>
      <c r="AS380" s="14"/>
      <c r="AT380" s="15">
        <f t="shared" si="223"/>
        <v>0</v>
      </c>
      <c r="AU380" s="32"/>
      <c r="AV380" s="13"/>
      <c r="AW380" s="13"/>
      <c r="AX380" s="14"/>
      <c r="AY380" s="15">
        <f t="shared" si="224"/>
        <v>0</v>
      </c>
      <c r="AZ380" s="32"/>
      <c r="BA380" s="13"/>
      <c r="BB380" s="13"/>
      <c r="BC380" s="14"/>
      <c r="BD380" s="15">
        <f t="shared" si="225"/>
        <v>0</v>
      </c>
      <c r="BE380" s="32"/>
      <c r="BF380" s="13"/>
      <c r="BG380" s="13">
        <v>244</v>
      </c>
      <c r="BH380" s="14"/>
      <c r="BI380" s="15">
        <f t="shared" si="226"/>
        <v>244</v>
      </c>
      <c r="BJ380" s="32"/>
      <c r="BK380" s="13"/>
      <c r="BL380" s="13">
        <v>28</v>
      </c>
      <c r="BM380" s="14"/>
      <c r="BN380" s="15">
        <f t="shared" si="227"/>
        <v>28</v>
      </c>
      <c r="BO380" s="66">
        <f>SUM(G380,L380,Q380,V380,AA380,AF380,AK380,AP380,AU380,AZ380,BE380,BJ380)</f>
        <v>0</v>
      </c>
      <c r="BP380" s="13">
        <f>SUM(H380,M380,R380,W380,AB380,AG380,AL380,AQ380,AV380,BA380,BF380,BK380)</f>
        <v>0</v>
      </c>
      <c r="BQ380" s="13">
        <f>SUM(I380,N380,S380,X380,AC380,AH380,AM380,AR380,AW380,BB380,BG380,BL380)</f>
        <v>341</v>
      </c>
      <c r="BR380" s="14">
        <f>SUM(J380,O380,T380,Y380,AD380,AI380,AN380,AS380,AX380,BC380,BH380,BM380)</f>
        <v>0</v>
      </c>
      <c r="BS380" s="33">
        <f t="shared" si="229"/>
        <v>341</v>
      </c>
    </row>
    <row r="381" spans="2:71" x14ac:dyDescent="0.3">
      <c r="B381" s="264"/>
      <c r="C381" s="223"/>
      <c r="D381" s="224"/>
      <c r="E381" s="211"/>
      <c r="F381" s="121" t="s">
        <v>782</v>
      </c>
      <c r="G381" s="32"/>
      <c r="H381" s="13"/>
      <c r="I381" s="13"/>
      <c r="J381" s="14"/>
      <c r="K381" s="15">
        <f t="shared" si="216"/>
        <v>0</v>
      </c>
      <c r="L381" s="32"/>
      <c r="M381" s="13"/>
      <c r="N381" s="13"/>
      <c r="O381" s="14"/>
      <c r="P381" s="15">
        <f t="shared" ref="P381:P382" si="230">SUM(L381:O381)</f>
        <v>0</v>
      </c>
      <c r="Q381" s="32"/>
      <c r="R381" s="13"/>
      <c r="S381" s="13"/>
      <c r="T381" s="14"/>
      <c r="U381" s="15">
        <f t="shared" ref="U381:U382" si="231">SUM(Q381:T381)</f>
        <v>0</v>
      </c>
      <c r="V381" s="32"/>
      <c r="W381" s="13"/>
      <c r="X381" s="13">
        <v>68</v>
      </c>
      <c r="Y381" s="14"/>
      <c r="Z381" s="15">
        <f t="shared" ref="Z381:Z382" si="232">SUM(V381:Y381)</f>
        <v>68</v>
      </c>
      <c r="AA381" s="32"/>
      <c r="AB381" s="13"/>
      <c r="AC381" s="13">
        <v>181</v>
      </c>
      <c r="AD381" s="14"/>
      <c r="AE381" s="15">
        <f t="shared" ref="AE381:AE382" si="233">SUM(AA381:AD381)</f>
        <v>181</v>
      </c>
      <c r="AF381" s="32"/>
      <c r="AG381" s="13"/>
      <c r="AH381" s="13"/>
      <c r="AI381" s="14"/>
      <c r="AJ381" s="15">
        <f t="shared" ref="AJ381:AJ382" si="234">SUM(AF381:AI381)</f>
        <v>0</v>
      </c>
      <c r="AK381" s="32"/>
      <c r="AL381" s="13"/>
      <c r="AM381" s="13"/>
      <c r="AN381" s="14"/>
      <c r="AO381" s="15">
        <f t="shared" ref="AO381:AO382" si="235">SUM(AK381:AN381)</f>
        <v>0</v>
      </c>
      <c r="AP381" s="32"/>
      <c r="AQ381" s="13"/>
      <c r="AR381" s="13">
        <v>12</v>
      </c>
      <c r="AS381" s="14"/>
      <c r="AT381" s="15">
        <f t="shared" ref="AT381:AT382" si="236">SUM(AP381:AS381)</f>
        <v>12</v>
      </c>
      <c r="AU381" s="32"/>
      <c r="AV381" s="13"/>
      <c r="AW381" s="13"/>
      <c r="AX381" s="14"/>
      <c r="AY381" s="15">
        <f t="shared" ref="AY381:AY382" si="237">SUM(AU381:AX381)</f>
        <v>0</v>
      </c>
      <c r="AZ381" s="32"/>
      <c r="BA381" s="13"/>
      <c r="BB381" s="13"/>
      <c r="BC381" s="14"/>
      <c r="BD381" s="15">
        <f t="shared" ref="BD381:BD382" si="238">SUM(AZ381:BC381)</f>
        <v>0</v>
      </c>
      <c r="BE381" s="32"/>
      <c r="BF381" s="13"/>
      <c r="BG381" s="13"/>
      <c r="BH381" s="14"/>
      <c r="BI381" s="15">
        <f t="shared" ref="BI381:BI382" si="239">SUM(BE381:BH381)</f>
        <v>0</v>
      </c>
      <c r="BJ381" s="32"/>
      <c r="BK381" s="13"/>
      <c r="BL381" s="13"/>
      <c r="BM381" s="14"/>
      <c r="BN381" s="15">
        <f t="shared" ref="BN381:BN382" si="240">SUM(BJ381:BM381)</f>
        <v>0</v>
      </c>
      <c r="BO381" s="66">
        <f>SUM(G381,L381,Q381,V381,AA381,AF381,AK381,AP381,AU381,AZ381,BE381,BJ381)</f>
        <v>0</v>
      </c>
      <c r="BP381" s="13">
        <f>SUM(H381,M381,R381,W381,AB381,AG381,AL381,AQ381,AV381,BA381,BF381,BK381)</f>
        <v>0</v>
      </c>
      <c r="BQ381" s="13">
        <f>SUM(I381,N381,S381,X381,AC381,AH381,AM381,AR381,AW381,BB381,BG381,BL381)</f>
        <v>261</v>
      </c>
      <c r="BR381" s="14">
        <f>SUM(J381,O381,T381,Y381,AD381,AI381,AN381,AS381,AX381,BC381,BH381,BM381)</f>
        <v>0</v>
      </c>
      <c r="BS381" s="33">
        <f t="shared" si="229"/>
        <v>261</v>
      </c>
    </row>
    <row r="382" spans="2:71" x14ac:dyDescent="0.3">
      <c r="B382" s="264"/>
      <c r="C382" s="223"/>
      <c r="D382" s="224"/>
      <c r="E382" s="211"/>
      <c r="F382" s="123" t="s">
        <v>783</v>
      </c>
      <c r="G382" s="34"/>
      <c r="H382" s="16"/>
      <c r="I382" s="16"/>
      <c r="J382" s="17"/>
      <c r="K382" s="18">
        <f t="shared" si="216"/>
        <v>0</v>
      </c>
      <c r="L382" s="34"/>
      <c r="M382" s="16"/>
      <c r="N382" s="16"/>
      <c r="O382" s="17"/>
      <c r="P382" s="18">
        <f t="shared" si="230"/>
        <v>0</v>
      </c>
      <c r="Q382" s="34"/>
      <c r="R382" s="16"/>
      <c r="S382" s="16"/>
      <c r="T382" s="17"/>
      <c r="U382" s="18">
        <f t="shared" si="231"/>
        <v>0</v>
      </c>
      <c r="V382" s="34"/>
      <c r="W382" s="16"/>
      <c r="X382" s="16">
        <f>1789+190</f>
        <v>1979</v>
      </c>
      <c r="Y382" s="17"/>
      <c r="Z382" s="18">
        <f t="shared" si="232"/>
        <v>1979</v>
      </c>
      <c r="AA382" s="34"/>
      <c r="AB382" s="16"/>
      <c r="AC382" s="16">
        <f>1493+83</f>
        <v>1576</v>
      </c>
      <c r="AD382" s="17"/>
      <c r="AE382" s="18">
        <f t="shared" si="233"/>
        <v>1576</v>
      </c>
      <c r="AF382" s="34"/>
      <c r="AG382" s="16"/>
      <c r="AH382" s="16">
        <v>605</v>
      </c>
      <c r="AI382" s="17"/>
      <c r="AJ382" s="18">
        <f t="shared" si="234"/>
        <v>605</v>
      </c>
      <c r="AK382" s="34"/>
      <c r="AL382" s="16"/>
      <c r="AM382" s="16">
        <v>19</v>
      </c>
      <c r="AN382" s="17"/>
      <c r="AO382" s="18">
        <f t="shared" si="235"/>
        <v>19</v>
      </c>
      <c r="AP382" s="34"/>
      <c r="AQ382" s="16"/>
      <c r="AR382" s="16"/>
      <c r="AS382" s="17"/>
      <c r="AT382" s="18">
        <f t="shared" si="236"/>
        <v>0</v>
      </c>
      <c r="AU382" s="34"/>
      <c r="AV382" s="16"/>
      <c r="AW382" s="16">
        <v>1193</v>
      </c>
      <c r="AX382" s="17"/>
      <c r="AY382" s="18">
        <f t="shared" si="237"/>
        <v>1193</v>
      </c>
      <c r="AZ382" s="34"/>
      <c r="BA382" s="16"/>
      <c r="BB382" s="16">
        <v>2931</v>
      </c>
      <c r="BC382" s="17"/>
      <c r="BD382" s="18">
        <f t="shared" si="238"/>
        <v>2931</v>
      </c>
      <c r="BE382" s="34"/>
      <c r="BF382" s="16"/>
      <c r="BG382" s="16"/>
      <c r="BH382" s="17"/>
      <c r="BI382" s="18">
        <f t="shared" si="239"/>
        <v>0</v>
      </c>
      <c r="BJ382" s="34"/>
      <c r="BK382" s="16"/>
      <c r="BL382" s="16"/>
      <c r="BM382" s="17"/>
      <c r="BN382" s="18">
        <f t="shared" si="240"/>
        <v>0</v>
      </c>
      <c r="BO382" s="70">
        <f>SUM(G382,L382,Q382,V382,AA382,AF382,AK382,AP382,AU382,AZ382,BE382,BJ382)</f>
        <v>0</v>
      </c>
      <c r="BP382" s="16">
        <f>SUM(H382,M382,R382,W382,AB382,AG382,AL382,AQ382,AV382,BA382,BF382,BK382)</f>
        <v>0</v>
      </c>
      <c r="BQ382" s="16">
        <f>SUM(I382,N382,S382,X382,AC382,AH382,AM382,AR382,AW382,BB382,BG382,BL382)</f>
        <v>8303</v>
      </c>
      <c r="BR382" s="17">
        <f>SUM(J382,O382,T382,Y382,AD382,AI382,AN382,AS382,AX382,BC382,BH382,BM382)</f>
        <v>0</v>
      </c>
      <c r="BS382" s="35">
        <f t="shared" si="229"/>
        <v>8303</v>
      </c>
    </row>
    <row r="383" spans="2:71" x14ac:dyDescent="0.3">
      <c r="B383" s="264"/>
      <c r="C383" s="223"/>
      <c r="D383" s="224"/>
      <c r="E383" s="211"/>
      <c r="F383" s="123" t="s">
        <v>784</v>
      </c>
      <c r="G383" s="34"/>
      <c r="H383" s="16"/>
      <c r="I383" s="16"/>
      <c r="J383" s="17"/>
      <c r="K383" s="18">
        <f t="shared" ref="K383:K384" si="241">SUM(G383:J383)</f>
        <v>0</v>
      </c>
      <c r="L383" s="34"/>
      <c r="M383" s="16"/>
      <c r="N383" s="16"/>
      <c r="O383" s="17"/>
      <c r="P383" s="18">
        <f t="shared" si="217"/>
        <v>0</v>
      </c>
      <c r="Q383" s="34"/>
      <c r="R383" s="16"/>
      <c r="S383" s="16"/>
      <c r="T383" s="17"/>
      <c r="U383" s="18">
        <f t="shared" si="218"/>
        <v>0</v>
      </c>
      <c r="V383" s="34"/>
      <c r="W383" s="16"/>
      <c r="X383" s="16">
        <v>464</v>
      </c>
      <c r="Y383" s="17"/>
      <c r="Z383" s="18">
        <f t="shared" si="219"/>
        <v>464</v>
      </c>
      <c r="AA383" s="34"/>
      <c r="AB383" s="16"/>
      <c r="AC383" s="16">
        <v>124</v>
      </c>
      <c r="AD383" s="17"/>
      <c r="AE383" s="18">
        <f t="shared" si="220"/>
        <v>124</v>
      </c>
      <c r="AF383" s="34"/>
      <c r="AG383" s="16"/>
      <c r="AH383" s="16">
        <v>25</v>
      </c>
      <c r="AI383" s="17"/>
      <c r="AJ383" s="18">
        <f t="shared" si="221"/>
        <v>25</v>
      </c>
      <c r="AK383" s="34"/>
      <c r="AL383" s="16"/>
      <c r="AM383" s="16"/>
      <c r="AN383" s="17"/>
      <c r="AO383" s="18">
        <f t="shared" si="222"/>
        <v>0</v>
      </c>
      <c r="AP383" s="34"/>
      <c r="AQ383" s="16"/>
      <c r="AR383" s="16"/>
      <c r="AS383" s="17"/>
      <c r="AT383" s="18">
        <f t="shared" si="223"/>
        <v>0</v>
      </c>
      <c r="AU383" s="34"/>
      <c r="AV383" s="16"/>
      <c r="AW383" s="16">
        <v>646</v>
      </c>
      <c r="AX383" s="17"/>
      <c r="AY383" s="18">
        <f t="shared" si="224"/>
        <v>646</v>
      </c>
      <c r="AZ383" s="34"/>
      <c r="BA383" s="16"/>
      <c r="BB383" s="16">
        <f>37+1056</f>
        <v>1093</v>
      </c>
      <c r="BC383" s="17"/>
      <c r="BD383" s="18">
        <f t="shared" si="225"/>
        <v>1093</v>
      </c>
      <c r="BE383" s="34"/>
      <c r="BF383" s="16"/>
      <c r="BG383" s="16">
        <v>14</v>
      </c>
      <c r="BH383" s="17"/>
      <c r="BI383" s="18">
        <f t="shared" si="226"/>
        <v>14</v>
      </c>
      <c r="BJ383" s="34"/>
      <c r="BK383" s="16"/>
      <c r="BL383" s="16"/>
      <c r="BM383" s="17"/>
      <c r="BN383" s="18">
        <f t="shared" si="227"/>
        <v>0</v>
      </c>
      <c r="BO383" s="70">
        <f>SUM(G383,L383,Q383,V383,AA383,AF383,AK383,AP383,AU383,AZ383,BE383,BJ383)</f>
        <v>0</v>
      </c>
      <c r="BP383" s="16">
        <f>SUM(H383,M383,R383,W383,AB383,AG383,AL383,AQ383,AV383,BA383,BF383,BK383)</f>
        <v>0</v>
      </c>
      <c r="BQ383" s="16">
        <f>SUM(I383,N383,S383,X383,AC383,AH383,AM383,AR383,AW383,BB383,BG383,BL383)</f>
        <v>2366</v>
      </c>
      <c r="BR383" s="17">
        <f>SUM(J383,O383,T383,Y383,AD383,AI383,AN383,AS383,AX383,BC383,BH383,BM383)</f>
        <v>0</v>
      </c>
      <c r="BS383" s="35">
        <f t="shared" ref="BS383:BS384" si="242">SUM(BO383:BR383)</f>
        <v>2366</v>
      </c>
    </row>
    <row r="384" spans="2:71" x14ac:dyDescent="0.3">
      <c r="B384" s="264"/>
      <c r="C384" s="223"/>
      <c r="D384" s="224"/>
      <c r="E384" s="211"/>
      <c r="F384" s="133" t="s">
        <v>785</v>
      </c>
      <c r="G384" s="49"/>
      <c r="H384" s="50"/>
      <c r="I384" s="50"/>
      <c r="J384" s="51"/>
      <c r="K384" s="52">
        <f t="shared" si="241"/>
        <v>0</v>
      </c>
      <c r="L384" s="49"/>
      <c r="M384" s="50"/>
      <c r="N384" s="50"/>
      <c r="O384" s="51"/>
      <c r="P384" s="52">
        <f t="shared" si="217"/>
        <v>0</v>
      </c>
      <c r="Q384" s="49"/>
      <c r="R384" s="50"/>
      <c r="S384" s="50"/>
      <c r="T384" s="51"/>
      <c r="U384" s="52">
        <f t="shared" si="218"/>
        <v>0</v>
      </c>
      <c r="V384" s="49"/>
      <c r="W384" s="50"/>
      <c r="X384" s="50">
        <v>38</v>
      </c>
      <c r="Y384" s="51"/>
      <c r="Z384" s="52">
        <f t="shared" si="219"/>
        <v>38</v>
      </c>
      <c r="AA384" s="49"/>
      <c r="AB384" s="50"/>
      <c r="AC384" s="50"/>
      <c r="AD384" s="51"/>
      <c r="AE384" s="52">
        <f t="shared" si="220"/>
        <v>0</v>
      </c>
      <c r="AF384" s="49"/>
      <c r="AG384" s="50"/>
      <c r="AH384" s="50">
        <v>16</v>
      </c>
      <c r="AI384" s="51"/>
      <c r="AJ384" s="52">
        <f t="shared" si="221"/>
        <v>16</v>
      </c>
      <c r="AK384" s="49"/>
      <c r="AL384" s="50"/>
      <c r="AM384" s="50"/>
      <c r="AN384" s="51"/>
      <c r="AO384" s="52">
        <f t="shared" si="222"/>
        <v>0</v>
      </c>
      <c r="AP384" s="49"/>
      <c r="AQ384" s="50"/>
      <c r="AR384" s="50"/>
      <c r="AS384" s="51"/>
      <c r="AT384" s="52">
        <f t="shared" si="223"/>
        <v>0</v>
      </c>
      <c r="AU384" s="49"/>
      <c r="AV384" s="50"/>
      <c r="AW384" s="50">
        <v>20</v>
      </c>
      <c r="AX384" s="51"/>
      <c r="AY384" s="52">
        <f t="shared" si="224"/>
        <v>20</v>
      </c>
      <c r="AZ384" s="49"/>
      <c r="BA384" s="50"/>
      <c r="BB384" s="50"/>
      <c r="BC384" s="51"/>
      <c r="BD384" s="52">
        <f t="shared" si="225"/>
        <v>0</v>
      </c>
      <c r="BE384" s="49"/>
      <c r="BF384" s="50"/>
      <c r="BG384" s="50"/>
      <c r="BH384" s="51"/>
      <c r="BI384" s="52">
        <f t="shared" si="226"/>
        <v>0</v>
      </c>
      <c r="BJ384" s="49"/>
      <c r="BK384" s="50"/>
      <c r="BL384" s="50"/>
      <c r="BM384" s="51"/>
      <c r="BN384" s="52">
        <f t="shared" si="227"/>
        <v>0</v>
      </c>
      <c r="BO384" s="167">
        <f>SUM(G384,L384,Q384,V384,AA384,AF384,AK384,AP384,AU384,AZ384,BE384,BJ384)</f>
        <v>0</v>
      </c>
      <c r="BP384" s="50">
        <f>SUM(H384,M384,R384,W384,AB384,AG384,AL384,AQ384,AV384,BA384,BF384,BK384)</f>
        <v>0</v>
      </c>
      <c r="BQ384" s="50">
        <f>SUM(I384,N384,S384,X384,AC384,AH384,AM384,AR384,AW384,BB384,BG384,BL384)</f>
        <v>74</v>
      </c>
      <c r="BR384" s="51">
        <f>SUM(J384,O384,T384,Y384,AD384,AI384,AN384,AS384,AX384,BC384,BH384,BM384)</f>
        <v>0</v>
      </c>
      <c r="BS384" s="53">
        <f t="shared" si="242"/>
        <v>74</v>
      </c>
    </row>
    <row r="385" spans="2:71" x14ac:dyDescent="0.3">
      <c r="B385" s="264"/>
      <c r="C385" s="223"/>
      <c r="D385" s="224"/>
      <c r="E385" s="210" t="s">
        <v>88</v>
      </c>
      <c r="F385" s="120" t="s">
        <v>786</v>
      </c>
      <c r="G385" s="30"/>
      <c r="H385" s="7">
        <v>13</v>
      </c>
      <c r="I385" s="7"/>
      <c r="J385" s="8"/>
      <c r="K385" s="9">
        <f t="shared" si="216"/>
        <v>13</v>
      </c>
      <c r="L385" s="30"/>
      <c r="M385" s="7"/>
      <c r="N385" s="7"/>
      <c r="O385" s="8"/>
      <c r="P385" s="9">
        <f t="shared" si="217"/>
        <v>0</v>
      </c>
      <c r="Q385" s="30"/>
      <c r="R385" s="7"/>
      <c r="S385" s="7"/>
      <c r="T385" s="8"/>
      <c r="U385" s="9">
        <f t="shared" si="218"/>
        <v>0</v>
      </c>
      <c r="V385" s="30"/>
      <c r="W385" s="7"/>
      <c r="X385" s="7"/>
      <c r="Y385" s="8"/>
      <c r="Z385" s="9">
        <f t="shared" si="219"/>
        <v>0</v>
      </c>
      <c r="AA385" s="30"/>
      <c r="AB385" s="7"/>
      <c r="AC385" s="7"/>
      <c r="AD385" s="8"/>
      <c r="AE385" s="9">
        <f t="shared" si="220"/>
        <v>0</v>
      </c>
      <c r="AF385" s="30"/>
      <c r="AG385" s="7"/>
      <c r="AH385" s="7"/>
      <c r="AI385" s="8"/>
      <c r="AJ385" s="9">
        <f t="shared" si="221"/>
        <v>0</v>
      </c>
      <c r="AK385" s="30"/>
      <c r="AL385" s="7"/>
      <c r="AM385" s="7"/>
      <c r="AN385" s="8"/>
      <c r="AO385" s="9">
        <f t="shared" si="222"/>
        <v>0</v>
      </c>
      <c r="AP385" s="30"/>
      <c r="AQ385" s="7"/>
      <c r="AR385" s="7"/>
      <c r="AS385" s="8"/>
      <c r="AT385" s="9">
        <f t="shared" si="223"/>
        <v>0</v>
      </c>
      <c r="AU385" s="30"/>
      <c r="AV385" s="7"/>
      <c r="AW385" s="7"/>
      <c r="AX385" s="8"/>
      <c r="AY385" s="9">
        <f t="shared" si="224"/>
        <v>0</v>
      </c>
      <c r="AZ385" s="30"/>
      <c r="BA385" s="7"/>
      <c r="BB385" s="7"/>
      <c r="BC385" s="8"/>
      <c r="BD385" s="9">
        <f t="shared" si="225"/>
        <v>0</v>
      </c>
      <c r="BE385" s="30"/>
      <c r="BF385" s="7"/>
      <c r="BG385" s="7"/>
      <c r="BH385" s="8"/>
      <c r="BI385" s="9">
        <f t="shared" si="226"/>
        <v>0</v>
      </c>
      <c r="BJ385" s="30"/>
      <c r="BK385" s="7"/>
      <c r="BL385" s="7"/>
      <c r="BM385" s="8"/>
      <c r="BN385" s="9">
        <f t="shared" si="227"/>
        <v>0</v>
      </c>
      <c r="BO385" s="65">
        <f>SUM(G385,L385,Q385,V385,AA385,AF385,AK385,AP385,AU385,AZ385,BE385,BJ385)</f>
        <v>0</v>
      </c>
      <c r="BP385" s="7">
        <f>SUM(H385,M385,R385,W385,AB385,AG385,AL385,AQ385,AV385,BA385,BF385,BK385)</f>
        <v>13</v>
      </c>
      <c r="BQ385" s="7">
        <f>SUM(I385,N385,S385,X385,AC385,AH385,AM385,AR385,AW385,BB385,BG385,BL385)</f>
        <v>0</v>
      </c>
      <c r="BR385" s="8">
        <f>SUM(J385,O385,T385,Y385,AD385,AI385,AN385,AS385,AX385,BC385,BH385,BM385)</f>
        <v>0</v>
      </c>
      <c r="BS385" s="31">
        <f t="shared" si="200"/>
        <v>13</v>
      </c>
    </row>
    <row r="386" spans="2:71" x14ac:dyDescent="0.3">
      <c r="B386" s="264"/>
      <c r="C386" s="223"/>
      <c r="D386" s="224"/>
      <c r="E386" s="211"/>
      <c r="F386" s="121" t="s">
        <v>787</v>
      </c>
      <c r="G386" s="32"/>
      <c r="H386" s="13"/>
      <c r="I386" s="13"/>
      <c r="J386" s="14"/>
      <c r="K386" s="15">
        <f t="shared" si="216"/>
        <v>0</v>
      </c>
      <c r="L386" s="32"/>
      <c r="M386" s="13"/>
      <c r="N386" s="13"/>
      <c r="O386" s="14"/>
      <c r="P386" s="15">
        <f t="shared" si="217"/>
        <v>0</v>
      </c>
      <c r="Q386" s="32"/>
      <c r="R386" s="13">
        <v>511</v>
      </c>
      <c r="S386" s="13"/>
      <c r="T386" s="14"/>
      <c r="U386" s="15">
        <f t="shared" si="218"/>
        <v>511</v>
      </c>
      <c r="V386" s="32"/>
      <c r="W386" s="13"/>
      <c r="X386" s="13"/>
      <c r="Y386" s="14"/>
      <c r="Z386" s="15">
        <f t="shared" si="219"/>
        <v>0</v>
      </c>
      <c r="AA386" s="32"/>
      <c r="AB386" s="13"/>
      <c r="AC386" s="13"/>
      <c r="AD386" s="14"/>
      <c r="AE386" s="15">
        <f t="shared" si="220"/>
        <v>0</v>
      </c>
      <c r="AF386" s="32"/>
      <c r="AG386" s="13"/>
      <c r="AH386" s="13"/>
      <c r="AI386" s="14"/>
      <c r="AJ386" s="15">
        <f t="shared" si="221"/>
        <v>0</v>
      </c>
      <c r="AK386" s="32"/>
      <c r="AL386" s="13"/>
      <c r="AM386" s="13"/>
      <c r="AN386" s="14"/>
      <c r="AO386" s="15">
        <f t="shared" si="222"/>
        <v>0</v>
      </c>
      <c r="AP386" s="32"/>
      <c r="AQ386" s="13"/>
      <c r="AR386" s="13"/>
      <c r="AS386" s="14"/>
      <c r="AT386" s="15">
        <f t="shared" si="223"/>
        <v>0</v>
      </c>
      <c r="AU386" s="32"/>
      <c r="AV386" s="13"/>
      <c r="AW386" s="13"/>
      <c r="AX386" s="14"/>
      <c r="AY386" s="15">
        <f t="shared" si="224"/>
        <v>0</v>
      </c>
      <c r="AZ386" s="32"/>
      <c r="BA386" s="13"/>
      <c r="BB386" s="13"/>
      <c r="BC386" s="14"/>
      <c r="BD386" s="15">
        <f t="shared" si="225"/>
        <v>0</v>
      </c>
      <c r="BE386" s="32"/>
      <c r="BF386" s="13">
        <f>2649+88</f>
        <v>2737</v>
      </c>
      <c r="BG386" s="13"/>
      <c r="BH386" s="14"/>
      <c r="BI386" s="15">
        <f t="shared" si="226"/>
        <v>2737</v>
      </c>
      <c r="BJ386" s="32"/>
      <c r="BK386" s="13">
        <f>33+599</f>
        <v>632</v>
      </c>
      <c r="BL386" s="13"/>
      <c r="BM386" s="14"/>
      <c r="BN386" s="15">
        <f t="shared" si="227"/>
        <v>632</v>
      </c>
      <c r="BO386" s="66">
        <f>SUM(G386,L386,Q386,V386,AA386,AF386,AK386,AP386,AU386,AZ386,BE386,BJ386)</f>
        <v>0</v>
      </c>
      <c r="BP386" s="13">
        <f>SUM(H386,M386,R386,W386,AB386,AG386,AL386,AQ386,AV386,BA386,BF386,BK386)</f>
        <v>3880</v>
      </c>
      <c r="BQ386" s="13">
        <f>SUM(I386,N386,S386,X386,AC386,AH386,AM386,AR386,AW386,BB386,BG386,BL386)</f>
        <v>0</v>
      </c>
      <c r="BR386" s="14">
        <f>SUM(J386,O386,T386,Y386,AD386,AI386,AN386,AS386,AX386,BC386,BH386,BM386)</f>
        <v>0</v>
      </c>
      <c r="BS386" s="33">
        <f t="shared" si="200"/>
        <v>3880</v>
      </c>
    </row>
    <row r="387" spans="2:71" x14ac:dyDescent="0.3">
      <c r="B387" s="264"/>
      <c r="C387" s="223"/>
      <c r="D387" s="224"/>
      <c r="E387" s="211"/>
      <c r="F387" s="121" t="s">
        <v>788</v>
      </c>
      <c r="G387" s="32"/>
      <c r="H387" s="13"/>
      <c r="I387" s="13"/>
      <c r="J387" s="14"/>
      <c r="K387" s="15">
        <f t="shared" si="216"/>
        <v>0</v>
      </c>
      <c r="L387" s="32"/>
      <c r="M387" s="13"/>
      <c r="N387" s="13"/>
      <c r="O387" s="14"/>
      <c r="P387" s="15">
        <f t="shared" si="217"/>
        <v>0</v>
      </c>
      <c r="Q387" s="32"/>
      <c r="R387" s="13"/>
      <c r="S387" s="13"/>
      <c r="T387" s="14"/>
      <c r="U387" s="15">
        <f t="shared" si="218"/>
        <v>0</v>
      </c>
      <c r="V387" s="32"/>
      <c r="W387" s="13">
        <f>13104+417</f>
        <v>13521</v>
      </c>
      <c r="X387" s="13"/>
      <c r="Y387" s="14"/>
      <c r="Z387" s="15">
        <f t="shared" si="219"/>
        <v>13521</v>
      </c>
      <c r="AA387" s="32"/>
      <c r="AB387" s="13">
        <f>24407+234</f>
        <v>24641</v>
      </c>
      <c r="AC387" s="13"/>
      <c r="AD387" s="14"/>
      <c r="AE387" s="15">
        <f t="shared" si="220"/>
        <v>24641</v>
      </c>
      <c r="AF387" s="32"/>
      <c r="AG387" s="13">
        <v>3395</v>
      </c>
      <c r="AH387" s="13"/>
      <c r="AI387" s="14"/>
      <c r="AJ387" s="15">
        <f t="shared" si="221"/>
        <v>3395</v>
      </c>
      <c r="AK387" s="32"/>
      <c r="AL387" s="13">
        <v>332</v>
      </c>
      <c r="AM387" s="13"/>
      <c r="AN387" s="14"/>
      <c r="AO387" s="15">
        <f t="shared" si="222"/>
        <v>332</v>
      </c>
      <c r="AP387" s="32"/>
      <c r="AQ387" s="13">
        <v>56</v>
      </c>
      <c r="AR387" s="13"/>
      <c r="AS387" s="14"/>
      <c r="AT387" s="15">
        <f t="shared" si="223"/>
        <v>56</v>
      </c>
      <c r="AU387" s="32"/>
      <c r="AV387" s="13">
        <v>8914</v>
      </c>
      <c r="AW387" s="13"/>
      <c r="AX387" s="14"/>
      <c r="AY387" s="15">
        <f t="shared" si="224"/>
        <v>8914</v>
      </c>
      <c r="AZ387" s="32"/>
      <c r="BA387" s="13">
        <v>13409</v>
      </c>
      <c r="BB387" s="13"/>
      <c r="BC387" s="14"/>
      <c r="BD387" s="15">
        <f t="shared" si="225"/>
        <v>13409</v>
      </c>
      <c r="BE387" s="32"/>
      <c r="BF387" s="13"/>
      <c r="BG387" s="13"/>
      <c r="BH387" s="14"/>
      <c r="BI387" s="15">
        <f t="shared" si="226"/>
        <v>0</v>
      </c>
      <c r="BJ387" s="32"/>
      <c r="BK387" s="13"/>
      <c r="BL387" s="13"/>
      <c r="BM387" s="14"/>
      <c r="BN387" s="15">
        <f t="shared" si="227"/>
        <v>0</v>
      </c>
      <c r="BO387" s="66">
        <f>SUM(G387,L387,Q387,V387,AA387,AF387,AK387,AP387,AU387,AZ387,BE387,BJ387)</f>
        <v>0</v>
      </c>
      <c r="BP387" s="13">
        <f>SUM(H387,M387,R387,W387,AB387,AG387,AL387,AQ387,AV387,BA387,BF387,BK387)</f>
        <v>64268</v>
      </c>
      <c r="BQ387" s="13">
        <f>SUM(I387,N387,S387,X387,AC387,AH387,AM387,AR387,AW387,BB387,BG387,BL387)</f>
        <v>0</v>
      </c>
      <c r="BR387" s="14">
        <f>SUM(J387,O387,T387,Y387,AD387,AI387,AN387,AS387,AX387,BC387,BH387,BM387)</f>
        <v>0</v>
      </c>
      <c r="BS387" s="33">
        <f t="shared" ref="BS387" si="243">SUM(BO387:BR387)</f>
        <v>64268</v>
      </c>
    </row>
    <row r="388" spans="2:71" x14ac:dyDescent="0.3">
      <c r="B388" s="264"/>
      <c r="C388" s="223"/>
      <c r="D388" s="224"/>
      <c r="E388" s="211"/>
      <c r="F388" s="121" t="s">
        <v>789</v>
      </c>
      <c r="G388" s="32"/>
      <c r="H388" s="13"/>
      <c r="I388" s="13"/>
      <c r="J388" s="14"/>
      <c r="K388" s="15">
        <f t="shared" ref="K388" si="244">SUM(G388:J388)</f>
        <v>0</v>
      </c>
      <c r="L388" s="32"/>
      <c r="M388" s="13"/>
      <c r="N388" s="13"/>
      <c r="O388" s="14"/>
      <c r="P388" s="15">
        <f t="shared" ref="P388" si="245">SUM(L388:O388)</f>
        <v>0</v>
      </c>
      <c r="Q388" s="32"/>
      <c r="R388" s="13"/>
      <c r="S388" s="13"/>
      <c r="T388" s="14"/>
      <c r="U388" s="15">
        <f t="shared" ref="U388" si="246">SUM(Q388:T388)</f>
        <v>0</v>
      </c>
      <c r="V388" s="32"/>
      <c r="W388" s="13">
        <v>522</v>
      </c>
      <c r="X388" s="13"/>
      <c r="Y388" s="14"/>
      <c r="Z388" s="15">
        <f t="shared" ref="Z388" si="247">SUM(V388:Y388)</f>
        <v>522</v>
      </c>
      <c r="AA388" s="32"/>
      <c r="AB388" s="13">
        <v>1956</v>
      </c>
      <c r="AC388" s="13"/>
      <c r="AD388" s="14"/>
      <c r="AE388" s="15">
        <f t="shared" ref="AE388" si="248">SUM(AA388:AD388)</f>
        <v>1956</v>
      </c>
      <c r="AF388" s="32"/>
      <c r="AG388" s="13">
        <v>252</v>
      </c>
      <c r="AH388" s="13"/>
      <c r="AI388" s="14"/>
      <c r="AJ388" s="15">
        <f t="shared" ref="AJ388" si="249">SUM(AF388:AI388)</f>
        <v>252</v>
      </c>
      <c r="AK388" s="32"/>
      <c r="AL388" s="13">
        <v>49</v>
      </c>
      <c r="AM388" s="13"/>
      <c r="AN388" s="14"/>
      <c r="AO388" s="15">
        <f t="shared" ref="AO388" si="250">SUM(AK388:AN388)</f>
        <v>49</v>
      </c>
      <c r="AP388" s="32"/>
      <c r="AQ388" s="13"/>
      <c r="AR388" s="13"/>
      <c r="AS388" s="14"/>
      <c r="AT388" s="15">
        <f t="shared" ref="AT388" si="251">SUM(AP388:AS388)</f>
        <v>0</v>
      </c>
      <c r="AU388" s="32"/>
      <c r="AV388" s="13">
        <v>296</v>
      </c>
      <c r="AW388" s="13"/>
      <c r="AX388" s="14"/>
      <c r="AY388" s="15">
        <f t="shared" ref="AY388" si="252">SUM(AU388:AX388)</f>
        <v>296</v>
      </c>
      <c r="AZ388" s="32"/>
      <c r="BA388" s="13">
        <v>1192</v>
      </c>
      <c r="BB388" s="13"/>
      <c r="BC388" s="14"/>
      <c r="BD388" s="15">
        <f t="shared" ref="BD388" si="253">SUM(AZ388:BC388)</f>
        <v>1192</v>
      </c>
      <c r="BE388" s="32"/>
      <c r="BF388" s="13"/>
      <c r="BG388" s="13"/>
      <c r="BH388" s="14"/>
      <c r="BI388" s="15">
        <f t="shared" ref="BI388" si="254">SUM(BE388:BH388)</f>
        <v>0</v>
      </c>
      <c r="BJ388" s="32"/>
      <c r="BK388" s="13"/>
      <c r="BL388" s="13"/>
      <c r="BM388" s="14"/>
      <c r="BN388" s="15">
        <f t="shared" ref="BN388" si="255">SUM(BJ388:BM388)</f>
        <v>0</v>
      </c>
      <c r="BO388" s="66">
        <f>SUM(G388,L388,Q388,V388,AA388,AF388,AK388,AP388,AU388,AZ388,BE388,BJ388)</f>
        <v>0</v>
      </c>
      <c r="BP388" s="13">
        <f>SUM(H388,M388,R388,W388,AB388,AG388,AL388,AQ388,AV388,BA388,BF388,BK388)</f>
        <v>4267</v>
      </c>
      <c r="BQ388" s="13">
        <f>SUM(I388,N388,S388,X388,AC388,AH388,AM388,AR388,AW388,BB388,BG388,BL388)</f>
        <v>0</v>
      </c>
      <c r="BR388" s="14">
        <f>SUM(J388,O388,T388,Y388,AD388,AI388,AN388,AS388,AX388,BC388,BH388,BM388)</f>
        <v>0</v>
      </c>
      <c r="BS388" s="33">
        <f t="shared" ref="BS388:BS393" si="256">SUM(BO388:BR388)</f>
        <v>4267</v>
      </c>
    </row>
    <row r="389" spans="2:71" x14ac:dyDescent="0.3">
      <c r="B389" s="264"/>
      <c r="C389" s="223"/>
      <c r="D389" s="224"/>
      <c r="E389" s="211"/>
      <c r="F389" s="121" t="s">
        <v>790</v>
      </c>
      <c r="G389" s="32"/>
      <c r="H389" s="13"/>
      <c r="I389" s="13"/>
      <c r="J389" s="14"/>
      <c r="K389" s="15">
        <f t="shared" ref="K389:K392" si="257">SUM(G389:J389)</f>
        <v>0</v>
      </c>
      <c r="L389" s="32"/>
      <c r="M389" s="13"/>
      <c r="N389" s="13"/>
      <c r="O389" s="14"/>
      <c r="P389" s="15">
        <f t="shared" ref="P389:P452" si="258">SUM(L389:O389)</f>
        <v>0</v>
      </c>
      <c r="Q389" s="32"/>
      <c r="R389" s="13"/>
      <c r="S389" s="13"/>
      <c r="T389" s="14"/>
      <c r="U389" s="15">
        <f t="shared" ref="U389:U452" si="259">SUM(Q389:T389)</f>
        <v>0</v>
      </c>
      <c r="V389" s="32"/>
      <c r="W389" s="13"/>
      <c r="X389" s="13"/>
      <c r="Y389" s="14"/>
      <c r="Z389" s="15">
        <f t="shared" ref="Z389:Z452" si="260">SUM(V389:Y389)</f>
        <v>0</v>
      </c>
      <c r="AA389" s="32"/>
      <c r="AB389" s="13"/>
      <c r="AC389" s="13"/>
      <c r="AD389" s="14"/>
      <c r="AE389" s="15">
        <f t="shared" ref="AE389:AE452" si="261">SUM(AA389:AD389)</f>
        <v>0</v>
      </c>
      <c r="AF389" s="32"/>
      <c r="AG389" s="13"/>
      <c r="AH389" s="13"/>
      <c r="AI389" s="14"/>
      <c r="AJ389" s="15">
        <f t="shared" ref="AJ389:AJ452" si="262">SUM(AF389:AI389)</f>
        <v>0</v>
      </c>
      <c r="AK389" s="32"/>
      <c r="AL389" s="13"/>
      <c r="AM389" s="13"/>
      <c r="AN389" s="14"/>
      <c r="AO389" s="15">
        <f t="shared" ref="AO389:AO452" si="263">SUM(AK389:AN389)</f>
        <v>0</v>
      </c>
      <c r="AP389" s="32"/>
      <c r="AQ389" s="13"/>
      <c r="AR389" s="13"/>
      <c r="AS389" s="14"/>
      <c r="AT389" s="15">
        <f t="shared" ref="AT389:AT452" si="264">SUM(AP389:AS389)</f>
        <v>0</v>
      </c>
      <c r="AU389" s="32"/>
      <c r="AV389" s="13"/>
      <c r="AW389" s="13"/>
      <c r="AX389" s="14"/>
      <c r="AY389" s="15">
        <f t="shared" ref="AY389:AY452" si="265">SUM(AU389:AX389)</f>
        <v>0</v>
      </c>
      <c r="AZ389" s="32"/>
      <c r="BA389" s="13"/>
      <c r="BB389" s="13"/>
      <c r="BC389" s="14"/>
      <c r="BD389" s="15">
        <f t="shared" ref="BD389:BD452" si="266">SUM(AZ389:BC389)</f>
        <v>0</v>
      </c>
      <c r="BE389" s="32"/>
      <c r="BF389" s="13">
        <v>17</v>
      </c>
      <c r="BG389" s="13"/>
      <c r="BH389" s="14"/>
      <c r="BI389" s="15">
        <f t="shared" ref="BI389:BI452" si="267">SUM(BE389:BH389)</f>
        <v>17</v>
      </c>
      <c r="BJ389" s="32"/>
      <c r="BK389" s="13"/>
      <c r="BL389" s="13"/>
      <c r="BM389" s="14"/>
      <c r="BN389" s="15">
        <f t="shared" ref="BN389:BN452" si="268">SUM(BJ389:BM389)</f>
        <v>0</v>
      </c>
      <c r="BO389" s="66">
        <f>SUM(G389,L389,Q389,V389,AA389,AF389,AK389,AP389,AU389,AZ389,BE389,BJ389)</f>
        <v>0</v>
      </c>
      <c r="BP389" s="13">
        <f>SUM(H389,M389,R389,W389,AB389,AG389,AL389,AQ389,AV389,BA389,BF389,BK389)</f>
        <v>17</v>
      </c>
      <c r="BQ389" s="13">
        <f>SUM(I389,N389,S389,X389,AC389,AH389,AM389,AR389,AW389,BB389,BG389,BL389)</f>
        <v>0</v>
      </c>
      <c r="BR389" s="14">
        <f>SUM(J389,O389,T389,Y389,AD389,AI389,AN389,AS389,AX389,BC389,BH389,BM389)</f>
        <v>0</v>
      </c>
      <c r="BS389" s="33">
        <f t="shared" si="256"/>
        <v>17</v>
      </c>
    </row>
    <row r="390" spans="2:71" x14ac:dyDescent="0.3">
      <c r="B390" s="264"/>
      <c r="C390" s="223"/>
      <c r="D390" s="224"/>
      <c r="E390" s="211"/>
      <c r="F390" s="121" t="s">
        <v>791</v>
      </c>
      <c r="G390" s="32"/>
      <c r="H390" s="13"/>
      <c r="I390" s="13"/>
      <c r="J390" s="14"/>
      <c r="K390" s="15">
        <f t="shared" si="257"/>
        <v>0</v>
      </c>
      <c r="L390" s="32"/>
      <c r="M390" s="13"/>
      <c r="N390" s="13"/>
      <c r="O390" s="14"/>
      <c r="P390" s="15">
        <f t="shared" si="258"/>
        <v>0</v>
      </c>
      <c r="Q390" s="32"/>
      <c r="R390" s="13"/>
      <c r="S390" s="13"/>
      <c r="T390" s="14"/>
      <c r="U390" s="15">
        <f t="shared" si="259"/>
        <v>0</v>
      </c>
      <c r="V390" s="32"/>
      <c r="W390" s="13"/>
      <c r="X390" s="13"/>
      <c r="Y390" s="14"/>
      <c r="Z390" s="15">
        <f t="shared" si="260"/>
        <v>0</v>
      </c>
      <c r="AA390" s="32"/>
      <c r="AB390" s="13"/>
      <c r="AC390" s="13"/>
      <c r="AD390" s="14"/>
      <c r="AE390" s="15">
        <f t="shared" si="261"/>
        <v>0</v>
      </c>
      <c r="AF390" s="32"/>
      <c r="AG390" s="13"/>
      <c r="AH390" s="13"/>
      <c r="AI390" s="14"/>
      <c r="AJ390" s="15">
        <f t="shared" si="262"/>
        <v>0</v>
      </c>
      <c r="AK390" s="32"/>
      <c r="AL390" s="13"/>
      <c r="AM390" s="13"/>
      <c r="AN390" s="14"/>
      <c r="AO390" s="15">
        <f t="shared" si="263"/>
        <v>0</v>
      </c>
      <c r="AP390" s="32"/>
      <c r="AQ390" s="13"/>
      <c r="AR390" s="13"/>
      <c r="AS390" s="14"/>
      <c r="AT390" s="15">
        <f t="shared" si="264"/>
        <v>0</v>
      </c>
      <c r="AU390" s="32"/>
      <c r="AV390" s="13"/>
      <c r="AW390" s="13"/>
      <c r="AX390" s="14"/>
      <c r="AY390" s="15">
        <f t="shared" si="265"/>
        <v>0</v>
      </c>
      <c r="AZ390" s="32"/>
      <c r="BA390" s="13">
        <v>2</v>
      </c>
      <c r="BB390" s="13"/>
      <c r="BC390" s="14"/>
      <c r="BD390" s="15">
        <f t="shared" si="266"/>
        <v>2</v>
      </c>
      <c r="BE390" s="32"/>
      <c r="BF390" s="13">
        <v>4</v>
      </c>
      <c r="BG390" s="13"/>
      <c r="BH390" s="14"/>
      <c r="BI390" s="15">
        <f t="shared" si="267"/>
        <v>4</v>
      </c>
      <c r="BJ390" s="32"/>
      <c r="BK390" s="13"/>
      <c r="BL390" s="13"/>
      <c r="BM390" s="14"/>
      <c r="BN390" s="15">
        <f t="shared" si="268"/>
        <v>0</v>
      </c>
      <c r="BO390" s="66">
        <f>SUM(G390,L390,Q390,V390,AA390,AF390,AK390,AP390,AU390,AZ390,BE390,BJ390)</f>
        <v>0</v>
      </c>
      <c r="BP390" s="13">
        <f>SUM(H390,M390,R390,W390,AB390,AG390,AL390,AQ390,AV390,BA390,BF390,BK390)</f>
        <v>6</v>
      </c>
      <c r="BQ390" s="13">
        <f>SUM(I390,N390,S390,X390,AC390,AH390,AM390,AR390,AW390,BB390,BG390,BL390)</f>
        <v>0</v>
      </c>
      <c r="BR390" s="14">
        <f>SUM(J390,O390,T390,Y390,AD390,AI390,AN390,AS390,AX390,BC390,BH390,BM390)</f>
        <v>0</v>
      </c>
      <c r="BS390" s="33">
        <f t="shared" si="256"/>
        <v>6</v>
      </c>
    </row>
    <row r="391" spans="2:71" x14ac:dyDescent="0.3">
      <c r="B391" s="264"/>
      <c r="C391" s="223"/>
      <c r="D391" s="224"/>
      <c r="E391" s="211"/>
      <c r="F391" s="121" t="s">
        <v>792</v>
      </c>
      <c r="G391" s="32"/>
      <c r="H391" s="13"/>
      <c r="I391" s="13"/>
      <c r="J391" s="14"/>
      <c r="K391" s="15">
        <f t="shared" si="257"/>
        <v>0</v>
      </c>
      <c r="L391" s="32"/>
      <c r="M391" s="13"/>
      <c r="N391" s="13"/>
      <c r="O391" s="14"/>
      <c r="P391" s="15">
        <f t="shared" si="258"/>
        <v>0</v>
      </c>
      <c r="Q391" s="32"/>
      <c r="R391" s="13"/>
      <c r="S391" s="13"/>
      <c r="T391" s="14"/>
      <c r="U391" s="15">
        <f t="shared" si="259"/>
        <v>0</v>
      </c>
      <c r="V391" s="32"/>
      <c r="W391" s="13"/>
      <c r="X391" s="13"/>
      <c r="Y391" s="14"/>
      <c r="Z391" s="15">
        <f t="shared" si="260"/>
        <v>0</v>
      </c>
      <c r="AA391" s="32"/>
      <c r="AB391" s="13"/>
      <c r="AC391" s="13"/>
      <c r="AD391" s="14"/>
      <c r="AE391" s="15">
        <f t="shared" si="261"/>
        <v>0</v>
      </c>
      <c r="AF391" s="32"/>
      <c r="AG391" s="13"/>
      <c r="AH391" s="13"/>
      <c r="AI391" s="14"/>
      <c r="AJ391" s="15">
        <f t="shared" si="262"/>
        <v>0</v>
      </c>
      <c r="AK391" s="32"/>
      <c r="AL391" s="13"/>
      <c r="AM391" s="13"/>
      <c r="AN391" s="14"/>
      <c r="AO391" s="15">
        <f t="shared" si="263"/>
        <v>0</v>
      </c>
      <c r="AP391" s="32"/>
      <c r="AQ391" s="13"/>
      <c r="AR391" s="13"/>
      <c r="AS391" s="14"/>
      <c r="AT391" s="15">
        <f t="shared" si="264"/>
        <v>0</v>
      </c>
      <c r="AU391" s="32"/>
      <c r="AV391" s="13">
        <v>13</v>
      </c>
      <c r="AW391" s="13"/>
      <c r="AX391" s="14"/>
      <c r="AY391" s="15">
        <f t="shared" si="265"/>
        <v>13</v>
      </c>
      <c r="AZ391" s="32"/>
      <c r="BA391" s="13"/>
      <c r="BB391" s="13"/>
      <c r="BC391" s="14"/>
      <c r="BD391" s="15">
        <f t="shared" si="266"/>
        <v>0</v>
      </c>
      <c r="BE391" s="32"/>
      <c r="BF391" s="13"/>
      <c r="BG391" s="13"/>
      <c r="BH391" s="14"/>
      <c r="BI391" s="15">
        <f t="shared" si="267"/>
        <v>0</v>
      </c>
      <c r="BJ391" s="32"/>
      <c r="BK391" s="13"/>
      <c r="BL391" s="13"/>
      <c r="BM391" s="14"/>
      <c r="BN391" s="15">
        <f t="shared" si="268"/>
        <v>0</v>
      </c>
      <c r="BO391" s="66">
        <f>SUM(G391,L391,Q391,V391,AA391,AF391,AK391,AP391,AU391,AZ391,BE391,BJ391)</f>
        <v>0</v>
      </c>
      <c r="BP391" s="13">
        <f>SUM(H391,M391,R391,W391,AB391,AG391,AL391,AQ391,AV391,BA391,BF391,BK391)</f>
        <v>13</v>
      </c>
      <c r="BQ391" s="13">
        <f>SUM(I391,N391,S391,X391,AC391,AH391,AM391,AR391,AW391,BB391,BG391,BL391)</f>
        <v>0</v>
      </c>
      <c r="BR391" s="14">
        <f>SUM(J391,O391,T391,Y391,AD391,AI391,AN391,AS391,AX391,BC391,BH391,BM391)</f>
        <v>0</v>
      </c>
      <c r="BS391" s="33">
        <f t="shared" si="256"/>
        <v>13</v>
      </c>
    </row>
    <row r="392" spans="2:71" x14ac:dyDescent="0.3">
      <c r="B392" s="264"/>
      <c r="C392" s="223"/>
      <c r="D392" s="224"/>
      <c r="E392" s="211"/>
      <c r="F392" s="121" t="s">
        <v>793</v>
      </c>
      <c r="G392" s="32"/>
      <c r="H392" s="13"/>
      <c r="I392" s="13"/>
      <c r="J392" s="14"/>
      <c r="K392" s="15">
        <f t="shared" si="257"/>
        <v>0</v>
      </c>
      <c r="L392" s="32"/>
      <c r="M392" s="13"/>
      <c r="N392" s="13"/>
      <c r="O392" s="14"/>
      <c r="P392" s="15">
        <f t="shared" si="258"/>
        <v>0</v>
      </c>
      <c r="Q392" s="32"/>
      <c r="R392" s="13"/>
      <c r="S392" s="13"/>
      <c r="T392" s="14"/>
      <c r="U392" s="15">
        <f t="shared" si="259"/>
        <v>0</v>
      </c>
      <c r="V392" s="32"/>
      <c r="W392" s="13"/>
      <c r="X392" s="13"/>
      <c r="Y392" s="14"/>
      <c r="Z392" s="15">
        <f t="shared" si="260"/>
        <v>0</v>
      </c>
      <c r="AA392" s="32"/>
      <c r="AB392" s="13">
        <v>695</v>
      </c>
      <c r="AC392" s="13"/>
      <c r="AD392" s="14"/>
      <c r="AE392" s="15">
        <f t="shared" si="261"/>
        <v>695</v>
      </c>
      <c r="AF392" s="32"/>
      <c r="AG392" s="13"/>
      <c r="AH392" s="13"/>
      <c r="AI392" s="14"/>
      <c r="AJ392" s="15">
        <f t="shared" si="262"/>
        <v>0</v>
      </c>
      <c r="AK392" s="32"/>
      <c r="AL392" s="13"/>
      <c r="AM392" s="13"/>
      <c r="AN392" s="14"/>
      <c r="AO392" s="15">
        <f t="shared" si="263"/>
        <v>0</v>
      </c>
      <c r="AP392" s="32"/>
      <c r="AQ392" s="13"/>
      <c r="AR392" s="13"/>
      <c r="AS392" s="14"/>
      <c r="AT392" s="15">
        <f t="shared" si="264"/>
        <v>0</v>
      </c>
      <c r="AU392" s="32"/>
      <c r="AV392" s="13"/>
      <c r="AW392" s="13"/>
      <c r="AX392" s="14"/>
      <c r="AY392" s="15">
        <f t="shared" si="265"/>
        <v>0</v>
      </c>
      <c r="AZ392" s="32"/>
      <c r="BA392" s="13">
        <f>15799+1408</f>
        <v>17207</v>
      </c>
      <c r="BB392" s="13"/>
      <c r="BC392" s="14"/>
      <c r="BD392" s="15">
        <f t="shared" si="266"/>
        <v>17207</v>
      </c>
      <c r="BE392" s="32"/>
      <c r="BF392" s="13"/>
      <c r="BG392" s="13"/>
      <c r="BH392" s="14"/>
      <c r="BI392" s="15">
        <f t="shared" si="267"/>
        <v>0</v>
      </c>
      <c r="BJ392" s="32"/>
      <c r="BK392" s="13"/>
      <c r="BL392" s="13"/>
      <c r="BM392" s="14"/>
      <c r="BN392" s="15">
        <f t="shared" si="268"/>
        <v>0</v>
      </c>
      <c r="BO392" s="66">
        <f>SUM(G392,L392,Q392,V392,AA392,AF392,AK392,AP392,AU392,AZ392,BE392,BJ392)</f>
        <v>0</v>
      </c>
      <c r="BP392" s="13">
        <f>SUM(H392,M392,R392,W392,AB392,AG392,AL392,AQ392,AV392,BA392,BF392,BK392)</f>
        <v>17902</v>
      </c>
      <c r="BQ392" s="13">
        <f>SUM(I392,N392,S392,X392,AC392,AH392,AM392,AR392,AW392,BB392,BG392,BL392)</f>
        <v>0</v>
      </c>
      <c r="BR392" s="14">
        <f>SUM(J392,O392,T392,Y392,AD392,AI392,AN392,AS392,AX392,BC392,BH392,BM392)</f>
        <v>0</v>
      </c>
      <c r="BS392" s="33">
        <f t="shared" si="256"/>
        <v>17902</v>
      </c>
    </row>
    <row r="393" spans="2:71" x14ac:dyDescent="0.3">
      <c r="B393" s="264"/>
      <c r="C393" s="223"/>
      <c r="D393" s="224"/>
      <c r="E393" s="211"/>
      <c r="F393" s="121" t="s">
        <v>794</v>
      </c>
      <c r="G393" s="32"/>
      <c r="H393" s="13"/>
      <c r="I393" s="13"/>
      <c r="J393" s="14"/>
      <c r="K393" s="15">
        <f t="shared" ref="K393" si="269">SUM(G393:J393)</f>
        <v>0</v>
      </c>
      <c r="L393" s="32"/>
      <c r="M393" s="13"/>
      <c r="N393" s="13"/>
      <c r="O393" s="14"/>
      <c r="P393" s="15">
        <f t="shared" si="258"/>
        <v>0</v>
      </c>
      <c r="Q393" s="32"/>
      <c r="R393" s="13">
        <v>1</v>
      </c>
      <c r="S393" s="13"/>
      <c r="T393" s="14"/>
      <c r="U393" s="15">
        <f t="shared" si="259"/>
        <v>1</v>
      </c>
      <c r="V393" s="32"/>
      <c r="W393" s="13">
        <v>1093</v>
      </c>
      <c r="X393" s="13"/>
      <c r="Y393" s="14"/>
      <c r="Z393" s="15">
        <f t="shared" si="260"/>
        <v>1093</v>
      </c>
      <c r="AA393" s="32"/>
      <c r="AB393" s="13">
        <v>2195</v>
      </c>
      <c r="AC393" s="13"/>
      <c r="AD393" s="14"/>
      <c r="AE393" s="15">
        <f t="shared" si="261"/>
        <v>2195</v>
      </c>
      <c r="AF393" s="32"/>
      <c r="AG393" s="13">
        <v>292</v>
      </c>
      <c r="AH393" s="13"/>
      <c r="AI393" s="14"/>
      <c r="AJ393" s="15">
        <f t="shared" si="262"/>
        <v>292</v>
      </c>
      <c r="AK393" s="32"/>
      <c r="AL393" s="13">
        <v>28</v>
      </c>
      <c r="AM393" s="13"/>
      <c r="AN393" s="14"/>
      <c r="AO393" s="15">
        <f t="shared" si="263"/>
        <v>28</v>
      </c>
      <c r="AP393" s="32"/>
      <c r="AQ393" s="13"/>
      <c r="AR393" s="13"/>
      <c r="AS393" s="14"/>
      <c r="AT393" s="15">
        <f t="shared" si="264"/>
        <v>0</v>
      </c>
      <c r="AU393" s="32"/>
      <c r="AV393" s="13">
        <v>769</v>
      </c>
      <c r="AW393" s="13"/>
      <c r="AX393" s="14"/>
      <c r="AY393" s="15">
        <f t="shared" si="265"/>
        <v>769</v>
      </c>
      <c r="AZ393" s="32"/>
      <c r="BA393" s="13">
        <v>2134</v>
      </c>
      <c r="BB393" s="13"/>
      <c r="BC393" s="14"/>
      <c r="BD393" s="15">
        <f t="shared" si="266"/>
        <v>2134</v>
      </c>
      <c r="BE393" s="32"/>
      <c r="BF393" s="13">
        <v>232</v>
      </c>
      <c r="BG393" s="13"/>
      <c r="BH393" s="14"/>
      <c r="BI393" s="15">
        <f t="shared" si="267"/>
        <v>232</v>
      </c>
      <c r="BJ393" s="32"/>
      <c r="BK393" s="13">
        <v>133</v>
      </c>
      <c r="BL393" s="13"/>
      <c r="BM393" s="14"/>
      <c r="BN393" s="15">
        <f t="shared" si="268"/>
        <v>133</v>
      </c>
      <c r="BO393" s="66">
        <f>SUM(G393,L393,Q393,V393,AA393,AF393,AK393,AP393,AU393,AZ393,BE393,BJ393)</f>
        <v>0</v>
      </c>
      <c r="BP393" s="13">
        <f>SUM(H393,M393,R393,W393,AB393,AG393,AL393,AQ393,AV393,BA393,BF393,BK393)</f>
        <v>6877</v>
      </c>
      <c r="BQ393" s="13">
        <f>SUM(I393,N393,S393,X393,AC393,AH393,AM393,AR393,AW393,BB393,BG393,BL393)</f>
        <v>0</v>
      </c>
      <c r="BR393" s="14">
        <f>SUM(J393,O393,T393,Y393,AD393,AI393,AN393,AS393,AX393,BC393,BH393,BM393)</f>
        <v>0</v>
      </c>
      <c r="BS393" s="33">
        <f t="shared" si="256"/>
        <v>6877</v>
      </c>
    </row>
    <row r="394" spans="2:71" x14ac:dyDescent="0.3">
      <c r="B394" s="264"/>
      <c r="C394" s="223"/>
      <c r="D394" s="224"/>
      <c r="E394" s="212"/>
      <c r="F394" s="122" t="s">
        <v>186</v>
      </c>
      <c r="G394" s="135"/>
      <c r="H394" s="136">
        <v>1</v>
      </c>
      <c r="I394" s="136"/>
      <c r="J394" s="137"/>
      <c r="K394" s="138">
        <f t="shared" si="216"/>
        <v>1</v>
      </c>
      <c r="L394" s="135"/>
      <c r="M394" s="136">
        <v>2</v>
      </c>
      <c r="N394" s="136"/>
      <c r="O394" s="137"/>
      <c r="P394" s="138">
        <f t="shared" si="258"/>
        <v>2</v>
      </c>
      <c r="Q394" s="135"/>
      <c r="R394" s="136">
        <v>32</v>
      </c>
      <c r="S394" s="136"/>
      <c r="T394" s="137"/>
      <c r="U394" s="138">
        <f t="shared" si="259"/>
        <v>32</v>
      </c>
      <c r="V394" s="135"/>
      <c r="W394" s="136">
        <v>268</v>
      </c>
      <c r="X394" s="136"/>
      <c r="Y394" s="137"/>
      <c r="Z394" s="138">
        <f t="shared" si="260"/>
        <v>268</v>
      </c>
      <c r="AA394" s="135"/>
      <c r="AB394" s="136">
        <v>557</v>
      </c>
      <c r="AC394" s="136"/>
      <c r="AD394" s="137"/>
      <c r="AE394" s="138">
        <f t="shared" si="261"/>
        <v>557</v>
      </c>
      <c r="AF394" s="135"/>
      <c r="AG394" s="136">
        <v>37</v>
      </c>
      <c r="AH394" s="136"/>
      <c r="AI394" s="137"/>
      <c r="AJ394" s="138">
        <f t="shared" si="262"/>
        <v>37</v>
      </c>
      <c r="AK394" s="135"/>
      <c r="AL394" s="136"/>
      <c r="AM394" s="136"/>
      <c r="AN394" s="137"/>
      <c r="AO394" s="138">
        <f t="shared" si="263"/>
        <v>0</v>
      </c>
      <c r="AP394" s="135"/>
      <c r="AQ394" s="136"/>
      <c r="AR394" s="136"/>
      <c r="AS394" s="137"/>
      <c r="AT394" s="138">
        <f t="shared" si="264"/>
        <v>0</v>
      </c>
      <c r="AU394" s="135"/>
      <c r="AV394" s="136">
        <v>11</v>
      </c>
      <c r="AW394" s="136"/>
      <c r="AX394" s="137"/>
      <c r="AY394" s="138">
        <f t="shared" si="265"/>
        <v>11</v>
      </c>
      <c r="AZ394" s="135"/>
      <c r="BA394" s="136">
        <f>40+345</f>
        <v>385</v>
      </c>
      <c r="BB394" s="136"/>
      <c r="BC394" s="137"/>
      <c r="BD394" s="138">
        <f t="shared" si="266"/>
        <v>385</v>
      </c>
      <c r="BE394" s="135"/>
      <c r="BF394" s="136">
        <f>15+319</f>
        <v>334</v>
      </c>
      <c r="BG394" s="136"/>
      <c r="BH394" s="137"/>
      <c r="BI394" s="138">
        <f t="shared" si="267"/>
        <v>334</v>
      </c>
      <c r="BJ394" s="135"/>
      <c r="BK394" s="136">
        <v>282</v>
      </c>
      <c r="BL394" s="136"/>
      <c r="BM394" s="137"/>
      <c r="BN394" s="138">
        <f t="shared" si="268"/>
        <v>282</v>
      </c>
      <c r="BO394" s="140">
        <f>SUM(G394,L394,Q394,V394,AA394,AF394,AK394,AP394,AU394,AZ394,BE394,BJ394)</f>
        <v>0</v>
      </c>
      <c r="BP394" s="136">
        <f>SUM(H394,M394,R394,W394,AB394,AG394,AL394,AQ394,AV394,BA394,BF394,BK394)</f>
        <v>1909</v>
      </c>
      <c r="BQ394" s="136">
        <f>SUM(I394,N394,S394,X394,AC394,AH394,AM394,AR394,AW394,BB394,BG394,BL394)</f>
        <v>0</v>
      </c>
      <c r="BR394" s="137">
        <f>SUM(J394,O394,T394,Y394,AD394,AI394,AN394,AS394,AX394,BC394,BH394,BM394)</f>
        <v>0</v>
      </c>
      <c r="BS394" s="139">
        <f t="shared" si="200"/>
        <v>1909</v>
      </c>
    </row>
    <row r="395" spans="2:71" x14ac:dyDescent="0.3">
      <c r="B395" s="264"/>
      <c r="C395" s="223"/>
      <c r="D395" s="224"/>
      <c r="E395" s="165" t="s">
        <v>5</v>
      </c>
      <c r="F395" s="146" t="s">
        <v>135</v>
      </c>
      <c r="G395" s="153"/>
      <c r="H395" s="154">
        <v>30</v>
      </c>
      <c r="I395" s="154"/>
      <c r="J395" s="155"/>
      <c r="K395" s="156">
        <f t="shared" si="216"/>
        <v>30</v>
      </c>
      <c r="L395" s="153"/>
      <c r="M395" s="154"/>
      <c r="N395" s="154"/>
      <c r="O395" s="155"/>
      <c r="P395" s="156">
        <f t="shared" si="258"/>
        <v>0</v>
      </c>
      <c r="Q395" s="153"/>
      <c r="R395" s="154">
        <v>266</v>
      </c>
      <c r="S395" s="154"/>
      <c r="T395" s="155"/>
      <c r="U395" s="156">
        <f t="shared" si="259"/>
        <v>266</v>
      </c>
      <c r="V395" s="153"/>
      <c r="W395" s="154"/>
      <c r="X395" s="154"/>
      <c r="Y395" s="155"/>
      <c r="Z395" s="156">
        <f t="shared" si="260"/>
        <v>0</v>
      </c>
      <c r="AA395" s="153"/>
      <c r="AB395" s="154">
        <v>724</v>
      </c>
      <c r="AC395" s="154"/>
      <c r="AD395" s="155"/>
      <c r="AE395" s="156">
        <f t="shared" si="261"/>
        <v>724</v>
      </c>
      <c r="AF395" s="153"/>
      <c r="AG395" s="154"/>
      <c r="AH395" s="154"/>
      <c r="AI395" s="155"/>
      <c r="AJ395" s="156">
        <f t="shared" si="262"/>
        <v>0</v>
      </c>
      <c r="AK395" s="153"/>
      <c r="AL395" s="154"/>
      <c r="AM395" s="154"/>
      <c r="AN395" s="155"/>
      <c r="AO395" s="156">
        <f t="shared" si="263"/>
        <v>0</v>
      </c>
      <c r="AP395" s="153"/>
      <c r="AQ395" s="154"/>
      <c r="AR395" s="154"/>
      <c r="AS395" s="155"/>
      <c r="AT395" s="156">
        <f t="shared" si="264"/>
        <v>0</v>
      </c>
      <c r="AU395" s="153"/>
      <c r="AV395" s="154">
        <v>211</v>
      </c>
      <c r="AW395" s="154"/>
      <c r="AX395" s="155"/>
      <c r="AY395" s="156">
        <f t="shared" si="265"/>
        <v>211</v>
      </c>
      <c r="AZ395" s="153"/>
      <c r="BA395" s="154">
        <v>33</v>
      </c>
      <c r="BB395" s="154"/>
      <c r="BC395" s="155"/>
      <c r="BD395" s="156">
        <f t="shared" si="266"/>
        <v>33</v>
      </c>
      <c r="BE395" s="153"/>
      <c r="BF395" s="154"/>
      <c r="BG395" s="154"/>
      <c r="BH395" s="155"/>
      <c r="BI395" s="156">
        <f t="shared" si="267"/>
        <v>0</v>
      </c>
      <c r="BJ395" s="153"/>
      <c r="BK395" s="154"/>
      <c r="BL395" s="154"/>
      <c r="BM395" s="155"/>
      <c r="BN395" s="156">
        <f t="shared" si="268"/>
        <v>0</v>
      </c>
      <c r="BO395" s="158">
        <f>SUM(G395,L395,Q395,V395,AA395,AF395,AK395,AP395,AU395,AZ395,BE395,BJ395)</f>
        <v>0</v>
      </c>
      <c r="BP395" s="154">
        <f>SUM(H395,M395,R395,W395,AB395,AG395,AL395,AQ395,AV395,BA395,BF395,BK395)</f>
        <v>1264</v>
      </c>
      <c r="BQ395" s="154">
        <f>SUM(I395,N395,S395,X395,AC395,AH395,AM395,AR395,AW395,BB395,BG395,BL395)</f>
        <v>0</v>
      </c>
      <c r="BR395" s="155">
        <f>SUM(J395,O395,T395,Y395,AD395,AI395,AN395,AS395,AX395,BC395,BH395,BM395)</f>
        <v>0</v>
      </c>
      <c r="BS395" s="157">
        <f t="shared" si="200"/>
        <v>1264</v>
      </c>
    </row>
    <row r="396" spans="2:71" x14ac:dyDescent="0.3">
      <c r="B396" s="264"/>
      <c r="C396" s="225"/>
      <c r="D396" s="226"/>
      <c r="E396" s="115"/>
      <c r="F396" s="115" t="s">
        <v>4</v>
      </c>
      <c r="G396" s="159">
        <f>SUM(G378:G395)</f>
        <v>0</v>
      </c>
      <c r="H396" s="160">
        <f>SUM(H378:H395)</f>
        <v>44</v>
      </c>
      <c r="I396" s="160">
        <f>SUM(I378:I395)</f>
        <v>119</v>
      </c>
      <c r="J396" s="161">
        <f>SUM(J378:J395)</f>
        <v>0</v>
      </c>
      <c r="K396" s="162">
        <f t="shared" si="216"/>
        <v>163</v>
      </c>
      <c r="L396" s="159">
        <f>SUM(L378:L395)</f>
        <v>0</v>
      </c>
      <c r="M396" s="160">
        <f>SUM(M378:M395)</f>
        <v>2</v>
      </c>
      <c r="N396" s="160">
        <f>SUM(N378:N395)</f>
        <v>20</v>
      </c>
      <c r="O396" s="161">
        <f>SUM(O378:O395)</f>
        <v>0</v>
      </c>
      <c r="P396" s="162">
        <f t="shared" si="258"/>
        <v>22</v>
      </c>
      <c r="Q396" s="159">
        <f>SUM(Q378:Q395)</f>
        <v>0</v>
      </c>
      <c r="R396" s="160">
        <f>SUM(R378:R395)</f>
        <v>810</v>
      </c>
      <c r="S396" s="160">
        <f>SUM(S378:S395)</f>
        <v>125</v>
      </c>
      <c r="T396" s="161">
        <f>SUM(T378:T395)</f>
        <v>0</v>
      </c>
      <c r="U396" s="162">
        <f t="shared" si="259"/>
        <v>935</v>
      </c>
      <c r="V396" s="159">
        <f>SUM(V378:V395)</f>
        <v>0</v>
      </c>
      <c r="W396" s="160">
        <f>SUM(W378:W395)</f>
        <v>15404</v>
      </c>
      <c r="X396" s="160">
        <f>SUM(X378:X395)</f>
        <v>2549</v>
      </c>
      <c r="Y396" s="161">
        <f>SUM(Y378:Y395)</f>
        <v>0</v>
      </c>
      <c r="Z396" s="162">
        <f t="shared" si="260"/>
        <v>17953</v>
      </c>
      <c r="AA396" s="159">
        <f>SUM(AA378:AA395)</f>
        <v>0</v>
      </c>
      <c r="AB396" s="160">
        <f>SUM(AB378:AB395)</f>
        <v>30768</v>
      </c>
      <c r="AC396" s="160">
        <f>SUM(AC378:AC395)</f>
        <v>1881</v>
      </c>
      <c r="AD396" s="161">
        <f>SUM(AD378:AD395)</f>
        <v>0</v>
      </c>
      <c r="AE396" s="162">
        <f t="shared" si="261"/>
        <v>32649</v>
      </c>
      <c r="AF396" s="159">
        <f>SUM(AF378:AF395)</f>
        <v>0</v>
      </c>
      <c r="AG396" s="160">
        <f>SUM(AG378:AG395)</f>
        <v>3976</v>
      </c>
      <c r="AH396" s="160">
        <f>SUM(AH378:AH395)</f>
        <v>646</v>
      </c>
      <c r="AI396" s="161">
        <f>SUM(AI378:AI395)</f>
        <v>0</v>
      </c>
      <c r="AJ396" s="162">
        <f t="shared" si="262"/>
        <v>4622</v>
      </c>
      <c r="AK396" s="159">
        <f>SUM(AK378:AK395)</f>
        <v>0</v>
      </c>
      <c r="AL396" s="160">
        <f>SUM(AL378:AL395)</f>
        <v>409</v>
      </c>
      <c r="AM396" s="160">
        <f>SUM(AM378:AM395)</f>
        <v>19</v>
      </c>
      <c r="AN396" s="161">
        <f>SUM(AN378:AN395)</f>
        <v>0</v>
      </c>
      <c r="AO396" s="162">
        <f t="shared" si="263"/>
        <v>428</v>
      </c>
      <c r="AP396" s="159">
        <f>SUM(AP378:AP395)</f>
        <v>0</v>
      </c>
      <c r="AQ396" s="160">
        <f>SUM(AQ378:AQ395)</f>
        <v>56</v>
      </c>
      <c r="AR396" s="160">
        <f>SUM(AR378:AR395)</f>
        <v>12</v>
      </c>
      <c r="AS396" s="161">
        <f>SUM(AS378:AS395)</f>
        <v>0</v>
      </c>
      <c r="AT396" s="162">
        <f t="shared" si="264"/>
        <v>68</v>
      </c>
      <c r="AU396" s="159">
        <f>SUM(AU378:AU395)</f>
        <v>0</v>
      </c>
      <c r="AV396" s="160">
        <f>SUM(AV378:AV395)</f>
        <v>10214</v>
      </c>
      <c r="AW396" s="160">
        <f>SUM(AW378:AW395)</f>
        <v>1859</v>
      </c>
      <c r="AX396" s="161">
        <f>SUM(AX378:AX395)</f>
        <v>0</v>
      </c>
      <c r="AY396" s="162">
        <f t="shared" si="265"/>
        <v>12073</v>
      </c>
      <c r="AZ396" s="159">
        <f>SUM(AZ378:AZ395)</f>
        <v>0</v>
      </c>
      <c r="BA396" s="160">
        <f>SUM(BA378:BA395)</f>
        <v>34362</v>
      </c>
      <c r="BB396" s="160">
        <f>SUM(BB378:BB395)</f>
        <v>4024</v>
      </c>
      <c r="BC396" s="161">
        <f>SUM(BC378:BC395)</f>
        <v>0</v>
      </c>
      <c r="BD396" s="162">
        <f t="shared" si="266"/>
        <v>38386</v>
      </c>
      <c r="BE396" s="159">
        <f>SUM(BE378:BE395)</f>
        <v>0</v>
      </c>
      <c r="BF396" s="160">
        <f>SUM(BF378:BF395)</f>
        <v>3324</v>
      </c>
      <c r="BG396" s="160">
        <f>SUM(BG378:BG395)</f>
        <v>1187</v>
      </c>
      <c r="BH396" s="161">
        <f>SUM(BH378:BH395)</f>
        <v>0</v>
      </c>
      <c r="BI396" s="162">
        <f t="shared" si="267"/>
        <v>4511</v>
      </c>
      <c r="BJ396" s="159">
        <f>SUM(BJ378:BJ395)</f>
        <v>0</v>
      </c>
      <c r="BK396" s="160">
        <f>SUM(BK378:BK395)</f>
        <v>1047</v>
      </c>
      <c r="BL396" s="160">
        <f>SUM(BL378:BL395)</f>
        <v>55</v>
      </c>
      <c r="BM396" s="161">
        <f>SUM(BM378:BM395)</f>
        <v>0</v>
      </c>
      <c r="BN396" s="162">
        <f t="shared" si="268"/>
        <v>1102</v>
      </c>
      <c r="BO396" s="164">
        <f>SUM(BO378:BO395)</f>
        <v>0</v>
      </c>
      <c r="BP396" s="160">
        <f>SUM(BP378:BP395)</f>
        <v>100416</v>
      </c>
      <c r="BQ396" s="160">
        <f>SUM(BQ378:BQ395)</f>
        <v>12496</v>
      </c>
      <c r="BR396" s="161">
        <f>SUM(BR378:BR395)</f>
        <v>0</v>
      </c>
      <c r="BS396" s="163">
        <f t="shared" si="200"/>
        <v>112912</v>
      </c>
    </row>
    <row r="397" spans="2:71" x14ac:dyDescent="0.3">
      <c r="B397" s="264"/>
      <c r="C397" s="227" t="s">
        <v>10</v>
      </c>
      <c r="D397" s="228"/>
      <c r="E397" s="210" t="s">
        <v>10</v>
      </c>
      <c r="F397" s="141" t="s">
        <v>543</v>
      </c>
      <c r="G397" s="30"/>
      <c r="H397" s="7"/>
      <c r="I397" s="7"/>
      <c r="J397" s="8">
        <f>85+2185</f>
        <v>2270</v>
      </c>
      <c r="K397" s="9">
        <f t="shared" si="216"/>
        <v>2270</v>
      </c>
      <c r="L397" s="30"/>
      <c r="M397" s="7"/>
      <c r="N397" s="7"/>
      <c r="O397" s="8">
        <f>14+1040</f>
        <v>1054</v>
      </c>
      <c r="P397" s="9">
        <f t="shared" si="258"/>
        <v>1054</v>
      </c>
      <c r="Q397" s="30"/>
      <c r="R397" s="7"/>
      <c r="S397" s="7"/>
      <c r="T397" s="8"/>
      <c r="U397" s="9">
        <f t="shared" si="259"/>
        <v>0</v>
      </c>
      <c r="V397" s="30"/>
      <c r="W397" s="7"/>
      <c r="X397" s="7"/>
      <c r="Y397" s="8"/>
      <c r="Z397" s="9">
        <f t="shared" si="260"/>
        <v>0</v>
      </c>
      <c r="AA397" s="30"/>
      <c r="AB397" s="7"/>
      <c r="AC397" s="7"/>
      <c r="AD397" s="8"/>
      <c r="AE397" s="9">
        <f t="shared" si="261"/>
        <v>0</v>
      </c>
      <c r="AF397" s="30"/>
      <c r="AG397" s="7"/>
      <c r="AH397" s="7"/>
      <c r="AI397" s="8"/>
      <c r="AJ397" s="9">
        <f t="shared" si="262"/>
        <v>0</v>
      </c>
      <c r="AK397" s="30"/>
      <c r="AL397" s="7"/>
      <c r="AM397" s="7"/>
      <c r="AN397" s="8"/>
      <c r="AO397" s="9">
        <f t="shared" si="263"/>
        <v>0</v>
      </c>
      <c r="AP397" s="30"/>
      <c r="AQ397" s="7"/>
      <c r="AR397" s="7"/>
      <c r="AS397" s="8"/>
      <c r="AT397" s="9">
        <f t="shared" si="264"/>
        <v>0</v>
      </c>
      <c r="AU397" s="30"/>
      <c r="AV397" s="7"/>
      <c r="AW397" s="7"/>
      <c r="AX397" s="8"/>
      <c r="AY397" s="9">
        <f t="shared" si="265"/>
        <v>0</v>
      </c>
      <c r="AZ397" s="30"/>
      <c r="BA397" s="7"/>
      <c r="BB397" s="7"/>
      <c r="BC397" s="8"/>
      <c r="BD397" s="9">
        <f t="shared" si="266"/>
        <v>0</v>
      </c>
      <c r="BE397" s="30"/>
      <c r="BF397" s="7"/>
      <c r="BG397" s="7"/>
      <c r="BH397" s="8"/>
      <c r="BI397" s="9">
        <f t="shared" si="267"/>
        <v>0</v>
      </c>
      <c r="BJ397" s="30"/>
      <c r="BK397" s="7"/>
      <c r="BL397" s="7"/>
      <c r="BM397" s="8">
        <v>395</v>
      </c>
      <c r="BN397" s="9">
        <f t="shared" si="268"/>
        <v>395</v>
      </c>
      <c r="BO397" s="65">
        <f>SUM(G397,L397,Q397,V397,AA397,AF397,AK397,AP397,AU397,AZ397,BE397,BJ397)</f>
        <v>0</v>
      </c>
      <c r="BP397" s="7">
        <f>SUM(H397,M397,R397,W397,AB397,AG397,AL397,AQ397,AV397,BA397,BF397,BK397)</f>
        <v>0</v>
      </c>
      <c r="BQ397" s="7">
        <f>SUM(I397,N397,S397,X397,AC397,AH397,AM397,AR397,AW397,BB397,BG397,BL397)</f>
        <v>0</v>
      </c>
      <c r="BR397" s="8">
        <f>SUM(J397,O397,T397,Y397,AD397,AI397,AN397,AS397,AX397,BC397,BH397,BM397)</f>
        <v>3719</v>
      </c>
      <c r="BS397" s="31">
        <f t="shared" si="200"/>
        <v>3719</v>
      </c>
    </row>
    <row r="398" spans="2:71" x14ac:dyDescent="0.3">
      <c r="B398" s="264"/>
      <c r="C398" s="223"/>
      <c r="D398" s="224"/>
      <c r="E398" s="211"/>
      <c r="F398" s="104" t="s">
        <v>795</v>
      </c>
      <c r="G398" s="34"/>
      <c r="H398" s="16"/>
      <c r="I398" s="16"/>
      <c r="J398" s="17"/>
      <c r="K398" s="18">
        <f t="shared" si="216"/>
        <v>0</v>
      </c>
      <c r="L398" s="34"/>
      <c r="M398" s="16"/>
      <c r="N398" s="16"/>
      <c r="O398" s="17"/>
      <c r="P398" s="18">
        <f t="shared" si="258"/>
        <v>0</v>
      </c>
      <c r="Q398" s="34"/>
      <c r="R398" s="16"/>
      <c r="S398" s="16"/>
      <c r="T398" s="17">
        <v>94</v>
      </c>
      <c r="U398" s="18">
        <f t="shared" si="259"/>
        <v>94</v>
      </c>
      <c r="V398" s="34"/>
      <c r="W398" s="16"/>
      <c r="X398" s="16"/>
      <c r="Y398" s="17"/>
      <c r="Z398" s="18">
        <f t="shared" si="260"/>
        <v>0</v>
      </c>
      <c r="AA398" s="34"/>
      <c r="AB398" s="16"/>
      <c r="AC398" s="16"/>
      <c r="AD398" s="17"/>
      <c r="AE398" s="18">
        <f t="shared" si="261"/>
        <v>0</v>
      </c>
      <c r="AF398" s="34"/>
      <c r="AG398" s="16"/>
      <c r="AH398" s="16"/>
      <c r="AI398" s="17"/>
      <c r="AJ398" s="18">
        <f t="shared" si="262"/>
        <v>0</v>
      </c>
      <c r="AK398" s="34"/>
      <c r="AL398" s="16"/>
      <c r="AM398" s="16"/>
      <c r="AN398" s="17"/>
      <c r="AO398" s="18">
        <f t="shared" si="263"/>
        <v>0</v>
      </c>
      <c r="AP398" s="34"/>
      <c r="AQ398" s="16"/>
      <c r="AR398" s="16"/>
      <c r="AS398" s="17"/>
      <c r="AT398" s="18">
        <f t="shared" si="264"/>
        <v>0</v>
      </c>
      <c r="AU398" s="34"/>
      <c r="AV398" s="16"/>
      <c r="AW398" s="16"/>
      <c r="AX398" s="17"/>
      <c r="AY398" s="18">
        <f t="shared" si="265"/>
        <v>0</v>
      </c>
      <c r="AZ398" s="34"/>
      <c r="BA398" s="16"/>
      <c r="BB398" s="16"/>
      <c r="BC398" s="17"/>
      <c r="BD398" s="18">
        <f t="shared" si="266"/>
        <v>0</v>
      </c>
      <c r="BE398" s="34"/>
      <c r="BF398" s="16"/>
      <c r="BG398" s="16"/>
      <c r="BH398" s="17">
        <v>2306</v>
      </c>
      <c r="BI398" s="18">
        <f t="shared" si="267"/>
        <v>2306</v>
      </c>
      <c r="BJ398" s="34"/>
      <c r="BK398" s="16"/>
      <c r="BL398" s="16"/>
      <c r="BM398" s="17"/>
      <c r="BN398" s="18">
        <f t="shared" si="268"/>
        <v>0</v>
      </c>
      <c r="BO398" s="70">
        <f>SUM(G398,L398,Q398,V398,AA398,AF398,AK398,AP398,AU398,AZ398,BE398,BJ398)</f>
        <v>0</v>
      </c>
      <c r="BP398" s="16">
        <f>SUM(H398,M398,R398,W398,AB398,AG398,AL398,AQ398,AV398,BA398,BF398,BK398)</f>
        <v>0</v>
      </c>
      <c r="BQ398" s="16">
        <f>SUM(I398,N398,S398,X398,AC398,AH398,AM398,AR398,AW398,BB398,BG398,BL398)</f>
        <v>0</v>
      </c>
      <c r="BR398" s="17">
        <f>SUM(J398,O398,T398,Y398,AD398,AI398,AN398,AS398,AX398,BC398,BH398,BM398)</f>
        <v>2400</v>
      </c>
      <c r="BS398" s="35">
        <f t="shared" si="200"/>
        <v>2400</v>
      </c>
    </row>
    <row r="399" spans="2:71" x14ac:dyDescent="0.3">
      <c r="B399" s="264"/>
      <c r="C399" s="223"/>
      <c r="D399" s="224"/>
      <c r="E399" s="211"/>
      <c r="F399" s="104" t="s">
        <v>796</v>
      </c>
      <c r="G399" s="34"/>
      <c r="H399" s="16"/>
      <c r="I399" s="16"/>
      <c r="J399" s="17"/>
      <c r="K399" s="18">
        <f t="shared" si="216"/>
        <v>0</v>
      </c>
      <c r="L399" s="34"/>
      <c r="M399" s="16"/>
      <c r="N399" s="16"/>
      <c r="O399" s="17"/>
      <c r="P399" s="18">
        <f t="shared" si="258"/>
        <v>0</v>
      </c>
      <c r="Q399" s="34"/>
      <c r="R399" s="16"/>
      <c r="S399" s="16"/>
      <c r="T399" s="17"/>
      <c r="U399" s="18">
        <f t="shared" si="259"/>
        <v>0</v>
      </c>
      <c r="V399" s="34"/>
      <c r="W399" s="16"/>
      <c r="X399" s="16"/>
      <c r="Y399" s="17">
        <f>4815+126</f>
        <v>4941</v>
      </c>
      <c r="Z399" s="18">
        <f t="shared" si="260"/>
        <v>4941</v>
      </c>
      <c r="AA399" s="34"/>
      <c r="AB399" s="16"/>
      <c r="AC399" s="16"/>
      <c r="AD399" s="17">
        <v>4876</v>
      </c>
      <c r="AE399" s="18">
        <f t="shared" si="261"/>
        <v>4876</v>
      </c>
      <c r="AF399" s="34"/>
      <c r="AG399" s="16"/>
      <c r="AH399" s="16"/>
      <c r="AI399" s="17">
        <v>2</v>
      </c>
      <c r="AJ399" s="18">
        <f t="shared" si="262"/>
        <v>2</v>
      </c>
      <c r="AK399" s="34"/>
      <c r="AL399" s="16"/>
      <c r="AM399" s="16"/>
      <c r="AN399" s="17"/>
      <c r="AO399" s="18">
        <f t="shared" si="263"/>
        <v>0</v>
      </c>
      <c r="AP399" s="34"/>
      <c r="AQ399" s="16"/>
      <c r="AR399" s="16"/>
      <c r="AS399" s="17"/>
      <c r="AT399" s="18">
        <f t="shared" si="264"/>
        <v>0</v>
      </c>
      <c r="AU399" s="34"/>
      <c r="AV399" s="16"/>
      <c r="AW399" s="16"/>
      <c r="AX399" s="17">
        <v>3748</v>
      </c>
      <c r="AY399" s="18">
        <f t="shared" si="265"/>
        <v>3748</v>
      </c>
      <c r="AZ399" s="34"/>
      <c r="BA399" s="16"/>
      <c r="BB399" s="16"/>
      <c r="BC399" s="17">
        <v>8159</v>
      </c>
      <c r="BD399" s="18">
        <f t="shared" si="266"/>
        <v>8159</v>
      </c>
      <c r="BE399" s="34"/>
      <c r="BF399" s="16"/>
      <c r="BG399" s="16"/>
      <c r="BH399" s="17"/>
      <c r="BI399" s="18">
        <f t="shared" si="267"/>
        <v>0</v>
      </c>
      <c r="BJ399" s="34"/>
      <c r="BK399" s="16"/>
      <c r="BL399" s="16"/>
      <c r="BM399" s="17"/>
      <c r="BN399" s="18">
        <f t="shared" si="268"/>
        <v>0</v>
      </c>
      <c r="BO399" s="70">
        <f>SUM(G399,L399,Q399,V399,AA399,AF399,AK399,AP399,AU399,AZ399,BE399,BJ399)</f>
        <v>0</v>
      </c>
      <c r="BP399" s="16">
        <f>SUM(H399,M399,R399,W399,AB399,AG399,AL399,AQ399,AV399,BA399,BF399,BK399)</f>
        <v>0</v>
      </c>
      <c r="BQ399" s="16">
        <f>SUM(I399,N399,S399,X399,AC399,AH399,AM399,AR399,AW399,BB399,BG399,BL399)</f>
        <v>0</v>
      </c>
      <c r="BR399" s="17">
        <f>SUM(J399,O399,T399,Y399,AD399,AI399,AN399,AS399,AX399,BC399,BH399,BM399)</f>
        <v>21726</v>
      </c>
      <c r="BS399" s="35">
        <f t="shared" si="200"/>
        <v>21726</v>
      </c>
    </row>
    <row r="400" spans="2:71" x14ac:dyDescent="0.3">
      <c r="B400" s="264"/>
      <c r="C400" s="223"/>
      <c r="D400" s="224"/>
      <c r="E400" s="211"/>
      <c r="F400" s="149" t="s">
        <v>797</v>
      </c>
      <c r="G400" s="34"/>
      <c r="H400" s="16"/>
      <c r="I400" s="16"/>
      <c r="J400" s="17"/>
      <c r="K400" s="18">
        <f t="shared" si="216"/>
        <v>0</v>
      </c>
      <c r="L400" s="34"/>
      <c r="M400" s="16"/>
      <c r="N400" s="16"/>
      <c r="O400" s="17"/>
      <c r="P400" s="18">
        <f t="shared" si="258"/>
        <v>0</v>
      </c>
      <c r="Q400" s="34"/>
      <c r="R400" s="16"/>
      <c r="S400" s="16"/>
      <c r="T400" s="17"/>
      <c r="U400" s="18">
        <f t="shared" si="259"/>
        <v>0</v>
      </c>
      <c r="V400" s="34"/>
      <c r="W400" s="16"/>
      <c r="X400" s="16"/>
      <c r="Y400" s="17"/>
      <c r="Z400" s="18">
        <f t="shared" si="260"/>
        <v>0</v>
      </c>
      <c r="AA400" s="34"/>
      <c r="AB400" s="16"/>
      <c r="AC400" s="16"/>
      <c r="AD400" s="17">
        <v>15</v>
      </c>
      <c r="AE400" s="18">
        <f t="shared" si="261"/>
        <v>15</v>
      </c>
      <c r="AF400" s="34"/>
      <c r="AG400" s="16"/>
      <c r="AH400" s="16"/>
      <c r="AI400" s="17"/>
      <c r="AJ400" s="18">
        <f t="shared" si="262"/>
        <v>0</v>
      </c>
      <c r="AK400" s="34"/>
      <c r="AL400" s="16"/>
      <c r="AM400" s="16"/>
      <c r="AN400" s="17"/>
      <c r="AO400" s="18">
        <f t="shared" si="263"/>
        <v>0</v>
      </c>
      <c r="AP400" s="34"/>
      <c r="AQ400" s="16"/>
      <c r="AR400" s="16"/>
      <c r="AS400" s="17"/>
      <c r="AT400" s="18">
        <f t="shared" si="264"/>
        <v>0</v>
      </c>
      <c r="AU400" s="34"/>
      <c r="AV400" s="16"/>
      <c r="AW400" s="16"/>
      <c r="AX400" s="17">
        <v>76</v>
      </c>
      <c r="AY400" s="18">
        <f t="shared" si="265"/>
        <v>76</v>
      </c>
      <c r="AZ400" s="34"/>
      <c r="BA400" s="16"/>
      <c r="BB400" s="16"/>
      <c r="BC400" s="17"/>
      <c r="BD400" s="18">
        <f t="shared" si="266"/>
        <v>0</v>
      </c>
      <c r="BE400" s="34"/>
      <c r="BF400" s="16"/>
      <c r="BG400" s="16"/>
      <c r="BH400" s="17"/>
      <c r="BI400" s="18">
        <f t="shared" si="267"/>
        <v>0</v>
      </c>
      <c r="BJ400" s="34"/>
      <c r="BK400" s="16"/>
      <c r="BL400" s="16"/>
      <c r="BM400" s="17"/>
      <c r="BN400" s="18">
        <f t="shared" si="268"/>
        <v>0</v>
      </c>
      <c r="BO400" s="70">
        <f>SUM(G400,L400,Q400,V400,AA400,AF400,AK400,AP400,AU400,AZ400,BE400,BJ400)</f>
        <v>0</v>
      </c>
      <c r="BP400" s="16">
        <f>SUM(H400,M400,R400,W400,AB400,AG400,AL400,AQ400,AV400,BA400,BF400,BK400)</f>
        <v>0</v>
      </c>
      <c r="BQ400" s="16">
        <f>SUM(I400,N400,S400,X400,AC400,AH400,AM400,AR400,AW400,BB400,BG400,BL400)</f>
        <v>0</v>
      </c>
      <c r="BR400" s="17">
        <f>SUM(J400,O400,T400,Y400,AD400,AI400,AN400,AS400,AX400,BC400,BH400,BM400)</f>
        <v>91</v>
      </c>
      <c r="BS400" s="35">
        <f t="shared" si="200"/>
        <v>91</v>
      </c>
    </row>
    <row r="401" spans="2:71" x14ac:dyDescent="0.3">
      <c r="B401" s="264"/>
      <c r="C401" s="223"/>
      <c r="D401" s="224"/>
      <c r="E401" s="211"/>
      <c r="F401" s="149" t="s">
        <v>798</v>
      </c>
      <c r="G401" s="34"/>
      <c r="H401" s="16"/>
      <c r="I401" s="16"/>
      <c r="J401" s="17"/>
      <c r="K401" s="18">
        <f t="shared" si="216"/>
        <v>0</v>
      </c>
      <c r="L401" s="34"/>
      <c r="M401" s="16"/>
      <c r="N401" s="16"/>
      <c r="O401" s="17"/>
      <c r="P401" s="18">
        <f t="shared" si="258"/>
        <v>0</v>
      </c>
      <c r="Q401" s="34"/>
      <c r="R401" s="16"/>
      <c r="S401" s="16"/>
      <c r="T401" s="17"/>
      <c r="U401" s="18">
        <f t="shared" si="259"/>
        <v>0</v>
      </c>
      <c r="V401" s="34"/>
      <c r="W401" s="16"/>
      <c r="X401" s="16"/>
      <c r="Y401" s="17"/>
      <c r="Z401" s="18">
        <f t="shared" si="260"/>
        <v>0</v>
      </c>
      <c r="AA401" s="34"/>
      <c r="AB401" s="16"/>
      <c r="AC401" s="16"/>
      <c r="AD401" s="17"/>
      <c r="AE401" s="18">
        <f t="shared" si="261"/>
        <v>0</v>
      </c>
      <c r="AF401" s="34"/>
      <c r="AG401" s="16"/>
      <c r="AH401" s="16"/>
      <c r="AI401" s="17">
        <v>801</v>
      </c>
      <c r="AJ401" s="18">
        <f t="shared" si="262"/>
        <v>801</v>
      </c>
      <c r="AK401" s="34"/>
      <c r="AL401" s="16"/>
      <c r="AM401" s="16"/>
      <c r="AN401" s="17"/>
      <c r="AO401" s="18">
        <f t="shared" si="263"/>
        <v>0</v>
      </c>
      <c r="AP401" s="34"/>
      <c r="AQ401" s="16"/>
      <c r="AR401" s="16"/>
      <c r="AS401" s="17"/>
      <c r="AT401" s="18">
        <f t="shared" si="264"/>
        <v>0</v>
      </c>
      <c r="AU401" s="34"/>
      <c r="AV401" s="16"/>
      <c r="AW401" s="16"/>
      <c r="AX401" s="17"/>
      <c r="AY401" s="18">
        <f t="shared" si="265"/>
        <v>0</v>
      </c>
      <c r="AZ401" s="34"/>
      <c r="BA401" s="16"/>
      <c r="BB401" s="16"/>
      <c r="BC401" s="17"/>
      <c r="BD401" s="18">
        <f t="shared" si="266"/>
        <v>0</v>
      </c>
      <c r="BE401" s="34"/>
      <c r="BF401" s="16"/>
      <c r="BG401" s="16"/>
      <c r="BH401" s="17"/>
      <c r="BI401" s="18">
        <f t="shared" si="267"/>
        <v>0</v>
      </c>
      <c r="BJ401" s="34"/>
      <c r="BK401" s="16"/>
      <c r="BL401" s="16"/>
      <c r="BM401" s="17"/>
      <c r="BN401" s="18">
        <f t="shared" si="268"/>
        <v>0</v>
      </c>
      <c r="BO401" s="70">
        <f>SUM(G401,L401,Q401,V401,AA401,AF401,AK401,AP401,AU401,AZ401,BE401,BJ401)</f>
        <v>0</v>
      </c>
      <c r="BP401" s="16">
        <f>SUM(H401,M401,R401,W401,AB401,AG401,AL401,AQ401,AV401,BA401,BF401,BK401)</f>
        <v>0</v>
      </c>
      <c r="BQ401" s="16">
        <f>SUM(I401,N401,S401,X401,AC401,AH401,AM401,AR401,AW401,BB401,BG401,BL401)</f>
        <v>0</v>
      </c>
      <c r="BR401" s="17">
        <f>SUM(J401,O401,T401,Y401,AD401,AI401,AN401,AS401,AX401,BC401,BH401,BM401)</f>
        <v>801</v>
      </c>
      <c r="BS401" s="35">
        <f t="shared" si="200"/>
        <v>801</v>
      </c>
    </row>
    <row r="402" spans="2:71" x14ac:dyDescent="0.3">
      <c r="B402" s="264"/>
      <c r="C402" s="223"/>
      <c r="D402" s="224"/>
      <c r="E402" s="211"/>
      <c r="F402" s="149" t="s">
        <v>799</v>
      </c>
      <c r="G402" s="34"/>
      <c r="H402" s="16"/>
      <c r="I402" s="16"/>
      <c r="J402" s="17"/>
      <c r="K402" s="18">
        <f t="shared" si="216"/>
        <v>0</v>
      </c>
      <c r="L402" s="34"/>
      <c r="M402" s="16"/>
      <c r="N402" s="16"/>
      <c r="O402" s="17"/>
      <c r="P402" s="18">
        <f t="shared" si="258"/>
        <v>0</v>
      </c>
      <c r="Q402" s="34"/>
      <c r="R402" s="16"/>
      <c r="S402" s="16"/>
      <c r="T402" s="17"/>
      <c r="U402" s="18">
        <f t="shared" si="259"/>
        <v>0</v>
      </c>
      <c r="V402" s="34"/>
      <c r="W402" s="16"/>
      <c r="X402" s="16"/>
      <c r="Y402" s="17"/>
      <c r="Z402" s="18">
        <f t="shared" si="260"/>
        <v>0</v>
      </c>
      <c r="AA402" s="34"/>
      <c r="AB402" s="16"/>
      <c r="AC402" s="16"/>
      <c r="AD402" s="17"/>
      <c r="AE402" s="18">
        <f t="shared" si="261"/>
        <v>0</v>
      </c>
      <c r="AF402" s="34"/>
      <c r="AG402" s="16"/>
      <c r="AH402" s="16"/>
      <c r="AI402" s="17"/>
      <c r="AJ402" s="18">
        <f t="shared" si="262"/>
        <v>0</v>
      </c>
      <c r="AK402" s="34"/>
      <c r="AL402" s="16"/>
      <c r="AM402" s="16"/>
      <c r="AN402" s="17">
        <v>289</v>
      </c>
      <c r="AO402" s="18">
        <f t="shared" si="263"/>
        <v>289</v>
      </c>
      <c r="AP402" s="34"/>
      <c r="AQ402" s="16"/>
      <c r="AR402" s="16"/>
      <c r="AS402" s="17">
        <v>319</v>
      </c>
      <c r="AT402" s="18">
        <f t="shared" si="264"/>
        <v>319</v>
      </c>
      <c r="AU402" s="34"/>
      <c r="AV402" s="16"/>
      <c r="AW402" s="16"/>
      <c r="AX402" s="17"/>
      <c r="AY402" s="18">
        <f t="shared" si="265"/>
        <v>0</v>
      </c>
      <c r="AZ402" s="34"/>
      <c r="BA402" s="16"/>
      <c r="BB402" s="16"/>
      <c r="BC402" s="17"/>
      <c r="BD402" s="18">
        <f t="shared" si="266"/>
        <v>0</v>
      </c>
      <c r="BE402" s="34"/>
      <c r="BF402" s="16"/>
      <c r="BG402" s="16"/>
      <c r="BH402" s="17"/>
      <c r="BI402" s="18">
        <f t="shared" si="267"/>
        <v>0</v>
      </c>
      <c r="BJ402" s="34"/>
      <c r="BK402" s="16"/>
      <c r="BL402" s="16"/>
      <c r="BM402" s="17"/>
      <c r="BN402" s="18">
        <f t="shared" si="268"/>
        <v>0</v>
      </c>
      <c r="BO402" s="70">
        <f>SUM(G402,L402,Q402,V402,AA402,AF402,AK402,AP402,AU402,AZ402,BE402,BJ402)</f>
        <v>0</v>
      </c>
      <c r="BP402" s="16">
        <f>SUM(H402,M402,R402,W402,AB402,AG402,AL402,AQ402,AV402,BA402,BF402,BK402)</f>
        <v>0</v>
      </c>
      <c r="BQ402" s="16">
        <f>SUM(I402,N402,S402,X402,AC402,AH402,AM402,AR402,AW402,BB402,BG402,BL402)</f>
        <v>0</v>
      </c>
      <c r="BR402" s="17">
        <f>SUM(J402,O402,T402,Y402,AD402,AI402,AN402,AS402,AX402,BC402,BH402,BM402)</f>
        <v>608</v>
      </c>
      <c r="BS402" s="35">
        <f t="shared" si="200"/>
        <v>608</v>
      </c>
    </row>
    <row r="403" spans="2:71" x14ac:dyDescent="0.3">
      <c r="B403" s="264"/>
      <c r="C403" s="223"/>
      <c r="D403" s="224"/>
      <c r="E403" s="210" t="s">
        <v>92</v>
      </c>
      <c r="F403" s="141" t="s">
        <v>548</v>
      </c>
      <c r="G403" s="30"/>
      <c r="H403" s="7"/>
      <c r="I403" s="7"/>
      <c r="J403" s="8">
        <f>11986+33</f>
        <v>12019</v>
      </c>
      <c r="K403" s="9">
        <f t="shared" si="216"/>
        <v>12019</v>
      </c>
      <c r="L403" s="30"/>
      <c r="M403" s="7"/>
      <c r="N403" s="7"/>
      <c r="O403" s="8">
        <v>13247</v>
      </c>
      <c r="P403" s="9">
        <f t="shared" si="258"/>
        <v>13247</v>
      </c>
      <c r="Q403" s="30"/>
      <c r="R403" s="7"/>
      <c r="S403" s="7"/>
      <c r="T403" s="8"/>
      <c r="U403" s="9">
        <f t="shared" si="259"/>
        <v>0</v>
      </c>
      <c r="V403" s="30"/>
      <c r="W403" s="7"/>
      <c r="X403" s="7"/>
      <c r="Y403" s="8"/>
      <c r="Z403" s="9">
        <f t="shared" si="260"/>
        <v>0</v>
      </c>
      <c r="AA403" s="30"/>
      <c r="AB403" s="7"/>
      <c r="AC403" s="7"/>
      <c r="AD403" s="8"/>
      <c r="AE403" s="9">
        <f t="shared" si="261"/>
        <v>0</v>
      </c>
      <c r="AF403" s="30"/>
      <c r="AG403" s="7"/>
      <c r="AH403" s="7"/>
      <c r="AI403" s="8"/>
      <c r="AJ403" s="9">
        <f t="shared" si="262"/>
        <v>0</v>
      </c>
      <c r="AK403" s="30"/>
      <c r="AL403" s="7"/>
      <c r="AM403" s="7"/>
      <c r="AN403" s="8"/>
      <c r="AO403" s="9">
        <f t="shared" si="263"/>
        <v>0</v>
      </c>
      <c r="AP403" s="30"/>
      <c r="AQ403" s="7"/>
      <c r="AR403" s="7"/>
      <c r="AS403" s="8"/>
      <c r="AT403" s="9">
        <f t="shared" si="264"/>
        <v>0</v>
      </c>
      <c r="AU403" s="30"/>
      <c r="AV403" s="7"/>
      <c r="AW403" s="7"/>
      <c r="AX403" s="8"/>
      <c r="AY403" s="9">
        <f t="shared" si="265"/>
        <v>0</v>
      </c>
      <c r="AZ403" s="30"/>
      <c r="BA403" s="7"/>
      <c r="BB403" s="7"/>
      <c r="BC403" s="8"/>
      <c r="BD403" s="9">
        <f t="shared" si="266"/>
        <v>0</v>
      </c>
      <c r="BE403" s="30"/>
      <c r="BF403" s="7"/>
      <c r="BG403" s="7"/>
      <c r="BH403" s="8"/>
      <c r="BI403" s="9">
        <f t="shared" si="267"/>
        <v>0</v>
      </c>
      <c r="BJ403" s="30"/>
      <c r="BK403" s="7"/>
      <c r="BL403" s="7"/>
      <c r="BM403" s="8">
        <v>2883</v>
      </c>
      <c r="BN403" s="9">
        <f t="shared" si="268"/>
        <v>2883</v>
      </c>
      <c r="BO403" s="65">
        <f>SUM(G403,L403,Q403,V403,AA403,AF403,AK403,AP403,AU403,AZ403,BE403,BJ403)</f>
        <v>0</v>
      </c>
      <c r="BP403" s="7">
        <f>SUM(H403,M403,R403,W403,AB403,AG403,AL403,AQ403,AV403,BA403,BF403,BK403)</f>
        <v>0</v>
      </c>
      <c r="BQ403" s="7">
        <f>SUM(I403,N403,S403,X403,AC403,AH403,AM403,AR403,AW403,BB403,BG403,BL403)</f>
        <v>0</v>
      </c>
      <c r="BR403" s="8">
        <f>SUM(J403,O403,T403,Y403,AD403,AI403,AN403,AS403,AX403,BC403,BH403,BM403)</f>
        <v>28149</v>
      </c>
      <c r="BS403" s="31">
        <f t="shared" ref="BS403:BS491" si="270">SUM(BO403:BR403)</f>
        <v>28149</v>
      </c>
    </row>
    <row r="404" spans="2:71" x14ac:dyDescent="0.3">
      <c r="B404" s="264"/>
      <c r="C404" s="223"/>
      <c r="D404" s="224"/>
      <c r="E404" s="211"/>
      <c r="F404" s="142" t="s">
        <v>800</v>
      </c>
      <c r="G404" s="32"/>
      <c r="H404" s="13"/>
      <c r="I404" s="13"/>
      <c r="J404" s="14"/>
      <c r="K404" s="18">
        <f t="shared" ref="K404:K406" si="271">SUM(G404:J404)</f>
        <v>0</v>
      </c>
      <c r="L404" s="32"/>
      <c r="M404" s="13"/>
      <c r="N404" s="13"/>
      <c r="O404" s="14"/>
      <c r="P404" s="18">
        <f t="shared" si="258"/>
        <v>0</v>
      </c>
      <c r="Q404" s="32"/>
      <c r="R404" s="13"/>
      <c r="S404" s="13"/>
      <c r="T404" s="14">
        <v>4692</v>
      </c>
      <c r="U404" s="18">
        <f t="shared" si="259"/>
        <v>4692</v>
      </c>
      <c r="V404" s="32"/>
      <c r="W404" s="13"/>
      <c r="X404" s="13"/>
      <c r="Y404" s="14"/>
      <c r="Z404" s="18">
        <f t="shared" si="260"/>
        <v>0</v>
      </c>
      <c r="AA404" s="32"/>
      <c r="AB404" s="13"/>
      <c r="AC404" s="13"/>
      <c r="AD404" s="14"/>
      <c r="AE404" s="18">
        <f t="shared" si="261"/>
        <v>0</v>
      </c>
      <c r="AF404" s="32"/>
      <c r="AG404" s="13"/>
      <c r="AH404" s="13"/>
      <c r="AI404" s="14"/>
      <c r="AJ404" s="18">
        <f t="shared" si="262"/>
        <v>0</v>
      </c>
      <c r="AK404" s="32"/>
      <c r="AL404" s="13"/>
      <c r="AM404" s="13"/>
      <c r="AN404" s="14"/>
      <c r="AO404" s="18">
        <f t="shared" si="263"/>
        <v>0</v>
      </c>
      <c r="AP404" s="32"/>
      <c r="AQ404" s="13"/>
      <c r="AR404" s="13"/>
      <c r="AS404" s="14"/>
      <c r="AT404" s="18">
        <f t="shared" si="264"/>
        <v>0</v>
      </c>
      <c r="AU404" s="32"/>
      <c r="AV404" s="13"/>
      <c r="AW404" s="13"/>
      <c r="AX404" s="14"/>
      <c r="AY404" s="18">
        <f t="shared" si="265"/>
        <v>0</v>
      </c>
      <c r="AZ404" s="32"/>
      <c r="BA404" s="13"/>
      <c r="BB404" s="13"/>
      <c r="BC404" s="14"/>
      <c r="BD404" s="18">
        <f t="shared" si="266"/>
        <v>0</v>
      </c>
      <c r="BE404" s="32"/>
      <c r="BF404" s="13"/>
      <c r="BG404" s="13"/>
      <c r="BH404" s="14">
        <v>10258</v>
      </c>
      <c r="BI404" s="18">
        <f t="shared" si="267"/>
        <v>10258</v>
      </c>
      <c r="BJ404" s="32"/>
      <c r="BK404" s="13"/>
      <c r="BL404" s="13"/>
      <c r="BM404" s="14">
        <v>60</v>
      </c>
      <c r="BN404" s="18">
        <f t="shared" si="268"/>
        <v>60</v>
      </c>
      <c r="BO404" s="66">
        <f>SUM(G404,L404,Q404,V404,AA404,AF404,AK404,AP404,AU404,AZ404,BE404,BJ404)</f>
        <v>0</v>
      </c>
      <c r="BP404" s="13">
        <f>SUM(H404,M404,R404,W404,AB404,AG404,AL404,AQ404,AV404,BA404,BF404,BK404)</f>
        <v>0</v>
      </c>
      <c r="BQ404" s="13">
        <f>SUM(I404,N404,S404,X404,AC404,AH404,AM404,AR404,AW404,BB404,BG404,BL404)</f>
        <v>0</v>
      </c>
      <c r="BR404" s="14">
        <f>SUM(J404,O404,T404,Y404,AD404,AI404,AN404,AS404,AX404,BC404,BH404,BM404)</f>
        <v>15010</v>
      </c>
      <c r="BS404" s="35">
        <f t="shared" ref="BS404:BS407" si="272">SUM(BO404:BR404)</f>
        <v>15010</v>
      </c>
    </row>
    <row r="405" spans="2:71" x14ac:dyDescent="0.3">
      <c r="B405" s="264"/>
      <c r="C405" s="223"/>
      <c r="D405" s="224"/>
      <c r="E405" s="211"/>
      <c r="F405" s="142" t="s">
        <v>801</v>
      </c>
      <c r="G405" s="32"/>
      <c r="H405" s="13"/>
      <c r="I405" s="13"/>
      <c r="J405" s="14"/>
      <c r="K405" s="18">
        <f t="shared" ref="K405" si="273">SUM(G405:J405)</f>
        <v>0</v>
      </c>
      <c r="L405" s="32"/>
      <c r="M405" s="13"/>
      <c r="N405" s="13"/>
      <c r="O405" s="14"/>
      <c r="P405" s="18">
        <f t="shared" ref="P405" si="274">SUM(L405:O405)</f>
        <v>0</v>
      </c>
      <c r="Q405" s="32"/>
      <c r="R405" s="13"/>
      <c r="S405" s="13"/>
      <c r="T405" s="14"/>
      <c r="U405" s="18">
        <f t="shared" ref="U405" si="275">SUM(Q405:T405)</f>
        <v>0</v>
      </c>
      <c r="V405" s="32"/>
      <c r="W405" s="13"/>
      <c r="X405" s="13"/>
      <c r="Y405" s="14">
        <v>744</v>
      </c>
      <c r="Z405" s="18">
        <f t="shared" ref="Z405" si="276">SUM(V405:Y405)</f>
        <v>744</v>
      </c>
      <c r="AA405" s="32"/>
      <c r="AB405" s="13"/>
      <c r="AC405" s="13"/>
      <c r="AD405" s="14">
        <v>649</v>
      </c>
      <c r="AE405" s="18">
        <f t="shared" ref="AE405" si="277">SUM(AA405:AD405)</f>
        <v>649</v>
      </c>
      <c r="AF405" s="32"/>
      <c r="AG405" s="13"/>
      <c r="AH405" s="13"/>
      <c r="AI405" s="14">
        <v>821</v>
      </c>
      <c r="AJ405" s="18">
        <f t="shared" ref="AJ405" si="278">SUM(AF405:AI405)</f>
        <v>821</v>
      </c>
      <c r="AK405" s="32"/>
      <c r="AL405" s="13"/>
      <c r="AM405" s="13"/>
      <c r="AN405" s="14">
        <v>524</v>
      </c>
      <c r="AO405" s="18">
        <f t="shared" ref="AO405" si="279">SUM(AK405:AN405)</f>
        <v>524</v>
      </c>
      <c r="AP405" s="32"/>
      <c r="AQ405" s="13"/>
      <c r="AR405" s="13"/>
      <c r="AS405" s="14">
        <v>30</v>
      </c>
      <c r="AT405" s="18">
        <f t="shared" ref="AT405" si="280">SUM(AP405:AS405)</f>
        <v>30</v>
      </c>
      <c r="AU405" s="32"/>
      <c r="AV405" s="13"/>
      <c r="AW405" s="13"/>
      <c r="AX405" s="14">
        <v>53</v>
      </c>
      <c r="AY405" s="18">
        <f t="shared" ref="AY405" si="281">SUM(AU405:AX405)</f>
        <v>53</v>
      </c>
      <c r="AZ405" s="32"/>
      <c r="BA405" s="13"/>
      <c r="BB405" s="13"/>
      <c r="BC405" s="14">
        <v>825</v>
      </c>
      <c r="BD405" s="18">
        <f t="shared" ref="BD405" si="282">SUM(AZ405:BC405)</f>
        <v>825</v>
      </c>
      <c r="BE405" s="32"/>
      <c r="BF405" s="13"/>
      <c r="BG405" s="13"/>
      <c r="BH405" s="14"/>
      <c r="BI405" s="18">
        <f t="shared" ref="BI405" si="283">SUM(BE405:BH405)</f>
        <v>0</v>
      </c>
      <c r="BJ405" s="32"/>
      <c r="BK405" s="13"/>
      <c r="BL405" s="13"/>
      <c r="BM405" s="14"/>
      <c r="BN405" s="18">
        <f t="shared" ref="BN405" si="284">SUM(BJ405:BM405)</f>
        <v>0</v>
      </c>
      <c r="BO405" s="66">
        <f>SUM(G405,L405,Q405,V405,AA405,AF405,AK405,AP405,AU405,AZ405,BE405,BJ405)</f>
        <v>0</v>
      </c>
      <c r="BP405" s="13">
        <f>SUM(H405,M405,R405,W405,AB405,AG405,AL405,AQ405,AV405,BA405,BF405,BK405)</f>
        <v>0</v>
      </c>
      <c r="BQ405" s="13">
        <f>SUM(I405,N405,S405,X405,AC405,AH405,AM405,AR405,AW405,BB405,BG405,BL405)</f>
        <v>0</v>
      </c>
      <c r="BR405" s="14">
        <f>SUM(J405,O405,T405,Y405,AD405,AI405,AN405,AS405,AX405,BC405,BH405,BM405)</f>
        <v>3646</v>
      </c>
      <c r="BS405" s="35">
        <f t="shared" ref="BS405" si="285">SUM(BO405:BR405)</f>
        <v>3646</v>
      </c>
    </row>
    <row r="406" spans="2:71" x14ac:dyDescent="0.3">
      <c r="B406" s="264"/>
      <c r="C406" s="223"/>
      <c r="D406" s="224"/>
      <c r="E406" s="211"/>
      <c r="F406" s="142" t="s">
        <v>802</v>
      </c>
      <c r="G406" s="32"/>
      <c r="H406" s="13"/>
      <c r="I406" s="13"/>
      <c r="J406" s="14"/>
      <c r="K406" s="18">
        <f t="shared" si="271"/>
        <v>0</v>
      </c>
      <c r="L406" s="32"/>
      <c r="M406" s="13"/>
      <c r="N406" s="13"/>
      <c r="O406" s="14"/>
      <c r="P406" s="18">
        <f t="shared" si="258"/>
        <v>0</v>
      </c>
      <c r="Q406" s="32"/>
      <c r="R406" s="13"/>
      <c r="S406" s="13"/>
      <c r="T406" s="14"/>
      <c r="U406" s="18">
        <f t="shared" si="259"/>
        <v>0</v>
      </c>
      <c r="V406" s="32"/>
      <c r="W406" s="13"/>
      <c r="X406" s="13"/>
      <c r="Y406" s="14">
        <v>8197</v>
      </c>
      <c r="Z406" s="18">
        <f t="shared" si="260"/>
        <v>8197</v>
      </c>
      <c r="AA406" s="32"/>
      <c r="AB406" s="13"/>
      <c r="AC406" s="13"/>
      <c r="AD406" s="14">
        <v>9632</v>
      </c>
      <c r="AE406" s="18">
        <f t="shared" si="261"/>
        <v>9632</v>
      </c>
      <c r="AF406" s="32"/>
      <c r="AG406" s="13"/>
      <c r="AH406" s="13"/>
      <c r="AI406" s="14">
        <v>21</v>
      </c>
      <c r="AJ406" s="18">
        <f t="shared" si="262"/>
        <v>21</v>
      </c>
      <c r="AK406" s="32"/>
      <c r="AL406" s="13"/>
      <c r="AM406" s="13"/>
      <c r="AN406" s="14"/>
      <c r="AO406" s="18">
        <f t="shared" si="263"/>
        <v>0</v>
      </c>
      <c r="AP406" s="32"/>
      <c r="AQ406" s="13"/>
      <c r="AR406" s="13"/>
      <c r="AS406" s="14"/>
      <c r="AT406" s="18">
        <f t="shared" si="264"/>
        <v>0</v>
      </c>
      <c r="AU406" s="32"/>
      <c r="AV406" s="13"/>
      <c r="AW406" s="13"/>
      <c r="AX406" s="14">
        <v>5492</v>
      </c>
      <c r="AY406" s="18">
        <f t="shared" si="265"/>
        <v>5492</v>
      </c>
      <c r="AZ406" s="32"/>
      <c r="BA406" s="13"/>
      <c r="BB406" s="13"/>
      <c r="BC406" s="14">
        <f>4783+44</f>
        <v>4827</v>
      </c>
      <c r="BD406" s="18">
        <f t="shared" si="266"/>
        <v>4827</v>
      </c>
      <c r="BE406" s="32"/>
      <c r="BF406" s="13"/>
      <c r="BG406" s="13"/>
      <c r="BH406" s="14"/>
      <c r="BI406" s="18">
        <f t="shared" si="267"/>
        <v>0</v>
      </c>
      <c r="BJ406" s="32"/>
      <c r="BK406" s="13"/>
      <c r="BL406" s="13"/>
      <c r="BM406" s="14"/>
      <c r="BN406" s="18">
        <f t="shared" si="268"/>
        <v>0</v>
      </c>
      <c r="BO406" s="66">
        <f>SUM(G406,L406,Q406,V406,AA406,AF406,AK406,AP406,AU406,AZ406,BE406,BJ406)</f>
        <v>0</v>
      </c>
      <c r="BP406" s="13">
        <f>SUM(H406,M406,R406,W406,AB406,AG406,AL406,AQ406,AV406,BA406,BF406,BK406)</f>
        <v>0</v>
      </c>
      <c r="BQ406" s="13">
        <f>SUM(I406,N406,S406,X406,AC406,AH406,AM406,AR406,AW406,BB406,BG406,BL406)</f>
        <v>0</v>
      </c>
      <c r="BR406" s="14">
        <f>SUM(J406,O406,T406,Y406,AD406,AI406,AN406,AS406,AX406,BC406,BH406,BM406)</f>
        <v>28169</v>
      </c>
      <c r="BS406" s="35">
        <f t="shared" si="272"/>
        <v>28169</v>
      </c>
    </row>
    <row r="407" spans="2:71" x14ac:dyDescent="0.3">
      <c r="B407" s="264"/>
      <c r="C407" s="223"/>
      <c r="D407" s="224"/>
      <c r="E407" s="211"/>
      <c r="F407" s="298" t="s">
        <v>803</v>
      </c>
      <c r="G407" s="49"/>
      <c r="H407" s="50"/>
      <c r="I407" s="50"/>
      <c r="J407" s="51"/>
      <c r="K407" s="52">
        <f t="shared" ref="K407" si="286">SUM(G407:J407)</f>
        <v>0</v>
      </c>
      <c r="L407" s="49"/>
      <c r="M407" s="50"/>
      <c r="N407" s="50"/>
      <c r="O407" s="51"/>
      <c r="P407" s="52">
        <f t="shared" ref="P407" si="287">SUM(L407:O407)</f>
        <v>0</v>
      </c>
      <c r="Q407" s="49"/>
      <c r="R407" s="50"/>
      <c r="S407" s="50"/>
      <c r="T407" s="51"/>
      <c r="U407" s="52">
        <f t="shared" ref="U407" si="288">SUM(Q407:T407)</f>
        <v>0</v>
      </c>
      <c r="V407" s="49"/>
      <c r="W407" s="50"/>
      <c r="X407" s="50"/>
      <c r="Y407" s="51"/>
      <c r="Z407" s="52">
        <f t="shared" ref="Z407" si="289">SUM(V407:Y407)</f>
        <v>0</v>
      </c>
      <c r="AA407" s="49"/>
      <c r="AB407" s="50"/>
      <c r="AC407" s="50"/>
      <c r="AD407" s="51"/>
      <c r="AE407" s="52">
        <f t="shared" ref="AE407" si="290">SUM(AA407:AD407)</f>
        <v>0</v>
      </c>
      <c r="AF407" s="49"/>
      <c r="AG407" s="50"/>
      <c r="AH407" s="50"/>
      <c r="AI407" s="51">
        <v>2629</v>
      </c>
      <c r="AJ407" s="52">
        <f t="shared" ref="AJ407" si="291">SUM(AF407:AI407)</f>
        <v>2629</v>
      </c>
      <c r="AK407" s="49"/>
      <c r="AL407" s="50"/>
      <c r="AM407" s="50"/>
      <c r="AN407" s="51">
        <v>1819</v>
      </c>
      <c r="AO407" s="52">
        <f t="shared" ref="AO407" si="292">SUM(AK407:AN407)</f>
        <v>1819</v>
      </c>
      <c r="AP407" s="49"/>
      <c r="AQ407" s="50"/>
      <c r="AR407" s="50"/>
      <c r="AS407" s="51">
        <v>1324</v>
      </c>
      <c r="AT407" s="52">
        <f t="shared" ref="AT407" si="293">SUM(AP407:AS407)</f>
        <v>1324</v>
      </c>
      <c r="AU407" s="49"/>
      <c r="AV407" s="50"/>
      <c r="AW407" s="50"/>
      <c r="AX407" s="51"/>
      <c r="AY407" s="52">
        <f t="shared" ref="AY407" si="294">SUM(AU407:AX407)</f>
        <v>0</v>
      </c>
      <c r="AZ407" s="49"/>
      <c r="BA407" s="50"/>
      <c r="BB407" s="50"/>
      <c r="BC407" s="51"/>
      <c r="BD407" s="52">
        <f t="shared" ref="BD407" si="295">SUM(AZ407:BC407)</f>
        <v>0</v>
      </c>
      <c r="BE407" s="49"/>
      <c r="BF407" s="50"/>
      <c r="BG407" s="50"/>
      <c r="BH407" s="51"/>
      <c r="BI407" s="52">
        <f t="shared" ref="BI407" si="296">SUM(BE407:BH407)</f>
        <v>0</v>
      </c>
      <c r="BJ407" s="49"/>
      <c r="BK407" s="50"/>
      <c r="BL407" s="50"/>
      <c r="BM407" s="51"/>
      <c r="BN407" s="52">
        <f t="shared" ref="BN407" si="297">SUM(BJ407:BM407)</f>
        <v>0</v>
      </c>
      <c r="BO407" s="167">
        <f>SUM(G407,L407,Q407,V407,AA407,AF407,AK407,AP407,AU407,AZ407,BE407,BJ407)</f>
        <v>0</v>
      </c>
      <c r="BP407" s="50">
        <f>SUM(H407,M407,R407,W407,AB407,AG407,AL407,AQ407,AV407,BA407,BF407,BK407)</f>
        <v>0</v>
      </c>
      <c r="BQ407" s="50">
        <f>SUM(I407,N407,S407,X407,AC407,AH407,AM407,AR407,AW407,BB407,BG407,BL407)</f>
        <v>0</v>
      </c>
      <c r="BR407" s="51">
        <f>SUM(J407,O407,T407,Y407,AD407,AI407,AN407,AS407,AX407,BC407,BH407,BM407)</f>
        <v>5772</v>
      </c>
      <c r="BS407" s="53">
        <f t="shared" si="272"/>
        <v>5772</v>
      </c>
    </row>
    <row r="408" spans="2:71" x14ac:dyDescent="0.3">
      <c r="B408" s="264"/>
      <c r="C408" s="225"/>
      <c r="D408" s="226"/>
      <c r="E408" s="116"/>
      <c r="F408" s="116" t="s">
        <v>4</v>
      </c>
      <c r="G408" s="54">
        <f>SUM(G397:G407)</f>
        <v>0</v>
      </c>
      <c r="H408" s="55">
        <f>SUM(H397:H407)</f>
        <v>0</v>
      </c>
      <c r="I408" s="55">
        <f>SUM(I397:I407)</f>
        <v>0</v>
      </c>
      <c r="J408" s="56">
        <f>SUM(J397:J407)</f>
        <v>14289</v>
      </c>
      <c r="K408" s="57">
        <f t="shared" si="216"/>
        <v>14289</v>
      </c>
      <c r="L408" s="54">
        <f>SUM(L397:L407)</f>
        <v>0</v>
      </c>
      <c r="M408" s="55">
        <f>SUM(M397:M407)</f>
        <v>0</v>
      </c>
      <c r="N408" s="55">
        <f>SUM(N397:N407)</f>
        <v>0</v>
      </c>
      <c r="O408" s="56">
        <f>SUM(O397:O407)</f>
        <v>14301</v>
      </c>
      <c r="P408" s="57">
        <f t="shared" si="258"/>
        <v>14301</v>
      </c>
      <c r="Q408" s="54">
        <f>SUM(Q397:Q407)</f>
        <v>0</v>
      </c>
      <c r="R408" s="55">
        <f>SUM(R397:R407)</f>
        <v>0</v>
      </c>
      <c r="S408" s="55">
        <f>SUM(S397:S407)</f>
        <v>0</v>
      </c>
      <c r="T408" s="56">
        <f>SUM(T397:T407)</f>
        <v>4786</v>
      </c>
      <c r="U408" s="57">
        <f t="shared" si="259"/>
        <v>4786</v>
      </c>
      <c r="V408" s="54">
        <f>SUM(V397:V407)</f>
        <v>0</v>
      </c>
      <c r="W408" s="55">
        <f>SUM(W397:W407)</f>
        <v>0</v>
      </c>
      <c r="X408" s="55">
        <f>SUM(X397:X407)</f>
        <v>0</v>
      </c>
      <c r="Y408" s="56">
        <f>SUM(Y397:Y407)</f>
        <v>13882</v>
      </c>
      <c r="Z408" s="57">
        <f t="shared" si="260"/>
        <v>13882</v>
      </c>
      <c r="AA408" s="54">
        <f>SUM(AA397:AA407)</f>
        <v>0</v>
      </c>
      <c r="AB408" s="55">
        <f>SUM(AB397:AB407)</f>
        <v>0</v>
      </c>
      <c r="AC408" s="55">
        <f>SUM(AC397:AC407)</f>
        <v>0</v>
      </c>
      <c r="AD408" s="56">
        <f>SUM(AD397:AD407)</f>
        <v>15172</v>
      </c>
      <c r="AE408" s="57">
        <f t="shared" si="261"/>
        <v>15172</v>
      </c>
      <c r="AF408" s="54">
        <f>SUM(AF397:AF407)</f>
        <v>0</v>
      </c>
      <c r="AG408" s="55">
        <f>SUM(AG397:AG407)</f>
        <v>0</v>
      </c>
      <c r="AH408" s="55">
        <f>SUM(AH397:AH407)</f>
        <v>0</v>
      </c>
      <c r="AI408" s="56">
        <f>SUM(AI397:AI407)</f>
        <v>4274</v>
      </c>
      <c r="AJ408" s="57">
        <f t="shared" si="262"/>
        <v>4274</v>
      </c>
      <c r="AK408" s="54">
        <f>SUM(AK397:AK407)</f>
        <v>0</v>
      </c>
      <c r="AL408" s="55">
        <f>SUM(AL397:AL407)</f>
        <v>0</v>
      </c>
      <c r="AM408" s="55">
        <f>SUM(AM397:AM407)</f>
        <v>0</v>
      </c>
      <c r="AN408" s="56">
        <f>SUM(AN397:AN407)</f>
        <v>2632</v>
      </c>
      <c r="AO408" s="57">
        <f t="shared" si="263"/>
        <v>2632</v>
      </c>
      <c r="AP408" s="54">
        <f>SUM(AP397:AP407)</f>
        <v>0</v>
      </c>
      <c r="AQ408" s="55">
        <f>SUM(AQ397:AQ407)</f>
        <v>0</v>
      </c>
      <c r="AR408" s="55">
        <f>SUM(AR397:AR407)</f>
        <v>0</v>
      </c>
      <c r="AS408" s="56">
        <f>SUM(AS397:AS407)</f>
        <v>1673</v>
      </c>
      <c r="AT408" s="57">
        <f t="shared" si="264"/>
        <v>1673</v>
      </c>
      <c r="AU408" s="54">
        <f>SUM(AU397:AU407)</f>
        <v>0</v>
      </c>
      <c r="AV408" s="55">
        <f>SUM(AV397:AV407)</f>
        <v>0</v>
      </c>
      <c r="AW408" s="55">
        <f>SUM(AW397:AW407)</f>
        <v>0</v>
      </c>
      <c r="AX408" s="56">
        <f>SUM(AX397:AX407)</f>
        <v>9369</v>
      </c>
      <c r="AY408" s="57">
        <f t="shared" si="265"/>
        <v>9369</v>
      </c>
      <c r="AZ408" s="54">
        <f>SUM(AZ397:AZ407)</f>
        <v>0</v>
      </c>
      <c r="BA408" s="55">
        <f>SUM(BA397:BA407)</f>
        <v>0</v>
      </c>
      <c r="BB408" s="55">
        <f>SUM(BB397:BB407)</f>
        <v>0</v>
      </c>
      <c r="BC408" s="56">
        <f>SUM(BC397:BC407)</f>
        <v>13811</v>
      </c>
      <c r="BD408" s="57">
        <f t="shared" si="266"/>
        <v>13811</v>
      </c>
      <c r="BE408" s="54">
        <f>SUM(BE397:BE407)</f>
        <v>0</v>
      </c>
      <c r="BF408" s="55">
        <f>SUM(BF397:BF407)</f>
        <v>0</v>
      </c>
      <c r="BG408" s="55">
        <f>SUM(BG397:BG407)</f>
        <v>0</v>
      </c>
      <c r="BH408" s="56">
        <f>SUM(BH397:BH407)</f>
        <v>12564</v>
      </c>
      <c r="BI408" s="57">
        <f t="shared" si="267"/>
        <v>12564</v>
      </c>
      <c r="BJ408" s="54">
        <f>SUM(BJ397:BJ407)</f>
        <v>0</v>
      </c>
      <c r="BK408" s="55">
        <f>SUM(BK397:BK407)</f>
        <v>0</v>
      </c>
      <c r="BL408" s="55">
        <f>SUM(BL397:BL407)</f>
        <v>0</v>
      </c>
      <c r="BM408" s="56">
        <f>SUM(BM397:BM407)</f>
        <v>3338</v>
      </c>
      <c r="BN408" s="57">
        <f t="shared" si="268"/>
        <v>3338</v>
      </c>
      <c r="BO408" s="72">
        <f>SUM(BO397:BO407)</f>
        <v>0</v>
      </c>
      <c r="BP408" s="55">
        <f>SUM(BP397:BP407)</f>
        <v>0</v>
      </c>
      <c r="BQ408" s="55">
        <f>SUM(BQ397:BQ407)</f>
        <v>0</v>
      </c>
      <c r="BR408" s="56">
        <f>SUM(BR397:BR407)</f>
        <v>110091</v>
      </c>
      <c r="BS408" s="58">
        <f t="shared" si="270"/>
        <v>110091</v>
      </c>
    </row>
    <row r="409" spans="2:71" x14ac:dyDescent="0.3">
      <c r="B409" s="264"/>
      <c r="C409" s="227" t="s">
        <v>17</v>
      </c>
      <c r="D409" s="228"/>
      <c r="E409" s="210" t="s">
        <v>95</v>
      </c>
      <c r="F409" s="289" t="s">
        <v>552</v>
      </c>
      <c r="G409" s="30">
        <v>903</v>
      </c>
      <c r="H409" s="7"/>
      <c r="I409" s="7"/>
      <c r="J409" s="8"/>
      <c r="K409" s="9">
        <f t="shared" si="216"/>
        <v>903</v>
      </c>
      <c r="L409" s="30">
        <v>719</v>
      </c>
      <c r="M409" s="7"/>
      <c r="N409" s="7"/>
      <c r="O409" s="8"/>
      <c r="P409" s="9">
        <f t="shared" si="258"/>
        <v>719</v>
      </c>
      <c r="Q409" s="30">
        <v>678</v>
      </c>
      <c r="R409" s="7"/>
      <c r="S409" s="7"/>
      <c r="T409" s="8"/>
      <c r="U409" s="9">
        <f t="shared" si="259"/>
        <v>678</v>
      </c>
      <c r="V409" s="30">
        <v>1307</v>
      </c>
      <c r="W409" s="7"/>
      <c r="X409" s="7"/>
      <c r="Y409" s="8"/>
      <c r="Z409" s="9">
        <f t="shared" si="260"/>
        <v>1307</v>
      </c>
      <c r="AA409" s="30">
        <v>1231</v>
      </c>
      <c r="AB409" s="7"/>
      <c r="AC409" s="7"/>
      <c r="AD409" s="8"/>
      <c r="AE409" s="9">
        <f t="shared" si="261"/>
        <v>1231</v>
      </c>
      <c r="AF409" s="30">
        <v>1259</v>
      </c>
      <c r="AG409" s="7"/>
      <c r="AH409" s="7"/>
      <c r="AI409" s="8"/>
      <c r="AJ409" s="9">
        <f t="shared" si="262"/>
        <v>1259</v>
      </c>
      <c r="AK409" s="30">
        <v>953</v>
      </c>
      <c r="AL409" s="7"/>
      <c r="AM409" s="7"/>
      <c r="AN409" s="8"/>
      <c r="AO409" s="9">
        <f t="shared" si="263"/>
        <v>953</v>
      </c>
      <c r="AP409" s="30">
        <v>1263</v>
      </c>
      <c r="AQ409" s="7"/>
      <c r="AR409" s="7"/>
      <c r="AS409" s="8"/>
      <c r="AT409" s="9">
        <f t="shared" si="264"/>
        <v>1263</v>
      </c>
      <c r="AU409" s="30">
        <v>510</v>
      </c>
      <c r="AV409" s="7"/>
      <c r="AW409" s="7"/>
      <c r="AX409" s="8"/>
      <c r="AY409" s="9">
        <f t="shared" si="265"/>
        <v>510</v>
      </c>
      <c r="AZ409" s="30">
        <v>1344</v>
      </c>
      <c r="BA409" s="7"/>
      <c r="BB409" s="7"/>
      <c r="BC409" s="8"/>
      <c r="BD409" s="9">
        <f t="shared" si="266"/>
        <v>1344</v>
      </c>
      <c r="BE409" s="30">
        <v>994</v>
      </c>
      <c r="BF409" s="7"/>
      <c r="BG409" s="7"/>
      <c r="BH409" s="8"/>
      <c r="BI409" s="9">
        <f t="shared" si="267"/>
        <v>994</v>
      </c>
      <c r="BJ409" s="30">
        <v>1863</v>
      </c>
      <c r="BK409" s="7"/>
      <c r="BL409" s="7"/>
      <c r="BM409" s="8"/>
      <c r="BN409" s="9">
        <f t="shared" si="268"/>
        <v>1863</v>
      </c>
      <c r="BO409" s="65">
        <f>SUM(G409,L409,Q409,V409,AA409,AF409,AK409,AP409,AU409,AZ409,BE409,BJ409)</f>
        <v>13024</v>
      </c>
      <c r="BP409" s="7">
        <f>SUM(H409,M409,R409,W409,AB409,AG409,AL409,AQ409,AV409,BA409,BF409,BK409)</f>
        <v>0</v>
      </c>
      <c r="BQ409" s="7">
        <f>SUM(I409,N409,S409,X409,AC409,AH409,AM409,AR409,AW409,BB409,BG409,BL409)</f>
        <v>0</v>
      </c>
      <c r="BR409" s="8">
        <f>SUM(J409,O409,T409,Y409,AD409,AI409,AN409,AS409,AX409,BC409,BH409,BM409)</f>
        <v>0</v>
      </c>
      <c r="BS409" s="31">
        <f t="shared" si="270"/>
        <v>13024</v>
      </c>
    </row>
    <row r="410" spans="2:71" x14ac:dyDescent="0.3">
      <c r="B410" s="264"/>
      <c r="C410" s="223"/>
      <c r="D410" s="224"/>
      <c r="E410" s="211"/>
      <c r="F410" s="142" t="s">
        <v>804</v>
      </c>
      <c r="G410" s="32">
        <v>263</v>
      </c>
      <c r="H410" s="13"/>
      <c r="I410" s="13"/>
      <c r="J410" s="14"/>
      <c r="K410" s="15">
        <f t="shared" si="216"/>
        <v>263</v>
      </c>
      <c r="L410" s="32">
        <v>234</v>
      </c>
      <c r="M410" s="13"/>
      <c r="N410" s="13"/>
      <c r="O410" s="14"/>
      <c r="P410" s="15">
        <f t="shared" si="258"/>
        <v>234</v>
      </c>
      <c r="Q410" s="32">
        <v>151</v>
      </c>
      <c r="R410" s="13"/>
      <c r="S410" s="13"/>
      <c r="T410" s="14"/>
      <c r="U410" s="15">
        <f t="shared" si="259"/>
        <v>151</v>
      </c>
      <c r="V410" s="32">
        <v>232</v>
      </c>
      <c r="W410" s="13"/>
      <c r="X410" s="13"/>
      <c r="Y410" s="14"/>
      <c r="Z410" s="15">
        <f t="shared" si="260"/>
        <v>232</v>
      </c>
      <c r="AA410" s="32">
        <v>246</v>
      </c>
      <c r="AB410" s="13"/>
      <c r="AC410" s="13"/>
      <c r="AD410" s="14"/>
      <c r="AE410" s="15">
        <f t="shared" si="261"/>
        <v>246</v>
      </c>
      <c r="AF410" s="32">
        <v>352</v>
      </c>
      <c r="AG410" s="13"/>
      <c r="AH410" s="13"/>
      <c r="AI410" s="14"/>
      <c r="AJ410" s="15">
        <f t="shared" si="262"/>
        <v>352</v>
      </c>
      <c r="AK410" s="32">
        <v>355</v>
      </c>
      <c r="AL410" s="13"/>
      <c r="AM410" s="13"/>
      <c r="AN410" s="14"/>
      <c r="AO410" s="15">
        <f t="shared" si="263"/>
        <v>355</v>
      </c>
      <c r="AP410" s="32">
        <v>327</v>
      </c>
      <c r="AQ410" s="13"/>
      <c r="AR410" s="13"/>
      <c r="AS410" s="14"/>
      <c r="AT410" s="15">
        <f t="shared" si="264"/>
        <v>327</v>
      </c>
      <c r="AU410" s="32">
        <v>147</v>
      </c>
      <c r="AV410" s="13"/>
      <c r="AW410" s="13"/>
      <c r="AX410" s="14"/>
      <c r="AY410" s="15">
        <f t="shared" si="265"/>
        <v>147</v>
      </c>
      <c r="AZ410" s="32">
        <v>290</v>
      </c>
      <c r="BA410" s="13"/>
      <c r="BB410" s="13"/>
      <c r="BC410" s="14"/>
      <c r="BD410" s="15">
        <f t="shared" si="266"/>
        <v>290</v>
      </c>
      <c r="BE410" s="32">
        <v>231</v>
      </c>
      <c r="BF410" s="13"/>
      <c r="BG410" s="13"/>
      <c r="BH410" s="14"/>
      <c r="BI410" s="15">
        <f t="shared" si="267"/>
        <v>231</v>
      </c>
      <c r="BJ410" s="32">
        <v>258</v>
      </c>
      <c r="BK410" s="13"/>
      <c r="BL410" s="13"/>
      <c r="BM410" s="14"/>
      <c r="BN410" s="15">
        <f t="shared" si="268"/>
        <v>258</v>
      </c>
      <c r="BO410" s="66">
        <f>SUM(G410,L410,Q410,V410,AA410,AF410,AK410,AP410,AU410,AZ410,BE410,BJ410)</f>
        <v>3086</v>
      </c>
      <c r="BP410" s="13">
        <f>SUM(H410,M410,R410,W410,AB410,AG410,AL410,AQ410,AV410,BA410,BF410,BK410)</f>
        <v>0</v>
      </c>
      <c r="BQ410" s="13">
        <f>SUM(I410,N410,S410,X410,AC410,AH410,AM410,AR410,AW410,BB410,BG410,BL410)</f>
        <v>0</v>
      </c>
      <c r="BR410" s="14">
        <f>SUM(J410,O410,T410,Y410,AD410,AI410,AN410,AS410,AX410,BC410,BH410,BM410)</f>
        <v>0</v>
      </c>
      <c r="BS410" s="33">
        <f t="shared" si="270"/>
        <v>3086</v>
      </c>
    </row>
    <row r="411" spans="2:71" x14ac:dyDescent="0.3">
      <c r="B411" s="264"/>
      <c r="C411" s="223"/>
      <c r="D411" s="224"/>
      <c r="E411" s="211"/>
      <c r="F411" s="142" t="s">
        <v>805</v>
      </c>
      <c r="G411" s="32">
        <v>70</v>
      </c>
      <c r="H411" s="13"/>
      <c r="I411" s="13"/>
      <c r="J411" s="14"/>
      <c r="K411" s="15">
        <f t="shared" si="216"/>
        <v>70</v>
      </c>
      <c r="L411" s="32">
        <v>120</v>
      </c>
      <c r="M411" s="13"/>
      <c r="N411" s="13"/>
      <c r="O411" s="14"/>
      <c r="P411" s="15">
        <f t="shared" si="258"/>
        <v>120</v>
      </c>
      <c r="Q411" s="32"/>
      <c r="R411" s="13"/>
      <c r="S411" s="13"/>
      <c r="T411" s="14"/>
      <c r="U411" s="15">
        <f t="shared" si="259"/>
        <v>0</v>
      </c>
      <c r="V411" s="32"/>
      <c r="W411" s="13"/>
      <c r="X411" s="13"/>
      <c r="Y411" s="14"/>
      <c r="Z411" s="15">
        <f t="shared" si="260"/>
        <v>0</v>
      </c>
      <c r="AA411" s="32"/>
      <c r="AB411" s="13"/>
      <c r="AC411" s="13"/>
      <c r="AD411" s="14"/>
      <c r="AE411" s="15">
        <f t="shared" si="261"/>
        <v>0</v>
      </c>
      <c r="AF411" s="32"/>
      <c r="AG411" s="13"/>
      <c r="AH411" s="13"/>
      <c r="AI411" s="14"/>
      <c r="AJ411" s="15">
        <f t="shared" si="262"/>
        <v>0</v>
      </c>
      <c r="AK411" s="32"/>
      <c r="AL411" s="13"/>
      <c r="AM411" s="13"/>
      <c r="AN411" s="14"/>
      <c r="AO411" s="15">
        <f t="shared" si="263"/>
        <v>0</v>
      </c>
      <c r="AP411" s="32"/>
      <c r="AQ411" s="13"/>
      <c r="AR411" s="13"/>
      <c r="AS411" s="14"/>
      <c r="AT411" s="15">
        <f t="shared" si="264"/>
        <v>0</v>
      </c>
      <c r="AU411" s="32"/>
      <c r="AV411" s="13"/>
      <c r="AW411" s="13"/>
      <c r="AX411" s="14"/>
      <c r="AY411" s="15">
        <f t="shared" si="265"/>
        <v>0</v>
      </c>
      <c r="AZ411" s="32"/>
      <c r="BA411" s="13"/>
      <c r="BB411" s="13"/>
      <c r="BC411" s="14"/>
      <c r="BD411" s="15">
        <f t="shared" si="266"/>
        <v>0</v>
      </c>
      <c r="BE411" s="32"/>
      <c r="BF411" s="13"/>
      <c r="BG411" s="13"/>
      <c r="BH411" s="14"/>
      <c r="BI411" s="15">
        <f t="shared" si="267"/>
        <v>0</v>
      </c>
      <c r="BJ411" s="32"/>
      <c r="BK411" s="13"/>
      <c r="BL411" s="13"/>
      <c r="BM411" s="14"/>
      <c r="BN411" s="15">
        <f t="shared" si="268"/>
        <v>0</v>
      </c>
      <c r="BO411" s="66">
        <f>SUM(G411,L411,Q411,V411,AA411,AF411,AK411,AP411,AU411,AZ411,BE411,BJ411)</f>
        <v>190</v>
      </c>
      <c r="BP411" s="13">
        <f>SUM(H411,M411,R411,W411,AB411,AG411,AL411,AQ411,AV411,BA411,BF411,BK411)</f>
        <v>0</v>
      </c>
      <c r="BQ411" s="13">
        <f>SUM(I411,N411,S411,X411,AC411,AH411,AM411,AR411,AW411,BB411,BG411,BL411)</f>
        <v>0</v>
      </c>
      <c r="BR411" s="14">
        <f>SUM(J411,O411,T411,Y411,AD411,AI411,AN411,AS411,AX411,BC411,BH411,BM411)</f>
        <v>0</v>
      </c>
      <c r="BS411" s="33">
        <f t="shared" si="270"/>
        <v>190</v>
      </c>
    </row>
    <row r="412" spans="2:71" x14ac:dyDescent="0.3">
      <c r="B412" s="264"/>
      <c r="C412" s="223"/>
      <c r="D412" s="224"/>
      <c r="E412" s="211"/>
      <c r="F412" s="142" t="s">
        <v>806</v>
      </c>
      <c r="G412" s="32"/>
      <c r="H412" s="13"/>
      <c r="I412" s="13"/>
      <c r="J412" s="14"/>
      <c r="K412" s="15">
        <f t="shared" si="216"/>
        <v>0</v>
      </c>
      <c r="L412" s="32">
        <v>32</v>
      </c>
      <c r="M412" s="13"/>
      <c r="N412" s="13"/>
      <c r="O412" s="14"/>
      <c r="P412" s="15">
        <f t="shared" si="258"/>
        <v>32</v>
      </c>
      <c r="Q412" s="32"/>
      <c r="R412" s="13"/>
      <c r="S412" s="13"/>
      <c r="T412" s="14"/>
      <c r="U412" s="15">
        <f t="shared" si="259"/>
        <v>0</v>
      </c>
      <c r="V412" s="32">
        <v>5</v>
      </c>
      <c r="W412" s="13"/>
      <c r="X412" s="13"/>
      <c r="Y412" s="14"/>
      <c r="Z412" s="15">
        <f t="shared" si="260"/>
        <v>5</v>
      </c>
      <c r="AA412" s="32">
        <v>35</v>
      </c>
      <c r="AB412" s="13"/>
      <c r="AC412" s="13"/>
      <c r="AD412" s="14"/>
      <c r="AE412" s="15">
        <f t="shared" si="261"/>
        <v>35</v>
      </c>
      <c r="AF412" s="32">
        <v>4</v>
      </c>
      <c r="AG412" s="13"/>
      <c r="AH412" s="13"/>
      <c r="AI412" s="14"/>
      <c r="AJ412" s="15">
        <f t="shared" si="262"/>
        <v>4</v>
      </c>
      <c r="AK412" s="32">
        <v>16</v>
      </c>
      <c r="AL412" s="13"/>
      <c r="AM412" s="13"/>
      <c r="AN412" s="14"/>
      <c r="AO412" s="15">
        <f t="shared" si="263"/>
        <v>16</v>
      </c>
      <c r="AP412" s="32">
        <v>15</v>
      </c>
      <c r="AQ412" s="13"/>
      <c r="AR412" s="13"/>
      <c r="AS412" s="14"/>
      <c r="AT412" s="15">
        <f t="shared" si="264"/>
        <v>15</v>
      </c>
      <c r="AU412" s="32">
        <v>4</v>
      </c>
      <c r="AV412" s="13"/>
      <c r="AW412" s="13"/>
      <c r="AX412" s="14"/>
      <c r="AY412" s="15">
        <f t="shared" si="265"/>
        <v>4</v>
      </c>
      <c r="AZ412" s="32">
        <v>70</v>
      </c>
      <c r="BA412" s="13"/>
      <c r="BB412" s="13"/>
      <c r="BC412" s="14"/>
      <c r="BD412" s="15">
        <f t="shared" si="266"/>
        <v>70</v>
      </c>
      <c r="BE412" s="32"/>
      <c r="BF412" s="13"/>
      <c r="BG412" s="13"/>
      <c r="BH412" s="14"/>
      <c r="BI412" s="15">
        <f t="shared" si="267"/>
        <v>0</v>
      </c>
      <c r="BJ412" s="32">
        <v>18</v>
      </c>
      <c r="BK412" s="13"/>
      <c r="BL412" s="13"/>
      <c r="BM412" s="14"/>
      <c r="BN412" s="15">
        <f t="shared" si="268"/>
        <v>18</v>
      </c>
      <c r="BO412" s="66">
        <f>SUM(G412,L412,Q412,V412,AA412,AF412,AK412,AP412,AU412,AZ412,BE412,BJ412)</f>
        <v>199</v>
      </c>
      <c r="BP412" s="13">
        <f>SUM(H412,M412,R412,W412,AB412,AG412,AL412,AQ412,AV412,BA412,BF412,BK412)</f>
        <v>0</v>
      </c>
      <c r="BQ412" s="13">
        <f>SUM(I412,N412,S412,X412,AC412,AH412,AM412,AR412,AW412,BB412,BG412,BL412)</f>
        <v>0</v>
      </c>
      <c r="BR412" s="14">
        <f>SUM(J412,O412,T412,Y412,AD412,AI412,AN412,AS412,AX412,BC412,BH412,BM412)</f>
        <v>0</v>
      </c>
      <c r="BS412" s="33">
        <f t="shared" si="270"/>
        <v>199</v>
      </c>
    </row>
    <row r="413" spans="2:71" x14ac:dyDescent="0.3">
      <c r="B413" s="264"/>
      <c r="C413" s="223"/>
      <c r="D413" s="224"/>
      <c r="E413" s="211"/>
      <c r="F413" s="142" t="s">
        <v>807</v>
      </c>
      <c r="G413" s="32"/>
      <c r="H413" s="13"/>
      <c r="I413" s="13"/>
      <c r="J413" s="14"/>
      <c r="K413" s="15">
        <f t="shared" si="216"/>
        <v>0</v>
      </c>
      <c r="L413" s="32">
        <v>20</v>
      </c>
      <c r="M413" s="13"/>
      <c r="N413" s="13"/>
      <c r="O413" s="14"/>
      <c r="P413" s="15">
        <f t="shared" si="258"/>
        <v>20</v>
      </c>
      <c r="Q413" s="32">
        <v>50</v>
      </c>
      <c r="R413" s="13"/>
      <c r="S413" s="13"/>
      <c r="T413" s="14"/>
      <c r="U413" s="15">
        <f t="shared" si="259"/>
        <v>50</v>
      </c>
      <c r="V413" s="32">
        <v>215</v>
      </c>
      <c r="W413" s="13"/>
      <c r="X413" s="13"/>
      <c r="Y413" s="14"/>
      <c r="Z413" s="15">
        <f t="shared" si="260"/>
        <v>215</v>
      </c>
      <c r="AA413" s="32">
        <v>33</v>
      </c>
      <c r="AB413" s="13"/>
      <c r="AC413" s="13"/>
      <c r="AD413" s="14"/>
      <c r="AE413" s="15">
        <f t="shared" si="261"/>
        <v>33</v>
      </c>
      <c r="AF413" s="32">
        <v>107</v>
      </c>
      <c r="AG413" s="13"/>
      <c r="AH413" s="13"/>
      <c r="AI413" s="14"/>
      <c r="AJ413" s="15">
        <f t="shared" si="262"/>
        <v>107</v>
      </c>
      <c r="AK413" s="32">
        <v>114</v>
      </c>
      <c r="AL413" s="13"/>
      <c r="AM413" s="13"/>
      <c r="AN413" s="14"/>
      <c r="AO413" s="15">
        <f t="shared" si="263"/>
        <v>114</v>
      </c>
      <c r="AP413" s="32">
        <v>146</v>
      </c>
      <c r="AQ413" s="13"/>
      <c r="AR413" s="13"/>
      <c r="AS413" s="14"/>
      <c r="AT413" s="15">
        <f t="shared" si="264"/>
        <v>146</v>
      </c>
      <c r="AU413" s="32">
        <v>33</v>
      </c>
      <c r="AV413" s="13"/>
      <c r="AW413" s="13"/>
      <c r="AX413" s="14"/>
      <c r="AY413" s="15">
        <f t="shared" si="265"/>
        <v>33</v>
      </c>
      <c r="AZ413" s="32">
        <v>56</v>
      </c>
      <c r="BA413" s="13"/>
      <c r="BB413" s="13"/>
      <c r="BC413" s="14"/>
      <c r="BD413" s="15">
        <f t="shared" si="266"/>
        <v>56</v>
      </c>
      <c r="BE413" s="32">
        <v>27</v>
      </c>
      <c r="BF413" s="13"/>
      <c r="BG413" s="13"/>
      <c r="BH413" s="14"/>
      <c r="BI413" s="15">
        <f t="shared" si="267"/>
        <v>27</v>
      </c>
      <c r="BJ413" s="32">
        <v>93</v>
      </c>
      <c r="BK413" s="13"/>
      <c r="BL413" s="13"/>
      <c r="BM413" s="14"/>
      <c r="BN413" s="15">
        <f t="shared" si="268"/>
        <v>93</v>
      </c>
      <c r="BO413" s="66">
        <f>SUM(G413,L413,Q413,V413,AA413,AF413,AK413,AP413,AU413,AZ413,BE413,BJ413)</f>
        <v>894</v>
      </c>
      <c r="BP413" s="13">
        <f>SUM(H413,M413,R413,W413,AB413,AG413,AL413,AQ413,AV413,BA413,BF413,BK413)</f>
        <v>0</v>
      </c>
      <c r="BQ413" s="13">
        <f>SUM(I413,N413,S413,X413,AC413,AH413,AM413,AR413,AW413,BB413,BG413,BL413)</f>
        <v>0</v>
      </c>
      <c r="BR413" s="14">
        <f>SUM(J413,O413,T413,Y413,AD413,AI413,AN413,AS413,AX413,BC413,BH413,BM413)</f>
        <v>0</v>
      </c>
      <c r="BS413" s="33">
        <f t="shared" si="270"/>
        <v>894</v>
      </c>
    </row>
    <row r="414" spans="2:71" x14ac:dyDescent="0.3">
      <c r="B414" s="264"/>
      <c r="C414" s="223"/>
      <c r="D414" s="224"/>
      <c r="E414" s="211"/>
      <c r="F414" s="142" t="s">
        <v>808</v>
      </c>
      <c r="G414" s="32"/>
      <c r="H414" s="13"/>
      <c r="I414" s="13"/>
      <c r="J414" s="14"/>
      <c r="K414" s="15">
        <f t="shared" si="216"/>
        <v>0</v>
      </c>
      <c r="L414" s="32"/>
      <c r="M414" s="13"/>
      <c r="N414" s="13"/>
      <c r="O414" s="14"/>
      <c r="P414" s="15">
        <f t="shared" si="258"/>
        <v>0</v>
      </c>
      <c r="Q414" s="32"/>
      <c r="R414" s="13"/>
      <c r="S414" s="13"/>
      <c r="T414" s="14"/>
      <c r="U414" s="15">
        <f t="shared" si="259"/>
        <v>0</v>
      </c>
      <c r="V414" s="32">
        <v>2</v>
      </c>
      <c r="W414" s="13"/>
      <c r="X414" s="13"/>
      <c r="Y414" s="14"/>
      <c r="Z414" s="15">
        <f t="shared" si="260"/>
        <v>2</v>
      </c>
      <c r="AA414" s="32">
        <v>40</v>
      </c>
      <c r="AB414" s="13"/>
      <c r="AC414" s="13"/>
      <c r="AD414" s="14"/>
      <c r="AE414" s="15">
        <f t="shared" si="261"/>
        <v>40</v>
      </c>
      <c r="AF414" s="32">
        <v>12</v>
      </c>
      <c r="AG414" s="13"/>
      <c r="AH414" s="13"/>
      <c r="AI414" s="14"/>
      <c r="AJ414" s="15">
        <f t="shared" si="262"/>
        <v>12</v>
      </c>
      <c r="AK414" s="32">
        <v>4</v>
      </c>
      <c r="AL414" s="13"/>
      <c r="AM414" s="13"/>
      <c r="AN414" s="14"/>
      <c r="AO414" s="15">
        <f t="shared" si="263"/>
        <v>4</v>
      </c>
      <c r="AP414" s="32"/>
      <c r="AQ414" s="13"/>
      <c r="AR414" s="13"/>
      <c r="AS414" s="14"/>
      <c r="AT414" s="15">
        <f t="shared" si="264"/>
        <v>0</v>
      </c>
      <c r="AU414" s="32">
        <v>27</v>
      </c>
      <c r="AV414" s="13"/>
      <c r="AW414" s="13"/>
      <c r="AX414" s="14"/>
      <c r="AY414" s="15">
        <f t="shared" si="265"/>
        <v>27</v>
      </c>
      <c r="AZ414" s="32"/>
      <c r="BA414" s="13"/>
      <c r="BB414" s="13"/>
      <c r="BC414" s="14"/>
      <c r="BD414" s="15">
        <f t="shared" si="266"/>
        <v>0</v>
      </c>
      <c r="BE414" s="32">
        <v>33</v>
      </c>
      <c r="BF414" s="13"/>
      <c r="BG414" s="13"/>
      <c r="BH414" s="14"/>
      <c r="BI414" s="15">
        <f t="shared" si="267"/>
        <v>33</v>
      </c>
      <c r="BJ414" s="32">
        <v>92</v>
      </c>
      <c r="BK414" s="13"/>
      <c r="BL414" s="13"/>
      <c r="BM414" s="14"/>
      <c r="BN414" s="15">
        <f t="shared" si="268"/>
        <v>92</v>
      </c>
      <c r="BO414" s="66">
        <f>SUM(G414,L414,Q414,V414,AA414,AF414,AK414,AP414,AU414,AZ414,BE414,BJ414)</f>
        <v>210</v>
      </c>
      <c r="BP414" s="13">
        <f>SUM(H414,M414,R414,W414,AB414,AG414,AL414,AQ414,AV414,BA414,BF414,BK414)</f>
        <v>0</v>
      </c>
      <c r="BQ414" s="13">
        <f>SUM(I414,N414,S414,X414,AC414,AH414,AM414,AR414,AW414,BB414,BG414,BL414)</f>
        <v>0</v>
      </c>
      <c r="BR414" s="14">
        <f>SUM(J414,O414,T414,Y414,AD414,AI414,AN414,AS414,AX414,BC414,BH414,BM414)</f>
        <v>0</v>
      </c>
      <c r="BS414" s="33">
        <f t="shared" si="270"/>
        <v>210</v>
      </c>
    </row>
    <row r="415" spans="2:71" x14ac:dyDescent="0.3">
      <c r="B415" s="264"/>
      <c r="C415" s="223"/>
      <c r="D415" s="224"/>
      <c r="E415" s="210" t="s">
        <v>15</v>
      </c>
      <c r="F415" s="141" t="s">
        <v>39</v>
      </c>
      <c r="G415" s="30">
        <v>25</v>
      </c>
      <c r="H415" s="7">
        <v>4</v>
      </c>
      <c r="I415" s="7">
        <v>14</v>
      </c>
      <c r="J415" s="8"/>
      <c r="K415" s="9">
        <f t="shared" si="216"/>
        <v>43</v>
      </c>
      <c r="L415" s="30">
        <v>27</v>
      </c>
      <c r="M415" s="7">
        <v>1</v>
      </c>
      <c r="N415" s="7">
        <v>9</v>
      </c>
      <c r="O415" s="8"/>
      <c r="P415" s="9">
        <f t="shared" si="258"/>
        <v>37</v>
      </c>
      <c r="Q415" s="30">
        <v>36</v>
      </c>
      <c r="R415" s="7">
        <v>1</v>
      </c>
      <c r="S415" s="7">
        <v>14</v>
      </c>
      <c r="T415" s="8"/>
      <c r="U415" s="9">
        <f t="shared" si="259"/>
        <v>51</v>
      </c>
      <c r="V415" s="30">
        <v>41</v>
      </c>
      <c r="W415" s="7">
        <v>1</v>
      </c>
      <c r="X415" s="7">
        <v>23</v>
      </c>
      <c r="Y415" s="8"/>
      <c r="Z415" s="9">
        <f t="shared" si="260"/>
        <v>65</v>
      </c>
      <c r="AA415" s="30">
        <v>34</v>
      </c>
      <c r="AB415" s="7"/>
      <c r="AC415" s="7">
        <v>12</v>
      </c>
      <c r="AD415" s="8"/>
      <c r="AE415" s="9">
        <f t="shared" si="261"/>
        <v>46</v>
      </c>
      <c r="AF415" s="30">
        <v>10</v>
      </c>
      <c r="AG415" s="7">
        <v>1</v>
      </c>
      <c r="AH415" s="7">
        <v>3</v>
      </c>
      <c r="AI415" s="8"/>
      <c r="AJ415" s="9">
        <f t="shared" si="262"/>
        <v>14</v>
      </c>
      <c r="AK415" s="30"/>
      <c r="AL415" s="7"/>
      <c r="AM415" s="7"/>
      <c r="AN415" s="8"/>
      <c r="AO415" s="9">
        <f t="shared" si="263"/>
        <v>0</v>
      </c>
      <c r="AP415" s="30"/>
      <c r="AQ415" s="7"/>
      <c r="AR415" s="7"/>
      <c r="AS415" s="8"/>
      <c r="AT415" s="9">
        <f t="shared" si="264"/>
        <v>0</v>
      </c>
      <c r="AU415" s="30"/>
      <c r="AV415" s="7"/>
      <c r="AW415" s="7"/>
      <c r="AX415" s="8"/>
      <c r="AY415" s="9">
        <f t="shared" si="265"/>
        <v>0</v>
      </c>
      <c r="AZ415" s="30">
        <v>78</v>
      </c>
      <c r="BA415" s="7">
        <v>2</v>
      </c>
      <c r="BB415" s="7">
        <v>28</v>
      </c>
      <c r="BC415" s="8"/>
      <c r="BD415" s="9">
        <f t="shared" si="266"/>
        <v>108</v>
      </c>
      <c r="BE415" s="30">
        <v>20</v>
      </c>
      <c r="BF415" s="7"/>
      <c r="BG415" s="7">
        <v>8</v>
      </c>
      <c r="BH415" s="8"/>
      <c r="BI415" s="9">
        <f t="shared" si="267"/>
        <v>28</v>
      </c>
      <c r="BJ415" s="30">
        <v>9</v>
      </c>
      <c r="BK415" s="7"/>
      <c r="BL415" s="7">
        <v>10</v>
      </c>
      <c r="BM415" s="8"/>
      <c r="BN415" s="9">
        <f t="shared" si="268"/>
        <v>19</v>
      </c>
      <c r="BO415" s="65">
        <f>SUM(G415,L415,Q415,V415,AA415,AF415,AK415,AP415,AU415,AZ415,BE415,BJ415)</f>
        <v>280</v>
      </c>
      <c r="BP415" s="7">
        <f>SUM(H415,M415,R415,W415,AB415,AG415,AL415,AQ415,AV415,BA415,BF415,BK415)</f>
        <v>10</v>
      </c>
      <c r="BQ415" s="7">
        <f>SUM(I415,N415,S415,X415,AC415,AH415,AM415,AR415,AW415,BB415,BG415,BL415)</f>
        <v>121</v>
      </c>
      <c r="BR415" s="8">
        <f>SUM(J415,O415,T415,Y415,AD415,AI415,AN415,AS415,AX415,BC415,BH415,BM415)</f>
        <v>0</v>
      </c>
      <c r="BS415" s="31">
        <f t="shared" si="270"/>
        <v>411</v>
      </c>
    </row>
    <row r="416" spans="2:71" x14ac:dyDescent="0.3">
      <c r="B416" s="264"/>
      <c r="C416" s="223"/>
      <c r="D416" s="224"/>
      <c r="E416" s="211"/>
      <c r="F416" s="149" t="s">
        <v>40</v>
      </c>
      <c r="G416" s="34">
        <v>21</v>
      </c>
      <c r="H416" s="16">
        <v>1</v>
      </c>
      <c r="I416" s="16">
        <v>9</v>
      </c>
      <c r="J416" s="17"/>
      <c r="K416" s="18">
        <f t="shared" si="216"/>
        <v>31</v>
      </c>
      <c r="L416" s="34">
        <v>8</v>
      </c>
      <c r="M416" s="16"/>
      <c r="N416" s="16"/>
      <c r="O416" s="17"/>
      <c r="P416" s="18">
        <f t="shared" si="258"/>
        <v>8</v>
      </c>
      <c r="Q416" s="34">
        <v>12</v>
      </c>
      <c r="R416" s="16"/>
      <c r="S416" s="16">
        <v>3</v>
      </c>
      <c r="T416" s="17"/>
      <c r="U416" s="18">
        <f t="shared" si="259"/>
        <v>15</v>
      </c>
      <c r="V416" s="34">
        <v>16</v>
      </c>
      <c r="W416" s="16">
        <v>1</v>
      </c>
      <c r="X416" s="16">
        <v>6</v>
      </c>
      <c r="Y416" s="17"/>
      <c r="Z416" s="18">
        <f t="shared" si="260"/>
        <v>23</v>
      </c>
      <c r="AA416" s="34">
        <v>20</v>
      </c>
      <c r="AB416" s="16"/>
      <c r="AC416" s="16">
        <v>8</v>
      </c>
      <c r="AD416" s="17"/>
      <c r="AE416" s="18">
        <f t="shared" si="261"/>
        <v>28</v>
      </c>
      <c r="AF416" s="34">
        <v>3</v>
      </c>
      <c r="AG416" s="16"/>
      <c r="AH416" s="16">
        <v>1</v>
      </c>
      <c r="AI416" s="17"/>
      <c r="AJ416" s="18">
        <f t="shared" si="262"/>
        <v>4</v>
      </c>
      <c r="AK416" s="34">
        <v>9</v>
      </c>
      <c r="AL416" s="16"/>
      <c r="AM416" s="16">
        <v>3</v>
      </c>
      <c r="AN416" s="17"/>
      <c r="AO416" s="18">
        <f t="shared" si="263"/>
        <v>12</v>
      </c>
      <c r="AP416" s="34">
        <v>3</v>
      </c>
      <c r="AQ416" s="16"/>
      <c r="AR416" s="16">
        <v>3</v>
      </c>
      <c r="AS416" s="17"/>
      <c r="AT416" s="18">
        <f t="shared" si="264"/>
        <v>6</v>
      </c>
      <c r="AU416" s="34"/>
      <c r="AV416" s="16"/>
      <c r="AW416" s="16"/>
      <c r="AX416" s="17"/>
      <c r="AY416" s="18">
        <f t="shared" si="265"/>
        <v>0</v>
      </c>
      <c r="AZ416" s="34">
        <v>42</v>
      </c>
      <c r="BA416" s="16">
        <v>2</v>
      </c>
      <c r="BB416" s="16">
        <v>12</v>
      </c>
      <c r="BC416" s="17"/>
      <c r="BD416" s="18">
        <f t="shared" si="266"/>
        <v>56</v>
      </c>
      <c r="BE416" s="34">
        <v>10</v>
      </c>
      <c r="BF416" s="16"/>
      <c r="BG416" s="16">
        <v>4</v>
      </c>
      <c r="BH416" s="17"/>
      <c r="BI416" s="18">
        <f t="shared" si="267"/>
        <v>14</v>
      </c>
      <c r="BJ416" s="34">
        <v>4</v>
      </c>
      <c r="BK416" s="16">
        <v>1</v>
      </c>
      <c r="BL416" s="16">
        <v>2</v>
      </c>
      <c r="BM416" s="17"/>
      <c r="BN416" s="18">
        <f t="shared" si="268"/>
        <v>7</v>
      </c>
      <c r="BO416" s="70">
        <f>SUM(G416,L416,Q416,V416,AA416,AF416,AK416,AP416,AU416,AZ416,BE416,BJ416)</f>
        <v>148</v>
      </c>
      <c r="BP416" s="16">
        <f>SUM(H416,M416,R416,W416,AB416,AG416,AL416,AQ416,AV416,BA416,BF416,BK416)</f>
        <v>5</v>
      </c>
      <c r="BQ416" s="16">
        <f>SUM(I416,N416,S416,X416,AC416,AH416,AM416,AR416,AW416,BB416,BG416,BL416)</f>
        <v>51</v>
      </c>
      <c r="BR416" s="17">
        <f>SUM(J416,O416,T416,Y416,AD416,AI416,AN416,AS416,AX416,BC416,BH416,BM416)</f>
        <v>0</v>
      </c>
      <c r="BS416" s="35">
        <f t="shared" si="270"/>
        <v>204</v>
      </c>
    </row>
    <row r="417" spans="2:71" x14ac:dyDescent="0.3">
      <c r="B417" s="264"/>
      <c r="C417" s="223"/>
      <c r="D417" s="224"/>
      <c r="E417" s="210" t="s">
        <v>102</v>
      </c>
      <c r="F417" s="141" t="s">
        <v>809</v>
      </c>
      <c r="G417" s="30">
        <v>135</v>
      </c>
      <c r="H417" s="7"/>
      <c r="I417" s="7"/>
      <c r="J417" s="8"/>
      <c r="K417" s="9">
        <f t="shared" si="216"/>
        <v>135</v>
      </c>
      <c r="L417" s="30">
        <v>138</v>
      </c>
      <c r="M417" s="7"/>
      <c r="N417" s="7"/>
      <c r="O417" s="8"/>
      <c r="P417" s="9">
        <f t="shared" si="258"/>
        <v>138</v>
      </c>
      <c r="Q417" s="30">
        <v>346</v>
      </c>
      <c r="R417" s="7"/>
      <c r="S417" s="7"/>
      <c r="T417" s="8"/>
      <c r="U417" s="9">
        <f t="shared" si="259"/>
        <v>346</v>
      </c>
      <c r="V417" s="30">
        <v>626</v>
      </c>
      <c r="W417" s="7"/>
      <c r="X417" s="7"/>
      <c r="Y417" s="8"/>
      <c r="Z417" s="9">
        <f t="shared" si="260"/>
        <v>626</v>
      </c>
      <c r="AA417" s="30">
        <v>1367</v>
      </c>
      <c r="AB417" s="7"/>
      <c r="AC417" s="7"/>
      <c r="AD417" s="8"/>
      <c r="AE417" s="9">
        <f t="shared" si="261"/>
        <v>1367</v>
      </c>
      <c r="AF417" s="30">
        <v>789</v>
      </c>
      <c r="AG417" s="7"/>
      <c r="AH417" s="7"/>
      <c r="AI417" s="8"/>
      <c r="AJ417" s="9">
        <f t="shared" si="262"/>
        <v>789</v>
      </c>
      <c r="AK417" s="30">
        <v>295</v>
      </c>
      <c r="AL417" s="7"/>
      <c r="AM417" s="7"/>
      <c r="AN417" s="8"/>
      <c r="AO417" s="9">
        <f t="shared" si="263"/>
        <v>295</v>
      </c>
      <c r="AP417" s="30">
        <v>681</v>
      </c>
      <c r="AQ417" s="7"/>
      <c r="AR417" s="7"/>
      <c r="AS417" s="8"/>
      <c r="AT417" s="9">
        <f t="shared" si="264"/>
        <v>681</v>
      </c>
      <c r="AU417" s="30">
        <v>395</v>
      </c>
      <c r="AV417" s="7"/>
      <c r="AW417" s="7"/>
      <c r="AX417" s="8"/>
      <c r="AY417" s="9">
        <f t="shared" si="265"/>
        <v>395</v>
      </c>
      <c r="AZ417" s="30">
        <v>907</v>
      </c>
      <c r="BA417" s="7"/>
      <c r="BB417" s="7"/>
      <c r="BC417" s="8"/>
      <c r="BD417" s="9">
        <f t="shared" si="266"/>
        <v>907</v>
      </c>
      <c r="BE417" s="30">
        <v>709</v>
      </c>
      <c r="BF417" s="7"/>
      <c r="BG417" s="7"/>
      <c r="BH417" s="8"/>
      <c r="BI417" s="9">
        <f t="shared" si="267"/>
        <v>709</v>
      </c>
      <c r="BJ417" s="30">
        <v>441</v>
      </c>
      <c r="BK417" s="7"/>
      <c r="BL417" s="7"/>
      <c r="BM417" s="8"/>
      <c r="BN417" s="9">
        <f t="shared" si="268"/>
        <v>441</v>
      </c>
      <c r="BO417" s="65">
        <f>SUM(G417,L417,Q417,V417,AA417,AF417,AK417,AP417,AU417,AZ417,BE417,BJ417)</f>
        <v>6829</v>
      </c>
      <c r="BP417" s="7">
        <f>SUM(H417,M417,R417,W417,AB417,AG417,AL417,AQ417,AV417,BA417,BF417,BK417)</f>
        <v>0</v>
      </c>
      <c r="BQ417" s="7">
        <f>SUM(I417,N417,S417,X417,AC417,AH417,AM417,AR417,AW417,BB417,BG417,BL417)</f>
        <v>0</v>
      </c>
      <c r="BR417" s="8">
        <f>SUM(J417,O417,T417,Y417,AD417,AI417,AN417,AS417,AX417,BC417,BH417,BM417)</f>
        <v>0</v>
      </c>
      <c r="BS417" s="31">
        <f t="shared" si="270"/>
        <v>6829</v>
      </c>
    </row>
    <row r="418" spans="2:71" x14ac:dyDescent="0.3">
      <c r="B418" s="264"/>
      <c r="C418" s="223"/>
      <c r="D418" s="224"/>
      <c r="E418" s="211"/>
      <c r="F418" s="142" t="s">
        <v>810</v>
      </c>
      <c r="G418" s="32">
        <v>12</v>
      </c>
      <c r="H418" s="13"/>
      <c r="I418" s="13"/>
      <c r="J418" s="14"/>
      <c r="K418" s="15">
        <f t="shared" si="216"/>
        <v>12</v>
      </c>
      <c r="L418" s="32">
        <v>38</v>
      </c>
      <c r="M418" s="13"/>
      <c r="N418" s="13"/>
      <c r="O418" s="14"/>
      <c r="P418" s="15">
        <f t="shared" si="258"/>
        <v>38</v>
      </c>
      <c r="Q418" s="32">
        <v>40</v>
      </c>
      <c r="R418" s="13"/>
      <c r="S418" s="13"/>
      <c r="T418" s="14"/>
      <c r="U418" s="15">
        <f t="shared" si="259"/>
        <v>40</v>
      </c>
      <c r="V418" s="32">
        <v>206</v>
      </c>
      <c r="W418" s="13"/>
      <c r="X418" s="13"/>
      <c r="Y418" s="14"/>
      <c r="Z418" s="15">
        <f t="shared" si="260"/>
        <v>206</v>
      </c>
      <c r="AA418" s="32">
        <v>377</v>
      </c>
      <c r="AB418" s="13"/>
      <c r="AC418" s="13"/>
      <c r="AD418" s="14"/>
      <c r="AE418" s="15">
        <f t="shared" si="261"/>
        <v>377</v>
      </c>
      <c r="AF418" s="32">
        <v>238</v>
      </c>
      <c r="AG418" s="13"/>
      <c r="AH418" s="13"/>
      <c r="AI418" s="14"/>
      <c r="AJ418" s="15">
        <f t="shared" si="262"/>
        <v>238</v>
      </c>
      <c r="AK418" s="32">
        <v>149</v>
      </c>
      <c r="AL418" s="13"/>
      <c r="AM418" s="13"/>
      <c r="AN418" s="14"/>
      <c r="AO418" s="15">
        <f t="shared" si="263"/>
        <v>149</v>
      </c>
      <c r="AP418" s="32">
        <v>293</v>
      </c>
      <c r="AQ418" s="13"/>
      <c r="AR418" s="13"/>
      <c r="AS418" s="14"/>
      <c r="AT418" s="15">
        <f t="shared" si="264"/>
        <v>293</v>
      </c>
      <c r="AU418" s="32">
        <v>187</v>
      </c>
      <c r="AV418" s="13"/>
      <c r="AW418" s="13"/>
      <c r="AX418" s="14"/>
      <c r="AY418" s="15">
        <f t="shared" si="265"/>
        <v>187</v>
      </c>
      <c r="AZ418" s="32">
        <v>259</v>
      </c>
      <c r="BA418" s="13"/>
      <c r="BB418" s="13"/>
      <c r="BC418" s="14"/>
      <c r="BD418" s="15">
        <f t="shared" si="266"/>
        <v>259</v>
      </c>
      <c r="BE418" s="32">
        <v>233</v>
      </c>
      <c r="BF418" s="13"/>
      <c r="BG418" s="13"/>
      <c r="BH418" s="14"/>
      <c r="BI418" s="15">
        <f t="shared" si="267"/>
        <v>233</v>
      </c>
      <c r="BJ418" s="32">
        <v>229</v>
      </c>
      <c r="BK418" s="13"/>
      <c r="BL418" s="13"/>
      <c r="BM418" s="14"/>
      <c r="BN418" s="15">
        <f t="shared" si="268"/>
        <v>229</v>
      </c>
      <c r="BO418" s="66">
        <f>SUM(G418,L418,Q418,V418,AA418,AF418,AK418,AP418,AU418,AZ418,BE418,BJ418)</f>
        <v>2261</v>
      </c>
      <c r="BP418" s="13">
        <f>SUM(H418,M418,R418,W418,AB418,AG418,AL418,AQ418,AV418,BA418,BF418,BK418)</f>
        <v>0</v>
      </c>
      <c r="BQ418" s="13">
        <f>SUM(I418,N418,S418,X418,AC418,AH418,AM418,AR418,AW418,BB418,BG418,BL418)</f>
        <v>0</v>
      </c>
      <c r="BR418" s="14">
        <f>SUM(J418,O418,T418,Y418,AD418,AI418,AN418,AS418,AX418,BC418,BH418,BM418)</f>
        <v>0</v>
      </c>
      <c r="BS418" s="33">
        <f t="shared" si="270"/>
        <v>2261</v>
      </c>
    </row>
    <row r="419" spans="2:71" x14ac:dyDescent="0.3">
      <c r="B419" s="264"/>
      <c r="C419" s="223"/>
      <c r="D419" s="224"/>
      <c r="E419" s="211"/>
      <c r="F419" s="149" t="s">
        <v>557</v>
      </c>
      <c r="G419" s="34">
        <v>167</v>
      </c>
      <c r="H419" s="16"/>
      <c r="I419" s="16"/>
      <c r="J419" s="17"/>
      <c r="K419" s="18">
        <f t="shared" si="216"/>
        <v>167</v>
      </c>
      <c r="L419" s="34">
        <v>63</v>
      </c>
      <c r="M419" s="16"/>
      <c r="N419" s="16"/>
      <c r="O419" s="17"/>
      <c r="P419" s="18">
        <f t="shared" si="258"/>
        <v>63</v>
      </c>
      <c r="Q419" s="34">
        <v>231</v>
      </c>
      <c r="R419" s="16"/>
      <c r="S419" s="16"/>
      <c r="T419" s="17"/>
      <c r="U419" s="18">
        <f t="shared" si="259"/>
        <v>231</v>
      </c>
      <c r="V419" s="34">
        <v>424</v>
      </c>
      <c r="W419" s="16"/>
      <c r="X419" s="16"/>
      <c r="Y419" s="17"/>
      <c r="Z419" s="18">
        <f t="shared" si="260"/>
        <v>424</v>
      </c>
      <c r="AA419" s="34">
        <v>558</v>
      </c>
      <c r="AB419" s="16"/>
      <c r="AC419" s="16"/>
      <c r="AD419" s="17"/>
      <c r="AE419" s="18">
        <f t="shared" si="261"/>
        <v>558</v>
      </c>
      <c r="AF419" s="34">
        <v>696</v>
      </c>
      <c r="AG419" s="16"/>
      <c r="AH419" s="16"/>
      <c r="AI419" s="17"/>
      <c r="AJ419" s="18">
        <f t="shared" si="262"/>
        <v>696</v>
      </c>
      <c r="AK419" s="34">
        <v>572</v>
      </c>
      <c r="AL419" s="16"/>
      <c r="AM419" s="16"/>
      <c r="AN419" s="17"/>
      <c r="AO419" s="18">
        <f t="shared" si="263"/>
        <v>572</v>
      </c>
      <c r="AP419" s="34">
        <v>827</v>
      </c>
      <c r="AQ419" s="16"/>
      <c r="AR419" s="16"/>
      <c r="AS419" s="17"/>
      <c r="AT419" s="18">
        <f t="shared" si="264"/>
        <v>827</v>
      </c>
      <c r="AU419" s="34">
        <v>380</v>
      </c>
      <c r="AV419" s="16"/>
      <c r="AW419" s="16"/>
      <c r="AX419" s="17"/>
      <c r="AY419" s="18">
        <f t="shared" si="265"/>
        <v>380</v>
      </c>
      <c r="AZ419" s="34">
        <v>456</v>
      </c>
      <c r="BA419" s="16"/>
      <c r="BB419" s="16"/>
      <c r="BC419" s="17"/>
      <c r="BD419" s="18">
        <f t="shared" si="266"/>
        <v>456</v>
      </c>
      <c r="BE419" s="34">
        <v>425</v>
      </c>
      <c r="BF419" s="16"/>
      <c r="BG419" s="16"/>
      <c r="BH419" s="17"/>
      <c r="BI419" s="18">
        <f t="shared" si="267"/>
        <v>425</v>
      </c>
      <c r="BJ419" s="34">
        <v>545</v>
      </c>
      <c r="BK419" s="16"/>
      <c r="BL419" s="16"/>
      <c r="BM419" s="17"/>
      <c r="BN419" s="18">
        <f t="shared" si="268"/>
        <v>545</v>
      </c>
      <c r="BO419" s="70">
        <f>SUM(G419,L419,Q419,V419,AA419,AF419,AK419,AP419,AU419,AZ419,BE419,BJ419)</f>
        <v>5344</v>
      </c>
      <c r="BP419" s="16">
        <f>SUM(H419,M419,R419,W419,AB419,AG419,AL419,AQ419,AV419,BA419,BF419,BK419)</f>
        <v>0</v>
      </c>
      <c r="BQ419" s="16">
        <f>SUM(I419,N419,S419,X419,AC419,AH419,AM419,AR419,AW419,BB419,BG419,BL419)</f>
        <v>0</v>
      </c>
      <c r="BR419" s="17">
        <f>SUM(J419,O419,T419,Y419,AD419,AI419,AN419,AS419,AX419,BC419,BH419,BM419)</f>
        <v>0</v>
      </c>
      <c r="BS419" s="35">
        <f t="shared" si="270"/>
        <v>5344</v>
      </c>
    </row>
    <row r="420" spans="2:71" x14ac:dyDescent="0.3">
      <c r="B420" s="264"/>
      <c r="C420" s="223"/>
      <c r="D420" s="224"/>
      <c r="E420" s="212"/>
      <c r="F420" s="149" t="s">
        <v>811</v>
      </c>
      <c r="G420" s="34"/>
      <c r="H420" s="16"/>
      <c r="I420" s="16"/>
      <c r="J420" s="17"/>
      <c r="K420" s="18">
        <f t="shared" si="216"/>
        <v>0</v>
      </c>
      <c r="L420" s="34"/>
      <c r="M420" s="16"/>
      <c r="N420" s="16"/>
      <c r="O420" s="17"/>
      <c r="P420" s="18">
        <f t="shared" si="258"/>
        <v>0</v>
      </c>
      <c r="Q420" s="34"/>
      <c r="R420" s="16"/>
      <c r="S420" s="16"/>
      <c r="T420" s="17"/>
      <c r="U420" s="18">
        <f t="shared" si="259"/>
        <v>0</v>
      </c>
      <c r="V420" s="34"/>
      <c r="W420" s="16"/>
      <c r="X420" s="16"/>
      <c r="Y420" s="17"/>
      <c r="Z420" s="18">
        <f t="shared" si="260"/>
        <v>0</v>
      </c>
      <c r="AA420" s="34"/>
      <c r="AB420" s="16"/>
      <c r="AC420" s="16"/>
      <c r="AD420" s="17"/>
      <c r="AE420" s="18">
        <f t="shared" si="261"/>
        <v>0</v>
      </c>
      <c r="AF420" s="34"/>
      <c r="AG420" s="16"/>
      <c r="AH420" s="16"/>
      <c r="AI420" s="17"/>
      <c r="AJ420" s="18">
        <f t="shared" si="262"/>
        <v>0</v>
      </c>
      <c r="AK420" s="34"/>
      <c r="AL420" s="16"/>
      <c r="AM420" s="16"/>
      <c r="AN420" s="17"/>
      <c r="AO420" s="18">
        <f t="shared" si="263"/>
        <v>0</v>
      </c>
      <c r="AP420" s="34"/>
      <c r="AQ420" s="16"/>
      <c r="AR420" s="16"/>
      <c r="AS420" s="17"/>
      <c r="AT420" s="18">
        <f t="shared" si="264"/>
        <v>0</v>
      </c>
      <c r="AU420" s="34"/>
      <c r="AV420" s="16"/>
      <c r="AW420" s="16"/>
      <c r="AX420" s="17"/>
      <c r="AY420" s="18">
        <f t="shared" si="265"/>
        <v>0</v>
      </c>
      <c r="AZ420" s="34"/>
      <c r="BA420" s="16"/>
      <c r="BB420" s="16"/>
      <c r="BC420" s="17"/>
      <c r="BD420" s="18">
        <f t="shared" si="266"/>
        <v>0</v>
      </c>
      <c r="BE420" s="34">
        <v>4</v>
      </c>
      <c r="BF420" s="16"/>
      <c r="BG420" s="16"/>
      <c r="BH420" s="17"/>
      <c r="BI420" s="18">
        <f t="shared" si="267"/>
        <v>4</v>
      </c>
      <c r="BJ420" s="34"/>
      <c r="BK420" s="16"/>
      <c r="BL420" s="16"/>
      <c r="BM420" s="17"/>
      <c r="BN420" s="18">
        <f t="shared" si="268"/>
        <v>0</v>
      </c>
      <c r="BO420" s="70">
        <f>SUM(G420,L420,Q420,V420,AA420,AF420,AK420,AP420,AU420,AZ420,BE420,BJ420)</f>
        <v>4</v>
      </c>
      <c r="BP420" s="16">
        <f>SUM(H420,M420,R420,W420,AB420,AG420,AL420,AQ420,AV420,BA420,BF420,BK420)</f>
        <v>0</v>
      </c>
      <c r="BQ420" s="16">
        <f>SUM(I420,N420,S420,X420,AC420,AH420,AM420,AR420,AW420,BB420,BG420,BL420)</f>
        <v>0</v>
      </c>
      <c r="BR420" s="17">
        <f>SUM(J420,O420,T420,Y420,AD420,AI420,AN420,AS420,AX420,BC420,BH420,BM420)</f>
        <v>0</v>
      </c>
      <c r="BS420" s="35">
        <f t="shared" si="270"/>
        <v>4</v>
      </c>
    </row>
    <row r="421" spans="2:71" x14ac:dyDescent="0.3">
      <c r="B421" s="264"/>
      <c r="C421" s="223"/>
      <c r="D421" s="224"/>
      <c r="E421" s="210" t="s">
        <v>5</v>
      </c>
      <c r="F421" s="141" t="s">
        <v>103</v>
      </c>
      <c r="G421" s="30">
        <v>278</v>
      </c>
      <c r="H421" s="7"/>
      <c r="I421" s="7"/>
      <c r="J421" s="8"/>
      <c r="K421" s="9">
        <f t="shared" si="216"/>
        <v>278</v>
      </c>
      <c r="L421" s="30">
        <f>68+64</f>
        <v>132</v>
      </c>
      <c r="M421" s="7"/>
      <c r="N421" s="7"/>
      <c r="O421" s="8"/>
      <c r="P421" s="9">
        <f t="shared" si="258"/>
        <v>132</v>
      </c>
      <c r="Q421" s="30">
        <v>119</v>
      </c>
      <c r="R421" s="7"/>
      <c r="S421" s="7"/>
      <c r="T421" s="8"/>
      <c r="U421" s="9">
        <f t="shared" si="259"/>
        <v>119</v>
      </c>
      <c r="V421" s="30">
        <v>3804</v>
      </c>
      <c r="W421" s="7"/>
      <c r="X421" s="7"/>
      <c r="Y421" s="8"/>
      <c r="Z421" s="9">
        <f t="shared" si="260"/>
        <v>3804</v>
      </c>
      <c r="AA421" s="30">
        <v>1450</v>
      </c>
      <c r="AB421" s="7"/>
      <c r="AC421" s="7"/>
      <c r="AD421" s="8"/>
      <c r="AE421" s="9">
        <f t="shared" si="261"/>
        <v>1450</v>
      </c>
      <c r="AF421" s="30">
        <v>143</v>
      </c>
      <c r="AG421" s="7"/>
      <c r="AH421" s="7"/>
      <c r="AI421" s="8"/>
      <c r="AJ421" s="9">
        <f t="shared" si="262"/>
        <v>143</v>
      </c>
      <c r="AK421" s="30">
        <v>714</v>
      </c>
      <c r="AL421" s="7"/>
      <c r="AM421" s="7"/>
      <c r="AN421" s="8"/>
      <c r="AO421" s="9">
        <f t="shared" si="263"/>
        <v>714</v>
      </c>
      <c r="AP421" s="30"/>
      <c r="AQ421" s="7"/>
      <c r="AR421" s="7"/>
      <c r="AS421" s="8"/>
      <c r="AT421" s="9">
        <f t="shared" si="264"/>
        <v>0</v>
      </c>
      <c r="AU421" s="30">
        <v>305</v>
      </c>
      <c r="AV421" s="7"/>
      <c r="AW421" s="7"/>
      <c r="AX421" s="8"/>
      <c r="AY421" s="9">
        <f t="shared" si="265"/>
        <v>305</v>
      </c>
      <c r="AZ421" s="30">
        <v>2559</v>
      </c>
      <c r="BA421" s="7"/>
      <c r="BB421" s="7"/>
      <c r="BC421" s="8"/>
      <c r="BD421" s="9">
        <f t="shared" si="266"/>
        <v>2559</v>
      </c>
      <c r="BE421" s="30">
        <v>445</v>
      </c>
      <c r="BF421" s="7"/>
      <c r="BG421" s="7"/>
      <c r="BH421" s="8"/>
      <c r="BI421" s="9">
        <f t="shared" si="267"/>
        <v>445</v>
      </c>
      <c r="BJ421" s="30">
        <v>62</v>
      </c>
      <c r="BK421" s="7"/>
      <c r="BL421" s="7"/>
      <c r="BM421" s="8"/>
      <c r="BN421" s="9">
        <f t="shared" si="268"/>
        <v>62</v>
      </c>
      <c r="BO421" s="65">
        <f>SUM(G421,L421,Q421,V421,AA421,AF421,AK421,AP421,AU421,AZ421,BE421,BJ421)</f>
        <v>10011</v>
      </c>
      <c r="BP421" s="7">
        <f>SUM(H421,M421,R421,W421,AB421,AG421,AL421,AQ421,AV421,BA421,BF421,BK421)</f>
        <v>0</v>
      </c>
      <c r="BQ421" s="7">
        <f>SUM(I421,N421,S421,X421,AC421,AH421,AM421,AR421,AW421,BB421,BG421,BL421)</f>
        <v>0</v>
      </c>
      <c r="BR421" s="8">
        <f>SUM(J421,O421,T421,Y421,AD421,AI421,AN421,AS421,AX421,BC421,BH421,BM421)</f>
        <v>0</v>
      </c>
      <c r="BS421" s="31">
        <f t="shared" si="270"/>
        <v>10011</v>
      </c>
    </row>
    <row r="422" spans="2:71" x14ac:dyDescent="0.3">
      <c r="B422" s="264"/>
      <c r="C422" s="223"/>
      <c r="D422" s="224"/>
      <c r="E422" s="211"/>
      <c r="F422" s="143" t="s">
        <v>812</v>
      </c>
      <c r="G422" s="49">
        <v>1319</v>
      </c>
      <c r="H422" s="50"/>
      <c r="I422" s="50"/>
      <c r="J422" s="51"/>
      <c r="K422" s="52">
        <f t="shared" si="216"/>
        <v>1319</v>
      </c>
      <c r="L422" s="49">
        <v>506</v>
      </c>
      <c r="M422" s="50"/>
      <c r="N422" s="50"/>
      <c r="O422" s="51"/>
      <c r="P422" s="52">
        <f t="shared" si="258"/>
        <v>506</v>
      </c>
      <c r="Q422" s="49"/>
      <c r="R422" s="50"/>
      <c r="S422" s="50"/>
      <c r="T422" s="51"/>
      <c r="U422" s="52">
        <f t="shared" si="259"/>
        <v>0</v>
      </c>
      <c r="V422" s="49"/>
      <c r="W422" s="50"/>
      <c r="X422" s="50"/>
      <c r="Y422" s="51"/>
      <c r="Z422" s="52">
        <f t="shared" si="260"/>
        <v>0</v>
      </c>
      <c r="AA422" s="49"/>
      <c r="AB422" s="50"/>
      <c r="AC422" s="50"/>
      <c r="AD422" s="51"/>
      <c r="AE422" s="52">
        <f t="shared" si="261"/>
        <v>0</v>
      </c>
      <c r="AF422" s="49"/>
      <c r="AG422" s="50"/>
      <c r="AH422" s="50"/>
      <c r="AI422" s="51"/>
      <c r="AJ422" s="52">
        <f t="shared" si="262"/>
        <v>0</v>
      </c>
      <c r="AK422" s="49"/>
      <c r="AL422" s="50"/>
      <c r="AM422" s="50"/>
      <c r="AN422" s="51"/>
      <c r="AO422" s="52">
        <f t="shared" si="263"/>
        <v>0</v>
      </c>
      <c r="AP422" s="49"/>
      <c r="AQ422" s="50"/>
      <c r="AR422" s="50"/>
      <c r="AS422" s="51"/>
      <c r="AT422" s="52">
        <f t="shared" si="264"/>
        <v>0</v>
      </c>
      <c r="AU422" s="49"/>
      <c r="AV422" s="50"/>
      <c r="AW422" s="50"/>
      <c r="AX422" s="51"/>
      <c r="AY422" s="52">
        <f t="shared" si="265"/>
        <v>0</v>
      </c>
      <c r="AZ422" s="49">
        <v>4113</v>
      </c>
      <c r="BA422" s="50"/>
      <c r="BB422" s="50"/>
      <c r="BC422" s="51"/>
      <c r="BD422" s="52">
        <f t="shared" si="266"/>
        <v>4113</v>
      </c>
      <c r="BE422" s="49"/>
      <c r="BF422" s="50"/>
      <c r="BG422" s="50"/>
      <c r="BH422" s="51"/>
      <c r="BI422" s="52">
        <f t="shared" si="267"/>
        <v>0</v>
      </c>
      <c r="BJ422" s="49"/>
      <c r="BK422" s="50"/>
      <c r="BL422" s="50"/>
      <c r="BM422" s="51"/>
      <c r="BN422" s="52">
        <f t="shared" si="268"/>
        <v>0</v>
      </c>
      <c r="BO422" s="167">
        <f>SUM(G422,L422,Q422,V422,AA422,AF422,AK422,AP422,AU422,AZ422,BE422,BJ422)</f>
        <v>5938</v>
      </c>
      <c r="BP422" s="50">
        <f>SUM(H422,M422,R422,W422,AB422,AG422,AL422,AQ422,AV422,BA422,BF422,BK422)</f>
        <v>0</v>
      </c>
      <c r="BQ422" s="50">
        <f>SUM(I422,N422,S422,X422,AC422,AH422,AM422,AR422,AW422,BB422,BG422,BL422)</f>
        <v>0</v>
      </c>
      <c r="BR422" s="51">
        <f>SUM(J422,O422,T422,Y422,AD422,AI422,AN422,AS422,AX422,BC422,BH422,BM422)</f>
        <v>0</v>
      </c>
      <c r="BS422" s="53">
        <f t="shared" si="270"/>
        <v>5938</v>
      </c>
    </row>
    <row r="423" spans="2:71" x14ac:dyDescent="0.3">
      <c r="B423" s="264"/>
      <c r="C423" s="225"/>
      <c r="D423" s="226"/>
      <c r="E423" s="116"/>
      <c r="F423" s="116" t="s">
        <v>4</v>
      </c>
      <c r="G423" s="54">
        <f>SUM(G409:G422)</f>
        <v>3193</v>
      </c>
      <c r="H423" s="55">
        <f>SUM(H409:H422)</f>
        <v>5</v>
      </c>
      <c r="I423" s="55">
        <f>SUM(I409:I422)</f>
        <v>23</v>
      </c>
      <c r="J423" s="56">
        <f>SUM(J409:J422)</f>
        <v>0</v>
      </c>
      <c r="K423" s="57">
        <f t="shared" si="216"/>
        <v>3221</v>
      </c>
      <c r="L423" s="54">
        <f>SUM(L409:L422)</f>
        <v>2037</v>
      </c>
      <c r="M423" s="55">
        <f>SUM(M409:M422)</f>
        <v>1</v>
      </c>
      <c r="N423" s="55">
        <f>SUM(N409:N422)</f>
        <v>9</v>
      </c>
      <c r="O423" s="56">
        <f>SUM(O409:O422)</f>
        <v>0</v>
      </c>
      <c r="P423" s="57">
        <f t="shared" si="258"/>
        <v>2047</v>
      </c>
      <c r="Q423" s="54">
        <f>SUM(Q409:Q422)</f>
        <v>1663</v>
      </c>
      <c r="R423" s="55">
        <f>SUM(R409:R422)</f>
        <v>1</v>
      </c>
      <c r="S423" s="55">
        <f>SUM(S409:S422)</f>
        <v>17</v>
      </c>
      <c r="T423" s="56">
        <f>SUM(T409:T422)</f>
        <v>0</v>
      </c>
      <c r="U423" s="57">
        <f t="shared" si="259"/>
        <v>1681</v>
      </c>
      <c r="V423" s="54">
        <f>SUM(V409:V422)</f>
        <v>6878</v>
      </c>
      <c r="W423" s="55">
        <f>SUM(W409:W422)</f>
        <v>2</v>
      </c>
      <c r="X423" s="55">
        <f>SUM(X409:X422)</f>
        <v>29</v>
      </c>
      <c r="Y423" s="56">
        <f>SUM(Y409:Y422)</f>
        <v>0</v>
      </c>
      <c r="Z423" s="57">
        <f t="shared" si="260"/>
        <v>6909</v>
      </c>
      <c r="AA423" s="54">
        <f>SUM(AA409:AA422)</f>
        <v>5391</v>
      </c>
      <c r="AB423" s="55">
        <f>SUM(AB409:AB422)</f>
        <v>0</v>
      </c>
      <c r="AC423" s="55">
        <f>SUM(AC409:AC422)</f>
        <v>20</v>
      </c>
      <c r="AD423" s="56">
        <f>SUM(AD409:AD422)</f>
        <v>0</v>
      </c>
      <c r="AE423" s="57">
        <f t="shared" si="261"/>
        <v>5411</v>
      </c>
      <c r="AF423" s="54">
        <f>SUM(AF409:AF422)</f>
        <v>3613</v>
      </c>
      <c r="AG423" s="55">
        <f>SUM(AG409:AG422)</f>
        <v>1</v>
      </c>
      <c r="AH423" s="55">
        <f>SUM(AH409:AH422)</f>
        <v>4</v>
      </c>
      <c r="AI423" s="56">
        <f>SUM(AI409:AI422)</f>
        <v>0</v>
      </c>
      <c r="AJ423" s="57">
        <f t="shared" si="262"/>
        <v>3618</v>
      </c>
      <c r="AK423" s="54">
        <f>SUM(AK409:AK422)</f>
        <v>3181</v>
      </c>
      <c r="AL423" s="55">
        <f>SUM(AL409:AL422)</f>
        <v>0</v>
      </c>
      <c r="AM423" s="55">
        <f>SUM(AM409:AM422)</f>
        <v>3</v>
      </c>
      <c r="AN423" s="56">
        <f>SUM(AN409:AN422)</f>
        <v>0</v>
      </c>
      <c r="AO423" s="57">
        <f t="shared" si="263"/>
        <v>3184</v>
      </c>
      <c r="AP423" s="54">
        <f>SUM(AP409:AP422)</f>
        <v>3555</v>
      </c>
      <c r="AQ423" s="55">
        <f>SUM(AQ409:AQ422)</f>
        <v>0</v>
      </c>
      <c r="AR423" s="55">
        <f>SUM(AR409:AR422)</f>
        <v>3</v>
      </c>
      <c r="AS423" s="56">
        <f>SUM(AS409:AS422)</f>
        <v>0</v>
      </c>
      <c r="AT423" s="57">
        <f t="shared" si="264"/>
        <v>3558</v>
      </c>
      <c r="AU423" s="54">
        <f>SUM(AU409:AU422)</f>
        <v>1988</v>
      </c>
      <c r="AV423" s="55">
        <f>SUM(AV409:AV422)</f>
        <v>0</v>
      </c>
      <c r="AW423" s="55">
        <f>SUM(AW409:AW422)</f>
        <v>0</v>
      </c>
      <c r="AX423" s="56">
        <f>SUM(AX409:AX422)</f>
        <v>0</v>
      </c>
      <c r="AY423" s="57">
        <f t="shared" si="265"/>
        <v>1988</v>
      </c>
      <c r="AZ423" s="54">
        <f>SUM(AZ409:AZ422)</f>
        <v>10174</v>
      </c>
      <c r="BA423" s="55">
        <f>SUM(BA409:BA422)</f>
        <v>4</v>
      </c>
      <c r="BB423" s="55">
        <f>SUM(BB409:BB422)</f>
        <v>40</v>
      </c>
      <c r="BC423" s="56">
        <f>SUM(BC409:BC422)</f>
        <v>0</v>
      </c>
      <c r="BD423" s="57">
        <f t="shared" si="266"/>
        <v>10218</v>
      </c>
      <c r="BE423" s="54">
        <f>SUM(BE409:BE422)</f>
        <v>3131</v>
      </c>
      <c r="BF423" s="55">
        <f>SUM(BF409:BF422)</f>
        <v>0</v>
      </c>
      <c r="BG423" s="55">
        <f>SUM(BG409:BG422)</f>
        <v>12</v>
      </c>
      <c r="BH423" s="56">
        <f>SUM(BH409:BH422)</f>
        <v>0</v>
      </c>
      <c r="BI423" s="57">
        <f t="shared" si="267"/>
        <v>3143</v>
      </c>
      <c r="BJ423" s="54">
        <f>SUM(BJ409:BJ422)</f>
        <v>3614</v>
      </c>
      <c r="BK423" s="55">
        <f>SUM(BK409:BK422)</f>
        <v>1</v>
      </c>
      <c r="BL423" s="55">
        <f>SUM(BL409:BL422)</f>
        <v>12</v>
      </c>
      <c r="BM423" s="56">
        <f>SUM(BM409:BM422)</f>
        <v>0</v>
      </c>
      <c r="BN423" s="57">
        <f t="shared" si="268"/>
        <v>3627</v>
      </c>
      <c r="BO423" s="72">
        <f>SUM(BO409:BO422)</f>
        <v>48418</v>
      </c>
      <c r="BP423" s="55">
        <f>SUM(BP409:BP422)</f>
        <v>15</v>
      </c>
      <c r="BQ423" s="55">
        <f>SUM(BQ409:BQ422)</f>
        <v>172</v>
      </c>
      <c r="BR423" s="56">
        <f>SUM(BR409:BR422)</f>
        <v>0</v>
      </c>
      <c r="BS423" s="58">
        <f t="shared" si="270"/>
        <v>48605</v>
      </c>
    </row>
    <row r="424" spans="2:71" x14ac:dyDescent="0.3">
      <c r="B424" s="264"/>
      <c r="C424" s="227" t="s">
        <v>5</v>
      </c>
      <c r="D424" s="228"/>
      <c r="E424" s="228"/>
      <c r="F424" s="120" t="s">
        <v>104</v>
      </c>
      <c r="G424" s="147"/>
      <c r="H424" s="7"/>
      <c r="I424" s="7"/>
      <c r="J424" s="8">
        <v>1314</v>
      </c>
      <c r="K424" s="9">
        <f t="shared" si="216"/>
        <v>1314</v>
      </c>
      <c r="L424" s="147"/>
      <c r="M424" s="7"/>
      <c r="N424" s="7"/>
      <c r="O424" s="8">
        <v>1613</v>
      </c>
      <c r="P424" s="9">
        <f t="shared" si="258"/>
        <v>1613</v>
      </c>
      <c r="Q424" s="147"/>
      <c r="R424" s="7"/>
      <c r="S424" s="7"/>
      <c r="T424" s="8">
        <v>1574</v>
      </c>
      <c r="U424" s="9">
        <f t="shared" si="259"/>
        <v>1574</v>
      </c>
      <c r="V424" s="147"/>
      <c r="W424" s="7"/>
      <c r="X424" s="7"/>
      <c r="Y424" s="8">
        <v>674</v>
      </c>
      <c r="Z424" s="9">
        <f t="shared" si="260"/>
        <v>674</v>
      </c>
      <c r="AA424" s="147"/>
      <c r="AB424" s="7"/>
      <c r="AC424" s="7"/>
      <c r="AD424" s="8"/>
      <c r="AE424" s="9">
        <f t="shared" si="261"/>
        <v>0</v>
      </c>
      <c r="AF424" s="147"/>
      <c r="AG424" s="7"/>
      <c r="AH424" s="7"/>
      <c r="AI424" s="8"/>
      <c r="AJ424" s="9">
        <f t="shared" si="262"/>
        <v>0</v>
      </c>
      <c r="AK424" s="147"/>
      <c r="AL424" s="7"/>
      <c r="AM424" s="7"/>
      <c r="AN424" s="8"/>
      <c r="AO424" s="9">
        <f t="shared" si="263"/>
        <v>0</v>
      </c>
      <c r="AP424" s="147"/>
      <c r="AQ424" s="7"/>
      <c r="AR424" s="7"/>
      <c r="AS424" s="8"/>
      <c r="AT424" s="9">
        <f t="shared" si="264"/>
        <v>0</v>
      </c>
      <c r="AU424" s="147"/>
      <c r="AV424" s="7"/>
      <c r="AW424" s="7"/>
      <c r="AX424" s="8"/>
      <c r="AY424" s="9">
        <f t="shared" si="265"/>
        <v>0</v>
      </c>
      <c r="AZ424" s="147"/>
      <c r="BA424" s="7"/>
      <c r="BB424" s="7"/>
      <c r="BC424" s="8">
        <v>80</v>
      </c>
      <c r="BD424" s="9">
        <f t="shared" si="266"/>
        <v>80</v>
      </c>
      <c r="BE424" s="147"/>
      <c r="BF424" s="7"/>
      <c r="BG424" s="7"/>
      <c r="BH424" s="8"/>
      <c r="BI424" s="9">
        <f t="shared" si="267"/>
        <v>0</v>
      </c>
      <c r="BJ424" s="147"/>
      <c r="BK424" s="7"/>
      <c r="BL424" s="7"/>
      <c r="BM424" s="8"/>
      <c r="BN424" s="9">
        <f t="shared" si="268"/>
        <v>0</v>
      </c>
      <c r="BO424" s="65">
        <f>SUM(G424,L424,Q424,V424,AA424,AF424,AK424,AP424,AU424,AZ424,BE424,BJ424)</f>
        <v>0</v>
      </c>
      <c r="BP424" s="7">
        <f>SUM(H424,M424,R424,W424,AB424,AG424,AL424,AQ424,AV424,BA424,BF424,BK424)</f>
        <v>0</v>
      </c>
      <c r="BQ424" s="7">
        <f>SUM(I424,N424,S424,X424,AC424,AH424,AM424,AR424,AW424,BB424,BG424,BL424)</f>
        <v>0</v>
      </c>
      <c r="BR424" s="8">
        <f>SUM(J424,O424,T424,Y424,AD424,AI424,AN424,AS424,AX424,BC424,BH424,BM424)</f>
        <v>5255</v>
      </c>
      <c r="BS424" s="31">
        <f t="shared" si="270"/>
        <v>5255</v>
      </c>
    </row>
    <row r="425" spans="2:71" x14ac:dyDescent="0.3">
      <c r="B425" s="264"/>
      <c r="C425" s="223"/>
      <c r="D425" s="224"/>
      <c r="E425" s="224"/>
      <c r="F425" s="123" t="s">
        <v>813</v>
      </c>
      <c r="G425" s="34"/>
      <c r="H425" s="16"/>
      <c r="I425" s="16"/>
      <c r="J425" s="17">
        <v>56</v>
      </c>
      <c r="K425" s="18">
        <f t="shared" si="216"/>
        <v>56</v>
      </c>
      <c r="L425" s="34"/>
      <c r="M425" s="16"/>
      <c r="N425" s="16"/>
      <c r="O425" s="17">
        <v>32</v>
      </c>
      <c r="P425" s="18">
        <f t="shared" si="258"/>
        <v>32</v>
      </c>
      <c r="Q425" s="34"/>
      <c r="R425" s="16"/>
      <c r="S425" s="16"/>
      <c r="T425" s="17">
        <v>147</v>
      </c>
      <c r="U425" s="18">
        <f t="shared" si="259"/>
        <v>147</v>
      </c>
      <c r="V425" s="34"/>
      <c r="W425" s="16"/>
      <c r="X425" s="16"/>
      <c r="Y425" s="17">
        <v>239</v>
      </c>
      <c r="Z425" s="18">
        <f t="shared" si="260"/>
        <v>239</v>
      </c>
      <c r="AA425" s="34"/>
      <c r="AB425" s="16"/>
      <c r="AC425" s="16"/>
      <c r="AD425" s="17"/>
      <c r="AE425" s="18">
        <f t="shared" si="261"/>
        <v>0</v>
      </c>
      <c r="AF425" s="34"/>
      <c r="AG425" s="16"/>
      <c r="AH425" s="16"/>
      <c r="AI425" s="17"/>
      <c r="AJ425" s="18">
        <f t="shared" si="262"/>
        <v>0</v>
      </c>
      <c r="AK425" s="34"/>
      <c r="AL425" s="16"/>
      <c r="AM425" s="16"/>
      <c r="AN425" s="17"/>
      <c r="AO425" s="18">
        <f t="shared" si="263"/>
        <v>0</v>
      </c>
      <c r="AP425" s="34"/>
      <c r="AQ425" s="16"/>
      <c r="AR425" s="16"/>
      <c r="AS425" s="17"/>
      <c r="AT425" s="18">
        <f t="shared" si="264"/>
        <v>0</v>
      </c>
      <c r="AU425" s="34"/>
      <c r="AV425" s="16"/>
      <c r="AW425" s="16"/>
      <c r="AX425" s="17"/>
      <c r="AY425" s="18">
        <f t="shared" si="265"/>
        <v>0</v>
      </c>
      <c r="AZ425" s="34"/>
      <c r="BA425" s="16"/>
      <c r="BB425" s="16"/>
      <c r="BC425" s="17"/>
      <c r="BD425" s="18">
        <f t="shared" si="266"/>
        <v>0</v>
      </c>
      <c r="BE425" s="34"/>
      <c r="BF425" s="16"/>
      <c r="BG425" s="16"/>
      <c r="BH425" s="17"/>
      <c r="BI425" s="18">
        <f t="shared" si="267"/>
        <v>0</v>
      </c>
      <c r="BJ425" s="34"/>
      <c r="BK425" s="16"/>
      <c r="BL425" s="16"/>
      <c r="BM425" s="17"/>
      <c r="BN425" s="18">
        <f t="shared" si="268"/>
        <v>0</v>
      </c>
      <c r="BO425" s="70">
        <f>SUM(G425,L425,Q425,V425,AA425,AF425,AK425,AP425,AU425,AZ425,BE425,BJ425)</f>
        <v>0</v>
      </c>
      <c r="BP425" s="16">
        <f>SUM(H425,M425,R425,W425,AB425,AG425,AL425,AQ425,AV425,BA425,BF425,BK425)</f>
        <v>0</v>
      </c>
      <c r="BQ425" s="16">
        <f>SUM(I425,N425,S425,X425,AC425,AH425,AM425,AR425,AW425,BB425,BG425,BL425)</f>
        <v>0</v>
      </c>
      <c r="BR425" s="17">
        <f>SUM(J425,O425,T425,Y425,AD425,AI425,AN425,AS425,AX425,BC425,BH425,BM425)</f>
        <v>474</v>
      </c>
      <c r="BS425" s="35">
        <f t="shared" si="270"/>
        <v>474</v>
      </c>
    </row>
    <row r="426" spans="2:71" x14ac:dyDescent="0.3">
      <c r="B426" s="264"/>
      <c r="C426" s="223"/>
      <c r="D426" s="224"/>
      <c r="E426" s="224"/>
      <c r="F426" s="123" t="s">
        <v>814</v>
      </c>
      <c r="G426" s="170"/>
      <c r="H426" s="16"/>
      <c r="I426" s="16"/>
      <c r="J426" s="17">
        <v>38</v>
      </c>
      <c r="K426" s="18">
        <f t="shared" si="216"/>
        <v>38</v>
      </c>
      <c r="L426" s="170"/>
      <c r="M426" s="16"/>
      <c r="N426" s="16"/>
      <c r="O426" s="17">
        <v>47</v>
      </c>
      <c r="P426" s="18">
        <f t="shared" si="258"/>
        <v>47</v>
      </c>
      <c r="Q426" s="170"/>
      <c r="R426" s="16"/>
      <c r="S426" s="16"/>
      <c r="T426" s="17">
        <v>65</v>
      </c>
      <c r="U426" s="18">
        <f t="shared" si="259"/>
        <v>65</v>
      </c>
      <c r="V426" s="170"/>
      <c r="W426" s="16"/>
      <c r="X426" s="16"/>
      <c r="Y426" s="17">
        <v>52</v>
      </c>
      <c r="Z426" s="18">
        <f t="shared" si="260"/>
        <v>52</v>
      </c>
      <c r="AA426" s="170"/>
      <c r="AB426" s="16"/>
      <c r="AC426" s="16"/>
      <c r="AD426" s="17">
        <v>122</v>
      </c>
      <c r="AE426" s="18">
        <f t="shared" si="261"/>
        <v>122</v>
      </c>
      <c r="AF426" s="170"/>
      <c r="AG426" s="16"/>
      <c r="AH426" s="16"/>
      <c r="AI426" s="17">
        <v>144</v>
      </c>
      <c r="AJ426" s="18">
        <f t="shared" si="262"/>
        <v>144</v>
      </c>
      <c r="AK426" s="170"/>
      <c r="AL426" s="16"/>
      <c r="AM426" s="16"/>
      <c r="AN426" s="17">
        <v>40</v>
      </c>
      <c r="AO426" s="18">
        <f t="shared" si="263"/>
        <v>40</v>
      </c>
      <c r="AP426" s="170"/>
      <c r="AQ426" s="16"/>
      <c r="AR426" s="16"/>
      <c r="AS426" s="17">
        <v>47</v>
      </c>
      <c r="AT426" s="18">
        <f t="shared" si="264"/>
        <v>47</v>
      </c>
      <c r="AU426" s="170"/>
      <c r="AV426" s="16"/>
      <c r="AW426" s="16"/>
      <c r="AX426" s="17">
        <v>50</v>
      </c>
      <c r="AY426" s="18">
        <f t="shared" si="265"/>
        <v>50</v>
      </c>
      <c r="AZ426" s="170"/>
      <c r="BA426" s="16"/>
      <c r="BB426" s="16"/>
      <c r="BC426" s="17">
        <v>132</v>
      </c>
      <c r="BD426" s="18">
        <f t="shared" si="266"/>
        <v>132</v>
      </c>
      <c r="BE426" s="170"/>
      <c r="BF426" s="16"/>
      <c r="BG426" s="16"/>
      <c r="BH426" s="17">
        <v>143</v>
      </c>
      <c r="BI426" s="18">
        <f t="shared" si="267"/>
        <v>143</v>
      </c>
      <c r="BJ426" s="170"/>
      <c r="BK426" s="16"/>
      <c r="BL426" s="16"/>
      <c r="BM426" s="17">
        <v>47</v>
      </c>
      <c r="BN426" s="18">
        <f t="shared" si="268"/>
        <v>47</v>
      </c>
      <c r="BO426" s="70">
        <f>SUM(G426,L426,Q426,V426,AA426,AF426,AK426,AP426,AU426,AZ426,BE426,BJ426)</f>
        <v>0</v>
      </c>
      <c r="BP426" s="16">
        <f>SUM(H426,M426,R426,W426,AB426,AG426,AL426,AQ426,AV426,BA426,BF426,BK426)</f>
        <v>0</v>
      </c>
      <c r="BQ426" s="16">
        <f>SUM(I426,N426,S426,X426,AC426,AH426,AM426,AR426,AW426,BB426,BG426,BL426)</f>
        <v>0</v>
      </c>
      <c r="BR426" s="17">
        <f>SUM(J426,O426,T426,Y426,AD426,AI426,AN426,AS426,AX426,BC426,BH426,BM426)</f>
        <v>927</v>
      </c>
      <c r="BS426" s="35">
        <f t="shared" si="270"/>
        <v>927</v>
      </c>
    </row>
    <row r="427" spans="2:71" x14ac:dyDescent="0.3">
      <c r="B427" s="264"/>
      <c r="C427" s="223"/>
      <c r="D427" s="224"/>
      <c r="E427" s="224"/>
      <c r="F427" s="121" t="s">
        <v>815</v>
      </c>
      <c r="G427" s="32"/>
      <c r="H427" s="13"/>
      <c r="I427" s="13"/>
      <c r="J427" s="14"/>
      <c r="K427" s="15">
        <f t="shared" si="216"/>
        <v>0</v>
      </c>
      <c r="L427" s="32"/>
      <c r="M427" s="13"/>
      <c r="N427" s="13"/>
      <c r="O427" s="14"/>
      <c r="P427" s="15">
        <f t="shared" si="258"/>
        <v>0</v>
      </c>
      <c r="Q427" s="32"/>
      <c r="R427" s="13"/>
      <c r="S427" s="13"/>
      <c r="T427" s="14"/>
      <c r="U427" s="15">
        <f t="shared" si="259"/>
        <v>0</v>
      </c>
      <c r="V427" s="32"/>
      <c r="W427" s="13"/>
      <c r="X427" s="13"/>
      <c r="Y427" s="14">
        <v>1247</v>
      </c>
      <c r="Z427" s="15">
        <f t="shared" si="260"/>
        <v>1247</v>
      </c>
      <c r="AA427" s="32"/>
      <c r="AB427" s="13"/>
      <c r="AC427" s="13"/>
      <c r="AD427" s="14">
        <v>3523</v>
      </c>
      <c r="AE427" s="15">
        <f t="shared" si="261"/>
        <v>3523</v>
      </c>
      <c r="AF427" s="32"/>
      <c r="AG427" s="13"/>
      <c r="AH427" s="13"/>
      <c r="AI427" s="14">
        <v>2341</v>
      </c>
      <c r="AJ427" s="15">
        <f t="shared" si="262"/>
        <v>2341</v>
      </c>
      <c r="AK427" s="32"/>
      <c r="AL427" s="13"/>
      <c r="AM427" s="13"/>
      <c r="AN427" s="14">
        <v>823</v>
      </c>
      <c r="AO427" s="15">
        <f t="shared" si="263"/>
        <v>823</v>
      </c>
      <c r="AP427" s="32"/>
      <c r="AQ427" s="13"/>
      <c r="AR427" s="13"/>
      <c r="AS427" s="14">
        <v>1345</v>
      </c>
      <c r="AT427" s="15">
        <f t="shared" si="264"/>
        <v>1345</v>
      </c>
      <c r="AU427" s="32"/>
      <c r="AV427" s="13"/>
      <c r="AW427" s="13"/>
      <c r="AX427" s="14">
        <v>1251</v>
      </c>
      <c r="AY427" s="15">
        <f t="shared" si="265"/>
        <v>1251</v>
      </c>
      <c r="AZ427" s="32"/>
      <c r="BA427" s="13"/>
      <c r="BB427" s="13"/>
      <c r="BC427" s="14">
        <v>4093</v>
      </c>
      <c r="BD427" s="15">
        <f t="shared" si="266"/>
        <v>4093</v>
      </c>
      <c r="BE427" s="32"/>
      <c r="BF427" s="13"/>
      <c r="BG427" s="13"/>
      <c r="BH427" s="14">
        <v>1957</v>
      </c>
      <c r="BI427" s="15">
        <f t="shared" si="267"/>
        <v>1957</v>
      </c>
      <c r="BJ427" s="32"/>
      <c r="BK427" s="13"/>
      <c r="BL427" s="13"/>
      <c r="BM427" s="14">
        <v>469</v>
      </c>
      <c r="BN427" s="15">
        <f t="shared" si="268"/>
        <v>469</v>
      </c>
      <c r="BO427" s="66">
        <f>SUM(G427,L427,Q427,V427,AA427,AF427,AK427,AP427,AU427,AZ427,BE427,BJ427)</f>
        <v>0</v>
      </c>
      <c r="BP427" s="13">
        <f>SUM(H427,M427,R427,W427,AB427,AG427,AL427,AQ427,AV427,BA427,BF427,BK427)</f>
        <v>0</v>
      </c>
      <c r="BQ427" s="13">
        <f>SUM(I427,N427,S427,X427,AC427,AH427,AM427,AR427,AW427,BB427,BG427,BL427)</f>
        <v>0</v>
      </c>
      <c r="BR427" s="14">
        <f>SUM(J427,O427,T427,Y427,AD427,AI427,AN427,AS427,AX427,BC427,BH427,BM427)</f>
        <v>17049</v>
      </c>
      <c r="BS427" s="33">
        <f t="shared" si="270"/>
        <v>17049</v>
      </c>
    </row>
    <row r="428" spans="2:71" x14ac:dyDescent="0.3">
      <c r="B428" s="264"/>
      <c r="C428" s="223"/>
      <c r="D428" s="224"/>
      <c r="E428" s="224"/>
      <c r="F428" s="121" t="s">
        <v>816</v>
      </c>
      <c r="G428" s="32"/>
      <c r="H428" s="13"/>
      <c r="I428" s="13"/>
      <c r="J428" s="14"/>
      <c r="K428" s="15">
        <f t="shared" si="216"/>
        <v>0</v>
      </c>
      <c r="L428" s="32"/>
      <c r="M428" s="13"/>
      <c r="N428" s="13"/>
      <c r="O428" s="14"/>
      <c r="P428" s="15">
        <f t="shared" si="258"/>
        <v>0</v>
      </c>
      <c r="Q428" s="32"/>
      <c r="R428" s="13"/>
      <c r="S428" s="13"/>
      <c r="T428" s="14"/>
      <c r="U428" s="15">
        <f t="shared" si="259"/>
        <v>0</v>
      </c>
      <c r="V428" s="32"/>
      <c r="W428" s="13"/>
      <c r="X428" s="13"/>
      <c r="Y428" s="299">
        <v>260</v>
      </c>
      <c r="Z428" s="15">
        <f t="shared" si="260"/>
        <v>260</v>
      </c>
      <c r="AA428" s="32"/>
      <c r="AB428" s="13"/>
      <c r="AC428" s="13"/>
      <c r="AD428" s="14">
        <v>668</v>
      </c>
      <c r="AE428" s="15">
        <f t="shared" si="261"/>
        <v>668</v>
      </c>
      <c r="AF428" s="32"/>
      <c r="AG428" s="13"/>
      <c r="AH428" s="13"/>
      <c r="AI428" s="14">
        <v>507</v>
      </c>
      <c r="AJ428" s="15">
        <f t="shared" si="262"/>
        <v>507</v>
      </c>
      <c r="AK428" s="32"/>
      <c r="AL428" s="13"/>
      <c r="AM428" s="13"/>
      <c r="AN428" s="14">
        <v>252</v>
      </c>
      <c r="AO428" s="15">
        <f t="shared" si="263"/>
        <v>252</v>
      </c>
      <c r="AP428" s="32"/>
      <c r="AQ428" s="13"/>
      <c r="AR428" s="13"/>
      <c r="AS428" s="14">
        <v>537</v>
      </c>
      <c r="AT428" s="15">
        <f t="shared" si="264"/>
        <v>537</v>
      </c>
      <c r="AU428" s="32"/>
      <c r="AV428" s="13"/>
      <c r="AW428" s="13"/>
      <c r="AX428" s="14">
        <v>389</v>
      </c>
      <c r="AY428" s="15">
        <f t="shared" si="265"/>
        <v>389</v>
      </c>
      <c r="AZ428" s="32"/>
      <c r="BA428" s="13"/>
      <c r="BB428" s="13"/>
      <c r="BC428" s="14">
        <v>868</v>
      </c>
      <c r="BD428" s="15">
        <f t="shared" si="266"/>
        <v>868</v>
      </c>
      <c r="BE428" s="32"/>
      <c r="BF428" s="13"/>
      <c r="BG428" s="13"/>
      <c r="BH428" s="14">
        <v>390</v>
      </c>
      <c r="BI428" s="15">
        <f t="shared" si="267"/>
        <v>390</v>
      </c>
      <c r="BJ428" s="32"/>
      <c r="BK428" s="13"/>
      <c r="BL428" s="13"/>
      <c r="BM428" s="14">
        <v>89</v>
      </c>
      <c r="BN428" s="15">
        <f t="shared" si="268"/>
        <v>89</v>
      </c>
      <c r="BO428" s="66">
        <f>SUM(G428,L428,Q428,V428,AA428,AF428,AK428,AP428,AU428,AZ428,BE428,BJ428)</f>
        <v>0</v>
      </c>
      <c r="BP428" s="13">
        <f>SUM(H428,M428,R428,W428,AB428,AG428,AL428,AQ428,AV428,BA428,BF428,BK428)</f>
        <v>0</v>
      </c>
      <c r="BQ428" s="13">
        <f>SUM(I428,N428,S428,X428,AC428,AH428,AM428,AR428,AW428,BB428,BG428,BL428)</f>
        <v>0</v>
      </c>
      <c r="BR428" s="14">
        <f>SUM(J428,O428,T428,Y428,AD428,AI428,AN428,AS428,AX428,BC428,BH428,BM428)</f>
        <v>3960</v>
      </c>
      <c r="BS428" s="33">
        <f t="shared" si="270"/>
        <v>3960</v>
      </c>
    </row>
    <row r="429" spans="2:71" x14ac:dyDescent="0.3">
      <c r="B429" s="264"/>
      <c r="C429" s="223"/>
      <c r="D429" s="224"/>
      <c r="E429" s="224"/>
      <c r="F429" s="121" t="s">
        <v>817</v>
      </c>
      <c r="G429" s="32"/>
      <c r="H429" s="13"/>
      <c r="I429" s="13"/>
      <c r="J429" s="14"/>
      <c r="K429" s="15">
        <f t="shared" si="216"/>
        <v>0</v>
      </c>
      <c r="L429" s="32"/>
      <c r="M429" s="13"/>
      <c r="N429" s="13"/>
      <c r="O429" s="14"/>
      <c r="P429" s="15">
        <f t="shared" si="258"/>
        <v>0</v>
      </c>
      <c r="Q429" s="32"/>
      <c r="R429" s="13"/>
      <c r="S429" s="13"/>
      <c r="T429" s="14"/>
      <c r="U429" s="15">
        <f t="shared" si="259"/>
        <v>0</v>
      </c>
      <c r="V429" s="32"/>
      <c r="W429" s="13"/>
      <c r="X429" s="13"/>
      <c r="Y429" s="14">
        <v>120</v>
      </c>
      <c r="Z429" s="15">
        <f t="shared" si="260"/>
        <v>120</v>
      </c>
      <c r="AA429" s="32"/>
      <c r="AB429" s="13"/>
      <c r="AC429" s="13"/>
      <c r="AD429" s="14">
        <v>890</v>
      </c>
      <c r="AE429" s="15">
        <f t="shared" si="261"/>
        <v>890</v>
      </c>
      <c r="AF429" s="32"/>
      <c r="AG429" s="13"/>
      <c r="AH429" s="13"/>
      <c r="AI429" s="14">
        <v>444</v>
      </c>
      <c r="AJ429" s="15">
        <f t="shared" si="262"/>
        <v>444</v>
      </c>
      <c r="AK429" s="32"/>
      <c r="AL429" s="13"/>
      <c r="AM429" s="13"/>
      <c r="AN429" s="14">
        <v>101</v>
      </c>
      <c r="AO429" s="15">
        <f t="shared" si="263"/>
        <v>101</v>
      </c>
      <c r="AP429" s="32"/>
      <c r="AQ429" s="13"/>
      <c r="AR429" s="13"/>
      <c r="AS429" s="14">
        <v>220</v>
      </c>
      <c r="AT429" s="15">
        <f t="shared" si="264"/>
        <v>220</v>
      </c>
      <c r="AU429" s="32"/>
      <c r="AV429" s="13"/>
      <c r="AW429" s="13"/>
      <c r="AX429" s="14">
        <v>82</v>
      </c>
      <c r="AY429" s="15">
        <f t="shared" si="265"/>
        <v>82</v>
      </c>
      <c r="AZ429" s="32"/>
      <c r="BA429" s="13"/>
      <c r="BB429" s="13"/>
      <c r="BC429" s="14">
        <v>745</v>
      </c>
      <c r="BD429" s="15">
        <f t="shared" si="266"/>
        <v>745</v>
      </c>
      <c r="BE429" s="32"/>
      <c r="BF429" s="13"/>
      <c r="BG429" s="13"/>
      <c r="BH429" s="14">
        <v>184</v>
      </c>
      <c r="BI429" s="15">
        <f t="shared" si="267"/>
        <v>184</v>
      </c>
      <c r="BJ429" s="32"/>
      <c r="BK429" s="13"/>
      <c r="BL429" s="13"/>
      <c r="BM429" s="14">
        <v>33</v>
      </c>
      <c r="BN429" s="15">
        <f t="shared" si="268"/>
        <v>33</v>
      </c>
      <c r="BO429" s="66">
        <f>SUM(G429,L429,Q429,V429,AA429,AF429,AK429,AP429,AU429,AZ429,BE429,BJ429)</f>
        <v>0</v>
      </c>
      <c r="BP429" s="13">
        <f>SUM(H429,M429,R429,W429,AB429,AG429,AL429,AQ429,AV429,BA429,BF429,BK429)</f>
        <v>0</v>
      </c>
      <c r="BQ429" s="13">
        <f>SUM(I429,N429,S429,X429,AC429,AH429,AM429,AR429,AW429,BB429,BG429,BL429)</f>
        <v>0</v>
      </c>
      <c r="BR429" s="14">
        <f>SUM(J429,O429,T429,Y429,AD429,AI429,AN429,AS429,AX429,BC429,BH429,BM429)</f>
        <v>2819</v>
      </c>
      <c r="BS429" s="33">
        <f t="shared" si="270"/>
        <v>2819</v>
      </c>
    </row>
    <row r="430" spans="2:71" x14ac:dyDescent="0.3">
      <c r="B430" s="264"/>
      <c r="C430" s="223"/>
      <c r="D430" s="224"/>
      <c r="E430" s="224"/>
      <c r="F430" s="121" t="s">
        <v>818</v>
      </c>
      <c r="G430" s="32"/>
      <c r="H430" s="13"/>
      <c r="I430" s="13"/>
      <c r="J430" s="14"/>
      <c r="K430" s="15">
        <f t="shared" si="216"/>
        <v>0</v>
      </c>
      <c r="L430" s="32"/>
      <c r="M430" s="13"/>
      <c r="N430" s="13"/>
      <c r="O430" s="14"/>
      <c r="P430" s="15">
        <f t="shared" si="258"/>
        <v>0</v>
      </c>
      <c r="Q430" s="32"/>
      <c r="R430" s="13"/>
      <c r="S430" s="13"/>
      <c r="T430" s="14"/>
      <c r="U430" s="15">
        <f t="shared" si="259"/>
        <v>0</v>
      </c>
      <c r="V430" s="32"/>
      <c r="W430" s="13"/>
      <c r="X430" s="13"/>
      <c r="Y430" s="14">
        <v>39</v>
      </c>
      <c r="Z430" s="15">
        <f t="shared" si="260"/>
        <v>39</v>
      </c>
      <c r="AA430" s="32"/>
      <c r="AB430" s="13"/>
      <c r="AC430" s="13"/>
      <c r="AD430" s="14">
        <v>137</v>
      </c>
      <c r="AE430" s="15">
        <f t="shared" si="261"/>
        <v>137</v>
      </c>
      <c r="AF430" s="32"/>
      <c r="AG430" s="13"/>
      <c r="AH430" s="13"/>
      <c r="AI430" s="14">
        <v>87</v>
      </c>
      <c r="AJ430" s="15">
        <f t="shared" si="262"/>
        <v>87</v>
      </c>
      <c r="AK430" s="32"/>
      <c r="AL430" s="13"/>
      <c r="AM430" s="13"/>
      <c r="AN430" s="14">
        <v>55</v>
      </c>
      <c r="AO430" s="15">
        <f t="shared" si="263"/>
        <v>55</v>
      </c>
      <c r="AP430" s="32"/>
      <c r="AQ430" s="13"/>
      <c r="AR430" s="13"/>
      <c r="AS430" s="14">
        <v>95</v>
      </c>
      <c r="AT430" s="15">
        <f t="shared" si="264"/>
        <v>95</v>
      </c>
      <c r="AU430" s="32"/>
      <c r="AV430" s="13"/>
      <c r="AW430" s="13"/>
      <c r="AX430" s="14">
        <v>37</v>
      </c>
      <c r="AY430" s="15">
        <f t="shared" si="265"/>
        <v>37</v>
      </c>
      <c r="AZ430" s="32"/>
      <c r="BA430" s="13"/>
      <c r="BB430" s="13"/>
      <c r="BC430" s="14">
        <v>208</v>
      </c>
      <c r="BD430" s="15">
        <f t="shared" si="266"/>
        <v>208</v>
      </c>
      <c r="BE430" s="32"/>
      <c r="BF430" s="13"/>
      <c r="BG430" s="13"/>
      <c r="BH430" s="14">
        <v>52</v>
      </c>
      <c r="BI430" s="15">
        <f t="shared" si="267"/>
        <v>52</v>
      </c>
      <c r="BJ430" s="32"/>
      <c r="BK430" s="13"/>
      <c r="BL430" s="13"/>
      <c r="BM430" s="14">
        <v>9</v>
      </c>
      <c r="BN430" s="15">
        <f t="shared" si="268"/>
        <v>9</v>
      </c>
      <c r="BO430" s="66">
        <f>SUM(G430,L430,Q430,V430,AA430,AF430,AK430,AP430,AU430,AZ430,BE430,BJ430)</f>
        <v>0</v>
      </c>
      <c r="BP430" s="13">
        <f>SUM(H430,M430,R430,W430,AB430,AG430,AL430,AQ430,AV430,BA430,BF430,BK430)</f>
        <v>0</v>
      </c>
      <c r="BQ430" s="13">
        <f>SUM(I430,N430,S430,X430,AC430,AH430,AM430,AR430,AW430,BB430,BG430,BL430)</f>
        <v>0</v>
      </c>
      <c r="BR430" s="14">
        <f>SUM(J430,O430,T430,Y430,AD430,AI430,AN430,AS430,AX430,BC430,BH430,BM430)</f>
        <v>719</v>
      </c>
      <c r="BS430" s="33">
        <f t="shared" si="270"/>
        <v>719</v>
      </c>
    </row>
    <row r="431" spans="2:71" x14ac:dyDescent="0.3">
      <c r="B431" s="264"/>
      <c r="C431" s="223"/>
      <c r="D431" s="224"/>
      <c r="E431" s="224"/>
      <c r="F431" s="121" t="s">
        <v>819</v>
      </c>
      <c r="G431" s="32"/>
      <c r="H431" s="13"/>
      <c r="I431" s="13"/>
      <c r="J431" s="14"/>
      <c r="K431" s="15">
        <f t="shared" si="216"/>
        <v>0</v>
      </c>
      <c r="L431" s="32"/>
      <c r="M431" s="13"/>
      <c r="N431" s="13"/>
      <c r="O431" s="14"/>
      <c r="P431" s="15">
        <f t="shared" si="258"/>
        <v>0</v>
      </c>
      <c r="Q431" s="32"/>
      <c r="R431" s="13"/>
      <c r="S431" s="13"/>
      <c r="T431" s="14"/>
      <c r="U431" s="15">
        <f t="shared" si="259"/>
        <v>0</v>
      </c>
      <c r="V431" s="32"/>
      <c r="W431" s="13"/>
      <c r="X431" s="13"/>
      <c r="Y431" s="14">
        <v>77</v>
      </c>
      <c r="Z431" s="15">
        <f t="shared" si="260"/>
        <v>77</v>
      </c>
      <c r="AA431" s="32"/>
      <c r="AB431" s="13"/>
      <c r="AC431" s="13"/>
      <c r="AD431" s="14">
        <v>159</v>
      </c>
      <c r="AE431" s="15">
        <f t="shared" si="261"/>
        <v>159</v>
      </c>
      <c r="AF431" s="32"/>
      <c r="AG431" s="13"/>
      <c r="AH431" s="13"/>
      <c r="AI431" s="14">
        <v>39</v>
      </c>
      <c r="AJ431" s="15">
        <f t="shared" si="262"/>
        <v>39</v>
      </c>
      <c r="AK431" s="32"/>
      <c r="AL431" s="13"/>
      <c r="AM431" s="13"/>
      <c r="AN431" s="14">
        <v>16</v>
      </c>
      <c r="AO431" s="15">
        <f t="shared" si="263"/>
        <v>16</v>
      </c>
      <c r="AP431" s="32"/>
      <c r="AQ431" s="13"/>
      <c r="AR431" s="13"/>
      <c r="AS431" s="14">
        <v>29</v>
      </c>
      <c r="AT431" s="15">
        <f t="shared" si="264"/>
        <v>29</v>
      </c>
      <c r="AU431" s="32"/>
      <c r="AV431" s="13"/>
      <c r="AW431" s="13"/>
      <c r="AX431" s="14">
        <v>43</v>
      </c>
      <c r="AY431" s="15">
        <f t="shared" si="265"/>
        <v>43</v>
      </c>
      <c r="AZ431" s="32"/>
      <c r="BA431" s="13"/>
      <c r="BB431" s="13"/>
      <c r="BC431" s="14">
        <v>47</v>
      </c>
      <c r="BD431" s="15">
        <f t="shared" si="266"/>
        <v>47</v>
      </c>
      <c r="BE431" s="32"/>
      <c r="BF431" s="13"/>
      <c r="BG431" s="13"/>
      <c r="BH431" s="14">
        <v>28</v>
      </c>
      <c r="BI431" s="15">
        <f t="shared" si="267"/>
        <v>28</v>
      </c>
      <c r="BJ431" s="32"/>
      <c r="BK431" s="13"/>
      <c r="BL431" s="13"/>
      <c r="BM431" s="14">
        <v>22</v>
      </c>
      <c r="BN431" s="15">
        <f t="shared" si="268"/>
        <v>22</v>
      </c>
      <c r="BO431" s="66">
        <f>SUM(G431,L431,Q431,V431,AA431,AF431,AK431,AP431,AU431,AZ431,BE431,BJ431)</f>
        <v>0</v>
      </c>
      <c r="BP431" s="13">
        <f>SUM(H431,M431,R431,W431,AB431,AG431,AL431,AQ431,AV431,BA431,BF431,BK431)</f>
        <v>0</v>
      </c>
      <c r="BQ431" s="13">
        <f>SUM(I431,N431,S431,X431,AC431,AH431,AM431,AR431,AW431,BB431,BG431,BL431)</f>
        <v>0</v>
      </c>
      <c r="BR431" s="14">
        <f>SUM(J431,O431,T431,Y431,AD431,AI431,AN431,AS431,AX431,BC431,BH431,BM431)</f>
        <v>460</v>
      </c>
      <c r="BS431" s="33">
        <f t="shared" si="270"/>
        <v>460</v>
      </c>
    </row>
    <row r="432" spans="2:71" x14ac:dyDescent="0.3">
      <c r="B432" s="264"/>
      <c r="C432" s="223"/>
      <c r="D432" s="224"/>
      <c r="E432" s="224"/>
      <c r="F432" s="121" t="s">
        <v>820</v>
      </c>
      <c r="G432" s="32"/>
      <c r="H432" s="13"/>
      <c r="I432" s="13"/>
      <c r="J432" s="14"/>
      <c r="K432" s="15">
        <f t="shared" si="216"/>
        <v>0</v>
      </c>
      <c r="L432" s="32"/>
      <c r="M432" s="13"/>
      <c r="N432" s="13"/>
      <c r="O432" s="14"/>
      <c r="P432" s="15">
        <f t="shared" si="258"/>
        <v>0</v>
      </c>
      <c r="Q432" s="32"/>
      <c r="R432" s="13"/>
      <c r="S432" s="13"/>
      <c r="T432" s="14"/>
      <c r="U432" s="15">
        <f t="shared" si="259"/>
        <v>0</v>
      </c>
      <c r="V432" s="32"/>
      <c r="W432" s="13"/>
      <c r="X432" s="13"/>
      <c r="Y432" s="14"/>
      <c r="Z432" s="15">
        <f t="shared" si="260"/>
        <v>0</v>
      </c>
      <c r="AA432" s="32"/>
      <c r="AB432" s="13"/>
      <c r="AC432" s="13"/>
      <c r="AD432" s="14">
        <v>9</v>
      </c>
      <c r="AE432" s="15">
        <f t="shared" si="261"/>
        <v>9</v>
      </c>
      <c r="AF432" s="32"/>
      <c r="AG432" s="13"/>
      <c r="AH432" s="13"/>
      <c r="AI432" s="14"/>
      <c r="AJ432" s="15">
        <f t="shared" si="262"/>
        <v>0</v>
      </c>
      <c r="AK432" s="32"/>
      <c r="AL432" s="13"/>
      <c r="AM432" s="13"/>
      <c r="AN432" s="14">
        <v>2</v>
      </c>
      <c r="AO432" s="15">
        <f t="shared" si="263"/>
        <v>2</v>
      </c>
      <c r="AP432" s="32"/>
      <c r="AQ432" s="13"/>
      <c r="AR432" s="13"/>
      <c r="AS432" s="14"/>
      <c r="AT432" s="15">
        <f t="shared" si="264"/>
        <v>0</v>
      </c>
      <c r="AU432" s="32"/>
      <c r="AV432" s="13"/>
      <c r="AW432" s="13"/>
      <c r="AX432" s="14"/>
      <c r="AY432" s="15">
        <f t="shared" si="265"/>
        <v>0</v>
      </c>
      <c r="AZ432" s="32"/>
      <c r="BA432" s="13"/>
      <c r="BB432" s="13"/>
      <c r="BC432" s="14">
        <v>5</v>
      </c>
      <c r="BD432" s="15">
        <f t="shared" si="266"/>
        <v>5</v>
      </c>
      <c r="BE432" s="32"/>
      <c r="BF432" s="13"/>
      <c r="BG432" s="13"/>
      <c r="BH432" s="14"/>
      <c r="BI432" s="15">
        <f t="shared" si="267"/>
        <v>0</v>
      </c>
      <c r="BJ432" s="32"/>
      <c r="BK432" s="13"/>
      <c r="BL432" s="13"/>
      <c r="BM432" s="14"/>
      <c r="BN432" s="15">
        <f t="shared" si="268"/>
        <v>0</v>
      </c>
      <c r="BO432" s="66">
        <f>SUM(G432,L432,Q432,V432,AA432,AF432,AK432,AP432,AU432,AZ432,BE432,BJ432)</f>
        <v>0</v>
      </c>
      <c r="BP432" s="13">
        <f>SUM(H432,M432,R432,W432,AB432,AG432,AL432,AQ432,AV432,BA432,BF432,BK432)</f>
        <v>0</v>
      </c>
      <c r="BQ432" s="13">
        <f>SUM(I432,N432,S432,X432,AC432,AH432,AM432,AR432,AW432,BB432,BG432,BL432)</f>
        <v>0</v>
      </c>
      <c r="BR432" s="14">
        <f>SUM(J432,O432,T432,Y432,AD432,AI432,AN432,AS432,AX432,BC432,BH432,BM432)</f>
        <v>16</v>
      </c>
      <c r="BS432" s="33">
        <f t="shared" si="270"/>
        <v>16</v>
      </c>
    </row>
    <row r="433" spans="2:71" x14ac:dyDescent="0.3">
      <c r="B433" s="264"/>
      <c r="C433" s="225"/>
      <c r="D433" s="226"/>
      <c r="E433" s="226"/>
      <c r="F433" s="116" t="s">
        <v>4</v>
      </c>
      <c r="G433" s="54">
        <f>SUM(G424:G432)</f>
        <v>0</v>
      </c>
      <c r="H433" s="55">
        <f>SUM(H424:H432)</f>
        <v>0</v>
      </c>
      <c r="I433" s="55">
        <f>SUM(I424:I432)</f>
        <v>0</v>
      </c>
      <c r="J433" s="56">
        <f>SUM(J424:J432)</f>
        <v>1408</v>
      </c>
      <c r="K433" s="57">
        <f t="shared" si="216"/>
        <v>1408</v>
      </c>
      <c r="L433" s="54">
        <f>SUM(L424:L432)</f>
        <v>0</v>
      </c>
      <c r="M433" s="55">
        <f>SUM(M424:M432)</f>
        <v>0</v>
      </c>
      <c r="N433" s="55">
        <f>SUM(N424:N432)</f>
        <v>0</v>
      </c>
      <c r="O433" s="56">
        <f>SUM(O424:O432)</f>
        <v>1692</v>
      </c>
      <c r="P433" s="57">
        <f t="shared" si="258"/>
        <v>1692</v>
      </c>
      <c r="Q433" s="54">
        <f>SUM(Q424:Q432)</f>
        <v>0</v>
      </c>
      <c r="R433" s="55">
        <f>SUM(R424:R432)</f>
        <v>0</v>
      </c>
      <c r="S433" s="55">
        <f>SUM(S424:S432)</f>
        <v>0</v>
      </c>
      <c r="T433" s="56">
        <f>SUM(T424:T432)</f>
        <v>1786</v>
      </c>
      <c r="U433" s="57">
        <f t="shared" si="259"/>
        <v>1786</v>
      </c>
      <c r="V433" s="54">
        <f>SUM(V424:V432)</f>
        <v>0</v>
      </c>
      <c r="W433" s="55">
        <f>SUM(W424:W432)</f>
        <v>0</v>
      </c>
      <c r="X433" s="55">
        <f>SUM(X424:X432)</f>
        <v>0</v>
      </c>
      <c r="Y433" s="56">
        <f>SUM(Y424:Y432)</f>
        <v>2708</v>
      </c>
      <c r="Z433" s="57">
        <f t="shared" si="260"/>
        <v>2708</v>
      </c>
      <c r="AA433" s="54">
        <f>SUM(AA424:AA432)</f>
        <v>0</v>
      </c>
      <c r="AB433" s="55">
        <f>SUM(AB424:AB432)</f>
        <v>0</v>
      </c>
      <c r="AC433" s="55">
        <f>SUM(AC424:AC432)</f>
        <v>0</v>
      </c>
      <c r="AD433" s="56">
        <f>SUM(AD424:AD432)</f>
        <v>5508</v>
      </c>
      <c r="AE433" s="57">
        <f t="shared" si="261"/>
        <v>5508</v>
      </c>
      <c r="AF433" s="54">
        <f>SUM(AF424:AF432)</f>
        <v>0</v>
      </c>
      <c r="AG433" s="55">
        <f>SUM(AG424:AG432)</f>
        <v>0</v>
      </c>
      <c r="AH433" s="55">
        <f>SUM(AH424:AH432)</f>
        <v>0</v>
      </c>
      <c r="AI433" s="56">
        <f>SUM(AI424:AI432)</f>
        <v>3562</v>
      </c>
      <c r="AJ433" s="57">
        <f t="shared" si="262"/>
        <v>3562</v>
      </c>
      <c r="AK433" s="54">
        <f>SUM(AK424:AK432)</f>
        <v>0</v>
      </c>
      <c r="AL433" s="55">
        <f>SUM(AL424:AL432)</f>
        <v>0</v>
      </c>
      <c r="AM433" s="55">
        <f>SUM(AM424:AM432)</f>
        <v>0</v>
      </c>
      <c r="AN433" s="56">
        <f>SUM(AN424:AN432)</f>
        <v>1289</v>
      </c>
      <c r="AO433" s="57">
        <f t="shared" si="263"/>
        <v>1289</v>
      </c>
      <c r="AP433" s="54">
        <f>SUM(AP424:AP432)</f>
        <v>0</v>
      </c>
      <c r="AQ433" s="55">
        <f>SUM(AQ424:AQ432)</f>
        <v>0</v>
      </c>
      <c r="AR433" s="55">
        <f>SUM(AR424:AR432)</f>
        <v>0</v>
      </c>
      <c r="AS433" s="56">
        <f>SUM(AS424:AS432)</f>
        <v>2273</v>
      </c>
      <c r="AT433" s="57">
        <f t="shared" si="264"/>
        <v>2273</v>
      </c>
      <c r="AU433" s="54">
        <f>SUM(AU424:AU432)</f>
        <v>0</v>
      </c>
      <c r="AV433" s="55">
        <f>SUM(AV424:AV432)</f>
        <v>0</v>
      </c>
      <c r="AW433" s="55">
        <f>SUM(AW424:AW432)</f>
        <v>0</v>
      </c>
      <c r="AX433" s="56">
        <f>SUM(AX424:AX432)</f>
        <v>1852</v>
      </c>
      <c r="AY433" s="57">
        <f t="shared" si="265"/>
        <v>1852</v>
      </c>
      <c r="AZ433" s="54">
        <f>SUM(AZ424:AZ432)</f>
        <v>0</v>
      </c>
      <c r="BA433" s="55">
        <f>SUM(BA424:BA432)</f>
        <v>0</v>
      </c>
      <c r="BB433" s="55">
        <f>SUM(BB424:BB432)</f>
        <v>0</v>
      </c>
      <c r="BC433" s="56">
        <f>SUM(BC424:BC432)</f>
        <v>6178</v>
      </c>
      <c r="BD433" s="57">
        <f t="shared" si="266"/>
        <v>6178</v>
      </c>
      <c r="BE433" s="54">
        <f>SUM(BE424:BE432)</f>
        <v>0</v>
      </c>
      <c r="BF433" s="55">
        <f>SUM(BF424:BF432)</f>
        <v>0</v>
      </c>
      <c r="BG433" s="55">
        <f>SUM(BG424:BG432)</f>
        <v>0</v>
      </c>
      <c r="BH433" s="56">
        <f>SUM(BH424:BH432)</f>
        <v>2754</v>
      </c>
      <c r="BI433" s="57">
        <f t="shared" si="267"/>
        <v>2754</v>
      </c>
      <c r="BJ433" s="54">
        <f>SUM(BJ424:BJ432)</f>
        <v>0</v>
      </c>
      <c r="BK433" s="55">
        <f>SUM(BK424:BK432)</f>
        <v>0</v>
      </c>
      <c r="BL433" s="55">
        <f>SUM(BL424:BL432)</f>
        <v>0</v>
      </c>
      <c r="BM433" s="56">
        <f>SUM(BM424:BM432)</f>
        <v>669</v>
      </c>
      <c r="BN433" s="57">
        <f t="shared" si="268"/>
        <v>669</v>
      </c>
      <c r="BO433" s="72">
        <f>SUM(BO424:BO432)</f>
        <v>0</v>
      </c>
      <c r="BP433" s="55">
        <f>SUM(BP424:BP432)</f>
        <v>0</v>
      </c>
      <c r="BQ433" s="55">
        <f>SUM(BQ424:BQ432)</f>
        <v>0</v>
      </c>
      <c r="BR433" s="56">
        <f>SUM(BR424:BR432)</f>
        <v>31679</v>
      </c>
      <c r="BS433" s="58">
        <f t="shared" si="270"/>
        <v>31679</v>
      </c>
    </row>
    <row r="434" spans="2:71" s="75" customFormat="1" ht="22.5" customHeight="1" thickBot="1" x14ac:dyDescent="0.35">
      <c r="B434" s="265"/>
      <c r="C434" s="261" t="s">
        <v>22</v>
      </c>
      <c r="D434" s="261"/>
      <c r="E434" s="261"/>
      <c r="F434" s="262"/>
      <c r="G434" s="81">
        <f>SUM(G377,G396,G408,G423,G433)</f>
        <v>3902</v>
      </c>
      <c r="H434" s="82">
        <f>SUM(H377,H396,H408,H423,H433)</f>
        <v>49</v>
      </c>
      <c r="I434" s="82">
        <f>SUM(I377,I396,I408,I423,I433)</f>
        <v>142</v>
      </c>
      <c r="J434" s="83">
        <f>SUM(J377,J396,J408,J423,J433)</f>
        <v>15697</v>
      </c>
      <c r="K434" s="84">
        <f t="shared" si="216"/>
        <v>19790</v>
      </c>
      <c r="L434" s="81">
        <f>SUM(L377,L396,L408,L423,L433)</f>
        <v>3207</v>
      </c>
      <c r="M434" s="82">
        <f>SUM(M377,M396,M408,M423,M433)</f>
        <v>3</v>
      </c>
      <c r="N434" s="82">
        <f>SUM(N377,N396,N408,N423,N433)</f>
        <v>29</v>
      </c>
      <c r="O434" s="83">
        <f>SUM(O377,O396,O408,O423,O433)</f>
        <v>15993</v>
      </c>
      <c r="P434" s="84">
        <f t="shared" si="258"/>
        <v>19232</v>
      </c>
      <c r="Q434" s="81">
        <f>SUM(Q377,Q396,Q408,Q423,Q433)</f>
        <v>2255</v>
      </c>
      <c r="R434" s="82">
        <f>SUM(R377,R396,R408,R423,R433)</f>
        <v>811</v>
      </c>
      <c r="S434" s="82">
        <f>SUM(S377,S396,S408,S423,S433)</f>
        <v>142</v>
      </c>
      <c r="T434" s="83">
        <f>SUM(T377,T396,T408,T423,T433)</f>
        <v>6572</v>
      </c>
      <c r="U434" s="84">
        <f t="shared" si="259"/>
        <v>9780</v>
      </c>
      <c r="V434" s="81">
        <f>SUM(V377,V396,V408,V423,V433)</f>
        <v>7644</v>
      </c>
      <c r="W434" s="82">
        <f>SUM(W377,W396,W408,W423,W433)</f>
        <v>15406</v>
      </c>
      <c r="X434" s="82">
        <f>SUM(X377,X396,X408,X423,X433)</f>
        <v>2578</v>
      </c>
      <c r="Y434" s="83">
        <f>SUM(Y377,Y396,Y408,Y423,Y433)</f>
        <v>16590</v>
      </c>
      <c r="Z434" s="84">
        <f t="shared" si="260"/>
        <v>42218</v>
      </c>
      <c r="AA434" s="81">
        <f>SUM(AA377,AA396,AA408,AA423,AA433)</f>
        <v>6472</v>
      </c>
      <c r="AB434" s="82">
        <f>SUM(AB377,AB396,AB408,AB423,AB433)</f>
        <v>30768</v>
      </c>
      <c r="AC434" s="82">
        <f>SUM(AC377,AC396,AC408,AC423,AC433)</f>
        <v>1901</v>
      </c>
      <c r="AD434" s="83">
        <f>SUM(AD377,AD396,AD408,AD423,AD433)</f>
        <v>20680</v>
      </c>
      <c r="AE434" s="84">
        <f t="shared" si="261"/>
        <v>59821</v>
      </c>
      <c r="AF434" s="81">
        <f>SUM(AF377,AF396,AF408,AF423,AF433)</f>
        <v>4280</v>
      </c>
      <c r="AG434" s="82">
        <f>SUM(AG377,AG396,AG408,AG423,AG433)</f>
        <v>3977</v>
      </c>
      <c r="AH434" s="82">
        <f>SUM(AH377,AH396,AH408,AH423,AH433)</f>
        <v>650</v>
      </c>
      <c r="AI434" s="83">
        <f>SUM(AI377,AI396,AI408,AI423,AI433)</f>
        <v>7836</v>
      </c>
      <c r="AJ434" s="84">
        <f t="shared" si="262"/>
        <v>16743</v>
      </c>
      <c r="AK434" s="81">
        <f>SUM(AK377,AK396,AK408,AK423,AK433)</f>
        <v>3198</v>
      </c>
      <c r="AL434" s="82">
        <f>SUM(AL377,AL396,AL408,AL423,AL433)</f>
        <v>409</v>
      </c>
      <c r="AM434" s="82">
        <f>SUM(AM377,AM396,AM408,AM423,AM433)</f>
        <v>22</v>
      </c>
      <c r="AN434" s="83">
        <f>SUM(AN377,AN396,AN408,AN423,AN433)</f>
        <v>3921</v>
      </c>
      <c r="AO434" s="84">
        <f t="shared" si="263"/>
        <v>7550</v>
      </c>
      <c r="AP434" s="81">
        <f>SUM(AP377,AP396,AP408,AP423,AP433)</f>
        <v>3690</v>
      </c>
      <c r="AQ434" s="82">
        <f>SUM(AQ377,AQ396,AQ408,AQ423,AQ433)</f>
        <v>56</v>
      </c>
      <c r="AR434" s="82">
        <f>SUM(AR377,AR396,AR408,AR423,AR433)</f>
        <v>15</v>
      </c>
      <c r="AS434" s="83">
        <f>SUM(AS377,AS396,AS408,AS423,AS433)</f>
        <v>3946</v>
      </c>
      <c r="AT434" s="84">
        <f t="shared" si="264"/>
        <v>7707</v>
      </c>
      <c r="AU434" s="81">
        <f>SUM(AU377,AU396,AU408,AU423,AU433)</f>
        <v>3647</v>
      </c>
      <c r="AV434" s="82">
        <f>SUM(AV377,AV396,AV408,AV423,AV433)</f>
        <v>10214</v>
      </c>
      <c r="AW434" s="82">
        <f>SUM(AW377,AW396,AW408,AW423,AW433)</f>
        <v>1859</v>
      </c>
      <c r="AX434" s="83">
        <f>SUM(AX377,AX396,AX408,AX423,AX433)</f>
        <v>11221</v>
      </c>
      <c r="AY434" s="84">
        <f t="shared" si="265"/>
        <v>26941</v>
      </c>
      <c r="AZ434" s="81">
        <f>SUM(AZ377,AZ396,AZ408,AZ423,AZ433)</f>
        <v>11635</v>
      </c>
      <c r="BA434" s="82">
        <f>SUM(BA377,BA396,BA408,BA423,BA433)</f>
        <v>34366</v>
      </c>
      <c r="BB434" s="82">
        <f>SUM(BB377,BB396,BB408,BB423,BB433)</f>
        <v>4064</v>
      </c>
      <c r="BC434" s="83">
        <f>SUM(BC377,BC396,BC408,BC423,BC433)</f>
        <v>19989</v>
      </c>
      <c r="BD434" s="84">
        <f t="shared" si="266"/>
        <v>70054</v>
      </c>
      <c r="BE434" s="81">
        <f>SUM(BE377,BE396,BE408,BE423,BE433)</f>
        <v>5275</v>
      </c>
      <c r="BF434" s="82">
        <f>SUM(BF377,BF396,BF408,BF423,BF433)</f>
        <v>3324</v>
      </c>
      <c r="BG434" s="82">
        <f>SUM(BG377,BG396,BG408,BG423,BG433)</f>
        <v>1199</v>
      </c>
      <c r="BH434" s="83">
        <f>SUM(BH377,BH396,BH408,BH423,BH433)</f>
        <v>15318</v>
      </c>
      <c r="BI434" s="84">
        <f t="shared" si="267"/>
        <v>25116</v>
      </c>
      <c r="BJ434" s="81">
        <f>SUM(BJ377,BJ396,BJ408,BJ423,BJ433)</f>
        <v>4422</v>
      </c>
      <c r="BK434" s="82">
        <f>SUM(BK377,BK396,BK408,BK423,BK433)</f>
        <v>1048</v>
      </c>
      <c r="BL434" s="82">
        <f>SUM(BL377,BL396,BL408,BL423,BL433)</f>
        <v>67</v>
      </c>
      <c r="BM434" s="83">
        <f>SUM(BM377,BM396,BM408,BM423,BM433)</f>
        <v>4007</v>
      </c>
      <c r="BN434" s="84">
        <f t="shared" si="268"/>
        <v>9544</v>
      </c>
      <c r="BO434" s="105">
        <f>SUM(BO377,BO396,BO408,BO423,BO433)</f>
        <v>59627</v>
      </c>
      <c r="BP434" s="82">
        <f>SUM(BP377,BP396,BP408,BP423,BP433)</f>
        <v>100431</v>
      </c>
      <c r="BQ434" s="82">
        <f>SUM(BQ377,BQ396,BQ408,BQ423,BQ433)</f>
        <v>12668</v>
      </c>
      <c r="BR434" s="83">
        <f>SUM(BR377,BR396,BR408,BR423,BR433)</f>
        <v>141770</v>
      </c>
      <c r="BS434" s="85">
        <f t="shared" si="270"/>
        <v>314496</v>
      </c>
    </row>
    <row r="435" spans="2:71" x14ac:dyDescent="0.3">
      <c r="B435" s="253" t="s">
        <v>24</v>
      </c>
      <c r="C435" s="208" t="s">
        <v>19</v>
      </c>
      <c r="D435" s="209"/>
      <c r="E435" s="119"/>
      <c r="F435" s="134" t="s">
        <v>335</v>
      </c>
      <c r="G435" s="110">
        <v>145</v>
      </c>
      <c r="H435" s="107"/>
      <c r="I435" s="107"/>
      <c r="J435" s="108"/>
      <c r="K435" s="111">
        <f t="shared" si="216"/>
        <v>145</v>
      </c>
      <c r="L435" s="110"/>
      <c r="M435" s="107"/>
      <c r="N435" s="107"/>
      <c r="O435" s="108"/>
      <c r="P435" s="111">
        <f t="shared" si="258"/>
        <v>0</v>
      </c>
      <c r="Q435" s="110">
        <v>18</v>
      </c>
      <c r="R435" s="107"/>
      <c r="S435" s="107"/>
      <c r="T435" s="108"/>
      <c r="U435" s="111">
        <f t="shared" si="259"/>
        <v>18</v>
      </c>
      <c r="V435" s="110">
        <v>296</v>
      </c>
      <c r="W435" s="107"/>
      <c r="X435" s="107"/>
      <c r="Y435" s="108"/>
      <c r="Z435" s="111">
        <f t="shared" si="260"/>
        <v>296</v>
      </c>
      <c r="AA435" s="110">
        <v>584</v>
      </c>
      <c r="AB435" s="107"/>
      <c r="AC435" s="107"/>
      <c r="AD435" s="108"/>
      <c r="AE435" s="111">
        <f t="shared" si="261"/>
        <v>584</v>
      </c>
      <c r="AF435" s="110">
        <v>125</v>
      </c>
      <c r="AG435" s="107"/>
      <c r="AH435" s="107"/>
      <c r="AI435" s="108"/>
      <c r="AJ435" s="111">
        <f t="shared" si="262"/>
        <v>125</v>
      </c>
      <c r="AK435" s="110"/>
      <c r="AL435" s="107"/>
      <c r="AM435" s="107"/>
      <c r="AN435" s="108"/>
      <c r="AO435" s="111">
        <f t="shared" si="263"/>
        <v>0</v>
      </c>
      <c r="AP435" s="110">
        <v>19</v>
      </c>
      <c r="AQ435" s="107"/>
      <c r="AR435" s="107"/>
      <c r="AS435" s="108"/>
      <c r="AT435" s="111">
        <f t="shared" si="264"/>
        <v>19</v>
      </c>
      <c r="AU435" s="110">
        <v>33</v>
      </c>
      <c r="AV435" s="107"/>
      <c r="AW435" s="107"/>
      <c r="AX435" s="108"/>
      <c r="AY435" s="111">
        <f t="shared" si="265"/>
        <v>33</v>
      </c>
      <c r="AZ435" s="110">
        <v>1108</v>
      </c>
      <c r="BA435" s="107"/>
      <c r="BB435" s="107"/>
      <c r="BC435" s="108"/>
      <c r="BD435" s="111">
        <f t="shared" si="266"/>
        <v>1108</v>
      </c>
      <c r="BE435" s="110">
        <v>302</v>
      </c>
      <c r="BF435" s="107"/>
      <c r="BG435" s="107"/>
      <c r="BH435" s="108"/>
      <c r="BI435" s="111">
        <f t="shared" si="267"/>
        <v>302</v>
      </c>
      <c r="BJ435" s="110">
        <v>162</v>
      </c>
      <c r="BK435" s="107"/>
      <c r="BL435" s="107"/>
      <c r="BM435" s="108"/>
      <c r="BN435" s="111">
        <f t="shared" si="268"/>
        <v>162</v>
      </c>
      <c r="BO435" s="112">
        <f>SUM(G435,L435,Q435,V435,AA435,AF435,AK435,AP435,AU435,AZ435,BE435,BJ435)</f>
        <v>2792</v>
      </c>
      <c r="BP435" s="107">
        <f>SUM(H435,M435,R435,W435,AB435,AG435,AL435,AQ435,AV435,BA435,BF435,BK435)</f>
        <v>0</v>
      </c>
      <c r="BQ435" s="107">
        <f>SUM(I435,N435,S435,X435,AC435,AH435,AM435,AR435,AW435,BB435,BG435,BL435)</f>
        <v>0</v>
      </c>
      <c r="BR435" s="108">
        <f>SUM(J435,O435,T435,Y435,AD435,AI435,AN435,AS435,AX435,BC435,BH435,BM435)</f>
        <v>0</v>
      </c>
      <c r="BS435" s="109">
        <f t="shared" si="270"/>
        <v>2792</v>
      </c>
    </row>
    <row r="436" spans="2:71" x14ac:dyDescent="0.3">
      <c r="B436" s="254"/>
      <c r="C436" s="204"/>
      <c r="D436" s="205"/>
      <c r="E436" s="119"/>
      <c r="F436" s="123" t="s">
        <v>821</v>
      </c>
      <c r="G436" s="34"/>
      <c r="H436" s="16"/>
      <c r="I436" s="16"/>
      <c r="J436" s="17"/>
      <c r="K436" s="18">
        <f t="shared" si="216"/>
        <v>0</v>
      </c>
      <c r="L436" s="34"/>
      <c r="M436" s="16"/>
      <c r="N436" s="16"/>
      <c r="O436" s="17"/>
      <c r="P436" s="18">
        <f t="shared" si="258"/>
        <v>0</v>
      </c>
      <c r="Q436" s="34"/>
      <c r="R436" s="16"/>
      <c r="S436" s="16"/>
      <c r="T436" s="17"/>
      <c r="U436" s="18">
        <f t="shared" si="259"/>
        <v>0</v>
      </c>
      <c r="V436" s="34"/>
      <c r="W436" s="16"/>
      <c r="X436" s="16"/>
      <c r="Y436" s="17"/>
      <c r="Z436" s="18">
        <f t="shared" si="260"/>
        <v>0</v>
      </c>
      <c r="AA436" s="34">
        <f>1000</f>
        <v>1000</v>
      </c>
      <c r="AB436" s="16"/>
      <c r="AC436" s="16"/>
      <c r="AD436" s="17"/>
      <c r="AE436" s="18">
        <f t="shared" si="261"/>
        <v>1000</v>
      </c>
      <c r="AF436" s="34">
        <f>8+207+500</f>
        <v>715</v>
      </c>
      <c r="AG436" s="16"/>
      <c r="AH436" s="16"/>
      <c r="AI436" s="17"/>
      <c r="AJ436" s="18">
        <f t="shared" si="262"/>
        <v>715</v>
      </c>
      <c r="AK436" s="34"/>
      <c r="AL436" s="16"/>
      <c r="AM436" s="16"/>
      <c r="AN436" s="17"/>
      <c r="AO436" s="18">
        <f t="shared" si="263"/>
        <v>0</v>
      </c>
      <c r="AP436" s="34"/>
      <c r="AQ436" s="16"/>
      <c r="AR436" s="16"/>
      <c r="AS436" s="17"/>
      <c r="AT436" s="18">
        <f t="shared" si="264"/>
        <v>0</v>
      </c>
      <c r="AU436" s="34"/>
      <c r="AV436" s="16"/>
      <c r="AW436" s="16"/>
      <c r="AX436" s="17"/>
      <c r="AY436" s="18">
        <f t="shared" si="265"/>
        <v>0</v>
      </c>
      <c r="AZ436" s="34">
        <v>4330</v>
      </c>
      <c r="BA436" s="16"/>
      <c r="BB436" s="16"/>
      <c r="BC436" s="17"/>
      <c r="BD436" s="18">
        <f t="shared" si="266"/>
        <v>4330</v>
      </c>
      <c r="BE436" s="34">
        <f>6000+1000</f>
        <v>7000</v>
      </c>
      <c r="BF436" s="16"/>
      <c r="BG436" s="16"/>
      <c r="BH436" s="17"/>
      <c r="BI436" s="18">
        <f t="shared" si="267"/>
        <v>7000</v>
      </c>
      <c r="BJ436" s="34"/>
      <c r="BK436" s="16"/>
      <c r="BL436" s="16"/>
      <c r="BM436" s="17"/>
      <c r="BN436" s="18">
        <f t="shared" si="268"/>
        <v>0</v>
      </c>
      <c r="BO436" s="70">
        <f>SUM(G436,L436,Q436,V436,AA436,AF436,AK436,AP436,AU436,AZ436,BE436,BJ436)</f>
        <v>13045</v>
      </c>
      <c r="BP436" s="16">
        <f>SUM(H436,M436,R436,W436,AB436,AG436,AL436,AQ436,AV436,BA436,BF436,BK436)</f>
        <v>0</v>
      </c>
      <c r="BQ436" s="16">
        <f>SUM(I436,N436,S436,X436,AC436,AH436,AM436,AR436,AW436,BB436,BG436,BL436)</f>
        <v>0</v>
      </c>
      <c r="BR436" s="17">
        <f>SUM(J436,O436,T436,Y436,AD436,AI436,AN436,AS436,AX436,BC436,BH436,BM436)</f>
        <v>0</v>
      </c>
      <c r="BS436" s="35">
        <f t="shared" si="270"/>
        <v>13045</v>
      </c>
    </row>
    <row r="437" spans="2:71" x14ac:dyDescent="0.3">
      <c r="B437" s="254"/>
      <c r="C437" s="204"/>
      <c r="D437" s="205"/>
      <c r="E437" s="119"/>
      <c r="F437" s="123" t="s">
        <v>822</v>
      </c>
      <c r="G437" s="34"/>
      <c r="H437" s="16"/>
      <c r="I437" s="16"/>
      <c r="J437" s="17"/>
      <c r="K437" s="18">
        <f t="shared" ref="K437" si="298">SUM(G437:J437)</f>
        <v>0</v>
      </c>
      <c r="L437" s="34"/>
      <c r="M437" s="16"/>
      <c r="N437" s="16"/>
      <c r="O437" s="17"/>
      <c r="P437" s="18">
        <f t="shared" si="258"/>
        <v>0</v>
      </c>
      <c r="Q437" s="34"/>
      <c r="R437" s="16"/>
      <c r="S437" s="16"/>
      <c r="T437" s="17"/>
      <c r="U437" s="18">
        <f t="shared" si="259"/>
        <v>0</v>
      </c>
      <c r="V437" s="34"/>
      <c r="W437" s="16"/>
      <c r="X437" s="16"/>
      <c r="Y437" s="17"/>
      <c r="Z437" s="18">
        <f t="shared" si="260"/>
        <v>0</v>
      </c>
      <c r="AA437" s="34"/>
      <c r="AB437" s="16"/>
      <c r="AC437" s="16"/>
      <c r="AD437" s="17"/>
      <c r="AE437" s="18">
        <f t="shared" si="261"/>
        <v>0</v>
      </c>
      <c r="AF437" s="34">
        <f>1+21764</f>
        <v>21765</v>
      </c>
      <c r="AG437" s="16"/>
      <c r="AH437" s="16"/>
      <c r="AI437" s="17"/>
      <c r="AJ437" s="18">
        <f t="shared" si="262"/>
        <v>21765</v>
      </c>
      <c r="AK437" s="34"/>
      <c r="AL437" s="16"/>
      <c r="AM437" s="16"/>
      <c r="AN437" s="17"/>
      <c r="AO437" s="18">
        <f t="shared" si="263"/>
        <v>0</v>
      </c>
      <c r="AP437" s="34">
        <f>15587+1</f>
        <v>15588</v>
      </c>
      <c r="AQ437" s="16"/>
      <c r="AR437" s="16"/>
      <c r="AS437" s="17"/>
      <c r="AT437" s="18">
        <f t="shared" si="264"/>
        <v>15588</v>
      </c>
      <c r="AU437" s="34"/>
      <c r="AV437" s="16"/>
      <c r="AW437" s="16"/>
      <c r="AX437" s="17"/>
      <c r="AY437" s="18">
        <f t="shared" si="265"/>
        <v>0</v>
      </c>
      <c r="AZ437" s="34"/>
      <c r="BA437" s="16"/>
      <c r="BB437" s="16"/>
      <c r="BC437" s="17"/>
      <c r="BD437" s="18">
        <f t="shared" si="266"/>
        <v>0</v>
      </c>
      <c r="BE437" s="34"/>
      <c r="BF437" s="16"/>
      <c r="BG437" s="16"/>
      <c r="BH437" s="17"/>
      <c r="BI437" s="18">
        <f t="shared" si="267"/>
        <v>0</v>
      </c>
      <c r="BJ437" s="34"/>
      <c r="BK437" s="16"/>
      <c r="BL437" s="16"/>
      <c r="BM437" s="17"/>
      <c r="BN437" s="18">
        <f t="shared" si="268"/>
        <v>0</v>
      </c>
      <c r="BO437" s="70">
        <f>SUM(G437,L437,Q437,V437,AA437,AF437,AK437,AP437,AU437,AZ437,BE437,BJ437)</f>
        <v>37353</v>
      </c>
      <c r="BP437" s="16">
        <f>SUM(H437,M437,R437,W437,AB437,AG437,AL437,AQ437,AV437,BA437,BF437,BK437)</f>
        <v>0</v>
      </c>
      <c r="BQ437" s="16">
        <f>SUM(I437,N437,S437,X437,AC437,AH437,AM437,AR437,AW437,BB437,BG437,BL437)</f>
        <v>0</v>
      </c>
      <c r="BR437" s="17">
        <f>SUM(J437,O437,T437,Y437,AD437,AI437,AN437,AS437,AX437,BC437,BH437,BM437)</f>
        <v>0</v>
      </c>
      <c r="BS437" s="35">
        <f t="shared" si="270"/>
        <v>37353</v>
      </c>
    </row>
    <row r="438" spans="2:71" x14ac:dyDescent="0.3">
      <c r="B438" s="254"/>
      <c r="C438" s="206"/>
      <c r="D438" s="207"/>
      <c r="E438" s="117"/>
      <c r="F438" s="118" t="s">
        <v>4</v>
      </c>
      <c r="G438" s="59">
        <f>SUM(G435:G437)</f>
        <v>145</v>
      </c>
      <c r="H438" s="60">
        <f>SUM(H435:H437)</f>
        <v>0</v>
      </c>
      <c r="I438" s="60">
        <f>SUM(I435:I437)</f>
        <v>0</v>
      </c>
      <c r="J438" s="61">
        <f>SUM(J435:J437)</f>
        <v>0</v>
      </c>
      <c r="K438" s="62">
        <f t="shared" si="216"/>
        <v>145</v>
      </c>
      <c r="L438" s="59">
        <f>SUM(L435:L437)</f>
        <v>0</v>
      </c>
      <c r="M438" s="60">
        <f>SUM(M435:M437)</f>
        <v>0</v>
      </c>
      <c r="N438" s="60">
        <f>SUM(N435:N437)</f>
        <v>0</v>
      </c>
      <c r="O438" s="61">
        <f>SUM(O435:O437)</f>
        <v>0</v>
      </c>
      <c r="P438" s="62">
        <f t="shared" si="258"/>
        <v>0</v>
      </c>
      <c r="Q438" s="59">
        <f>SUM(Q435:Q437)</f>
        <v>18</v>
      </c>
      <c r="R438" s="60">
        <f>SUM(R435:R437)</f>
        <v>0</v>
      </c>
      <c r="S438" s="60">
        <f>SUM(S435:S437)</f>
        <v>0</v>
      </c>
      <c r="T438" s="61">
        <f>SUM(T435:T437)</f>
        <v>0</v>
      </c>
      <c r="U438" s="62">
        <f t="shared" si="259"/>
        <v>18</v>
      </c>
      <c r="V438" s="59">
        <f>SUM(V435:V437)</f>
        <v>296</v>
      </c>
      <c r="W438" s="60">
        <f>SUM(W435:W437)</f>
        <v>0</v>
      </c>
      <c r="X438" s="60">
        <f>SUM(X435:X437)</f>
        <v>0</v>
      </c>
      <c r="Y438" s="61">
        <f>SUM(Y435:Y437)</f>
        <v>0</v>
      </c>
      <c r="Z438" s="62">
        <f t="shared" si="260"/>
        <v>296</v>
      </c>
      <c r="AA438" s="59">
        <f>SUM(AA435:AA437)</f>
        <v>1584</v>
      </c>
      <c r="AB438" s="60">
        <f>SUM(AB435:AB437)</f>
        <v>0</v>
      </c>
      <c r="AC438" s="60">
        <f>SUM(AC435:AC437)</f>
        <v>0</v>
      </c>
      <c r="AD438" s="61">
        <f>SUM(AD435:AD437)</f>
        <v>0</v>
      </c>
      <c r="AE438" s="62">
        <f t="shared" si="261"/>
        <v>1584</v>
      </c>
      <c r="AF438" s="59">
        <f>SUM(AF435:AF437)</f>
        <v>22605</v>
      </c>
      <c r="AG438" s="60">
        <f>SUM(AG435:AG437)</f>
        <v>0</v>
      </c>
      <c r="AH438" s="60">
        <f>SUM(AH435:AH437)</f>
        <v>0</v>
      </c>
      <c r="AI438" s="61">
        <f>SUM(AI435:AI437)</f>
        <v>0</v>
      </c>
      <c r="AJ438" s="62">
        <f t="shared" si="262"/>
        <v>22605</v>
      </c>
      <c r="AK438" s="59">
        <f>SUM(AK435:AK437)</f>
        <v>0</v>
      </c>
      <c r="AL438" s="60">
        <f>SUM(AL435:AL437)</f>
        <v>0</v>
      </c>
      <c r="AM438" s="60">
        <f>SUM(AM435:AM437)</f>
        <v>0</v>
      </c>
      <c r="AN438" s="61">
        <f>SUM(AN435:AN437)</f>
        <v>0</v>
      </c>
      <c r="AO438" s="62">
        <f t="shared" si="263"/>
        <v>0</v>
      </c>
      <c r="AP438" s="59">
        <f>SUM(AP435:AP437)</f>
        <v>15607</v>
      </c>
      <c r="AQ438" s="60">
        <f>SUM(AQ435:AQ437)</f>
        <v>0</v>
      </c>
      <c r="AR438" s="60">
        <f>SUM(AR435:AR437)</f>
        <v>0</v>
      </c>
      <c r="AS438" s="61">
        <f>SUM(AS435:AS437)</f>
        <v>0</v>
      </c>
      <c r="AT438" s="62">
        <f t="shared" si="264"/>
        <v>15607</v>
      </c>
      <c r="AU438" s="59">
        <f>SUM(AU435:AU437)</f>
        <v>33</v>
      </c>
      <c r="AV438" s="60">
        <f>SUM(AV435:AV437)</f>
        <v>0</v>
      </c>
      <c r="AW438" s="60">
        <f>SUM(AW435:AW437)</f>
        <v>0</v>
      </c>
      <c r="AX438" s="61">
        <f>SUM(AX435:AX437)</f>
        <v>0</v>
      </c>
      <c r="AY438" s="62">
        <f t="shared" si="265"/>
        <v>33</v>
      </c>
      <c r="AZ438" s="59">
        <f>SUM(AZ435:AZ437)</f>
        <v>5438</v>
      </c>
      <c r="BA438" s="60">
        <f>SUM(BA435:BA437)</f>
        <v>0</v>
      </c>
      <c r="BB438" s="60">
        <f>SUM(BB435:BB437)</f>
        <v>0</v>
      </c>
      <c r="BC438" s="61">
        <f>SUM(BC435:BC437)</f>
        <v>0</v>
      </c>
      <c r="BD438" s="62">
        <f t="shared" si="266"/>
        <v>5438</v>
      </c>
      <c r="BE438" s="59">
        <f>SUM(BE435:BE437)</f>
        <v>7302</v>
      </c>
      <c r="BF438" s="60">
        <f>SUM(BF435:BF437)</f>
        <v>0</v>
      </c>
      <c r="BG438" s="60">
        <f>SUM(BG435:BG437)</f>
        <v>0</v>
      </c>
      <c r="BH438" s="61">
        <f>SUM(BH435:BH437)</f>
        <v>0</v>
      </c>
      <c r="BI438" s="62">
        <f t="shared" si="267"/>
        <v>7302</v>
      </c>
      <c r="BJ438" s="59">
        <f>SUM(BJ435:BJ437)</f>
        <v>162</v>
      </c>
      <c r="BK438" s="60">
        <f>SUM(BK435:BK437)</f>
        <v>0</v>
      </c>
      <c r="BL438" s="60">
        <f>SUM(BL435:BL437)</f>
        <v>0</v>
      </c>
      <c r="BM438" s="61">
        <f>SUM(BM435:BM437)</f>
        <v>0</v>
      </c>
      <c r="BN438" s="62">
        <f t="shared" si="268"/>
        <v>162</v>
      </c>
      <c r="BO438" s="73">
        <f>SUM(BO435:BO437)</f>
        <v>53190</v>
      </c>
      <c r="BP438" s="60">
        <f>SUM(BP435:BP437)</f>
        <v>0</v>
      </c>
      <c r="BQ438" s="60">
        <f>SUM(BQ435:BQ437)</f>
        <v>0</v>
      </c>
      <c r="BR438" s="61">
        <f>SUM(BR435:BR437)</f>
        <v>0</v>
      </c>
      <c r="BS438" s="63">
        <f t="shared" si="270"/>
        <v>53190</v>
      </c>
    </row>
    <row r="439" spans="2:71" ht="16.5" customHeight="1" x14ac:dyDescent="0.3">
      <c r="B439" s="254"/>
      <c r="C439" s="271" t="s">
        <v>37</v>
      </c>
      <c r="D439" s="198" t="s">
        <v>108</v>
      </c>
      <c r="E439" s="199"/>
      <c r="F439" s="123" t="s">
        <v>823</v>
      </c>
      <c r="G439" s="34">
        <v>55</v>
      </c>
      <c r="H439" s="16"/>
      <c r="I439" s="16"/>
      <c r="J439" s="17"/>
      <c r="K439" s="18">
        <f t="shared" si="216"/>
        <v>55</v>
      </c>
      <c r="L439" s="34">
        <v>44</v>
      </c>
      <c r="M439" s="16"/>
      <c r="N439" s="16"/>
      <c r="O439" s="17"/>
      <c r="P439" s="18">
        <f t="shared" si="258"/>
        <v>44</v>
      </c>
      <c r="Q439" s="34"/>
      <c r="R439" s="16"/>
      <c r="S439" s="16"/>
      <c r="T439" s="17"/>
      <c r="U439" s="18">
        <f t="shared" si="259"/>
        <v>0</v>
      </c>
      <c r="V439" s="34"/>
      <c r="W439" s="16"/>
      <c r="X439" s="16"/>
      <c r="Y439" s="17"/>
      <c r="Z439" s="18">
        <f t="shared" si="260"/>
        <v>0</v>
      </c>
      <c r="AA439" s="34"/>
      <c r="AB439" s="16"/>
      <c r="AC439" s="16"/>
      <c r="AD439" s="17"/>
      <c r="AE439" s="18">
        <f t="shared" si="261"/>
        <v>0</v>
      </c>
      <c r="AF439" s="34"/>
      <c r="AG439" s="16"/>
      <c r="AH439" s="16"/>
      <c r="AI439" s="17"/>
      <c r="AJ439" s="18">
        <f t="shared" si="262"/>
        <v>0</v>
      </c>
      <c r="AK439" s="34"/>
      <c r="AL439" s="16"/>
      <c r="AM439" s="16"/>
      <c r="AN439" s="17"/>
      <c r="AO439" s="18">
        <f t="shared" si="263"/>
        <v>0</v>
      </c>
      <c r="AP439" s="34"/>
      <c r="AQ439" s="16"/>
      <c r="AR439" s="16"/>
      <c r="AS439" s="17"/>
      <c r="AT439" s="18">
        <f t="shared" si="264"/>
        <v>0</v>
      </c>
      <c r="AU439" s="34"/>
      <c r="AV439" s="16"/>
      <c r="AW439" s="16"/>
      <c r="AX439" s="17"/>
      <c r="AY439" s="18">
        <f t="shared" si="265"/>
        <v>0</v>
      </c>
      <c r="AZ439" s="34"/>
      <c r="BA439" s="16"/>
      <c r="BB439" s="16"/>
      <c r="BC439" s="17"/>
      <c r="BD439" s="18">
        <f t="shared" si="266"/>
        <v>0</v>
      </c>
      <c r="BE439" s="34"/>
      <c r="BF439" s="16"/>
      <c r="BG439" s="16"/>
      <c r="BH439" s="17"/>
      <c r="BI439" s="18">
        <f t="shared" si="267"/>
        <v>0</v>
      </c>
      <c r="BJ439" s="34"/>
      <c r="BK439" s="16"/>
      <c r="BL439" s="16"/>
      <c r="BM439" s="17"/>
      <c r="BN439" s="18">
        <f t="shared" si="268"/>
        <v>0</v>
      </c>
      <c r="BO439" s="65">
        <f>SUM(G439,L439,Q439,V439,AA439,AF439,AK439,AP439,AU439,AZ439,BE439,BJ439)</f>
        <v>99</v>
      </c>
      <c r="BP439" s="7">
        <f>SUM(H439,M439,R439,W439,AB439,AG439,AL439,AQ439,AV439,BA439,BF439,BK439)</f>
        <v>0</v>
      </c>
      <c r="BQ439" s="7">
        <f>SUM(I439,N439,S439,X439,AC439,AH439,AM439,AR439,AW439,BB439,BG439,BL439)</f>
        <v>0</v>
      </c>
      <c r="BR439" s="8">
        <f>SUM(J439,O439,T439,Y439,AD439,AI439,AN439,AS439,AX439,BC439,BH439,BM439)</f>
        <v>0</v>
      </c>
      <c r="BS439" s="31">
        <f t="shared" si="270"/>
        <v>99</v>
      </c>
    </row>
    <row r="440" spans="2:71" x14ac:dyDescent="0.3">
      <c r="B440" s="254"/>
      <c r="C440" s="272"/>
      <c r="D440" s="200"/>
      <c r="E440" s="201"/>
      <c r="F440" s="123" t="s">
        <v>824</v>
      </c>
      <c r="G440" s="34">
        <v>7</v>
      </c>
      <c r="H440" s="16"/>
      <c r="I440" s="16"/>
      <c r="J440" s="17"/>
      <c r="K440" s="18">
        <f t="shared" si="216"/>
        <v>7</v>
      </c>
      <c r="L440" s="34">
        <v>7</v>
      </c>
      <c r="M440" s="16"/>
      <c r="N440" s="16"/>
      <c r="O440" s="17"/>
      <c r="P440" s="18">
        <f t="shared" si="258"/>
        <v>7</v>
      </c>
      <c r="Q440" s="34"/>
      <c r="R440" s="16"/>
      <c r="S440" s="16"/>
      <c r="T440" s="17"/>
      <c r="U440" s="18">
        <f t="shared" si="259"/>
        <v>0</v>
      </c>
      <c r="V440" s="34"/>
      <c r="W440" s="16"/>
      <c r="X440" s="16"/>
      <c r="Y440" s="17"/>
      <c r="Z440" s="18">
        <f t="shared" si="260"/>
        <v>0</v>
      </c>
      <c r="AA440" s="34"/>
      <c r="AB440" s="16"/>
      <c r="AC440" s="16"/>
      <c r="AD440" s="17"/>
      <c r="AE440" s="18">
        <f t="shared" si="261"/>
        <v>0</v>
      </c>
      <c r="AF440" s="34"/>
      <c r="AG440" s="16"/>
      <c r="AH440" s="16"/>
      <c r="AI440" s="17"/>
      <c r="AJ440" s="18">
        <f t="shared" si="262"/>
        <v>0</v>
      </c>
      <c r="AK440" s="34"/>
      <c r="AL440" s="16"/>
      <c r="AM440" s="16"/>
      <c r="AN440" s="17"/>
      <c r="AO440" s="18">
        <f t="shared" si="263"/>
        <v>0</v>
      </c>
      <c r="AP440" s="34"/>
      <c r="AQ440" s="16"/>
      <c r="AR440" s="16"/>
      <c r="AS440" s="17"/>
      <c r="AT440" s="18">
        <f t="shared" si="264"/>
        <v>0</v>
      </c>
      <c r="AU440" s="34"/>
      <c r="AV440" s="16"/>
      <c r="AW440" s="16"/>
      <c r="AX440" s="17"/>
      <c r="AY440" s="18">
        <f t="shared" si="265"/>
        <v>0</v>
      </c>
      <c r="AZ440" s="34"/>
      <c r="BA440" s="16"/>
      <c r="BB440" s="16"/>
      <c r="BC440" s="17"/>
      <c r="BD440" s="18">
        <f t="shared" si="266"/>
        <v>0</v>
      </c>
      <c r="BE440" s="34"/>
      <c r="BF440" s="16"/>
      <c r="BG440" s="16"/>
      <c r="BH440" s="17"/>
      <c r="BI440" s="18">
        <f t="shared" si="267"/>
        <v>0</v>
      </c>
      <c r="BJ440" s="34"/>
      <c r="BK440" s="16"/>
      <c r="BL440" s="16"/>
      <c r="BM440" s="17"/>
      <c r="BN440" s="18">
        <f t="shared" si="268"/>
        <v>0</v>
      </c>
      <c r="BO440" s="70">
        <f>SUM(G440,L440,Q440,V440,AA440,AF440,AK440,AP440,AU440,AZ440,BE440,BJ440)</f>
        <v>14</v>
      </c>
      <c r="BP440" s="16">
        <f>SUM(H440,M440,R440,W440,AB440,AG440,AL440,AQ440,AV440,BA440,BF440,BK440)</f>
        <v>0</v>
      </c>
      <c r="BQ440" s="16">
        <f>SUM(I440,N440,S440,X440,AC440,AH440,AM440,AR440,AW440,BB440,BG440,BL440)</f>
        <v>0</v>
      </c>
      <c r="BR440" s="17">
        <f>SUM(J440,O440,T440,Y440,AD440,AI440,AN440,AS440,AX440,BC440,BH440,BM440)</f>
        <v>0</v>
      </c>
      <c r="BS440" s="35">
        <f t="shared" si="270"/>
        <v>14</v>
      </c>
    </row>
    <row r="441" spans="2:71" x14ac:dyDescent="0.3">
      <c r="B441" s="254"/>
      <c r="C441" s="272"/>
      <c r="D441" s="200"/>
      <c r="E441" s="201"/>
      <c r="F441" s="123" t="s">
        <v>825</v>
      </c>
      <c r="G441" s="34">
        <v>797</v>
      </c>
      <c r="H441" s="16"/>
      <c r="I441" s="16"/>
      <c r="J441" s="17"/>
      <c r="K441" s="18">
        <f t="shared" si="216"/>
        <v>797</v>
      </c>
      <c r="L441" s="34">
        <v>689</v>
      </c>
      <c r="M441" s="16"/>
      <c r="N441" s="16"/>
      <c r="O441" s="17"/>
      <c r="P441" s="18">
        <f t="shared" si="258"/>
        <v>689</v>
      </c>
      <c r="Q441" s="34">
        <v>213</v>
      </c>
      <c r="R441" s="16"/>
      <c r="S441" s="16"/>
      <c r="T441" s="17"/>
      <c r="U441" s="18">
        <f t="shared" si="259"/>
        <v>213</v>
      </c>
      <c r="V441" s="34">
        <v>64</v>
      </c>
      <c r="W441" s="16"/>
      <c r="X441" s="16"/>
      <c r="Y441" s="17"/>
      <c r="Z441" s="18">
        <f t="shared" si="260"/>
        <v>64</v>
      </c>
      <c r="AA441" s="34">
        <v>103</v>
      </c>
      <c r="AB441" s="16"/>
      <c r="AC441" s="16"/>
      <c r="AD441" s="17"/>
      <c r="AE441" s="18">
        <f t="shared" si="261"/>
        <v>103</v>
      </c>
      <c r="AF441" s="34"/>
      <c r="AG441" s="16"/>
      <c r="AH441" s="16"/>
      <c r="AI441" s="17"/>
      <c r="AJ441" s="18">
        <f t="shared" si="262"/>
        <v>0</v>
      </c>
      <c r="AK441" s="34"/>
      <c r="AL441" s="16"/>
      <c r="AM441" s="16"/>
      <c r="AN441" s="17"/>
      <c r="AO441" s="18">
        <f t="shared" si="263"/>
        <v>0</v>
      </c>
      <c r="AP441" s="34"/>
      <c r="AQ441" s="16"/>
      <c r="AR441" s="16"/>
      <c r="AS441" s="17"/>
      <c r="AT441" s="18">
        <f t="shared" si="264"/>
        <v>0</v>
      </c>
      <c r="AU441" s="34"/>
      <c r="AV441" s="16"/>
      <c r="AW441" s="16"/>
      <c r="AX441" s="17"/>
      <c r="AY441" s="18">
        <f t="shared" si="265"/>
        <v>0</v>
      </c>
      <c r="AZ441" s="34"/>
      <c r="BA441" s="16"/>
      <c r="BB441" s="16"/>
      <c r="BC441" s="17"/>
      <c r="BD441" s="18">
        <f t="shared" si="266"/>
        <v>0</v>
      </c>
      <c r="BE441" s="34"/>
      <c r="BF441" s="16"/>
      <c r="BG441" s="16"/>
      <c r="BH441" s="17"/>
      <c r="BI441" s="18">
        <f t="shared" si="267"/>
        <v>0</v>
      </c>
      <c r="BJ441" s="34"/>
      <c r="BK441" s="16"/>
      <c r="BL441" s="16"/>
      <c r="BM441" s="17"/>
      <c r="BN441" s="18">
        <f t="shared" si="268"/>
        <v>0</v>
      </c>
      <c r="BO441" s="70">
        <f>SUM(G441,L441,Q441,V441,AA441,AF441,AK441,AP441,AU441,AZ441,BE441,BJ441)</f>
        <v>1866</v>
      </c>
      <c r="BP441" s="16">
        <f>SUM(H441,M441,R441,W441,AB441,AG441,AL441,AQ441,AV441,BA441,BF441,BK441)</f>
        <v>0</v>
      </c>
      <c r="BQ441" s="16">
        <f>SUM(I441,N441,S441,X441,AC441,AH441,AM441,AR441,AW441,BB441,BG441,BL441)</f>
        <v>0</v>
      </c>
      <c r="BR441" s="17">
        <f>SUM(J441,O441,T441,Y441,AD441,AI441,AN441,AS441,AX441,BC441,BH441,BM441)</f>
        <v>0</v>
      </c>
      <c r="BS441" s="35">
        <f t="shared" si="270"/>
        <v>1866</v>
      </c>
    </row>
    <row r="442" spans="2:71" x14ac:dyDescent="0.3">
      <c r="B442" s="254"/>
      <c r="C442" s="272"/>
      <c r="D442" s="200"/>
      <c r="E442" s="201"/>
      <c r="F442" s="123" t="s">
        <v>826</v>
      </c>
      <c r="G442" s="34">
        <v>277</v>
      </c>
      <c r="H442" s="16"/>
      <c r="I442" s="16"/>
      <c r="J442" s="17"/>
      <c r="K442" s="18">
        <f t="shared" si="216"/>
        <v>277</v>
      </c>
      <c r="L442" s="34">
        <v>544</v>
      </c>
      <c r="M442" s="16"/>
      <c r="N442" s="16"/>
      <c r="O442" s="17"/>
      <c r="P442" s="18">
        <f t="shared" si="258"/>
        <v>544</v>
      </c>
      <c r="Q442" s="34">
        <v>7</v>
      </c>
      <c r="R442" s="16"/>
      <c r="S442" s="16"/>
      <c r="T442" s="17"/>
      <c r="U442" s="18">
        <f t="shared" si="259"/>
        <v>7</v>
      </c>
      <c r="V442" s="34">
        <v>13</v>
      </c>
      <c r="W442" s="16"/>
      <c r="X442" s="16"/>
      <c r="Y442" s="17"/>
      <c r="Z442" s="18">
        <f t="shared" si="260"/>
        <v>13</v>
      </c>
      <c r="AA442" s="34">
        <v>11</v>
      </c>
      <c r="AB442" s="16"/>
      <c r="AC442" s="16"/>
      <c r="AD442" s="17"/>
      <c r="AE442" s="18">
        <f t="shared" si="261"/>
        <v>11</v>
      </c>
      <c r="AF442" s="34"/>
      <c r="AG442" s="16"/>
      <c r="AH442" s="16"/>
      <c r="AI442" s="17"/>
      <c r="AJ442" s="18">
        <f t="shared" si="262"/>
        <v>0</v>
      </c>
      <c r="AK442" s="34"/>
      <c r="AL442" s="16"/>
      <c r="AM442" s="16"/>
      <c r="AN442" s="17"/>
      <c r="AO442" s="18">
        <f t="shared" si="263"/>
        <v>0</v>
      </c>
      <c r="AP442" s="34"/>
      <c r="AQ442" s="16"/>
      <c r="AR442" s="16"/>
      <c r="AS442" s="17"/>
      <c r="AT442" s="18">
        <f t="shared" si="264"/>
        <v>0</v>
      </c>
      <c r="AU442" s="34"/>
      <c r="AV442" s="16"/>
      <c r="AW442" s="16"/>
      <c r="AX442" s="17"/>
      <c r="AY442" s="18">
        <f t="shared" si="265"/>
        <v>0</v>
      </c>
      <c r="AZ442" s="34"/>
      <c r="BA442" s="16"/>
      <c r="BB442" s="16"/>
      <c r="BC442" s="17"/>
      <c r="BD442" s="18">
        <f t="shared" si="266"/>
        <v>0</v>
      </c>
      <c r="BE442" s="34"/>
      <c r="BF442" s="16"/>
      <c r="BG442" s="16"/>
      <c r="BH442" s="17"/>
      <c r="BI442" s="18">
        <f t="shared" si="267"/>
        <v>0</v>
      </c>
      <c r="BJ442" s="34"/>
      <c r="BK442" s="16"/>
      <c r="BL442" s="16"/>
      <c r="BM442" s="17"/>
      <c r="BN442" s="18">
        <f t="shared" si="268"/>
        <v>0</v>
      </c>
      <c r="BO442" s="70">
        <f>SUM(G442,L442,Q442,V442,AA442,AF442,AK442,AP442,AU442,AZ442,BE442,BJ442)</f>
        <v>852</v>
      </c>
      <c r="BP442" s="16">
        <f>SUM(H442,M442,R442,W442,AB442,AG442,AL442,AQ442,AV442,BA442,BF442,BK442)</f>
        <v>0</v>
      </c>
      <c r="BQ442" s="16">
        <f>SUM(I442,N442,S442,X442,AC442,AH442,AM442,AR442,AW442,BB442,BG442,BL442)</f>
        <v>0</v>
      </c>
      <c r="BR442" s="17">
        <f>SUM(J442,O442,T442,Y442,AD442,AI442,AN442,AS442,AX442,BC442,BH442,BM442)</f>
        <v>0</v>
      </c>
      <c r="BS442" s="35">
        <f t="shared" si="270"/>
        <v>852</v>
      </c>
    </row>
    <row r="443" spans="2:71" x14ac:dyDescent="0.3">
      <c r="B443" s="254"/>
      <c r="C443" s="204"/>
      <c r="D443" s="200"/>
      <c r="E443" s="201"/>
      <c r="F443" s="123" t="s">
        <v>827</v>
      </c>
      <c r="G443" s="34">
        <v>410</v>
      </c>
      <c r="H443" s="16"/>
      <c r="I443" s="16"/>
      <c r="J443" s="17"/>
      <c r="K443" s="18">
        <f t="shared" si="216"/>
        <v>410</v>
      </c>
      <c r="L443" s="34">
        <v>372</v>
      </c>
      <c r="M443" s="16"/>
      <c r="N443" s="16"/>
      <c r="O443" s="17"/>
      <c r="P443" s="18">
        <f t="shared" si="258"/>
        <v>372</v>
      </c>
      <c r="Q443" s="34">
        <v>17</v>
      </c>
      <c r="R443" s="16"/>
      <c r="S443" s="16"/>
      <c r="T443" s="17"/>
      <c r="U443" s="18">
        <f t="shared" si="259"/>
        <v>17</v>
      </c>
      <c r="V443" s="34">
        <v>9</v>
      </c>
      <c r="W443" s="16"/>
      <c r="X443" s="16"/>
      <c r="Y443" s="17"/>
      <c r="Z443" s="18">
        <f t="shared" si="260"/>
        <v>9</v>
      </c>
      <c r="AA443" s="34">
        <v>22</v>
      </c>
      <c r="AB443" s="16"/>
      <c r="AC443" s="16"/>
      <c r="AD443" s="17"/>
      <c r="AE443" s="18">
        <f t="shared" si="261"/>
        <v>22</v>
      </c>
      <c r="AF443" s="34"/>
      <c r="AG443" s="16"/>
      <c r="AH443" s="16"/>
      <c r="AI443" s="17"/>
      <c r="AJ443" s="18">
        <f t="shared" si="262"/>
        <v>0</v>
      </c>
      <c r="AK443" s="34"/>
      <c r="AL443" s="16"/>
      <c r="AM443" s="16"/>
      <c r="AN443" s="17"/>
      <c r="AO443" s="18">
        <f t="shared" si="263"/>
        <v>0</v>
      </c>
      <c r="AP443" s="34"/>
      <c r="AQ443" s="16"/>
      <c r="AR443" s="16"/>
      <c r="AS443" s="17"/>
      <c r="AT443" s="18">
        <f t="shared" si="264"/>
        <v>0</v>
      </c>
      <c r="AU443" s="34"/>
      <c r="AV443" s="16"/>
      <c r="AW443" s="16"/>
      <c r="AX443" s="17"/>
      <c r="AY443" s="18">
        <f t="shared" si="265"/>
        <v>0</v>
      </c>
      <c r="AZ443" s="34"/>
      <c r="BA443" s="16"/>
      <c r="BB443" s="16"/>
      <c r="BC443" s="17"/>
      <c r="BD443" s="18">
        <f t="shared" si="266"/>
        <v>0</v>
      </c>
      <c r="BE443" s="34"/>
      <c r="BF443" s="16"/>
      <c r="BG443" s="16"/>
      <c r="BH443" s="17"/>
      <c r="BI443" s="18">
        <f t="shared" si="267"/>
        <v>0</v>
      </c>
      <c r="BJ443" s="34"/>
      <c r="BK443" s="16"/>
      <c r="BL443" s="16"/>
      <c r="BM443" s="17"/>
      <c r="BN443" s="18">
        <f t="shared" si="268"/>
        <v>0</v>
      </c>
      <c r="BO443" s="70">
        <f>SUM(G443,L443,Q443,V443,AA443,AF443,AK443,AP443,AU443,AZ443,BE443,BJ443)</f>
        <v>830</v>
      </c>
      <c r="BP443" s="16">
        <f>SUM(H443,M443,R443,W443,AB443,AG443,AL443,AQ443,AV443,BA443,BF443,BK443)</f>
        <v>0</v>
      </c>
      <c r="BQ443" s="16">
        <f>SUM(I443,N443,S443,X443,AC443,AH443,AM443,AR443,AW443,BB443,BG443,BL443)</f>
        <v>0</v>
      </c>
      <c r="BR443" s="17">
        <f>SUM(J443,O443,T443,Y443,AD443,AI443,AN443,AS443,AX443,BC443,BH443,BM443)</f>
        <v>0</v>
      </c>
      <c r="BS443" s="35">
        <f t="shared" si="270"/>
        <v>830</v>
      </c>
    </row>
    <row r="444" spans="2:71" x14ac:dyDescent="0.3">
      <c r="B444" s="254"/>
      <c r="C444" s="204"/>
      <c r="D444" s="200"/>
      <c r="E444" s="201"/>
      <c r="F444" s="123" t="s">
        <v>250</v>
      </c>
      <c r="G444" s="34"/>
      <c r="H444" s="16"/>
      <c r="I444" s="16"/>
      <c r="J444" s="17"/>
      <c r="K444" s="18">
        <f t="shared" si="216"/>
        <v>0</v>
      </c>
      <c r="L444" s="34"/>
      <c r="M444" s="16"/>
      <c r="N444" s="16"/>
      <c r="O444" s="17"/>
      <c r="P444" s="18">
        <f t="shared" si="258"/>
        <v>0</v>
      </c>
      <c r="Q444" s="34">
        <v>585</v>
      </c>
      <c r="R444" s="16"/>
      <c r="S444" s="16"/>
      <c r="T444" s="17"/>
      <c r="U444" s="18">
        <f t="shared" si="259"/>
        <v>585</v>
      </c>
      <c r="V444" s="34">
        <v>1529</v>
      </c>
      <c r="W444" s="16"/>
      <c r="X444" s="16"/>
      <c r="Y444" s="17"/>
      <c r="Z444" s="18">
        <f t="shared" si="260"/>
        <v>1529</v>
      </c>
      <c r="AA444" s="34">
        <v>2288</v>
      </c>
      <c r="AB444" s="16"/>
      <c r="AC444" s="16"/>
      <c r="AD444" s="17"/>
      <c r="AE444" s="18">
        <f t="shared" si="261"/>
        <v>2288</v>
      </c>
      <c r="AF444" s="34">
        <v>521</v>
      </c>
      <c r="AG444" s="16"/>
      <c r="AH444" s="16"/>
      <c r="AI444" s="17"/>
      <c r="AJ444" s="18">
        <f t="shared" si="262"/>
        <v>521</v>
      </c>
      <c r="AK444" s="34">
        <v>106</v>
      </c>
      <c r="AL444" s="16"/>
      <c r="AM444" s="16"/>
      <c r="AN444" s="17"/>
      <c r="AO444" s="18">
        <f t="shared" si="263"/>
        <v>106</v>
      </c>
      <c r="AP444" s="34">
        <v>100</v>
      </c>
      <c r="AQ444" s="16"/>
      <c r="AR444" s="16"/>
      <c r="AS444" s="17"/>
      <c r="AT444" s="18">
        <f t="shared" si="264"/>
        <v>100</v>
      </c>
      <c r="AU444" s="34"/>
      <c r="AV444" s="16"/>
      <c r="AW444" s="16"/>
      <c r="AX444" s="17"/>
      <c r="AY444" s="18">
        <f t="shared" si="265"/>
        <v>0</v>
      </c>
      <c r="AZ444" s="34"/>
      <c r="BA444" s="16"/>
      <c r="BB444" s="16"/>
      <c r="BC444" s="17"/>
      <c r="BD444" s="18">
        <f t="shared" si="266"/>
        <v>0</v>
      </c>
      <c r="BE444" s="34"/>
      <c r="BF444" s="16"/>
      <c r="BG444" s="16"/>
      <c r="BH444" s="17"/>
      <c r="BI444" s="18">
        <f t="shared" si="267"/>
        <v>0</v>
      </c>
      <c r="BJ444" s="34"/>
      <c r="BK444" s="16"/>
      <c r="BL444" s="16"/>
      <c r="BM444" s="17"/>
      <c r="BN444" s="18">
        <f t="shared" si="268"/>
        <v>0</v>
      </c>
      <c r="BO444" s="70">
        <f>SUM(G444,L444,Q444,V444,AA444,AF444,AK444,AP444,AU444,AZ444,BE444,BJ444)</f>
        <v>5129</v>
      </c>
      <c r="BP444" s="16">
        <f>SUM(H444,M444,R444,W444,AB444,AG444,AL444,AQ444,AV444,BA444,BF444,BK444)</f>
        <v>0</v>
      </c>
      <c r="BQ444" s="16">
        <f>SUM(I444,N444,S444,X444,AC444,AH444,AM444,AR444,AW444,BB444,BG444,BL444)</f>
        <v>0</v>
      </c>
      <c r="BR444" s="17">
        <f>SUM(J444,O444,T444,Y444,AD444,AI444,AN444,AS444,AX444,BC444,BH444,BM444)</f>
        <v>0</v>
      </c>
      <c r="BS444" s="35">
        <f t="shared" si="270"/>
        <v>5129</v>
      </c>
    </row>
    <row r="445" spans="2:71" x14ac:dyDescent="0.3">
      <c r="B445" s="254"/>
      <c r="C445" s="204"/>
      <c r="D445" s="200"/>
      <c r="E445" s="201"/>
      <c r="F445" s="123" t="s">
        <v>252</v>
      </c>
      <c r="G445" s="34"/>
      <c r="H445" s="16"/>
      <c r="I445" s="16"/>
      <c r="J445" s="17"/>
      <c r="K445" s="18">
        <f t="shared" si="216"/>
        <v>0</v>
      </c>
      <c r="L445" s="34"/>
      <c r="M445" s="16"/>
      <c r="N445" s="16"/>
      <c r="O445" s="17"/>
      <c r="P445" s="18">
        <f t="shared" si="258"/>
        <v>0</v>
      </c>
      <c r="Q445" s="34">
        <v>81</v>
      </c>
      <c r="R445" s="16"/>
      <c r="S445" s="16"/>
      <c r="T445" s="17"/>
      <c r="U445" s="18">
        <f t="shared" si="259"/>
        <v>81</v>
      </c>
      <c r="V445" s="34">
        <v>292</v>
      </c>
      <c r="W445" s="16"/>
      <c r="X445" s="16"/>
      <c r="Y445" s="17"/>
      <c r="Z445" s="18">
        <f t="shared" si="260"/>
        <v>292</v>
      </c>
      <c r="AA445" s="34">
        <v>486</v>
      </c>
      <c r="AB445" s="16"/>
      <c r="AC445" s="16"/>
      <c r="AD445" s="17"/>
      <c r="AE445" s="18">
        <f t="shared" si="261"/>
        <v>486</v>
      </c>
      <c r="AF445" s="34">
        <v>51</v>
      </c>
      <c r="AG445" s="16"/>
      <c r="AH445" s="16"/>
      <c r="AI445" s="17"/>
      <c r="AJ445" s="18">
        <f t="shared" si="262"/>
        <v>51</v>
      </c>
      <c r="AK445" s="34">
        <v>23</v>
      </c>
      <c r="AL445" s="16"/>
      <c r="AM445" s="16"/>
      <c r="AN445" s="17"/>
      <c r="AO445" s="18">
        <f t="shared" si="263"/>
        <v>23</v>
      </c>
      <c r="AP445" s="34">
        <v>11</v>
      </c>
      <c r="AQ445" s="16"/>
      <c r="AR445" s="16"/>
      <c r="AS445" s="17"/>
      <c r="AT445" s="18">
        <f t="shared" si="264"/>
        <v>11</v>
      </c>
      <c r="AU445" s="34"/>
      <c r="AV445" s="16"/>
      <c r="AW445" s="16"/>
      <c r="AX445" s="17"/>
      <c r="AY445" s="18">
        <f t="shared" si="265"/>
        <v>0</v>
      </c>
      <c r="AZ445" s="34"/>
      <c r="BA445" s="16"/>
      <c r="BB445" s="16"/>
      <c r="BC445" s="17"/>
      <c r="BD445" s="18">
        <f t="shared" si="266"/>
        <v>0</v>
      </c>
      <c r="BE445" s="34"/>
      <c r="BF445" s="16"/>
      <c r="BG445" s="16"/>
      <c r="BH445" s="17"/>
      <c r="BI445" s="18">
        <f t="shared" si="267"/>
        <v>0</v>
      </c>
      <c r="BJ445" s="34"/>
      <c r="BK445" s="16"/>
      <c r="BL445" s="16"/>
      <c r="BM445" s="17"/>
      <c r="BN445" s="18">
        <f t="shared" si="268"/>
        <v>0</v>
      </c>
      <c r="BO445" s="70">
        <f>SUM(G445,L445,Q445,V445,AA445,AF445,AK445,AP445,AU445,AZ445,BE445,BJ445)</f>
        <v>944</v>
      </c>
      <c r="BP445" s="16">
        <f>SUM(H445,M445,R445,W445,AB445,AG445,AL445,AQ445,AV445,BA445,BF445,BK445)</f>
        <v>0</v>
      </c>
      <c r="BQ445" s="16">
        <f>SUM(I445,N445,S445,X445,AC445,AH445,AM445,AR445,AW445,BB445,BG445,BL445)</f>
        <v>0</v>
      </c>
      <c r="BR445" s="17">
        <f>SUM(J445,O445,T445,Y445,AD445,AI445,AN445,AS445,AX445,BC445,BH445,BM445)</f>
        <v>0</v>
      </c>
      <c r="BS445" s="35">
        <f t="shared" si="270"/>
        <v>944</v>
      </c>
    </row>
    <row r="446" spans="2:71" x14ac:dyDescent="0.3">
      <c r="B446" s="254"/>
      <c r="C446" s="204"/>
      <c r="D446" s="200"/>
      <c r="E446" s="201"/>
      <c r="F446" s="123" t="s">
        <v>828</v>
      </c>
      <c r="G446" s="34"/>
      <c r="H446" s="16"/>
      <c r="I446" s="16"/>
      <c r="J446" s="17"/>
      <c r="K446" s="18">
        <f t="shared" si="216"/>
        <v>0</v>
      </c>
      <c r="L446" s="34"/>
      <c r="M446" s="16"/>
      <c r="N446" s="16"/>
      <c r="O446" s="17"/>
      <c r="P446" s="18">
        <f t="shared" si="258"/>
        <v>0</v>
      </c>
      <c r="Q446" s="34"/>
      <c r="R446" s="16"/>
      <c r="S446" s="16"/>
      <c r="T446" s="17"/>
      <c r="U446" s="18">
        <f t="shared" si="259"/>
        <v>0</v>
      </c>
      <c r="V446" s="34">
        <v>229</v>
      </c>
      <c r="W446" s="16"/>
      <c r="X446" s="16"/>
      <c r="Y446" s="17"/>
      <c r="Z446" s="18">
        <f t="shared" si="260"/>
        <v>229</v>
      </c>
      <c r="AA446" s="34">
        <v>249</v>
      </c>
      <c r="AB446" s="16"/>
      <c r="AC446" s="16"/>
      <c r="AD446" s="17"/>
      <c r="AE446" s="18">
        <f t="shared" si="261"/>
        <v>249</v>
      </c>
      <c r="AF446" s="34">
        <v>176</v>
      </c>
      <c r="AG446" s="16"/>
      <c r="AH446" s="16"/>
      <c r="AI446" s="17"/>
      <c r="AJ446" s="18">
        <f t="shared" si="262"/>
        <v>176</v>
      </c>
      <c r="AK446" s="34">
        <v>72</v>
      </c>
      <c r="AL446" s="16"/>
      <c r="AM446" s="16"/>
      <c r="AN446" s="17"/>
      <c r="AO446" s="18">
        <f t="shared" si="263"/>
        <v>72</v>
      </c>
      <c r="AP446" s="34">
        <v>3</v>
      </c>
      <c r="AQ446" s="16"/>
      <c r="AR446" s="16"/>
      <c r="AS446" s="17"/>
      <c r="AT446" s="18">
        <f t="shared" si="264"/>
        <v>3</v>
      </c>
      <c r="AU446" s="34"/>
      <c r="AV446" s="16"/>
      <c r="AW446" s="16"/>
      <c r="AX446" s="17"/>
      <c r="AY446" s="18">
        <f t="shared" si="265"/>
        <v>0</v>
      </c>
      <c r="AZ446" s="34"/>
      <c r="BA446" s="16"/>
      <c r="BB446" s="16"/>
      <c r="BC446" s="17"/>
      <c r="BD446" s="18">
        <f t="shared" si="266"/>
        <v>0</v>
      </c>
      <c r="BE446" s="34"/>
      <c r="BF446" s="16"/>
      <c r="BG446" s="16"/>
      <c r="BH446" s="17"/>
      <c r="BI446" s="18">
        <f t="shared" si="267"/>
        <v>0</v>
      </c>
      <c r="BJ446" s="34"/>
      <c r="BK446" s="16"/>
      <c r="BL446" s="16"/>
      <c r="BM446" s="17"/>
      <c r="BN446" s="18">
        <f t="shared" si="268"/>
        <v>0</v>
      </c>
      <c r="BO446" s="70">
        <f>SUM(G446,L446,Q446,V446,AA446,AF446,AK446,AP446,AU446,AZ446,BE446,BJ446)</f>
        <v>729</v>
      </c>
      <c r="BP446" s="16">
        <f>SUM(H446,M446,R446,W446,AB446,AG446,AL446,AQ446,AV446,BA446,BF446,BK446)</f>
        <v>0</v>
      </c>
      <c r="BQ446" s="16">
        <f>SUM(I446,N446,S446,X446,AC446,AH446,AM446,AR446,AW446,BB446,BG446,BL446)</f>
        <v>0</v>
      </c>
      <c r="BR446" s="17">
        <f>SUM(J446,O446,T446,Y446,AD446,AI446,AN446,AS446,AX446,BC446,BH446,BM446)</f>
        <v>0</v>
      </c>
      <c r="BS446" s="35">
        <f t="shared" si="270"/>
        <v>729</v>
      </c>
    </row>
    <row r="447" spans="2:71" x14ac:dyDescent="0.3">
      <c r="B447" s="254"/>
      <c r="C447" s="204"/>
      <c r="D447" s="200"/>
      <c r="E447" s="201"/>
      <c r="F447" s="123" t="s">
        <v>829</v>
      </c>
      <c r="G447" s="34"/>
      <c r="H447" s="16"/>
      <c r="I447" s="16"/>
      <c r="J447" s="17"/>
      <c r="K447" s="18">
        <f t="shared" si="216"/>
        <v>0</v>
      </c>
      <c r="L447" s="34"/>
      <c r="M447" s="16"/>
      <c r="N447" s="16"/>
      <c r="O447" s="17"/>
      <c r="P447" s="18">
        <f t="shared" si="258"/>
        <v>0</v>
      </c>
      <c r="Q447" s="34"/>
      <c r="R447" s="16"/>
      <c r="S447" s="16"/>
      <c r="T447" s="17"/>
      <c r="U447" s="18">
        <f t="shared" si="259"/>
        <v>0</v>
      </c>
      <c r="V447" s="34">
        <v>14</v>
      </c>
      <c r="W447" s="16"/>
      <c r="X447" s="16"/>
      <c r="Y447" s="17"/>
      <c r="Z447" s="18">
        <f t="shared" si="260"/>
        <v>14</v>
      </c>
      <c r="AA447" s="34">
        <v>31</v>
      </c>
      <c r="AB447" s="16"/>
      <c r="AC447" s="16"/>
      <c r="AD447" s="17"/>
      <c r="AE447" s="18">
        <f t="shared" si="261"/>
        <v>31</v>
      </c>
      <c r="AF447" s="34">
        <v>38</v>
      </c>
      <c r="AG447" s="16"/>
      <c r="AH447" s="16"/>
      <c r="AI447" s="17"/>
      <c r="AJ447" s="18">
        <f t="shared" si="262"/>
        <v>38</v>
      </c>
      <c r="AK447" s="34">
        <v>47</v>
      </c>
      <c r="AL447" s="16"/>
      <c r="AM447" s="16"/>
      <c r="AN447" s="17"/>
      <c r="AO447" s="18">
        <f t="shared" si="263"/>
        <v>47</v>
      </c>
      <c r="AP447" s="34"/>
      <c r="AQ447" s="16"/>
      <c r="AR447" s="16"/>
      <c r="AS447" s="17"/>
      <c r="AT447" s="18">
        <f t="shared" si="264"/>
        <v>0</v>
      </c>
      <c r="AU447" s="34"/>
      <c r="AV447" s="16"/>
      <c r="AW447" s="16"/>
      <c r="AX447" s="17"/>
      <c r="AY447" s="18">
        <f t="shared" si="265"/>
        <v>0</v>
      </c>
      <c r="AZ447" s="34"/>
      <c r="BA447" s="16"/>
      <c r="BB447" s="16"/>
      <c r="BC447" s="17"/>
      <c r="BD447" s="18">
        <f t="shared" si="266"/>
        <v>0</v>
      </c>
      <c r="BE447" s="34"/>
      <c r="BF447" s="16"/>
      <c r="BG447" s="16"/>
      <c r="BH447" s="17"/>
      <c r="BI447" s="18">
        <f t="shared" si="267"/>
        <v>0</v>
      </c>
      <c r="BJ447" s="34"/>
      <c r="BK447" s="16"/>
      <c r="BL447" s="16"/>
      <c r="BM447" s="17"/>
      <c r="BN447" s="18">
        <f t="shared" si="268"/>
        <v>0</v>
      </c>
      <c r="BO447" s="70">
        <f>SUM(G447,L447,Q447,V447,AA447,AF447,AK447,AP447,AU447,AZ447,BE447,BJ447)</f>
        <v>130</v>
      </c>
      <c r="BP447" s="16">
        <f>SUM(H447,M447,R447,W447,AB447,AG447,AL447,AQ447,AV447,BA447,BF447,BK447)</f>
        <v>0</v>
      </c>
      <c r="BQ447" s="16">
        <f>SUM(I447,N447,S447,X447,AC447,AH447,AM447,AR447,AW447,BB447,BG447,BL447)</f>
        <v>0</v>
      </c>
      <c r="BR447" s="17">
        <f>SUM(J447,O447,T447,Y447,AD447,AI447,AN447,AS447,AX447,BC447,BH447,BM447)</f>
        <v>0</v>
      </c>
      <c r="BS447" s="35">
        <f t="shared" si="270"/>
        <v>130</v>
      </c>
    </row>
    <row r="448" spans="2:71" x14ac:dyDescent="0.3">
      <c r="B448" s="254"/>
      <c r="C448" s="204"/>
      <c r="D448" s="200"/>
      <c r="E448" s="201"/>
      <c r="F448" s="123" t="s">
        <v>337</v>
      </c>
      <c r="G448" s="34"/>
      <c r="H448" s="16"/>
      <c r="I448" s="16"/>
      <c r="J448" s="17"/>
      <c r="K448" s="18">
        <f t="shared" si="216"/>
        <v>0</v>
      </c>
      <c r="L448" s="34"/>
      <c r="M448" s="16"/>
      <c r="N448" s="16"/>
      <c r="O448" s="17"/>
      <c r="P448" s="18">
        <f t="shared" si="258"/>
        <v>0</v>
      </c>
      <c r="Q448" s="34"/>
      <c r="R448" s="16"/>
      <c r="S448" s="16"/>
      <c r="T448" s="17"/>
      <c r="U448" s="18">
        <f t="shared" si="259"/>
        <v>0</v>
      </c>
      <c r="V448" s="34"/>
      <c r="W448" s="16"/>
      <c r="X448" s="16"/>
      <c r="Y448" s="17"/>
      <c r="Z448" s="18">
        <f t="shared" si="260"/>
        <v>0</v>
      </c>
      <c r="AA448" s="34">
        <v>70</v>
      </c>
      <c r="AB448" s="16"/>
      <c r="AC448" s="16"/>
      <c r="AD448" s="17"/>
      <c r="AE448" s="18">
        <f t="shared" si="261"/>
        <v>70</v>
      </c>
      <c r="AF448" s="34">
        <v>1026</v>
      </c>
      <c r="AG448" s="16"/>
      <c r="AH448" s="16"/>
      <c r="AI448" s="17"/>
      <c r="AJ448" s="18">
        <f t="shared" si="262"/>
        <v>1026</v>
      </c>
      <c r="AK448" s="34">
        <v>396</v>
      </c>
      <c r="AL448" s="16"/>
      <c r="AM448" s="16"/>
      <c r="AN448" s="17"/>
      <c r="AO448" s="18">
        <f t="shared" si="263"/>
        <v>396</v>
      </c>
      <c r="AP448" s="34">
        <v>711</v>
      </c>
      <c r="AQ448" s="16"/>
      <c r="AR448" s="16"/>
      <c r="AS448" s="17"/>
      <c r="AT448" s="18">
        <f t="shared" si="264"/>
        <v>711</v>
      </c>
      <c r="AU448" s="34">
        <v>125</v>
      </c>
      <c r="AV448" s="16"/>
      <c r="AW448" s="16"/>
      <c r="AX448" s="17"/>
      <c r="AY448" s="18">
        <f t="shared" si="265"/>
        <v>125</v>
      </c>
      <c r="AZ448" s="34">
        <v>107</v>
      </c>
      <c r="BA448" s="16"/>
      <c r="BB448" s="16"/>
      <c r="BC448" s="17"/>
      <c r="BD448" s="18">
        <f t="shared" si="266"/>
        <v>107</v>
      </c>
      <c r="BE448" s="34">
        <v>92</v>
      </c>
      <c r="BF448" s="16"/>
      <c r="BG448" s="16"/>
      <c r="BH448" s="17"/>
      <c r="BI448" s="18">
        <f t="shared" si="267"/>
        <v>92</v>
      </c>
      <c r="BJ448" s="34"/>
      <c r="BK448" s="16"/>
      <c r="BL448" s="16"/>
      <c r="BM448" s="17"/>
      <c r="BN448" s="18">
        <f t="shared" si="268"/>
        <v>0</v>
      </c>
      <c r="BO448" s="70">
        <f>SUM(G448,L448,Q448,V448,AA448,AF448,AK448,AP448,AU448,AZ448,BE448,BJ448)</f>
        <v>2527</v>
      </c>
      <c r="BP448" s="16">
        <f>SUM(H448,M448,R448,W448,AB448,AG448,AL448,AQ448,AV448,BA448,BF448,BK448)</f>
        <v>0</v>
      </c>
      <c r="BQ448" s="16">
        <f>SUM(I448,N448,S448,X448,AC448,AH448,AM448,AR448,AW448,BB448,BG448,BL448)</f>
        <v>0</v>
      </c>
      <c r="BR448" s="17">
        <f>SUM(J448,O448,T448,Y448,AD448,AI448,AN448,AS448,AX448,BC448,BH448,BM448)</f>
        <v>0</v>
      </c>
      <c r="BS448" s="35">
        <f t="shared" si="270"/>
        <v>2527</v>
      </c>
    </row>
    <row r="449" spans="2:71" x14ac:dyDescent="0.3">
      <c r="B449" s="254"/>
      <c r="C449" s="204"/>
      <c r="D449" s="200"/>
      <c r="E449" s="201"/>
      <c r="F449" s="123" t="s">
        <v>338</v>
      </c>
      <c r="G449" s="34"/>
      <c r="H449" s="16"/>
      <c r="I449" s="16"/>
      <c r="J449" s="17"/>
      <c r="K449" s="18">
        <f t="shared" si="216"/>
        <v>0</v>
      </c>
      <c r="L449" s="34"/>
      <c r="M449" s="16"/>
      <c r="N449" s="16"/>
      <c r="O449" s="17"/>
      <c r="P449" s="18">
        <f t="shared" si="258"/>
        <v>0</v>
      </c>
      <c r="Q449" s="34"/>
      <c r="R449" s="16"/>
      <c r="S449" s="16"/>
      <c r="T449" s="17"/>
      <c r="U449" s="18">
        <f t="shared" si="259"/>
        <v>0</v>
      </c>
      <c r="V449" s="34"/>
      <c r="W449" s="16"/>
      <c r="X449" s="16"/>
      <c r="Y449" s="17"/>
      <c r="Z449" s="18">
        <f t="shared" si="260"/>
        <v>0</v>
      </c>
      <c r="AA449" s="34">
        <v>5</v>
      </c>
      <c r="AB449" s="16"/>
      <c r="AC449" s="16"/>
      <c r="AD449" s="17"/>
      <c r="AE449" s="18">
        <f t="shared" si="261"/>
        <v>5</v>
      </c>
      <c r="AF449" s="34">
        <v>252</v>
      </c>
      <c r="AG449" s="16"/>
      <c r="AH449" s="16"/>
      <c r="AI449" s="17"/>
      <c r="AJ449" s="18">
        <f t="shared" si="262"/>
        <v>252</v>
      </c>
      <c r="AK449" s="34">
        <v>260</v>
      </c>
      <c r="AL449" s="16"/>
      <c r="AM449" s="16"/>
      <c r="AN449" s="17"/>
      <c r="AO449" s="18">
        <f t="shared" si="263"/>
        <v>260</v>
      </c>
      <c r="AP449" s="34">
        <v>253</v>
      </c>
      <c r="AQ449" s="16"/>
      <c r="AR449" s="16"/>
      <c r="AS449" s="17"/>
      <c r="AT449" s="18">
        <f t="shared" si="264"/>
        <v>253</v>
      </c>
      <c r="AU449" s="34">
        <v>33</v>
      </c>
      <c r="AV449" s="16"/>
      <c r="AW449" s="16"/>
      <c r="AX449" s="17"/>
      <c r="AY449" s="18">
        <f t="shared" si="265"/>
        <v>33</v>
      </c>
      <c r="AZ449" s="34">
        <v>12</v>
      </c>
      <c r="BA449" s="16"/>
      <c r="BB449" s="16"/>
      <c r="BC449" s="17"/>
      <c r="BD449" s="18">
        <f t="shared" si="266"/>
        <v>12</v>
      </c>
      <c r="BE449" s="34">
        <v>8</v>
      </c>
      <c r="BF449" s="16"/>
      <c r="BG449" s="16"/>
      <c r="BH449" s="17"/>
      <c r="BI449" s="18">
        <f t="shared" si="267"/>
        <v>8</v>
      </c>
      <c r="BJ449" s="34"/>
      <c r="BK449" s="16"/>
      <c r="BL449" s="16"/>
      <c r="BM449" s="17"/>
      <c r="BN449" s="18">
        <f t="shared" si="268"/>
        <v>0</v>
      </c>
      <c r="BO449" s="70">
        <f>SUM(G449,L449,Q449,V449,AA449,AF449,AK449,AP449,AU449,AZ449,BE449,BJ449)</f>
        <v>823</v>
      </c>
      <c r="BP449" s="16">
        <f>SUM(H449,M449,R449,W449,AB449,AG449,AL449,AQ449,AV449,BA449,BF449,BK449)</f>
        <v>0</v>
      </c>
      <c r="BQ449" s="16">
        <f>SUM(I449,N449,S449,X449,AC449,AH449,AM449,AR449,AW449,BB449,BG449,BL449)</f>
        <v>0</v>
      </c>
      <c r="BR449" s="17">
        <f>SUM(J449,O449,T449,Y449,AD449,AI449,AN449,AS449,AX449,BC449,BH449,BM449)</f>
        <v>0</v>
      </c>
      <c r="BS449" s="35">
        <f t="shared" si="270"/>
        <v>823</v>
      </c>
    </row>
    <row r="450" spans="2:71" x14ac:dyDescent="0.3">
      <c r="B450" s="254"/>
      <c r="C450" s="204"/>
      <c r="D450" s="200"/>
      <c r="E450" s="201"/>
      <c r="F450" s="123" t="s">
        <v>339</v>
      </c>
      <c r="G450" s="34"/>
      <c r="H450" s="16"/>
      <c r="I450" s="16"/>
      <c r="J450" s="17"/>
      <c r="K450" s="18">
        <f t="shared" si="216"/>
        <v>0</v>
      </c>
      <c r="L450" s="34"/>
      <c r="M450" s="16"/>
      <c r="N450" s="16"/>
      <c r="O450" s="17"/>
      <c r="P450" s="18">
        <f t="shared" si="258"/>
        <v>0</v>
      </c>
      <c r="Q450" s="34"/>
      <c r="R450" s="16"/>
      <c r="S450" s="16"/>
      <c r="T450" s="17"/>
      <c r="U450" s="18">
        <f t="shared" si="259"/>
        <v>0</v>
      </c>
      <c r="V450" s="34"/>
      <c r="W450" s="16"/>
      <c r="X450" s="16"/>
      <c r="Y450" s="17"/>
      <c r="Z450" s="18">
        <f t="shared" si="260"/>
        <v>0</v>
      </c>
      <c r="AA450" s="34">
        <v>10</v>
      </c>
      <c r="AB450" s="16"/>
      <c r="AC450" s="16"/>
      <c r="AD450" s="17"/>
      <c r="AE450" s="18">
        <f t="shared" si="261"/>
        <v>10</v>
      </c>
      <c r="AF450" s="34">
        <v>622</v>
      </c>
      <c r="AG450" s="16"/>
      <c r="AH450" s="16"/>
      <c r="AI450" s="17"/>
      <c r="AJ450" s="18">
        <f t="shared" si="262"/>
        <v>622</v>
      </c>
      <c r="AK450" s="34">
        <v>286</v>
      </c>
      <c r="AL450" s="16"/>
      <c r="AM450" s="16"/>
      <c r="AN450" s="17"/>
      <c r="AO450" s="18">
        <f t="shared" si="263"/>
        <v>286</v>
      </c>
      <c r="AP450" s="34">
        <v>560</v>
      </c>
      <c r="AQ450" s="16"/>
      <c r="AR450" s="16"/>
      <c r="AS450" s="17"/>
      <c r="AT450" s="18">
        <f t="shared" si="264"/>
        <v>560</v>
      </c>
      <c r="AU450" s="34">
        <v>32</v>
      </c>
      <c r="AV450" s="16"/>
      <c r="AW450" s="16"/>
      <c r="AX450" s="17"/>
      <c r="AY450" s="18">
        <f t="shared" si="265"/>
        <v>32</v>
      </c>
      <c r="AZ450" s="34">
        <v>23</v>
      </c>
      <c r="BA450" s="16"/>
      <c r="BB450" s="16"/>
      <c r="BC450" s="17"/>
      <c r="BD450" s="18">
        <f t="shared" si="266"/>
        <v>23</v>
      </c>
      <c r="BE450" s="34">
        <v>31</v>
      </c>
      <c r="BF450" s="16"/>
      <c r="BG450" s="16"/>
      <c r="BH450" s="17"/>
      <c r="BI450" s="18">
        <f t="shared" si="267"/>
        <v>31</v>
      </c>
      <c r="BJ450" s="34"/>
      <c r="BK450" s="16"/>
      <c r="BL450" s="16"/>
      <c r="BM450" s="17"/>
      <c r="BN450" s="18">
        <f t="shared" si="268"/>
        <v>0</v>
      </c>
      <c r="BO450" s="70">
        <f>SUM(G450,L450,Q450,V450,AA450,AF450,AK450,AP450,AU450,AZ450,BE450,BJ450)</f>
        <v>1564</v>
      </c>
      <c r="BP450" s="16">
        <f>SUM(H450,M450,R450,W450,AB450,AG450,AL450,AQ450,AV450,BA450,BF450,BK450)</f>
        <v>0</v>
      </c>
      <c r="BQ450" s="16">
        <f>SUM(I450,N450,S450,X450,AC450,AH450,AM450,AR450,AW450,BB450,BG450,BL450)</f>
        <v>0</v>
      </c>
      <c r="BR450" s="17">
        <f>SUM(J450,O450,T450,Y450,AD450,AI450,AN450,AS450,AX450,BC450,BH450,BM450)</f>
        <v>0</v>
      </c>
      <c r="BS450" s="35">
        <f t="shared" si="270"/>
        <v>1564</v>
      </c>
    </row>
    <row r="451" spans="2:71" x14ac:dyDescent="0.3">
      <c r="B451" s="254"/>
      <c r="C451" s="204"/>
      <c r="D451" s="200"/>
      <c r="E451" s="201"/>
      <c r="F451" s="123" t="s">
        <v>373</v>
      </c>
      <c r="G451" s="34"/>
      <c r="H451" s="16"/>
      <c r="I451" s="16"/>
      <c r="J451" s="17"/>
      <c r="K451" s="18">
        <f t="shared" si="216"/>
        <v>0</v>
      </c>
      <c r="L451" s="34"/>
      <c r="M451" s="16"/>
      <c r="N451" s="16"/>
      <c r="O451" s="17"/>
      <c r="P451" s="18">
        <f t="shared" si="258"/>
        <v>0</v>
      </c>
      <c r="Q451" s="34"/>
      <c r="R451" s="16"/>
      <c r="S451" s="16"/>
      <c r="T451" s="17"/>
      <c r="U451" s="18">
        <f t="shared" si="259"/>
        <v>0</v>
      </c>
      <c r="V451" s="34"/>
      <c r="W451" s="16"/>
      <c r="X451" s="16"/>
      <c r="Y451" s="17"/>
      <c r="Z451" s="18">
        <f t="shared" si="260"/>
        <v>0</v>
      </c>
      <c r="AA451" s="34">
        <v>7</v>
      </c>
      <c r="AB451" s="16"/>
      <c r="AC451" s="16"/>
      <c r="AD451" s="17"/>
      <c r="AE451" s="18">
        <f t="shared" si="261"/>
        <v>7</v>
      </c>
      <c r="AF451" s="34">
        <v>157</v>
      </c>
      <c r="AG451" s="16"/>
      <c r="AH451" s="16"/>
      <c r="AI451" s="17"/>
      <c r="AJ451" s="18">
        <f t="shared" si="262"/>
        <v>157</v>
      </c>
      <c r="AK451" s="34">
        <v>112</v>
      </c>
      <c r="AL451" s="16"/>
      <c r="AM451" s="16"/>
      <c r="AN451" s="17"/>
      <c r="AO451" s="18">
        <f t="shared" si="263"/>
        <v>112</v>
      </c>
      <c r="AP451" s="34">
        <v>162</v>
      </c>
      <c r="AQ451" s="16"/>
      <c r="AR451" s="16"/>
      <c r="AS451" s="17"/>
      <c r="AT451" s="18">
        <f t="shared" si="264"/>
        <v>162</v>
      </c>
      <c r="AU451" s="34">
        <v>5</v>
      </c>
      <c r="AV451" s="16"/>
      <c r="AW451" s="16"/>
      <c r="AX451" s="17"/>
      <c r="AY451" s="18">
        <f t="shared" si="265"/>
        <v>5</v>
      </c>
      <c r="AZ451" s="34"/>
      <c r="BA451" s="16"/>
      <c r="BB451" s="16"/>
      <c r="BC451" s="17"/>
      <c r="BD451" s="18">
        <f t="shared" si="266"/>
        <v>0</v>
      </c>
      <c r="BE451" s="34"/>
      <c r="BF451" s="16"/>
      <c r="BG451" s="16"/>
      <c r="BH451" s="17"/>
      <c r="BI451" s="18">
        <f t="shared" si="267"/>
        <v>0</v>
      </c>
      <c r="BJ451" s="34"/>
      <c r="BK451" s="16"/>
      <c r="BL451" s="16"/>
      <c r="BM451" s="17"/>
      <c r="BN451" s="18">
        <f t="shared" si="268"/>
        <v>0</v>
      </c>
      <c r="BO451" s="70">
        <f>SUM(G451,L451,Q451,V451,AA451,AF451,AK451,AP451,AU451,AZ451,BE451,BJ451)</f>
        <v>443</v>
      </c>
      <c r="BP451" s="16">
        <f>SUM(H451,M451,R451,W451,AB451,AG451,AL451,AQ451,AV451,BA451,BF451,BK451)</f>
        <v>0</v>
      </c>
      <c r="BQ451" s="16">
        <f>SUM(I451,N451,S451,X451,AC451,AH451,AM451,AR451,AW451,BB451,BG451,BL451)</f>
        <v>0</v>
      </c>
      <c r="BR451" s="17">
        <f>SUM(J451,O451,T451,Y451,AD451,AI451,AN451,AS451,AX451,BC451,BH451,BM451)</f>
        <v>0</v>
      </c>
      <c r="BS451" s="35">
        <f t="shared" si="270"/>
        <v>443</v>
      </c>
    </row>
    <row r="452" spans="2:71" x14ac:dyDescent="0.3">
      <c r="B452" s="254"/>
      <c r="C452" s="204"/>
      <c r="D452" s="200"/>
      <c r="E452" s="201"/>
      <c r="F452" s="123" t="s">
        <v>371</v>
      </c>
      <c r="G452" s="34"/>
      <c r="H452" s="16"/>
      <c r="I452" s="16"/>
      <c r="J452" s="17"/>
      <c r="K452" s="18">
        <f t="shared" si="216"/>
        <v>0</v>
      </c>
      <c r="L452" s="34"/>
      <c r="M452" s="16"/>
      <c r="N452" s="16"/>
      <c r="O452" s="17"/>
      <c r="P452" s="18">
        <f t="shared" si="258"/>
        <v>0</v>
      </c>
      <c r="Q452" s="34"/>
      <c r="R452" s="16"/>
      <c r="S452" s="16"/>
      <c r="T452" s="17"/>
      <c r="U452" s="18">
        <f t="shared" si="259"/>
        <v>0</v>
      </c>
      <c r="V452" s="34"/>
      <c r="W452" s="16"/>
      <c r="X452" s="16"/>
      <c r="Y452" s="17"/>
      <c r="Z452" s="18">
        <f t="shared" si="260"/>
        <v>0</v>
      </c>
      <c r="AA452" s="34"/>
      <c r="AB452" s="16"/>
      <c r="AC452" s="16"/>
      <c r="AD452" s="17"/>
      <c r="AE452" s="18">
        <f t="shared" si="261"/>
        <v>0</v>
      </c>
      <c r="AF452" s="34"/>
      <c r="AG452" s="16"/>
      <c r="AH452" s="16"/>
      <c r="AI452" s="17"/>
      <c r="AJ452" s="18">
        <f t="shared" si="262"/>
        <v>0</v>
      </c>
      <c r="AK452" s="34"/>
      <c r="AL452" s="16"/>
      <c r="AM452" s="16"/>
      <c r="AN452" s="17"/>
      <c r="AO452" s="18">
        <f t="shared" si="263"/>
        <v>0</v>
      </c>
      <c r="AP452" s="34">
        <v>1</v>
      </c>
      <c r="AQ452" s="16"/>
      <c r="AR452" s="16"/>
      <c r="AS452" s="17"/>
      <c r="AT452" s="18">
        <f t="shared" si="264"/>
        <v>1</v>
      </c>
      <c r="AU452" s="34">
        <v>637</v>
      </c>
      <c r="AV452" s="16"/>
      <c r="AW452" s="16"/>
      <c r="AX452" s="17"/>
      <c r="AY452" s="18">
        <f t="shared" si="265"/>
        <v>637</v>
      </c>
      <c r="AZ452" s="34">
        <v>2295</v>
      </c>
      <c r="BA452" s="16"/>
      <c r="BB452" s="16"/>
      <c r="BC452" s="17"/>
      <c r="BD452" s="18">
        <f t="shared" si="266"/>
        <v>2295</v>
      </c>
      <c r="BE452" s="34">
        <v>1218</v>
      </c>
      <c r="BF452" s="16"/>
      <c r="BG452" s="16"/>
      <c r="BH452" s="17"/>
      <c r="BI452" s="18">
        <f t="shared" si="267"/>
        <v>1218</v>
      </c>
      <c r="BJ452" s="34"/>
      <c r="BK452" s="16"/>
      <c r="BL452" s="16"/>
      <c r="BM452" s="17"/>
      <c r="BN452" s="18">
        <f t="shared" si="268"/>
        <v>0</v>
      </c>
      <c r="BO452" s="70">
        <f>SUM(G452,L452,Q452,V452,AA452,AF452,AK452,AP452,AU452,AZ452,BE452,BJ452)</f>
        <v>4151</v>
      </c>
      <c r="BP452" s="16">
        <f>SUM(H452,M452,R452,W452,AB452,AG452,AL452,AQ452,AV452,BA452,BF452,BK452)</f>
        <v>0</v>
      </c>
      <c r="BQ452" s="16">
        <f>SUM(I452,N452,S452,X452,AC452,AH452,AM452,AR452,AW452,BB452,BG452,BL452)</f>
        <v>0</v>
      </c>
      <c r="BR452" s="17">
        <f>SUM(J452,O452,T452,Y452,AD452,AI452,AN452,AS452,AX452,BC452,BH452,BM452)</f>
        <v>0</v>
      </c>
      <c r="BS452" s="35">
        <f t="shared" si="270"/>
        <v>4151</v>
      </c>
    </row>
    <row r="453" spans="2:71" x14ac:dyDescent="0.3">
      <c r="B453" s="254"/>
      <c r="C453" s="204"/>
      <c r="D453" s="200"/>
      <c r="E453" s="201"/>
      <c r="F453" s="123" t="s">
        <v>372</v>
      </c>
      <c r="G453" s="34"/>
      <c r="H453" s="16"/>
      <c r="I453" s="16"/>
      <c r="J453" s="17"/>
      <c r="K453" s="18">
        <f t="shared" si="216"/>
        <v>0</v>
      </c>
      <c r="L453" s="34"/>
      <c r="M453" s="16"/>
      <c r="N453" s="16"/>
      <c r="O453" s="17"/>
      <c r="P453" s="18">
        <f t="shared" ref="P453:P509" si="299">SUM(L453:O453)</f>
        <v>0</v>
      </c>
      <c r="Q453" s="34"/>
      <c r="R453" s="16"/>
      <c r="S453" s="16"/>
      <c r="T453" s="17"/>
      <c r="U453" s="18">
        <f t="shared" ref="U453:U509" si="300">SUM(Q453:T453)</f>
        <v>0</v>
      </c>
      <c r="V453" s="34"/>
      <c r="W453" s="16"/>
      <c r="X453" s="16"/>
      <c r="Y453" s="17"/>
      <c r="Z453" s="18">
        <f t="shared" ref="Z453:Z509" si="301">SUM(V453:Y453)</f>
        <v>0</v>
      </c>
      <c r="AA453" s="34"/>
      <c r="AB453" s="16"/>
      <c r="AC453" s="16"/>
      <c r="AD453" s="17"/>
      <c r="AE453" s="18">
        <f t="shared" ref="AE453:AE509" si="302">SUM(AA453:AD453)</f>
        <v>0</v>
      </c>
      <c r="AF453" s="34"/>
      <c r="AG453" s="16"/>
      <c r="AH453" s="16"/>
      <c r="AI453" s="17"/>
      <c r="AJ453" s="18">
        <f t="shared" ref="AJ453:AJ509" si="303">SUM(AF453:AI453)</f>
        <v>0</v>
      </c>
      <c r="AK453" s="34"/>
      <c r="AL453" s="16"/>
      <c r="AM453" s="16"/>
      <c r="AN453" s="17"/>
      <c r="AO453" s="18">
        <f t="shared" ref="AO453:AO509" si="304">SUM(AK453:AN453)</f>
        <v>0</v>
      </c>
      <c r="AP453" s="34">
        <v>6</v>
      </c>
      <c r="AQ453" s="16"/>
      <c r="AR453" s="16"/>
      <c r="AS453" s="17"/>
      <c r="AT453" s="18">
        <f t="shared" ref="AT453:AT509" si="305">SUM(AP453:AS453)</f>
        <v>6</v>
      </c>
      <c r="AU453" s="34">
        <v>502</v>
      </c>
      <c r="AV453" s="16"/>
      <c r="AW453" s="16"/>
      <c r="AX453" s="17"/>
      <c r="AY453" s="18">
        <f t="shared" ref="AY453:AY509" si="306">SUM(AU453:AX453)</f>
        <v>502</v>
      </c>
      <c r="AZ453" s="34">
        <v>1128</v>
      </c>
      <c r="BA453" s="16"/>
      <c r="BB453" s="16"/>
      <c r="BC453" s="17"/>
      <c r="BD453" s="18">
        <f t="shared" ref="BD453:BD509" si="307">SUM(AZ453:BC453)</f>
        <v>1128</v>
      </c>
      <c r="BE453" s="34">
        <v>803</v>
      </c>
      <c r="BF453" s="16"/>
      <c r="BG453" s="16"/>
      <c r="BH453" s="17"/>
      <c r="BI453" s="18">
        <f t="shared" ref="BI453:BI509" si="308">SUM(BE453:BH453)</f>
        <v>803</v>
      </c>
      <c r="BJ453" s="34"/>
      <c r="BK453" s="16"/>
      <c r="BL453" s="16"/>
      <c r="BM453" s="17"/>
      <c r="BN453" s="18">
        <f t="shared" ref="BN453:BN509" si="309">SUM(BJ453:BM453)</f>
        <v>0</v>
      </c>
      <c r="BO453" s="70">
        <f>SUM(G453,L453,Q453,V453,AA453,AF453,AK453,AP453,AU453,AZ453,BE453,BJ453)</f>
        <v>2439</v>
      </c>
      <c r="BP453" s="16">
        <f>SUM(H453,M453,R453,W453,AB453,AG453,AL453,AQ453,AV453,BA453,BF453,BK453)</f>
        <v>0</v>
      </c>
      <c r="BQ453" s="16">
        <f>SUM(I453,N453,S453,X453,AC453,AH453,AM453,AR453,AW453,BB453,BG453,BL453)</f>
        <v>0</v>
      </c>
      <c r="BR453" s="17">
        <f>SUM(J453,O453,T453,Y453,AD453,AI453,AN453,AS453,AX453,BC453,BH453,BM453)</f>
        <v>0</v>
      </c>
      <c r="BS453" s="35">
        <f t="shared" si="270"/>
        <v>2439</v>
      </c>
    </row>
    <row r="454" spans="2:71" x14ac:dyDescent="0.3">
      <c r="B454" s="254"/>
      <c r="C454" s="204"/>
      <c r="D454" s="200"/>
      <c r="E454" s="201"/>
      <c r="F454" s="123" t="s">
        <v>375</v>
      </c>
      <c r="G454" s="34"/>
      <c r="H454" s="16"/>
      <c r="I454" s="16"/>
      <c r="J454" s="17"/>
      <c r="K454" s="18">
        <f t="shared" si="216"/>
        <v>0</v>
      </c>
      <c r="L454" s="34"/>
      <c r="M454" s="16"/>
      <c r="N454" s="16"/>
      <c r="O454" s="17"/>
      <c r="P454" s="18">
        <f t="shared" si="299"/>
        <v>0</v>
      </c>
      <c r="Q454" s="34"/>
      <c r="R454" s="16"/>
      <c r="S454" s="16"/>
      <c r="T454" s="17"/>
      <c r="U454" s="18">
        <f t="shared" si="300"/>
        <v>0</v>
      </c>
      <c r="V454" s="34"/>
      <c r="W454" s="16"/>
      <c r="X454" s="16"/>
      <c r="Y454" s="17"/>
      <c r="Z454" s="18">
        <f t="shared" si="301"/>
        <v>0</v>
      </c>
      <c r="AA454" s="34"/>
      <c r="AB454" s="16"/>
      <c r="AC454" s="16"/>
      <c r="AD454" s="17"/>
      <c r="AE454" s="18">
        <f t="shared" si="302"/>
        <v>0</v>
      </c>
      <c r="AF454" s="34"/>
      <c r="AG454" s="16"/>
      <c r="AH454" s="16"/>
      <c r="AI454" s="17"/>
      <c r="AJ454" s="18">
        <f t="shared" si="303"/>
        <v>0</v>
      </c>
      <c r="AK454" s="34"/>
      <c r="AL454" s="16"/>
      <c r="AM454" s="16"/>
      <c r="AN454" s="17"/>
      <c r="AO454" s="18">
        <f t="shared" si="304"/>
        <v>0</v>
      </c>
      <c r="AP454" s="34">
        <v>8</v>
      </c>
      <c r="AQ454" s="16"/>
      <c r="AR454" s="16"/>
      <c r="AS454" s="17"/>
      <c r="AT454" s="18">
        <f t="shared" si="305"/>
        <v>8</v>
      </c>
      <c r="AU454" s="34">
        <v>278</v>
      </c>
      <c r="AV454" s="16"/>
      <c r="AW454" s="16"/>
      <c r="AX454" s="17"/>
      <c r="AY454" s="18">
        <f t="shared" si="306"/>
        <v>278</v>
      </c>
      <c r="AZ454" s="34">
        <v>621</v>
      </c>
      <c r="BA454" s="16"/>
      <c r="BB454" s="16"/>
      <c r="BC454" s="17"/>
      <c r="BD454" s="18">
        <f t="shared" si="307"/>
        <v>621</v>
      </c>
      <c r="BE454" s="34">
        <v>262</v>
      </c>
      <c r="BF454" s="16"/>
      <c r="BG454" s="16"/>
      <c r="BH454" s="17"/>
      <c r="BI454" s="18">
        <f t="shared" si="308"/>
        <v>262</v>
      </c>
      <c r="BJ454" s="34"/>
      <c r="BK454" s="16"/>
      <c r="BL454" s="16"/>
      <c r="BM454" s="17"/>
      <c r="BN454" s="18">
        <f t="shared" si="309"/>
        <v>0</v>
      </c>
      <c r="BO454" s="70">
        <f>SUM(G454,L454,Q454,V454,AA454,AF454,AK454,AP454,AU454,AZ454,BE454,BJ454)</f>
        <v>1169</v>
      </c>
      <c r="BP454" s="16">
        <f>SUM(H454,M454,R454,W454,AB454,AG454,AL454,AQ454,AV454,BA454,BF454,BK454)</f>
        <v>0</v>
      </c>
      <c r="BQ454" s="16">
        <f>SUM(I454,N454,S454,X454,AC454,AH454,AM454,AR454,AW454,BB454,BG454,BL454)</f>
        <v>0</v>
      </c>
      <c r="BR454" s="17">
        <f>SUM(J454,O454,T454,Y454,AD454,AI454,AN454,AS454,AX454,BC454,BH454,BM454)</f>
        <v>0</v>
      </c>
      <c r="BS454" s="35">
        <f t="shared" si="270"/>
        <v>1169</v>
      </c>
    </row>
    <row r="455" spans="2:71" x14ac:dyDescent="0.3">
      <c r="B455" s="254"/>
      <c r="C455" s="204"/>
      <c r="D455" s="200"/>
      <c r="E455" s="201"/>
      <c r="F455" s="123" t="s">
        <v>404</v>
      </c>
      <c r="G455" s="34"/>
      <c r="H455" s="16"/>
      <c r="I455" s="16"/>
      <c r="J455" s="17"/>
      <c r="K455" s="18">
        <f t="shared" si="216"/>
        <v>0</v>
      </c>
      <c r="L455" s="34"/>
      <c r="M455" s="16"/>
      <c r="N455" s="16"/>
      <c r="O455" s="17"/>
      <c r="P455" s="18">
        <f t="shared" si="299"/>
        <v>0</v>
      </c>
      <c r="Q455" s="34"/>
      <c r="R455" s="16"/>
      <c r="S455" s="16"/>
      <c r="T455" s="17"/>
      <c r="U455" s="18">
        <f t="shared" si="300"/>
        <v>0</v>
      </c>
      <c r="V455" s="34"/>
      <c r="W455" s="16"/>
      <c r="X455" s="16"/>
      <c r="Y455" s="17"/>
      <c r="Z455" s="18">
        <f t="shared" si="301"/>
        <v>0</v>
      </c>
      <c r="AA455" s="34"/>
      <c r="AB455" s="16"/>
      <c r="AC455" s="16"/>
      <c r="AD455" s="17"/>
      <c r="AE455" s="18">
        <f t="shared" si="302"/>
        <v>0</v>
      </c>
      <c r="AF455" s="34"/>
      <c r="AG455" s="16"/>
      <c r="AH455" s="16"/>
      <c r="AI455" s="17"/>
      <c r="AJ455" s="18">
        <f t="shared" si="303"/>
        <v>0</v>
      </c>
      <c r="AK455" s="34"/>
      <c r="AL455" s="16"/>
      <c r="AM455" s="16"/>
      <c r="AN455" s="17"/>
      <c r="AO455" s="18">
        <f t="shared" si="304"/>
        <v>0</v>
      </c>
      <c r="AP455" s="34"/>
      <c r="AQ455" s="16"/>
      <c r="AR455" s="16"/>
      <c r="AS455" s="17"/>
      <c r="AT455" s="18">
        <f t="shared" si="305"/>
        <v>0</v>
      </c>
      <c r="AU455" s="34"/>
      <c r="AV455" s="16"/>
      <c r="AW455" s="16"/>
      <c r="AX455" s="17"/>
      <c r="AY455" s="18">
        <f t="shared" si="306"/>
        <v>0</v>
      </c>
      <c r="AZ455" s="34"/>
      <c r="BA455" s="16"/>
      <c r="BB455" s="16"/>
      <c r="BC455" s="17"/>
      <c r="BD455" s="18">
        <f t="shared" si="307"/>
        <v>0</v>
      </c>
      <c r="BE455" s="34">
        <v>16</v>
      </c>
      <c r="BF455" s="16"/>
      <c r="BG455" s="16"/>
      <c r="BH455" s="17"/>
      <c r="BI455" s="18">
        <f t="shared" si="308"/>
        <v>16</v>
      </c>
      <c r="BJ455" s="34">
        <v>184</v>
      </c>
      <c r="BK455" s="16"/>
      <c r="BL455" s="16"/>
      <c r="BM455" s="17"/>
      <c r="BN455" s="18">
        <f t="shared" si="309"/>
        <v>184</v>
      </c>
      <c r="BO455" s="70">
        <f>SUM(G455,L455,Q455,V455,AA455,AF455,AK455,AP455,AU455,AZ455,BE455,BJ455)</f>
        <v>200</v>
      </c>
      <c r="BP455" s="16">
        <f>SUM(H455,M455,R455,W455,AB455,AG455,AL455,AQ455,AV455,BA455,BF455,BK455)</f>
        <v>0</v>
      </c>
      <c r="BQ455" s="16">
        <f>SUM(I455,N455,S455,X455,AC455,AH455,AM455,AR455,AW455,BB455,BG455,BL455)</f>
        <v>0</v>
      </c>
      <c r="BR455" s="17">
        <f>SUM(J455,O455,T455,Y455,AD455,AI455,AN455,AS455,AX455,BC455,BH455,BM455)</f>
        <v>0</v>
      </c>
      <c r="BS455" s="35">
        <f t="shared" si="270"/>
        <v>200</v>
      </c>
    </row>
    <row r="456" spans="2:71" x14ac:dyDescent="0.3">
      <c r="B456" s="254"/>
      <c r="C456" s="204"/>
      <c r="D456" s="200"/>
      <c r="E456" s="201"/>
      <c r="F456" s="123" t="s">
        <v>405</v>
      </c>
      <c r="G456" s="34"/>
      <c r="H456" s="16"/>
      <c r="I456" s="16"/>
      <c r="J456" s="17"/>
      <c r="K456" s="18">
        <f t="shared" si="216"/>
        <v>0</v>
      </c>
      <c r="L456" s="34"/>
      <c r="M456" s="16"/>
      <c r="N456" s="16"/>
      <c r="O456" s="17"/>
      <c r="P456" s="18">
        <f t="shared" si="299"/>
        <v>0</v>
      </c>
      <c r="Q456" s="34"/>
      <c r="R456" s="16"/>
      <c r="S456" s="16"/>
      <c r="T456" s="17"/>
      <c r="U456" s="18">
        <f t="shared" si="300"/>
        <v>0</v>
      </c>
      <c r="V456" s="34"/>
      <c r="W456" s="16"/>
      <c r="X456" s="16"/>
      <c r="Y456" s="17"/>
      <c r="Z456" s="18">
        <f t="shared" si="301"/>
        <v>0</v>
      </c>
      <c r="AA456" s="34"/>
      <c r="AB456" s="16"/>
      <c r="AC456" s="16"/>
      <c r="AD456" s="17"/>
      <c r="AE456" s="18">
        <f t="shared" si="302"/>
        <v>0</v>
      </c>
      <c r="AF456" s="34"/>
      <c r="AG456" s="16"/>
      <c r="AH456" s="16"/>
      <c r="AI456" s="17"/>
      <c r="AJ456" s="18">
        <f t="shared" si="303"/>
        <v>0</v>
      </c>
      <c r="AK456" s="34"/>
      <c r="AL456" s="16"/>
      <c r="AM456" s="16"/>
      <c r="AN456" s="17"/>
      <c r="AO456" s="18">
        <f t="shared" si="304"/>
        <v>0</v>
      </c>
      <c r="AP456" s="34"/>
      <c r="AQ456" s="16"/>
      <c r="AR456" s="16"/>
      <c r="AS456" s="17"/>
      <c r="AT456" s="18">
        <f t="shared" si="305"/>
        <v>0</v>
      </c>
      <c r="AU456" s="34"/>
      <c r="AV456" s="16"/>
      <c r="AW456" s="16"/>
      <c r="AX456" s="17"/>
      <c r="AY456" s="18">
        <f t="shared" si="306"/>
        <v>0</v>
      </c>
      <c r="AZ456" s="34"/>
      <c r="BA456" s="16"/>
      <c r="BB456" s="16"/>
      <c r="BC456" s="17"/>
      <c r="BD456" s="18">
        <f t="shared" si="307"/>
        <v>0</v>
      </c>
      <c r="BE456" s="34">
        <v>2</v>
      </c>
      <c r="BF456" s="16"/>
      <c r="BG456" s="16"/>
      <c r="BH456" s="17"/>
      <c r="BI456" s="18">
        <f t="shared" si="308"/>
        <v>2</v>
      </c>
      <c r="BJ456" s="34">
        <v>94</v>
      </c>
      <c r="BK456" s="16"/>
      <c r="BL456" s="16"/>
      <c r="BM456" s="17"/>
      <c r="BN456" s="18">
        <f t="shared" si="309"/>
        <v>94</v>
      </c>
      <c r="BO456" s="70">
        <f>SUM(G456,L456,Q456,V456,AA456,AF456,AK456,AP456,AU456,AZ456,BE456,BJ456)</f>
        <v>96</v>
      </c>
      <c r="BP456" s="16">
        <f>SUM(H456,M456,R456,W456,AB456,AG456,AL456,AQ456,AV456,BA456,BF456,BK456)</f>
        <v>0</v>
      </c>
      <c r="BQ456" s="16">
        <f>SUM(I456,N456,S456,X456,AC456,AH456,AM456,AR456,AW456,BB456,BG456,BL456)</f>
        <v>0</v>
      </c>
      <c r="BR456" s="17">
        <f>SUM(J456,O456,T456,Y456,AD456,AI456,AN456,AS456,AX456,BC456,BH456,BM456)</f>
        <v>0</v>
      </c>
      <c r="BS456" s="35">
        <f t="shared" si="270"/>
        <v>96</v>
      </c>
    </row>
    <row r="457" spans="2:71" x14ac:dyDescent="0.3">
      <c r="B457" s="254"/>
      <c r="C457" s="204"/>
      <c r="D457" s="200"/>
      <c r="E457" s="201"/>
      <c r="F457" s="123" t="s">
        <v>830</v>
      </c>
      <c r="G457" s="34"/>
      <c r="H457" s="16"/>
      <c r="I457" s="16"/>
      <c r="J457" s="17"/>
      <c r="K457" s="18">
        <f t="shared" si="216"/>
        <v>0</v>
      </c>
      <c r="L457" s="34"/>
      <c r="M457" s="16"/>
      <c r="N457" s="16"/>
      <c r="O457" s="17"/>
      <c r="P457" s="18">
        <f t="shared" si="299"/>
        <v>0</v>
      </c>
      <c r="Q457" s="34"/>
      <c r="R457" s="16"/>
      <c r="S457" s="16"/>
      <c r="T457" s="17"/>
      <c r="U457" s="18">
        <f t="shared" si="300"/>
        <v>0</v>
      </c>
      <c r="V457" s="34"/>
      <c r="W457" s="16"/>
      <c r="X457" s="16"/>
      <c r="Y457" s="17"/>
      <c r="Z457" s="18">
        <f t="shared" si="301"/>
        <v>0</v>
      </c>
      <c r="AA457" s="34"/>
      <c r="AB457" s="16"/>
      <c r="AC457" s="16"/>
      <c r="AD457" s="17"/>
      <c r="AE457" s="18">
        <f t="shared" si="302"/>
        <v>0</v>
      </c>
      <c r="AF457" s="34"/>
      <c r="AG457" s="16"/>
      <c r="AH457" s="16"/>
      <c r="AI457" s="17"/>
      <c r="AJ457" s="18">
        <f t="shared" si="303"/>
        <v>0</v>
      </c>
      <c r="AK457" s="34"/>
      <c r="AL457" s="16"/>
      <c r="AM457" s="16"/>
      <c r="AN457" s="17"/>
      <c r="AO457" s="18">
        <f t="shared" si="304"/>
        <v>0</v>
      </c>
      <c r="AP457" s="34"/>
      <c r="AQ457" s="16"/>
      <c r="AR457" s="16"/>
      <c r="AS457" s="17"/>
      <c r="AT457" s="18">
        <f t="shared" si="305"/>
        <v>0</v>
      </c>
      <c r="AU457" s="34"/>
      <c r="AV457" s="16"/>
      <c r="AW457" s="16"/>
      <c r="AX457" s="17"/>
      <c r="AY457" s="18">
        <f t="shared" si="306"/>
        <v>0</v>
      </c>
      <c r="AZ457" s="34"/>
      <c r="BA457" s="16"/>
      <c r="BB457" s="16"/>
      <c r="BC457" s="17"/>
      <c r="BD457" s="18">
        <f t="shared" si="307"/>
        <v>0</v>
      </c>
      <c r="BE457" s="34">
        <v>15</v>
      </c>
      <c r="BF457" s="16"/>
      <c r="BG457" s="16"/>
      <c r="BH457" s="17"/>
      <c r="BI457" s="18">
        <f t="shared" si="308"/>
        <v>15</v>
      </c>
      <c r="BJ457" s="34">
        <v>195</v>
      </c>
      <c r="BK457" s="16"/>
      <c r="BL457" s="16"/>
      <c r="BM457" s="17"/>
      <c r="BN457" s="18">
        <f t="shared" si="309"/>
        <v>195</v>
      </c>
      <c r="BO457" s="70">
        <f>SUM(G457,L457,Q457,V457,AA457,AF457,AK457,AP457,AU457,AZ457,BE457,BJ457)</f>
        <v>210</v>
      </c>
      <c r="BP457" s="16">
        <f>SUM(H457,M457,R457,W457,AB457,AG457,AL457,AQ457,AV457,BA457,BF457,BK457)</f>
        <v>0</v>
      </c>
      <c r="BQ457" s="16">
        <f>SUM(I457,N457,S457,X457,AC457,AH457,AM457,AR457,AW457,BB457,BG457,BL457)</f>
        <v>0</v>
      </c>
      <c r="BR457" s="17">
        <f>SUM(J457,O457,T457,Y457,AD457,AI457,AN457,AS457,AX457,BC457,BH457,BM457)</f>
        <v>0</v>
      </c>
      <c r="BS457" s="35">
        <f t="shared" si="270"/>
        <v>210</v>
      </c>
    </row>
    <row r="458" spans="2:71" x14ac:dyDescent="0.3">
      <c r="B458" s="254"/>
      <c r="C458" s="204"/>
      <c r="D458" s="200"/>
      <c r="E458" s="201"/>
      <c r="F458" s="123" t="s">
        <v>271</v>
      </c>
      <c r="G458" s="34"/>
      <c r="H458" s="16"/>
      <c r="I458" s="16"/>
      <c r="J458" s="17"/>
      <c r="K458" s="18">
        <f t="shared" si="216"/>
        <v>0</v>
      </c>
      <c r="L458" s="34"/>
      <c r="M458" s="16"/>
      <c r="N458" s="16"/>
      <c r="O458" s="17"/>
      <c r="P458" s="18">
        <f t="shared" si="299"/>
        <v>0</v>
      </c>
      <c r="Q458" s="34"/>
      <c r="R458" s="16"/>
      <c r="S458" s="16"/>
      <c r="T458" s="17"/>
      <c r="U458" s="18">
        <f t="shared" si="300"/>
        <v>0</v>
      </c>
      <c r="V458" s="34">
        <v>3191</v>
      </c>
      <c r="W458" s="16"/>
      <c r="X458" s="16"/>
      <c r="Y458" s="17"/>
      <c r="Z458" s="18">
        <f t="shared" si="301"/>
        <v>3191</v>
      </c>
      <c r="AA458" s="34">
        <v>331</v>
      </c>
      <c r="AB458" s="16"/>
      <c r="AC458" s="16"/>
      <c r="AD458" s="17"/>
      <c r="AE458" s="18">
        <f t="shared" si="302"/>
        <v>331</v>
      </c>
      <c r="AF458" s="34"/>
      <c r="AG458" s="16"/>
      <c r="AH458" s="16"/>
      <c r="AI458" s="17"/>
      <c r="AJ458" s="18">
        <f t="shared" si="303"/>
        <v>0</v>
      </c>
      <c r="AK458" s="34"/>
      <c r="AL458" s="16"/>
      <c r="AM458" s="16"/>
      <c r="AN458" s="17"/>
      <c r="AO458" s="18">
        <f t="shared" si="304"/>
        <v>0</v>
      </c>
      <c r="AP458" s="34"/>
      <c r="AQ458" s="16"/>
      <c r="AR458" s="16"/>
      <c r="AS458" s="17"/>
      <c r="AT458" s="18">
        <f t="shared" si="305"/>
        <v>0</v>
      </c>
      <c r="AU458" s="34">
        <v>2955</v>
      </c>
      <c r="AV458" s="16"/>
      <c r="AW458" s="16"/>
      <c r="AX458" s="17"/>
      <c r="AY458" s="18">
        <f t="shared" si="306"/>
        <v>2955</v>
      </c>
      <c r="AZ458" s="34"/>
      <c r="BA458" s="16"/>
      <c r="BB458" s="16"/>
      <c r="BC458" s="17"/>
      <c r="BD458" s="18">
        <f t="shared" si="307"/>
        <v>0</v>
      </c>
      <c r="BE458" s="34"/>
      <c r="BF458" s="16"/>
      <c r="BG458" s="16"/>
      <c r="BH458" s="17"/>
      <c r="BI458" s="18">
        <f t="shared" si="308"/>
        <v>0</v>
      </c>
      <c r="BJ458" s="34"/>
      <c r="BK458" s="16"/>
      <c r="BL458" s="16"/>
      <c r="BM458" s="17"/>
      <c r="BN458" s="18">
        <f t="shared" si="309"/>
        <v>0</v>
      </c>
      <c r="BO458" s="70">
        <f>SUM(G458,L458,Q458,V458,AA458,AF458,AK458,AP458,AU458,AZ458,BE458,BJ458)</f>
        <v>6477</v>
      </c>
      <c r="BP458" s="16">
        <f>SUM(H458,M458,R458,W458,AB458,AG458,AL458,AQ458,AV458,BA458,BF458,BK458)</f>
        <v>0</v>
      </c>
      <c r="BQ458" s="16">
        <f>SUM(I458,N458,S458,X458,AC458,AH458,AM458,AR458,AW458,BB458,BG458,BL458)</f>
        <v>0</v>
      </c>
      <c r="BR458" s="17">
        <f>SUM(J458,O458,T458,Y458,AD458,AI458,AN458,AS458,AX458,BC458,BH458,BM458)</f>
        <v>0</v>
      </c>
      <c r="BS458" s="35">
        <f t="shared" si="270"/>
        <v>6477</v>
      </c>
    </row>
    <row r="459" spans="2:71" x14ac:dyDescent="0.3">
      <c r="B459" s="254"/>
      <c r="C459" s="204"/>
      <c r="D459" s="200"/>
      <c r="E459" s="201"/>
      <c r="F459" s="123" t="s">
        <v>831</v>
      </c>
      <c r="G459" s="34"/>
      <c r="H459" s="16"/>
      <c r="I459" s="16"/>
      <c r="J459" s="17"/>
      <c r="K459" s="18">
        <f t="shared" si="216"/>
        <v>0</v>
      </c>
      <c r="L459" s="34"/>
      <c r="M459" s="16"/>
      <c r="N459" s="16"/>
      <c r="O459" s="17"/>
      <c r="P459" s="18">
        <f t="shared" si="299"/>
        <v>0</v>
      </c>
      <c r="Q459" s="34"/>
      <c r="R459" s="16"/>
      <c r="S459" s="16"/>
      <c r="T459" s="17"/>
      <c r="U459" s="18">
        <f t="shared" si="300"/>
        <v>0</v>
      </c>
      <c r="V459" s="34"/>
      <c r="W459" s="16"/>
      <c r="X459" s="16"/>
      <c r="Y459" s="17"/>
      <c r="Z459" s="18">
        <f t="shared" si="301"/>
        <v>0</v>
      </c>
      <c r="AA459" s="34"/>
      <c r="AB459" s="16"/>
      <c r="AC459" s="16"/>
      <c r="AD459" s="17"/>
      <c r="AE459" s="18">
        <f t="shared" si="302"/>
        <v>0</v>
      </c>
      <c r="AF459" s="34">
        <v>4</v>
      </c>
      <c r="AG459" s="16"/>
      <c r="AH459" s="16"/>
      <c r="AI459" s="17"/>
      <c r="AJ459" s="18">
        <f t="shared" si="303"/>
        <v>4</v>
      </c>
      <c r="AK459" s="34">
        <v>3</v>
      </c>
      <c r="AL459" s="16"/>
      <c r="AM459" s="16"/>
      <c r="AN459" s="17"/>
      <c r="AO459" s="18">
        <f t="shared" si="304"/>
        <v>3</v>
      </c>
      <c r="AP459" s="34">
        <v>11</v>
      </c>
      <c r="AQ459" s="16"/>
      <c r="AR459" s="16"/>
      <c r="AS459" s="17"/>
      <c r="AT459" s="18">
        <f t="shared" si="305"/>
        <v>11</v>
      </c>
      <c r="AU459" s="34">
        <v>97</v>
      </c>
      <c r="AV459" s="16"/>
      <c r="AW459" s="16"/>
      <c r="AX459" s="17"/>
      <c r="AY459" s="18">
        <f t="shared" si="306"/>
        <v>97</v>
      </c>
      <c r="AZ459" s="34"/>
      <c r="BA459" s="16"/>
      <c r="BB459" s="16"/>
      <c r="BC459" s="17"/>
      <c r="BD459" s="18">
        <f t="shared" si="307"/>
        <v>0</v>
      </c>
      <c r="BE459" s="34"/>
      <c r="BF459" s="16"/>
      <c r="BG459" s="16"/>
      <c r="BH459" s="17"/>
      <c r="BI459" s="18">
        <f t="shared" si="308"/>
        <v>0</v>
      </c>
      <c r="BJ459" s="34"/>
      <c r="BK459" s="16"/>
      <c r="BL459" s="16"/>
      <c r="BM459" s="17"/>
      <c r="BN459" s="18">
        <f t="shared" si="309"/>
        <v>0</v>
      </c>
      <c r="BO459" s="70">
        <f>SUM(G459,L459,Q459,V459,AA459,AF459,AK459,AP459,AU459,AZ459,BE459,BJ459)</f>
        <v>115</v>
      </c>
      <c r="BP459" s="16">
        <f>SUM(H459,M459,R459,W459,AB459,AG459,AL459,AQ459,AV459,BA459,BF459,BK459)</f>
        <v>0</v>
      </c>
      <c r="BQ459" s="16">
        <f>SUM(I459,N459,S459,X459,AC459,AH459,AM459,AR459,AW459,BB459,BG459,BL459)</f>
        <v>0</v>
      </c>
      <c r="BR459" s="17">
        <f>SUM(J459,O459,T459,Y459,AD459,AI459,AN459,AS459,AX459,BC459,BH459,BM459)</f>
        <v>0</v>
      </c>
      <c r="BS459" s="35">
        <f t="shared" si="270"/>
        <v>115</v>
      </c>
    </row>
    <row r="460" spans="2:71" x14ac:dyDescent="0.3">
      <c r="B460" s="254"/>
      <c r="C460" s="204"/>
      <c r="D460" s="200"/>
      <c r="E460" s="201"/>
      <c r="F460" s="123" t="s">
        <v>232</v>
      </c>
      <c r="G460" s="34"/>
      <c r="H460" s="16"/>
      <c r="I460" s="16"/>
      <c r="J460" s="17"/>
      <c r="K460" s="18">
        <f t="shared" si="216"/>
        <v>0</v>
      </c>
      <c r="L460" s="34">
        <v>700</v>
      </c>
      <c r="M460" s="16"/>
      <c r="N460" s="16"/>
      <c r="O460" s="17"/>
      <c r="P460" s="18">
        <f t="shared" si="299"/>
        <v>700</v>
      </c>
      <c r="Q460" s="34">
        <v>1146</v>
      </c>
      <c r="R460" s="16"/>
      <c r="S460" s="16"/>
      <c r="T460" s="17"/>
      <c r="U460" s="18">
        <f t="shared" si="300"/>
        <v>1146</v>
      </c>
      <c r="V460" s="34">
        <v>40</v>
      </c>
      <c r="W460" s="16"/>
      <c r="X460" s="16"/>
      <c r="Y460" s="17"/>
      <c r="Z460" s="18">
        <f t="shared" si="301"/>
        <v>40</v>
      </c>
      <c r="AA460" s="34">
        <v>8</v>
      </c>
      <c r="AB460" s="16"/>
      <c r="AC460" s="16"/>
      <c r="AD460" s="17"/>
      <c r="AE460" s="18">
        <f t="shared" si="302"/>
        <v>8</v>
      </c>
      <c r="AF460" s="34">
        <v>50</v>
      </c>
      <c r="AG460" s="16"/>
      <c r="AH460" s="16"/>
      <c r="AI460" s="17"/>
      <c r="AJ460" s="18">
        <f t="shared" si="303"/>
        <v>50</v>
      </c>
      <c r="AK460" s="34"/>
      <c r="AL460" s="16"/>
      <c r="AM460" s="16"/>
      <c r="AN460" s="17"/>
      <c r="AO460" s="18">
        <f t="shared" si="304"/>
        <v>0</v>
      </c>
      <c r="AP460" s="34"/>
      <c r="AQ460" s="16"/>
      <c r="AR460" s="16"/>
      <c r="AS460" s="17"/>
      <c r="AT460" s="18">
        <f t="shared" si="305"/>
        <v>0</v>
      </c>
      <c r="AU460" s="34">
        <v>4558</v>
      </c>
      <c r="AV460" s="16"/>
      <c r="AW460" s="16"/>
      <c r="AX460" s="17"/>
      <c r="AY460" s="18">
        <f t="shared" si="306"/>
        <v>4558</v>
      </c>
      <c r="AZ460" s="34"/>
      <c r="BA460" s="16"/>
      <c r="BB460" s="16"/>
      <c r="BC460" s="17"/>
      <c r="BD460" s="18">
        <f t="shared" si="307"/>
        <v>0</v>
      </c>
      <c r="BE460" s="34"/>
      <c r="BF460" s="16"/>
      <c r="BG460" s="16"/>
      <c r="BH460" s="17"/>
      <c r="BI460" s="18">
        <f t="shared" si="308"/>
        <v>0</v>
      </c>
      <c r="BJ460" s="34"/>
      <c r="BK460" s="16"/>
      <c r="BL460" s="16"/>
      <c r="BM460" s="17"/>
      <c r="BN460" s="18">
        <f t="shared" si="309"/>
        <v>0</v>
      </c>
      <c r="BO460" s="70">
        <f>SUM(G460,L460,Q460,V460,AA460,AF460,AK460,AP460,AU460,AZ460,BE460,BJ460)</f>
        <v>6502</v>
      </c>
      <c r="BP460" s="16">
        <f>SUM(H460,M460,R460,W460,AB460,AG460,AL460,AQ460,AV460,BA460,BF460,BK460)</f>
        <v>0</v>
      </c>
      <c r="BQ460" s="16">
        <f>SUM(I460,N460,S460,X460,AC460,AH460,AM460,AR460,AW460,BB460,BG460,BL460)</f>
        <v>0</v>
      </c>
      <c r="BR460" s="17">
        <f>SUM(J460,O460,T460,Y460,AD460,AI460,AN460,AS460,AX460,BC460,BH460,BM460)</f>
        <v>0</v>
      </c>
      <c r="BS460" s="35">
        <f t="shared" si="270"/>
        <v>6502</v>
      </c>
    </row>
    <row r="461" spans="2:71" x14ac:dyDescent="0.3">
      <c r="B461" s="254"/>
      <c r="C461" s="204"/>
      <c r="D461" s="200"/>
      <c r="E461" s="201"/>
      <c r="F461" s="123" t="s">
        <v>233</v>
      </c>
      <c r="G461" s="34"/>
      <c r="H461" s="16"/>
      <c r="I461" s="16"/>
      <c r="J461" s="17"/>
      <c r="K461" s="18">
        <f t="shared" ref="K461:K509" si="310">SUM(G461:J461)</f>
        <v>0</v>
      </c>
      <c r="L461" s="34"/>
      <c r="M461" s="16"/>
      <c r="N461" s="16"/>
      <c r="O461" s="17"/>
      <c r="P461" s="18">
        <f t="shared" si="299"/>
        <v>0</v>
      </c>
      <c r="Q461" s="34"/>
      <c r="R461" s="16"/>
      <c r="S461" s="16"/>
      <c r="T461" s="17"/>
      <c r="U461" s="18">
        <f t="shared" si="300"/>
        <v>0</v>
      </c>
      <c r="V461" s="34"/>
      <c r="W461" s="16"/>
      <c r="X461" s="16"/>
      <c r="Y461" s="17"/>
      <c r="Z461" s="18">
        <f t="shared" si="301"/>
        <v>0</v>
      </c>
      <c r="AA461" s="34">
        <v>400</v>
      </c>
      <c r="AB461" s="16"/>
      <c r="AC461" s="16"/>
      <c r="AD461" s="17"/>
      <c r="AE461" s="18">
        <f t="shared" si="302"/>
        <v>400</v>
      </c>
      <c r="AF461" s="34"/>
      <c r="AG461" s="16"/>
      <c r="AH461" s="16"/>
      <c r="AI461" s="17"/>
      <c r="AJ461" s="18">
        <f t="shared" si="303"/>
        <v>0</v>
      </c>
      <c r="AK461" s="34"/>
      <c r="AL461" s="16"/>
      <c r="AM461" s="16"/>
      <c r="AN461" s="17"/>
      <c r="AO461" s="18">
        <f t="shared" si="304"/>
        <v>0</v>
      </c>
      <c r="AP461" s="34">
        <v>600</v>
      </c>
      <c r="AQ461" s="16"/>
      <c r="AR461" s="16"/>
      <c r="AS461" s="17"/>
      <c r="AT461" s="18">
        <f t="shared" si="305"/>
        <v>600</v>
      </c>
      <c r="AU461" s="34">
        <v>70</v>
      </c>
      <c r="AV461" s="16"/>
      <c r="AW461" s="16"/>
      <c r="AX461" s="17"/>
      <c r="AY461" s="18">
        <f t="shared" si="306"/>
        <v>70</v>
      </c>
      <c r="AZ461" s="34"/>
      <c r="BA461" s="16"/>
      <c r="BB461" s="16"/>
      <c r="BC461" s="17"/>
      <c r="BD461" s="18">
        <f t="shared" si="307"/>
        <v>0</v>
      </c>
      <c r="BE461" s="34">
        <v>300</v>
      </c>
      <c r="BF461" s="16"/>
      <c r="BG461" s="16"/>
      <c r="BH461" s="17"/>
      <c r="BI461" s="18">
        <f t="shared" si="308"/>
        <v>300</v>
      </c>
      <c r="BJ461" s="34"/>
      <c r="BK461" s="16"/>
      <c r="BL461" s="16"/>
      <c r="BM461" s="17"/>
      <c r="BN461" s="18">
        <f t="shared" si="309"/>
        <v>0</v>
      </c>
      <c r="BO461" s="70">
        <f>SUM(G461,L461,Q461,V461,AA461,AF461,AK461,AP461,AU461,AZ461,BE461,BJ461)</f>
        <v>1370</v>
      </c>
      <c r="BP461" s="16">
        <f>SUM(H461,M461,R461,W461,AB461,AG461,AL461,AQ461,AV461,BA461,BF461,BK461)</f>
        <v>0</v>
      </c>
      <c r="BQ461" s="16">
        <f>SUM(I461,N461,S461,X461,AC461,AH461,AM461,AR461,AW461,BB461,BG461,BL461)</f>
        <v>0</v>
      </c>
      <c r="BR461" s="17">
        <f>SUM(J461,O461,T461,Y461,AD461,AI461,AN461,AS461,AX461,BC461,BH461,BM461)</f>
        <v>0</v>
      </c>
      <c r="BS461" s="35">
        <f t="shared" si="270"/>
        <v>1370</v>
      </c>
    </row>
    <row r="462" spans="2:71" x14ac:dyDescent="0.3">
      <c r="B462" s="254"/>
      <c r="C462" s="204"/>
      <c r="D462" s="200"/>
      <c r="E462" s="201"/>
      <c r="F462" s="123" t="s">
        <v>234</v>
      </c>
      <c r="G462" s="34"/>
      <c r="H462" s="16"/>
      <c r="I462" s="16"/>
      <c r="J462" s="17"/>
      <c r="K462" s="18">
        <f t="shared" si="310"/>
        <v>0</v>
      </c>
      <c r="L462" s="34">
        <v>100</v>
      </c>
      <c r="M462" s="16"/>
      <c r="N462" s="16"/>
      <c r="O462" s="17"/>
      <c r="P462" s="18">
        <f t="shared" si="299"/>
        <v>100</v>
      </c>
      <c r="Q462" s="34"/>
      <c r="R462" s="16"/>
      <c r="S462" s="16"/>
      <c r="T462" s="17"/>
      <c r="U462" s="18">
        <f t="shared" si="300"/>
        <v>0</v>
      </c>
      <c r="V462" s="34">
        <v>200</v>
      </c>
      <c r="W462" s="16"/>
      <c r="X462" s="16"/>
      <c r="Y462" s="17"/>
      <c r="Z462" s="18">
        <f t="shared" si="301"/>
        <v>200</v>
      </c>
      <c r="AA462" s="34">
        <v>260</v>
      </c>
      <c r="AB462" s="16"/>
      <c r="AC462" s="16"/>
      <c r="AD462" s="17"/>
      <c r="AE462" s="18">
        <f t="shared" si="302"/>
        <v>260</v>
      </c>
      <c r="AF462" s="34">
        <v>14305</v>
      </c>
      <c r="AG462" s="16"/>
      <c r="AH462" s="16"/>
      <c r="AI462" s="17"/>
      <c r="AJ462" s="18">
        <f t="shared" si="303"/>
        <v>14305</v>
      </c>
      <c r="AK462" s="34">
        <v>23</v>
      </c>
      <c r="AL462" s="16"/>
      <c r="AM462" s="16"/>
      <c r="AN462" s="17"/>
      <c r="AO462" s="18">
        <f t="shared" si="304"/>
        <v>23</v>
      </c>
      <c r="AP462" s="34"/>
      <c r="AQ462" s="16"/>
      <c r="AR462" s="16"/>
      <c r="AS462" s="17"/>
      <c r="AT462" s="18">
        <f t="shared" si="305"/>
        <v>0</v>
      </c>
      <c r="AU462" s="34">
        <v>117</v>
      </c>
      <c r="AV462" s="16"/>
      <c r="AW462" s="16"/>
      <c r="AX462" s="17"/>
      <c r="AY462" s="18">
        <f t="shared" si="306"/>
        <v>117</v>
      </c>
      <c r="AZ462" s="34"/>
      <c r="BA462" s="16"/>
      <c r="BB462" s="16"/>
      <c r="BC462" s="17"/>
      <c r="BD462" s="18">
        <f t="shared" si="307"/>
        <v>0</v>
      </c>
      <c r="BE462" s="34"/>
      <c r="BF462" s="16"/>
      <c r="BG462" s="16"/>
      <c r="BH462" s="17"/>
      <c r="BI462" s="18">
        <f t="shared" si="308"/>
        <v>0</v>
      </c>
      <c r="BJ462" s="34"/>
      <c r="BK462" s="16"/>
      <c r="BL462" s="16"/>
      <c r="BM462" s="17"/>
      <c r="BN462" s="18">
        <f t="shared" si="309"/>
        <v>0</v>
      </c>
      <c r="BO462" s="70">
        <f>SUM(G462,L462,Q462,V462,AA462,AF462,AK462,AP462,AU462,AZ462,BE462,BJ462)</f>
        <v>15005</v>
      </c>
      <c r="BP462" s="16">
        <f>SUM(H462,M462,R462,W462,AB462,AG462,AL462,AQ462,AV462,BA462,BF462,BK462)</f>
        <v>0</v>
      </c>
      <c r="BQ462" s="16">
        <f>SUM(I462,N462,S462,X462,AC462,AH462,AM462,AR462,AW462,BB462,BG462,BL462)</f>
        <v>0</v>
      </c>
      <c r="BR462" s="17">
        <f>SUM(J462,O462,T462,Y462,AD462,AI462,AN462,AS462,AX462,BC462,BH462,BM462)</f>
        <v>0</v>
      </c>
      <c r="BS462" s="35">
        <f t="shared" si="270"/>
        <v>15005</v>
      </c>
    </row>
    <row r="463" spans="2:71" x14ac:dyDescent="0.3">
      <c r="B463" s="254"/>
      <c r="C463" s="204"/>
      <c r="D463" s="200"/>
      <c r="E463" s="201"/>
      <c r="F463" s="123" t="s">
        <v>235</v>
      </c>
      <c r="G463" s="34"/>
      <c r="H463" s="16"/>
      <c r="I463" s="16"/>
      <c r="J463" s="17"/>
      <c r="K463" s="18">
        <f t="shared" si="310"/>
        <v>0</v>
      </c>
      <c r="L463" s="34"/>
      <c r="M463" s="16"/>
      <c r="N463" s="16"/>
      <c r="O463" s="17"/>
      <c r="P463" s="18">
        <f t="shared" si="299"/>
        <v>0</v>
      </c>
      <c r="Q463" s="34">
        <v>9</v>
      </c>
      <c r="R463" s="16"/>
      <c r="S463" s="16"/>
      <c r="T463" s="17"/>
      <c r="U463" s="18">
        <f t="shared" si="300"/>
        <v>9</v>
      </c>
      <c r="V463" s="34"/>
      <c r="W463" s="16"/>
      <c r="X463" s="16"/>
      <c r="Y463" s="17"/>
      <c r="Z463" s="18">
        <f t="shared" si="301"/>
        <v>0</v>
      </c>
      <c r="AA463" s="34">
        <v>218</v>
      </c>
      <c r="AB463" s="16"/>
      <c r="AC463" s="16"/>
      <c r="AD463" s="17"/>
      <c r="AE463" s="18">
        <f t="shared" si="302"/>
        <v>218</v>
      </c>
      <c r="AF463" s="34"/>
      <c r="AG463" s="16"/>
      <c r="AH463" s="16"/>
      <c r="AI463" s="17"/>
      <c r="AJ463" s="18">
        <f t="shared" si="303"/>
        <v>0</v>
      </c>
      <c r="AK463" s="34"/>
      <c r="AL463" s="16"/>
      <c r="AM463" s="16"/>
      <c r="AN463" s="17"/>
      <c r="AO463" s="18">
        <f t="shared" si="304"/>
        <v>0</v>
      </c>
      <c r="AP463" s="34">
        <v>4</v>
      </c>
      <c r="AQ463" s="16"/>
      <c r="AR463" s="16"/>
      <c r="AS463" s="17"/>
      <c r="AT463" s="18">
        <f t="shared" si="305"/>
        <v>4</v>
      </c>
      <c r="AU463" s="34"/>
      <c r="AV463" s="16"/>
      <c r="AW463" s="16"/>
      <c r="AX463" s="17"/>
      <c r="AY463" s="18">
        <f t="shared" si="306"/>
        <v>0</v>
      </c>
      <c r="AZ463" s="34">
        <v>40</v>
      </c>
      <c r="BA463" s="16"/>
      <c r="BB463" s="16"/>
      <c r="BC463" s="17"/>
      <c r="BD463" s="18">
        <f t="shared" si="307"/>
        <v>40</v>
      </c>
      <c r="BE463" s="34">
        <v>510</v>
      </c>
      <c r="BF463" s="16"/>
      <c r="BG463" s="16"/>
      <c r="BH463" s="17"/>
      <c r="BI463" s="18">
        <f t="shared" si="308"/>
        <v>510</v>
      </c>
      <c r="BJ463" s="34"/>
      <c r="BK463" s="16"/>
      <c r="BL463" s="16"/>
      <c r="BM463" s="17"/>
      <c r="BN463" s="18">
        <f t="shared" si="309"/>
        <v>0</v>
      </c>
      <c r="BO463" s="70">
        <f>SUM(G463,L463,Q463,V463,AA463,AF463,AK463,AP463,AU463,AZ463,BE463,BJ463)</f>
        <v>781</v>
      </c>
      <c r="BP463" s="16">
        <f>SUM(H463,M463,R463,W463,AB463,AG463,AL463,AQ463,AV463,BA463,BF463,BK463)</f>
        <v>0</v>
      </c>
      <c r="BQ463" s="16">
        <f>SUM(I463,N463,S463,X463,AC463,AH463,AM463,AR463,AW463,BB463,BG463,BL463)</f>
        <v>0</v>
      </c>
      <c r="BR463" s="17">
        <f>SUM(J463,O463,T463,Y463,AD463,AI463,AN463,AS463,AX463,BC463,BH463,BM463)</f>
        <v>0</v>
      </c>
      <c r="BS463" s="35">
        <f t="shared" si="270"/>
        <v>781</v>
      </c>
    </row>
    <row r="464" spans="2:71" x14ac:dyDescent="0.3">
      <c r="B464" s="254"/>
      <c r="C464" s="204"/>
      <c r="D464" s="200"/>
      <c r="E464" s="201"/>
      <c r="F464" s="123" t="s">
        <v>569</v>
      </c>
      <c r="G464" s="34"/>
      <c r="H464" s="16"/>
      <c r="I464" s="16"/>
      <c r="J464" s="17"/>
      <c r="K464" s="18">
        <f t="shared" si="310"/>
        <v>0</v>
      </c>
      <c r="L464" s="34"/>
      <c r="M464" s="16"/>
      <c r="N464" s="16"/>
      <c r="O464" s="17"/>
      <c r="P464" s="18">
        <f t="shared" si="299"/>
        <v>0</v>
      </c>
      <c r="Q464" s="34"/>
      <c r="R464" s="16"/>
      <c r="S464" s="16"/>
      <c r="T464" s="17"/>
      <c r="U464" s="18">
        <f t="shared" si="300"/>
        <v>0</v>
      </c>
      <c r="V464" s="34"/>
      <c r="W464" s="16"/>
      <c r="X464" s="16"/>
      <c r="Y464" s="17"/>
      <c r="Z464" s="18">
        <f t="shared" si="301"/>
        <v>0</v>
      </c>
      <c r="AA464" s="34">
        <v>20</v>
      </c>
      <c r="AB464" s="16"/>
      <c r="AC464" s="16"/>
      <c r="AD464" s="17"/>
      <c r="AE464" s="18">
        <f t="shared" si="302"/>
        <v>20</v>
      </c>
      <c r="AF464" s="34"/>
      <c r="AG464" s="16"/>
      <c r="AH464" s="16"/>
      <c r="AI464" s="17"/>
      <c r="AJ464" s="18">
        <f t="shared" si="303"/>
        <v>0</v>
      </c>
      <c r="AK464" s="34"/>
      <c r="AL464" s="16"/>
      <c r="AM464" s="16"/>
      <c r="AN464" s="17"/>
      <c r="AO464" s="18">
        <f t="shared" si="304"/>
        <v>0</v>
      </c>
      <c r="AP464" s="34"/>
      <c r="AQ464" s="16"/>
      <c r="AR464" s="16"/>
      <c r="AS464" s="17"/>
      <c r="AT464" s="18">
        <f t="shared" si="305"/>
        <v>0</v>
      </c>
      <c r="AU464" s="34"/>
      <c r="AV464" s="16"/>
      <c r="AW464" s="16"/>
      <c r="AX464" s="17"/>
      <c r="AY464" s="18">
        <f t="shared" si="306"/>
        <v>0</v>
      </c>
      <c r="AZ464" s="34"/>
      <c r="BA464" s="16"/>
      <c r="BB464" s="16"/>
      <c r="BC464" s="17"/>
      <c r="BD464" s="18">
        <f t="shared" si="307"/>
        <v>0</v>
      </c>
      <c r="BE464" s="34"/>
      <c r="BF464" s="16"/>
      <c r="BG464" s="16"/>
      <c r="BH464" s="17"/>
      <c r="BI464" s="18">
        <f t="shared" si="308"/>
        <v>0</v>
      </c>
      <c r="BJ464" s="34"/>
      <c r="BK464" s="16"/>
      <c r="BL464" s="16"/>
      <c r="BM464" s="17"/>
      <c r="BN464" s="18">
        <f t="shared" si="309"/>
        <v>0</v>
      </c>
      <c r="BO464" s="70">
        <f>SUM(G464,L464,Q464,V464,AA464,AF464,AK464,AP464,AU464,AZ464,BE464,BJ464)</f>
        <v>20</v>
      </c>
      <c r="BP464" s="16">
        <f>SUM(H464,M464,R464,W464,AB464,AG464,AL464,AQ464,AV464,BA464,BF464,BK464)</f>
        <v>0</v>
      </c>
      <c r="BQ464" s="16">
        <f>SUM(I464,N464,S464,X464,AC464,AH464,AM464,AR464,AW464,BB464,BG464,BL464)</f>
        <v>0</v>
      </c>
      <c r="BR464" s="17">
        <f>SUM(J464,O464,T464,Y464,AD464,AI464,AN464,AS464,AX464,BC464,BH464,BM464)</f>
        <v>0</v>
      </c>
      <c r="BS464" s="35">
        <f t="shared" si="270"/>
        <v>20</v>
      </c>
    </row>
    <row r="465" spans="2:71" s="97" customFormat="1" x14ac:dyDescent="0.3">
      <c r="B465" s="254"/>
      <c r="C465" s="204"/>
      <c r="D465" s="202"/>
      <c r="E465" s="203"/>
      <c r="F465" s="113" t="s">
        <v>54</v>
      </c>
      <c r="G465" s="98">
        <f>SUM(G439:G464)</f>
        <v>1546</v>
      </c>
      <c r="H465" s="99">
        <f>SUM(H439:H464)</f>
        <v>0</v>
      </c>
      <c r="I465" s="99">
        <f>SUM(I439:I464)</f>
        <v>0</v>
      </c>
      <c r="J465" s="100">
        <f>SUM(J439:J464)</f>
        <v>0</v>
      </c>
      <c r="K465" s="101">
        <f t="shared" si="310"/>
        <v>1546</v>
      </c>
      <c r="L465" s="98">
        <f>SUM(L439:L464)</f>
        <v>2456</v>
      </c>
      <c r="M465" s="99">
        <f>SUM(M439:M464)</f>
        <v>0</v>
      </c>
      <c r="N465" s="99">
        <f>SUM(N439:N464)</f>
        <v>0</v>
      </c>
      <c r="O465" s="100">
        <f>SUM(O439:O464)</f>
        <v>0</v>
      </c>
      <c r="P465" s="101">
        <f t="shared" si="299"/>
        <v>2456</v>
      </c>
      <c r="Q465" s="98">
        <f>SUM(Q439:Q464)</f>
        <v>2058</v>
      </c>
      <c r="R465" s="99">
        <f>SUM(R439:R464)</f>
        <v>0</v>
      </c>
      <c r="S465" s="99">
        <f>SUM(S439:S464)</f>
        <v>0</v>
      </c>
      <c r="T465" s="100">
        <f>SUM(T439:T464)</f>
        <v>0</v>
      </c>
      <c r="U465" s="101">
        <f t="shared" si="300"/>
        <v>2058</v>
      </c>
      <c r="V465" s="98">
        <f>SUM(V439:V464)</f>
        <v>5581</v>
      </c>
      <c r="W465" s="99">
        <f>SUM(W439:W464)</f>
        <v>0</v>
      </c>
      <c r="X465" s="99">
        <f>SUM(X439:X464)</f>
        <v>0</v>
      </c>
      <c r="Y465" s="100">
        <f>SUM(Y439:Y464)</f>
        <v>0</v>
      </c>
      <c r="Z465" s="101">
        <f t="shared" si="301"/>
        <v>5581</v>
      </c>
      <c r="AA465" s="98">
        <f>SUM(AA439:AA464)</f>
        <v>4519</v>
      </c>
      <c r="AB465" s="99">
        <f>SUM(AB439:AB464)</f>
        <v>0</v>
      </c>
      <c r="AC465" s="99">
        <f>SUM(AC439:AC464)</f>
        <v>0</v>
      </c>
      <c r="AD465" s="100">
        <f>SUM(AD439:AD464)</f>
        <v>0</v>
      </c>
      <c r="AE465" s="101">
        <f t="shared" si="302"/>
        <v>4519</v>
      </c>
      <c r="AF465" s="98">
        <f>SUM(AF439:AF464)</f>
        <v>17202</v>
      </c>
      <c r="AG465" s="99">
        <f>SUM(AG439:AG464)</f>
        <v>0</v>
      </c>
      <c r="AH465" s="99">
        <f>SUM(AH439:AH464)</f>
        <v>0</v>
      </c>
      <c r="AI465" s="100">
        <f>SUM(AI439:AI464)</f>
        <v>0</v>
      </c>
      <c r="AJ465" s="101">
        <f t="shared" si="303"/>
        <v>17202</v>
      </c>
      <c r="AK465" s="98">
        <f>SUM(AK439:AK464)</f>
        <v>1328</v>
      </c>
      <c r="AL465" s="99">
        <f>SUM(AL439:AL464)</f>
        <v>0</v>
      </c>
      <c r="AM465" s="99">
        <f>SUM(AM439:AM464)</f>
        <v>0</v>
      </c>
      <c r="AN465" s="100">
        <f>SUM(AN439:AN464)</f>
        <v>0</v>
      </c>
      <c r="AO465" s="101">
        <f t="shared" si="304"/>
        <v>1328</v>
      </c>
      <c r="AP465" s="98">
        <f>SUM(AP439:AP464)</f>
        <v>2430</v>
      </c>
      <c r="AQ465" s="99">
        <f>SUM(AQ439:AQ464)</f>
        <v>0</v>
      </c>
      <c r="AR465" s="99">
        <f>SUM(AR439:AR464)</f>
        <v>0</v>
      </c>
      <c r="AS465" s="100">
        <f>SUM(AS439:AS464)</f>
        <v>0</v>
      </c>
      <c r="AT465" s="101">
        <f t="shared" si="305"/>
        <v>2430</v>
      </c>
      <c r="AU465" s="98">
        <f>SUM(AU439:AU464)</f>
        <v>9409</v>
      </c>
      <c r="AV465" s="99">
        <f>SUM(AV439:AV464)</f>
        <v>0</v>
      </c>
      <c r="AW465" s="99">
        <f>SUM(AW439:AW464)</f>
        <v>0</v>
      </c>
      <c r="AX465" s="100">
        <f>SUM(AX439:AX464)</f>
        <v>0</v>
      </c>
      <c r="AY465" s="101">
        <f t="shared" si="306"/>
        <v>9409</v>
      </c>
      <c r="AZ465" s="98">
        <f>SUM(AZ439:AZ464)</f>
        <v>4226</v>
      </c>
      <c r="BA465" s="99">
        <f>SUM(BA439:BA464)</f>
        <v>0</v>
      </c>
      <c r="BB465" s="99">
        <f>SUM(BB439:BB464)</f>
        <v>0</v>
      </c>
      <c r="BC465" s="100">
        <f>SUM(BC439:BC464)</f>
        <v>0</v>
      </c>
      <c r="BD465" s="101">
        <f t="shared" si="307"/>
        <v>4226</v>
      </c>
      <c r="BE465" s="98">
        <f>SUM(BE439:BE464)</f>
        <v>3257</v>
      </c>
      <c r="BF465" s="99">
        <f>SUM(BF439:BF464)</f>
        <v>0</v>
      </c>
      <c r="BG465" s="99">
        <f>SUM(BG439:BG464)</f>
        <v>0</v>
      </c>
      <c r="BH465" s="100">
        <f>SUM(BH439:BH464)</f>
        <v>0</v>
      </c>
      <c r="BI465" s="101">
        <f t="shared" si="308"/>
        <v>3257</v>
      </c>
      <c r="BJ465" s="98">
        <f>SUM(BJ439:BJ464)</f>
        <v>473</v>
      </c>
      <c r="BK465" s="99">
        <f>SUM(BK439:BK464)</f>
        <v>0</v>
      </c>
      <c r="BL465" s="99">
        <f>SUM(BL439:BL464)</f>
        <v>0</v>
      </c>
      <c r="BM465" s="100">
        <f>SUM(BM439:BM464)</f>
        <v>0</v>
      </c>
      <c r="BN465" s="101">
        <f t="shared" si="309"/>
        <v>473</v>
      </c>
      <c r="BO465" s="103">
        <f>SUM(BO439:BO464)</f>
        <v>54485</v>
      </c>
      <c r="BP465" s="99">
        <f>SUM(BP439:BP464)</f>
        <v>0</v>
      </c>
      <c r="BQ465" s="99">
        <f>SUM(BQ439:BQ464)</f>
        <v>0</v>
      </c>
      <c r="BR465" s="100">
        <f>SUM(BR439:BR464)</f>
        <v>0</v>
      </c>
      <c r="BS465" s="102">
        <f t="shared" si="270"/>
        <v>54485</v>
      </c>
    </row>
    <row r="466" spans="2:71" ht="16.5" customHeight="1" x14ac:dyDescent="0.3">
      <c r="B466" s="254"/>
      <c r="C466" s="204"/>
      <c r="D466" s="198" t="s">
        <v>38</v>
      </c>
      <c r="E466" s="199"/>
      <c r="F466" s="145" t="s">
        <v>832</v>
      </c>
      <c r="G466" s="30">
        <v>256</v>
      </c>
      <c r="H466" s="7"/>
      <c r="I466" s="7"/>
      <c r="J466" s="8"/>
      <c r="K466" s="9">
        <f t="shared" si="310"/>
        <v>256</v>
      </c>
      <c r="L466" s="30">
        <v>98</v>
      </c>
      <c r="M466" s="7"/>
      <c r="N466" s="7"/>
      <c r="O466" s="8"/>
      <c r="P466" s="9">
        <f t="shared" si="299"/>
        <v>98</v>
      </c>
      <c r="Q466" s="30"/>
      <c r="R466" s="7"/>
      <c r="S466" s="7"/>
      <c r="T466" s="8"/>
      <c r="U466" s="9">
        <f t="shared" si="300"/>
        <v>0</v>
      </c>
      <c r="V466" s="30"/>
      <c r="W466" s="7"/>
      <c r="X466" s="7"/>
      <c r="Y466" s="8"/>
      <c r="Z466" s="9">
        <f t="shared" si="301"/>
        <v>0</v>
      </c>
      <c r="AA466" s="30"/>
      <c r="AB466" s="7"/>
      <c r="AC466" s="7"/>
      <c r="AD466" s="8"/>
      <c r="AE466" s="9">
        <f t="shared" si="302"/>
        <v>0</v>
      </c>
      <c r="AF466" s="30"/>
      <c r="AG466" s="7"/>
      <c r="AH466" s="7"/>
      <c r="AI466" s="8"/>
      <c r="AJ466" s="9">
        <f t="shared" si="303"/>
        <v>0</v>
      </c>
      <c r="AK466" s="30"/>
      <c r="AL466" s="7"/>
      <c r="AM466" s="7"/>
      <c r="AN466" s="8"/>
      <c r="AO466" s="9">
        <f t="shared" si="304"/>
        <v>0</v>
      </c>
      <c r="AP466" s="30"/>
      <c r="AQ466" s="7"/>
      <c r="AR466" s="7"/>
      <c r="AS466" s="8"/>
      <c r="AT466" s="9">
        <f t="shared" si="305"/>
        <v>0</v>
      </c>
      <c r="AU466" s="30"/>
      <c r="AV466" s="7"/>
      <c r="AW466" s="7"/>
      <c r="AX466" s="8"/>
      <c r="AY466" s="9">
        <f t="shared" si="306"/>
        <v>0</v>
      </c>
      <c r="AZ466" s="30"/>
      <c r="BA466" s="7"/>
      <c r="BB466" s="7"/>
      <c r="BC466" s="8"/>
      <c r="BD466" s="9">
        <f t="shared" si="307"/>
        <v>0</v>
      </c>
      <c r="BE466" s="30"/>
      <c r="BF466" s="7"/>
      <c r="BG466" s="7"/>
      <c r="BH466" s="8"/>
      <c r="BI466" s="9">
        <f t="shared" si="308"/>
        <v>0</v>
      </c>
      <c r="BJ466" s="30"/>
      <c r="BK466" s="7"/>
      <c r="BL466" s="7"/>
      <c r="BM466" s="8"/>
      <c r="BN466" s="9">
        <f t="shared" si="309"/>
        <v>0</v>
      </c>
      <c r="BO466" s="65">
        <f>SUM(G466,L466,Q466,V466,AA466,AF466,AK466,AP466,AU466,AZ466,BE466,BJ466)</f>
        <v>354</v>
      </c>
      <c r="BP466" s="7">
        <f>SUM(H466,M466,R466,W466,AB466,AG466,AL466,AQ466,AV466,BA466,BF466,BK466)</f>
        <v>0</v>
      </c>
      <c r="BQ466" s="7">
        <f>SUM(I466,N466,S466,X466,AC466,AH466,AM466,AR466,AW466,BB466,BG466,BL466)</f>
        <v>0</v>
      </c>
      <c r="BR466" s="8">
        <f>SUM(J466,O466,T466,Y466,AD466,AI466,AN466,AS466,AX466,BC466,BH466,BM466)</f>
        <v>0</v>
      </c>
      <c r="BS466" s="31">
        <f t="shared" si="270"/>
        <v>354</v>
      </c>
    </row>
    <row r="467" spans="2:71" x14ac:dyDescent="0.3">
      <c r="B467" s="254"/>
      <c r="C467" s="204"/>
      <c r="D467" s="200"/>
      <c r="E467" s="201"/>
      <c r="F467" s="121" t="s">
        <v>833</v>
      </c>
      <c r="G467" s="32">
        <v>34</v>
      </c>
      <c r="H467" s="13"/>
      <c r="I467" s="13"/>
      <c r="J467" s="14"/>
      <c r="K467" s="15">
        <f t="shared" si="310"/>
        <v>34</v>
      </c>
      <c r="L467" s="32">
        <v>14</v>
      </c>
      <c r="M467" s="13"/>
      <c r="N467" s="13"/>
      <c r="O467" s="14"/>
      <c r="P467" s="15">
        <f t="shared" si="299"/>
        <v>14</v>
      </c>
      <c r="Q467" s="32"/>
      <c r="R467" s="13"/>
      <c r="S467" s="13"/>
      <c r="T467" s="14"/>
      <c r="U467" s="15">
        <f t="shared" si="300"/>
        <v>0</v>
      </c>
      <c r="V467" s="32"/>
      <c r="W467" s="13"/>
      <c r="X467" s="13"/>
      <c r="Y467" s="14"/>
      <c r="Z467" s="15">
        <f t="shared" si="301"/>
        <v>0</v>
      </c>
      <c r="AA467" s="32"/>
      <c r="AB467" s="13"/>
      <c r="AC467" s="13"/>
      <c r="AD467" s="14"/>
      <c r="AE467" s="15">
        <f t="shared" si="302"/>
        <v>0</v>
      </c>
      <c r="AF467" s="32"/>
      <c r="AG467" s="13"/>
      <c r="AH467" s="13"/>
      <c r="AI467" s="14"/>
      <c r="AJ467" s="15">
        <f t="shared" si="303"/>
        <v>0</v>
      </c>
      <c r="AK467" s="32"/>
      <c r="AL467" s="13"/>
      <c r="AM467" s="13"/>
      <c r="AN467" s="14"/>
      <c r="AO467" s="15">
        <f t="shared" si="304"/>
        <v>0</v>
      </c>
      <c r="AP467" s="32"/>
      <c r="AQ467" s="13"/>
      <c r="AR467" s="13"/>
      <c r="AS467" s="14"/>
      <c r="AT467" s="15">
        <f t="shared" si="305"/>
        <v>0</v>
      </c>
      <c r="AU467" s="32"/>
      <c r="AV467" s="13"/>
      <c r="AW467" s="13"/>
      <c r="AX467" s="14"/>
      <c r="AY467" s="15">
        <f t="shared" si="306"/>
        <v>0</v>
      </c>
      <c r="AZ467" s="32"/>
      <c r="BA467" s="13"/>
      <c r="BB467" s="13"/>
      <c r="BC467" s="14"/>
      <c r="BD467" s="15">
        <f t="shared" si="307"/>
        <v>0</v>
      </c>
      <c r="BE467" s="32"/>
      <c r="BF467" s="13"/>
      <c r="BG467" s="13"/>
      <c r="BH467" s="14"/>
      <c r="BI467" s="15">
        <f t="shared" si="308"/>
        <v>0</v>
      </c>
      <c r="BJ467" s="32"/>
      <c r="BK467" s="13"/>
      <c r="BL467" s="13"/>
      <c r="BM467" s="14"/>
      <c r="BN467" s="15">
        <f t="shared" si="309"/>
        <v>0</v>
      </c>
      <c r="BO467" s="66">
        <f>SUM(G467,L467,Q467,V467,AA467,AF467,AK467,AP467,AU467,AZ467,BE467,BJ467)</f>
        <v>48</v>
      </c>
      <c r="BP467" s="13">
        <f>SUM(H467,M467,R467,W467,AB467,AG467,AL467,AQ467,AV467,BA467,BF467,BK467)</f>
        <v>0</v>
      </c>
      <c r="BQ467" s="13">
        <f>SUM(I467,N467,S467,X467,AC467,AH467,AM467,AR467,AW467,BB467,BG467,BL467)</f>
        <v>0</v>
      </c>
      <c r="BR467" s="14">
        <f>SUM(J467,O467,T467,Y467,AD467,AI467,AN467,AS467,AX467,BC467,BH467,BM467)</f>
        <v>0</v>
      </c>
      <c r="BS467" s="33">
        <f t="shared" si="270"/>
        <v>48</v>
      </c>
    </row>
    <row r="468" spans="2:71" x14ac:dyDescent="0.3">
      <c r="B468" s="254"/>
      <c r="C468" s="204"/>
      <c r="D468" s="200"/>
      <c r="E468" s="201"/>
      <c r="F468" s="121" t="s">
        <v>834</v>
      </c>
      <c r="G468" s="32">
        <v>13</v>
      </c>
      <c r="H468" s="13"/>
      <c r="I468" s="13"/>
      <c r="J468" s="14"/>
      <c r="K468" s="15">
        <f t="shared" si="310"/>
        <v>13</v>
      </c>
      <c r="L468" s="32">
        <v>4</v>
      </c>
      <c r="M468" s="13"/>
      <c r="N468" s="13"/>
      <c r="O468" s="14"/>
      <c r="P468" s="15">
        <f t="shared" si="299"/>
        <v>4</v>
      </c>
      <c r="Q468" s="32"/>
      <c r="R468" s="13"/>
      <c r="S468" s="13"/>
      <c r="T468" s="14"/>
      <c r="U468" s="15">
        <f t="shared" si="300"/>
        <v>0</v>
      </c>
      <c r="V468" s="32"/>
      <c r="W468" s="13"/>
      <c r="X468" s="13"/>
      <c r="Y468" s="14"/>
      <c r="Z468" s="15">
        <f t="shared" si="301"/>
        <v>0</v>
      </c>
      <c r="AA468" s="32"/>
      <c r="AB468" s="13"/>
      <c r="AC468" s="13"/>
      <c r="AD468" s="14"/>
      <c r="AE468" s="15">
        <f t="shared" si="302"/>
        <v>0</v>
      </c>
      <c r="AF468" s="32"/>
      <c r="AG468" s="13"/>
      <c r="AH468" s="13"/>
      <c r="AI468" s="14"/>
      <c r="AJ468" s="15">
        <f t="shared" si="303"/>
        <v>0</v>
      </c>
      <c r="AK468" s="32"/>
      <c r="AL468" s="13"/>
      <c r="AM468" s="13"/>
      <c r="AN468" s="14"/>
      <c r="AO468" s="15">
        <f t="shared" si="304"/>
        <v>0</v>
      </c>
      <c r="AP468" s="32"/>
      <c r="AQ468" s="13"/>
      <c r="AR468" s="13"/>
      <c r="AS468" s="14"/>
      <c r="AT468" s="15">
        <f t="shared" si="305"/>
        <v>0</v>
      </c>
      <c r="AU468" s="32"/>
      <c r="AV468" s="13"/>
      <c r="AW468" s="13"/>
      <c r="AX468" s="14"/>
      <c r="AY468" s="15">
        <f t="shared" si="306"/>
        <v>0</v>
      </c>
      <c r="AZ468" s="32"/>
      <c r="BA468" s="13"/>
      <c r="BB468" s="13"/>
      <c r="BC468" s="14"/>
      <c r="BD468" s="15">
        <f t="shared" si="307"/>
        <v>0</v>
      </c>
      <c r="BE468" s="32"/>
      <c r="BF468" s="13"/>
      <c r="BG468" s="13"/>
      <c r="BH468" s="14"/>
      <c r="BI468" s="15">
        <f t="shared" si="308"/>
        <v>0</v>
      </c>
      <c r="BJ468" s="32"/>
      <c r="BK468" s="13"/>
      <c r="BL468" s="13"/>
      <c r="BM468" s="14"/>
      <c r="BN468" s="15">
        <f t="shared" si="309"/>
        <v>0</v>
      </c>
      <c r="BO468" s="66">
        <f>SUM(G468,L468,Q468,V468,AA468,AF468,AK468,AP468,AU468,AZ468,BE468,BJ468)</f>
        <v>17</v>
      </c>
      <c r="BP468" s="13">
        <f>SUM(H468,M468,R468,W468,AB468,AG468,AL468,AQ468,AV468,BA468,BF468,BK468)</f>
        <v>0</v>
      </c>
      <c r="BQ468" s="13">
        <f>SUM(I468,N468,S468,X468,AC468,AH468,AM468,AR468,AW468,BB468,BG468,BL468)</f>
        <v>0</v>
      </c>
      <c r="BR468" s="14">
        <f>SUM(J468,O468,T468,Y468,AD468,AI468,AN468,AS468,AX468,BC468,BH468,BM468)</f>
        <v>0</v>
      </c>
      <c r="BS468" s="33">
        <f t="shared" si="270"/>
        <v>17</v>
      </c>
    </row>
    <row r="469" spans="2:71" x14ac:dyDescent="0.3">
      <c r="B469" s="254"/>
      <c r="C469" s="204"/>
      <c r="D469" s="200"/>
      <c r="E469" s="201"/>
      <c r="F469" s="121" t="s">
        <v>835</v>
      </c>
      <c r="G469" s="32">
        <v>6594</v>
      </c>
      <c r="H469" s="13"/>
      <c r="I469" s="13"/>
      <c r="J469" s="14"/>
      <c r="K469" s="15">
        <f t="shared" si="310"/>
        <v>6594</v>
      </c>
      <c r="L469" s="32">
        <v>5530</v>
      </c>
      <c r="M469" s="13"/>
      <c r="N469" s="13"/>
      <c r="O469" s="14"/>
      <c r="P469" s="15">
        <f t="shared" si="299"/>
        <v>5530</v>
      </c>
      <c r="Q469" s="32">
        <v>1475</v>
      </c>
      <c r="R469" s="13"/>
      <c r="S469" s="13"/>
      <c r="T469" s="14"/>
      <c r="U469" s="15">
        <f t="shared" si="300"/>
        <v>1475</v>
      </c>
      <c r="V469" s="32">
        <v>712</v>
      </c>
      <c r="W469" s="13"/>
      <c r="X469" s="13"/>
      <c r="Y469" s="14"/>
      <c r="Z469" s="15">
        <f t="shared" si="301"/>
        <v>712</v>
      </c>
      <c r="AA469" s="32">
        <v>461</v>
      </c>
      <c r="AB469" s="13"/>
      <c r="AC469" s="13"/>
      <c r="AD469" s="14"/>
      <c r="AE469" s="15">
        <f t="shared" si="302"/>
        <v>461</v>
      </c>
      <c r="AF469" s="32"/>
      <c r="AG469" s="13"/>
      <c r="AH469" s="13"/>
      <c r="AI469" s="14"/>
      <c r="AJ469" s="15">
        <f t="shared" si="303"/>
        <v>0</v>
      </c>
      <c r="AK469" s="32"/>
      <c r="AL469" s="13"/>
      <c r="AM469" s="13"/>
      <c r="AN469" s="14"/>
      <c r="AO469" s="15">
        <f t="shared" si="304"/>
        <v>0</v>
      </c>
      <c r="AP469" s="32"/>
      <c r="AQ469" s="13"/>
      <c r="AR469" s="13"/>
      <c r="AS469" s="14"/>
      <c r="AT469" s="15">
        <f t="shared" si="305"/>
        <v>0</v>
      </c>
      <c r="AU469" s="32"/>
      <c r="AV469" s="13"/>
      <c r="AW469" s="13"/>
      <c r="AX469" s="14"/>
      <c r="AY469" s="15">
        <f t="shared" si="306"/>
        <v>0</v>
      </c>
      <c r="AZ469" s="32">
        <v>1225</v>
      </c>
      <c r="BA469" s="13"/>
      <c r="BB469" s="13"/>
      <c r="BC469" s="14"/>
      <c r="BD469" s="15">
        <f t="shared" si="307"/>
        <v>1225</v>
      </c>
      <c r="BE469" s="32"/>
      <c r="BF469" s="13"/>
      <c r="BG469" s="13"/>
      <c r="BH469" s="14"/>
      <c r="BI469" s="15">
        <f t="shared" si="308"/>
        <v>0</v>
      </c>
      <c r="BJ469" s="32">
        <v>256</v>
      </c>
      <c r="BK469" s="13"/>
      <c r="BL469" s="13"/>
      <c r="BM469" s="14"/>
      <c r="BN469" s="15">
        <f t="shared" si="309"/>
        <v>256</v>
      </c>
      <c r="BO469" s="66">
        <f>SUM(G469,L469,Q469,V469,AA469,AF469,AK469,AP469,AU469,AZ469,BE469,BJ469)</f>
        <v>16253</v>
      </c>
      <c r="BP469" s="13">
        <f>SUM(H469,M469,R469,W469,AB469,AG469,AL469,AQ469,AV469,BA469,BF469,BK469)</f>
        <v>0</v>
      </c>
      <c r="BQ469" s="13">
        <f>SUM(I469,N469,S469,X469,AC469,AH469,AM469,AR469,AW469,BB469,BG469,BL469)</f>
        <v>0</v>
      </c>
      <c r="BR469" s="14">
        <f>SUM(J469,O469,T469,Y469,AD469,AI469,AN469,AS469,AX469,BC469,BH469,BM469)</f>
        <v>0</v>
      </c>
      <c r="BS469" s="33">
        <f t="shared" si="270"/>
        <v>16253</v>
      </c>
    </row>
    <row r="470" spans="2:71" x14ac:dyDescent="0.3">
      <c r="B470" s="254"/>
      <c r="C470" s="204"/>
      <c r="D470" s="200"/>
      <c r="E470" s="201"/>
      <c r="F470" s="121" t="s">
        <v>836</v>
      </c>
      <c r="G470" s="32">
        <v>1923</v>
      </c>
      <c r="H470" s="13"/>
      <c r="I470" s="13"/>
      <c r="J470" s="14"/>
      <c r="K470" s="15">
        <f t="shared" si="310"/>
        <v>1923</v>
      </c>
      <c r="L470" s="32">
        <v>3636</v>
      </c>
      <c r="M470" s="13"/>
      <c r="N470" s="13"/>
      <c r="O470" s="14"/>
      <c r="P470" s="15">
        <f t="shared" si="299"/>
        <v>3636</v>
      </c>
      <c r="Q470" s="32">
        <v>147</v>
      </c>
      <c r="R470" s="13"/>
      <c r="S470" s="13"/>
      <c r="T470" s="14"/>
      <c r="U470" s="15">
        <f t="shared" si="300"/>
        <v>147</v>
      </c>
      <c r="V470" s="32">
        <v>104</v>
      </c>
      <c r="W470" s="13"/>
      <c r="X470" s="13"/>
      <c r="Y470" s="14"/>
      <c r="Z470" s="15">
        <f t="shared" si="301"/>
        <v>104</v>
      </c>
      <c r="AA470" s="32">
        <v>28</v>
      </c>
      <c r="AB470" s="13"/>
      <c r="AC470" s="13"/>
      <c r="AD470" s="14"/>
      <c r="AE470" s="15">
        <f t="shared" si="302"/>
        <v>28</v>
      </c>
      <c r="AF470" s="32"/>
      <c r="AG470" s="13"/>
      <c r="AH470" s="13"/>
      <c r="AI470" s="14"/>
      <c r="AJ470" s="15">
        <f t="shared" si="303"/>
        <v>0</v>
      </c>
      <c r="AK470" s="32"/>
      <c r="AL470" s="13"/>
      <c r="AM470" s="13"/>
      <c r="AN470" s="14"/>
      <c r="AO470" s="15">
        <f t="shared" si="304"/>
        <v>0</v>
      </c>
      <c r="AP470" s="32"/>
      <c r="AQ470" s="13"/>
      <c r="AR470" s="13"/>
      <c r="AS470" s="14"/>
      <c r="AT470" s="15">
        <f t="shared" si="305"/>
        <v>0</v>
      </c>
      <c r="AU470" s="32"/>
      <c r="AV470" s="13"/>
      <c r="AW470" s="13"/>
      <c r="AX470" s="14"/>
      <c r="AY470" s="15">
        <f t="shared" si="306"/>
        <v>0</v>
      </c>
      <c r="AZ470" s="32"/>
      <c r="BA470" s="13"/>
      <c r="BB470" s="13"/>
      <c r="BC470" s="14"/>
      <c r="BD470" s="15">
        <f t="shared" si="307"/>
        <v>0</v>
      </c>
      <c r="BE470" s="32"/>
      <c r="BF470" s="13"/>
      <c r="BG470" s="13"/>
      <c r="BH470" s="14"/>
      <c r="BI470" s="15">
        <f t="shared" si="308"/>
        <v>0</v>
      </c>
      <c r="BJ470" s="32"/>
      <c r="BK470" s="13"/>
      <c r="BL470" s="13"/>
      <c r="BM470" s="14"/>
      <c r="BN470" s="15">
        <f t="shared" si="309"/>
        <v>0</v>
      </c>
      <c r="BO470" s="66">
        <f>SUM(G470,L470,Q470,V470,AA470,AF470,AK470,AP470,AU470,AZ470,BE470,BJ470)</f>
        <v>5838</v>
      </c>
      <c r="BP470" s="13">
        <f>SUM(H470,M470,R470,W470,AB470,AG470,AL470,AQ470,AV470,BA470,BF470,BK470)</f>
        <v>0</v>
      </c>
      <c r="BQ470" s="13">
        <f>SUM(I470,N470,S470,X470,AC470,AH470,AM470,AR470,AW470,BB470,BG470,BL470)</f>
        <v>0</v>
      </c>
      <c r="BR470" s="14">
        <f>SUM(J470,O470,T470,Y470,AD470,AI470,AN470,AS470,AX470,BC470,BH470,BM470)</f>
        <v>0</v>
      </c>
      <c r="BS470" s="33">
        <f t="shared" si="270"/>
        <v>5838</v>
      </c>
    </row>
    <row r="471" spans="2:71" x14ac:dyDescent="0.3">
      <c r="B471" s="254"/>
      <c r="C471" s="204"/>
      <c r="D471" s="200"/>
      <c r="E471" s="201"/>
      <c r="F471" s="121" t="s">
        <v>837</v>
      </c>
      <c r="G471" s="32">
        <v>3306</v>
      </c>
      <c r="H471" s="13"/>
      <c r="I471" s="13"/>
      <c r="J471" s="14"/>
      <c r="K471" s="15">
        <f t="shared" si="310"/>
        <v>3306</v>
      </c>
      <c r="L471" s="32">
        <v>2624</v>
      </c>
      <c r="M471" s="13"/>
      <c r="N471" s="13"/>
      <c r="O471" s="14"/>
      <c r="P471" s="15">
        <f t="shared" si="299"/>
        <v>2624</v>
      </c>
      <c r="Q471" s="32">
        <v>292</v>
      </c>
      <c r="R471" s="13"/>
      <c r="S471" s="13"/>
      <c r="T471" s="14"/>
      <c r="U471" s="15">
        <f t="shared" si="300"/>
        <v>292</v>
      </c>
      <c r="V471" s="32">
        <v>114</v>
      </c>
      <c r="W471" s="13"/>
      <c r="X471" s="13"/>
      <c r="Y471" s="14"/>
      <c r="Z471" s="15">
        <f t="shared" si="301"/>
        <v>114</v>
      </c>
      <c r="AA471" s="32">
        <v>41</v>
      </c>
      <c r="AB471" s="13"/>
      <c r="AC471" s="13"/>
      <c r="AD471" s="14"/>
      <c r="AE471" s="15">
        <f t="shared" si="302"/>
        <v>41</v>
      </c>
      <c r="AF471" s="32"/>
      <c r="AG471" s="13"/>
      <c r="AH471" s="13"/>
      <c r="AI471" s="14"/>
      <c r="AJ471" s="15">
        <f t="shared" si="303"/>
        <v>0</v>
      </c>
      <c r="AK471" s="32"/>
      <c r="AL471" s="13"/>
      <c r="AM471" s="13"/>
      <c r="AN471" s="14"/>
      <c r="AO471" s="15">
        <f t="shared" si="304"/>
        <v>0</v>
      </c>
      <c r="AP471" s="32"/>
      <c r="AQ471" s="13"/>
      <c r="AR471" s="13"/>
      <c r="AS471" s="14"/>
      <c r="AT471" s="15">
        <f t="shared" si="305"/>
        <v>0</v>
      </c>
      <c r="AU471" s="32"/>
      <c r="AV471" s="13"/>
      <c r="AW471" s="13"/>
      <c r="AX471" s="14"/>
      <c r="AY471" s="15">
        <f t="shared" si="306"/>
        <v>0</v>
      </c>
      <c r="AZ471" s="32"/>
      <c r="BA471" s="13"/>
      <c r="BB471" s="13"/>
      <c r="BC471" s="14"/>
      <c r="BD471" s="15">
        <f t="shared" si="307"/>
        <v>0</v>
      </c>
      <c r="BE471" s="32"/>
      <c r="BF471" s="13"/>
      <c r="BG471" s="13"/>
      <c r="BH471" s="14"/>
      <c r="BI471" s="15">
        <f t="shared" si="308"/>
        <v>0</v>
      </c>
      <c r="BJ471" s="32"/>
      <c r="BK471" s="13"/>
      <c r="BL471" s="13"/>
      <c r="BM471" s="14"/>
      <c r="BN471" s="15">
        <f t="shared" si="309"/>
        <v>0</v>
      </c>
      <c r="BO471" s="66">
        <f>SUM(G471,L471,Q471,V471,AA471,AF471,AK471,AP471,AU471,AZ471,BE471,BJ471)</f>
        <v>6377</v>
      </c>
      <c r="BP471" s="13">
        <f>SUM(H471,M471,R471,W471,AB471,AG471,AL471,AQ471,AV471,BA471,BF471,BK471)</f>
        <v>0</v>
      </c>
      <c r="BQ471" s="13">
        <f>SUM(I471,N471,S471,X471,AC471,AH471,AM471,AR471,AW471,BB471,BG471,BL471)</f>
        <v>0</v>
      </c>
      <c r="BR471" s="14">
        <f>SUM(J471,O471,T471,Y471,AD471,AI471,AN471,AS471,AX471,BC471,BH471,BM471)</f>
        <v>0</v>
      </c>
      <c r="BS471" s="33">
        <f t="shared" si="270"/>
        <v>6377</v>
      </c>
    </row>
    <row r="472" spans="2:71" x14ac:dyDescent="0.3">
      <c r="B472" s="254"/>
      <c r="C472" s="204"/>
      <c r="D472" s="200"/>
      <c r="E472" s="201"/>
      <c r="F472" s="121" t="s">
        <v>838</v>
      </c>
      <c r="G472" s="34">
        <v>93</v>
      </c>
      <c r="H472" s="16"/>
      <c r="I472" s="16"/>
      <c r="J472" s="17"/>
      <c r="K472" s="18">
        <f t="shared" si="310"/>
        <v>93</v>
      </c>
      <c r="L472" s="34">
        <f>85</f>
        <v>85</v>
      </c>
      <c r="M472" s="16"/>
      <c r="N472" s="16"/>
      <c r="O472" s="17"/>
      <c r="P472" s="18">
        <f t="shared" si="299"/>
        <v>85</v>
      </c>
      <c r="Q472" s="34"/>
      <c r="R472" s="16"/>
      <c r="S472" s="16"/>
      <c r="T472" s="17"/>
      <c r="U472" s="18">
        <f t="shared" si="300"/>
        <v>0</v>
      </c>
      <c r="V472" s="34"/>
      <c r="W472" s="16"/>
      <c r="X472" s="16"/>
      <c r="Y472" s="17"/>
      <c r="Z472" s="18">
        <f t="shared" si="301"/>
        <v>0</v>
      </c>
      <c r="AA472" s="34"/>
      <c r="AB472" s="16"/>
      <c r="AC472" s="16"/>
      <c r="AD472" s="17"/>
      <c r="AE472" s="18">
        <f t="shared" si="302"/>
        <v>0</v>
      </c>
      <c r="AF472" s="34"/>
      <c r="AG472" s="16"/>
      <c r="AH472" s="16"/>
      <c r="AI472" s="17"/>
      <c r="AJ472" s="18">
        <f t="shared" si="303"/>
        <v>0</v>
      </c>
      <c r="AK472" s="34"/>
      <c r="AL472" s="16"/>
      <c r="AM472" s="16"/>
      <c r="AN472" s="17"/>
      <c r="AO472" s="18">
        <f t="shared" si="304"/>
        <v>0</v>
      </c>
      <c r="AP472" s="34"/>
      <c r="AQ472" s="16"/>
      <c r="AR472" s="16"/>
      <c r="AS472" s="17"/>
      <c r="AT472" s="18">
        <f t="shared" si="305"/>
        <v>0</v>
      </c>
      <c r="AU472" s="34"/>
      <c r="AV472" s="16"/>
      <c r="AW472" s="16"/>
      <c r="AX472" s="17"/>
      <c r="AY472" s="18">
        <f t="shared" si="306"/>
        <v>0</v>
      </c>
      <c r="AZ472" s="34"/>
      <c r="BA472" s="16"/>
      <c r="BB472" s="16"/>
      <c r="BC472" s="17"/>
      <c r="BD472" s="18">
        <f t="shared" si="307"/>
        <v>0</v>
      </c>
      <c r="BE472" s="34"/>
      <c r="BF472" s="16"/>
      <c r="BG472" s="16"/>
      <c r="BH472" s="17"/>
      <c r="BI472" s="18">
        <f t="shared" si="308"/>
        <v>0</v>
      </c>
      <c r="BJ472" s="34"/>
      <c r="BK472" s="16"/>
      <c r="BL472" s="16"/>
      <c r="BM472" s="17"/>
      <c r="BN472" s="18">
        <f t="shared" si="309"/>
        <v>0</v>
      </c>
      <c r="BO472" s="70">
        <f>SUM(G472,L472,Q472,V472,AA472,AF472,AK472,AP472,AU472,AZ472,BE472,BJ472)</f>
        <v>178</v>
      </c>
      <c r="BP472" s="16">
        <f>SUM(H472,M472,R472,W472,AB472,AG472,AL472,AQ472,AV472,BA472,BF472,BK472)</f>
        <v>0</v>
      </c>
      <c r="BQ472" s="16">
        <f>SUM(I472,N472,S472,X472,AC472,AH472,AM472,AR472,AW472,BB472,BG472,BL472)</f>
        <v>0</v>
      </c>
      <c r="BR472" s="17">
        <f>SUM(J472,O472,T472,Y472,AD472,AI472,AN472,AS472,AX472,BC472,BH472,BM472)</f>
        <v>0</v>
      </c>
      <c r="BS472" s="35">
        <f t="shared" si="270"/>
        <v>178</v>
      </c>
    </row>
    <row r="473" spans="2:71" x14ac:dyDescent="0.3">
      <c r="B473" s="254"/>
      <c r="C473" s="204"/>
      <c r="D473" s="200"/>
      <c r="E473" s="201"/>
      <c r="F473" s="123" t="s">
        <v>839</v>
      </c>
      <c r="G473" s="34">
        <v>26</v>
      </c>
      <c r="H473" s="16"/>
      <c r="I473" s="16"/>
      <c r="J473" s="17"/>
      <c r="K473" s="18">
        <f t="shared" si="310"/>
        <v>26</v>
      </c>
      <c r="L473" s="34">
        <v>37</v>
      </c>
      <c r="M473" s="16"/>
      <c r="N473" s="16"/>
      <c r="O473" s="17"/>
      <c r="P473" s="18">
        <f t="shared" si="299"/>
        <v>37</v>
      </c>
      <c r="Q473" s="34"/>
      <c r="R473" s="16"/>
      <c r="S473" s="16"/>
      <c r="T473" s="17"/>
      <c r="U473" s="18">
        <f t="shared" si="300"/>
        <v>0</v>
      </c>
      <c r="V473" s="34"/>
      <c r="W473" s="16"/>
      <c r="X473" s="16"/>
      <c r="Y473" s="17"/>
      <c r="Z473" s="18">
        <f t="shared" si="301"/>
        <v>0</v>
      </c>
      <c r="AA473" s="34"/>
      <c r="AB473" s="16"/>
      <c r="AC473" s="16"/>
      <c r="AD473" s="17"/>
      <c r="AE473" s="18">
        <f t="shared" si="302"/>
        <v>0</v>
      </c>
      <c r="AF473" s="34"/>
      <c r="AG473" s="16"/>
      <c r="AH473" s="16"/>
      <c r="AI473" s="17"/>
      <c r="AJ473" s="18">
        <f t="shared" si="303"/>
        <v>0</v>
      </c>
      <c r="AK473" s="34"/>
      <c r="AL473" s="16"/>
      <c r="AM473" s="16"/>
      <c r="AN473" s="17"/>
      <c r="AO473" s="18">
        <f t="shared" si="304"/>
        <v>0</v>
      </c>
      <c r="AP473" s="34"/>
      <c r="AQ473" s="16"/>
      <c r="AR473" s="16"/>
      <c r="AS473" s="17"/>
      <c r="AT473" s="18">
        <f t="shared" si="305"/>
        <v>0</v>
      </c>
      <c r="AU473" s="34"/>
      <c r="AV473" s="16"/>
      <c r="AW473" s="16"/>
      <c r="AX473" s="17"/>
      <c r="AY473" s="18">
        <f t="shared" si="306"/>
        <v>0</v>
      </c>
      <c r="AZ473" s="34"/>
      <c r="BA473" s="16"/>
      <c r="BB473" s="16"/>
      <c r="BC473" s="17"/>
      <c r="BD473" s="18">
        <f t="shared" si="307"/>
        <v>0</v>
      </c>
      <c r="BE473" s="34"/>
      <c r="BF473" s="16"/>
      <c r="BG473" s="16"/>
      <c r="BH473" s="17"/>
      <c r="BI473" s="18">
        <f t="shared" si="308"/>
        <v>0</v>
      </c>
      <c r="BJ473" s="34"/>
      <c r="BK473" s="16"/>
      <c r="BL473" s="16"/>
      <c r="BM473" s="17"/>
      <c r="BN473" s="18">
        <f t="shared" si="309"/>
        <v>0</v>
      </c>
      <c r="BO473" s="70">
        <f>SUM(G473,L473,Q473,V473,AA473,AF473,AK473,AP473,AU473,AZ473,BE473,BJ473)</f>
        <v>63</v>
      </c>
      <c r="BP473" s="16">
        <f>SUM(H473,M473,R473,W473,AB473,AG473,AL473,AQ473,AV473,BA473,BF473,BK473)</f>
        <v>0</v>
      </c>
      <c r="BQ473" s="16">
        <f>SUM(I473,N473,S473,X473,AC473,AH473,AM473,AR473,AW473,BB473,BG473,BL473)</f>
        <v>0</v>
      </c>
      <c r="BR473" s="17">
        <f>SUM(J473,O473,T473,Y473,AD473,AI473,AN473,AS473,AX473,BC473,BH473,BM473)</f>
        <v>0</v>
      </c>
      <c r="BS473" s="35">
        <f t="shared" si="270"/>
        <v>63</v>
      </c>
    </row>
    <row r="474" spans="2:71" x14ac:dyDescent="0.3">
      <c r="B474" s="254"/>
      <c r="C474" s="204"/>
      <c r="D474" s="200"/>
      <c r="E474" s="201"/>
      <c r="F474" s="121" t="s">
        <v>840</v>
      </c>
      <c r="G474" s="34">
        <v>34</v>
      </c>
      <c r="H474" s="16"/>
      <c r="I474" s="16"/>
      <c r="J474" s="17"/>
      <c r="K474" s="18">
        <f t="shared" si="310"/>
        <v>34</v>
      </c>
      <c r="L474" s="34">
        <v>21</v>
      </c>
      <c r="M474" s="16"/>
      <c r="N474" s="16"/>
      <c r="O474" s="17"/>
      <c r="P474" s="18">
        <f t="shared" si="299"/>
        <v>21</v>
      </c>
      <c r="Q474" s="34"/>
      <c r="R474" s="16"/>
      <c r="S474" s="16"/>
      <c r="T474" s="17"/>
      <c r="U474" s="18">
        <f t="shared" si="300"/>
        <v>0</v>
      </c>
      <c r="V474" s="34"/>
      <c r="W474" s="16"/>
      <c r="X474" s="16"/>
      <c r="Y474" s="17"/>
      <c r="Z474" s="18">
        <f t="shared" si="301"/>
        <v>0</v>
      </c>
      <c r="AA474" s="34"/>
      <c r="AB474" s="16"/>
      <c r="AC474" s="16"/>
      <c r="AD474" s="17"/>
      <c r="AE474" s="18">
        <f t="shared" si="302"/>
        <v>0</v>
      </c>
      <c r="AF474" s="34"/>
      <c r="AG474" s="16"/>
      <c r="AH474" s="16"/>
      <c r="AI474" s="17"/>
      <c r="AJ474" s="18">
        <f t="shared" si="303"/>
        <v>0</v>
      </c>
      <c r="AK474" s="34"/>
      <c r="AL474" s="16"/>
      <c r="AM474" s="16"/>
      <c r="AN474" s="17"/>
      <c r="AO474" s="18">
        <f t="shared" si="304"/>
        <v>0</v>
      </c>
      <c r="AP474" s="34"/>
      <c r="AQ474" s="16"/>
      <c r="AR474" s="16"/>
      <c r="AS474" s="17"/>
      <c r="AT474" s="18">
        <f t="shared" si="305"/>
        <v>0</v>
      </c>
      <c r="AU474" s="34"/>
      <c r="AV474" s="16"/>
      <c r="AW474" s="16"/>
      <c r="AX474" s="17"/>
      <c r="AY474" s="18">
        <f t="shared" si="306"/>
        <v>0</v>
      </c>
      <c r="AZ474" s="34"/>
      <c r="BA474" s="16"/>
      <c r="BB474" s="16"/>
      <c r="BC474" s="17"/>
      <c r="BD474" s="18">
        <f t="shared" si="307"/>
        <v>0</v>
      </c>
      <c r="BE474" s="34"/>
      <c r="BF474" s="16"/>
      <c r="BG474" s="16"/>
      <c r="BH474" s="17"/>
      <c r="BI474" s="18">
        <f t="shared" si="308"/>
        <v>0</v>
      </c>
      <c r="BJ474" s="34"/>
      <c r="BK474" s="16"/>
      <c r="BL474" s="16"/>
      <c r="BM474" s="17"/>
      <c r="BN474" s="18">
        <f t="shared" si="309"/>
        <v>0</v>
      </c>
      <c r="BO474" s="70">
        <f>SUM(G474,L474,Q474,V474,AA474,AF474,AK474,AP474,AU474,AZ474,BE474,BJ474)</f>
        <v>55</v>
      </c>
      <c r="BP474" s="16">
        <f>SUM(H474,M474,R474,W474,AB474,AG474,AL474,AQ474,AV474,BA474,BF474,BK474)</f>
        <v>0</v>
      </c>
      <c r="BQ474" s="16">
        <f>SUM(I474,N474,S474,X474,AC474,AH474,AM474,AR474,AW474,BB474,BG474,BL474)</f>
        <v>0</v>
      </c>
      <c r="BR474" s="17">
        <f>SUM(J474,O474,T474,Y474,AD474,AI474,AN474,AS474,AX474,BC474,BH474,BM474)</f>
        <v>0</v>
      </c>
      <c r="BS474" s="35">
        <f t="shared" si="270"/>
        <v>55</v>
      </c>
    </row>
    <row r="475" spans="2:71" x14ac:dyDescent="0.3">
      <c r="B475" s="254"/>
      <c r="C475" s="204"/>
      <c r="D475" s="200"/>
      <c r="E475" s="201"/>
      <c r="F475" s="123" t="s">
        <v>586</v>
      </c>
      <c r="G475" s="34"/>
      <c r="H475" s="16"/>
      <c r="I475" s="16"/>
      <c r="J475" s="17"/>
      <c r="K475" s="18">
        <f t="shared" si="310"/>
        <v>0</v>
      </c>
      <c r="L475" s="34">
        <v>915</v>
      </c>
      <c r="M475" s="16"/>
      <c r="N475" s="16"/>
      <c r="O475" s="17"/>
      <c r="P475" s="18">
        <f t="shared" si="299"/>
        <v>915</v>
      </c>
      <c r="Q475" s="34">
        <v>10653</v>
      </c>
      <c r="R475" s="16"/>
      <c r="S475" s="16"/>
      <c r="T475" s="17"/>
      <c r="U475" s="18">
        <f t="shared" si="300"/>
        <v>10653</v>
      </c>
      <c r="V475" s="34">
        <v>6468</v>
      </c>
      <c r="W475" s="16"/>
      <c r="X475" s="16"/>
      <c r="Y475" s="17"/>
      <c r="Z475" s="18">
        <f t="shared" si="301"/>
        <v>6468</v>
      </c>
      <c r="AA475" s="34">
        <v>10588</v>
      </c>
      <c r="AB475" s="16"/>
      <c r="AC475" s="16"/>
      <c r="AD475" s="17"/>
      <c r="AE475" s="18">
        <f t="shared" si="302"/>
        <v>10588</v>
      </c>
      <c r="AF475" s="34">
        <v>1545</v>
      </c>
      <c r="AG475" s="16"/>
      <c r="AH475" s="16"/>
      <c r="AI475" s="17"/>
      <c r="AJ475" s="18">
        <f t="shared" si="303"/>
        <v>1545</v>
      </c>
      <c r="AK475" s="34">
        <v>318</v>
      </c>
      <c r="AL475" s="16"/>
      <c r="AM475" s="16"/>
      <c r="AN475" s="17"/>
      <c r="AO475" s="18">
        <f t="shared" si="304"/>
        <v>318</v>
      </c>
      <c r="AP475" s="34">
        <v>108</v>
      </c>
      <c r="AQ475" s="16"/>
      <c r="AR475" s="16"/>
      <c r="AS475" s="17"/>
      <c r="AT475" s="18">
        <f t="shared" si="305"/>
        <v>108</v>
      </c>
      <c r="AU475" s="34"/>
      <c r="AV475" s="16"/>
      <c r="AW475" s="16"/>
      <c r="AX475" s="17"/>
      <c r="AY475" s="18">
        <f t="shared" si="306"/>
        <v>0</v>
      </c>
      <c r="AZ475" s="34"/>
      <c r="BA475" s="16"/>
      <c r="BB475" s="16"/>
      <c r="BC475" s="17"/>
      <c r="BD475" s="18">
        <f t="shared" si="307"/>
        <v>0</v>
      </c>
      <c r="BE475" s="34"/>
      <c r="BF475" s="16"/>
      <c r="BG475" s="16"/>
      <c r="BH475" s="17"/>
      <c r="BI475" s="18">
        <f t="shared" si="308"/>
        <v>0</v>
      </c>
      <c r="BJ475" s="34"/>
      <c r="BK475" s="16"/>
      <c r="BL475" s="16"/>
      <c r="BM475" s="17"/>
      <c r="BN475" s="18">
        <f t="shared" si="309"/>
        <v>0</v>
      </c>
      <c r="BO475" s="70">
        <f>SUM(G475,L475,Q475,V475,AA475,AF475,AK475,AP475,AU475,AZ475,BE475,BJ475)</f>
        <v>30595</v>
      </c>
      <c r="BP475" s="16">
        <f>SUM(H475,M475,R475,W475,AB475,AG475,AL475,AQ475,AV475,BA475,BF475,BK475)</f>
        <v>0</v>
      </c>
      <c r="BQ475" s="16">
        <f>SUM(I475,N475,S475,X475,AC475,AH475,AM475,AR475,AW475,BB475,BG475,BL475)</f>
        <v>0</v>
      </c>
      <c r="BR475" s="17">
        <f>SUM(J475,O475,T475,Y475,AD475,AI475,AN475,AS475,AX475,BC475,BH475,BM475)</f>
        <v>0</v>
      </c>
      <c r="BS475" s="35">
        <f t="shared" si="270"/>
        <v>30595</v>
      </c>
    </row>
    <row r="476" spans="2:71" x14ac:dyDescent="0.3">
      <c r="B476" s="254"/>
      <c r="C476" s="204"/>
      <c r="D476" s="200"/>
      <c r="E476" s="201"/>
      <c r="F476" s="123" t="s">
        <v>589</v>
      </c>
      <c r="G476" s="34"/>
      <c r="H476" s="16"/>
      <c r="I476" s="16"/>
      <c r="J476" s="17"/>
      <c r="K476" s="18">
        <f t="shared" si="310"/>
        <v>0</v>
      </c>
      <c r="L476" s="34">
        <v>80</v>
      </c>
      <c r="M476" s="16"/>
      <c r="N476" s="16"/>
      <c r="O476" s="17"/>
      <c r="P476" s="18">
        <f t="shared" si="299"/>
        <v>80</v>
      </c>
      <c r="Q476" s="34">
        <v>1846</v>
      </c>
      <c r="R476" s="16"/>
      <c r="S476" s="16"/>
      <c r="T476" s="17"/>
      <c r="U476" s="18">
        <f t="shared" si="300"/>
        <v>1846</v>
      </c>
      <c r="V476" s="34">
        <v>2983</v>
      </c>
      <c r="W476" s="16"/>
      <c r="X476" s="16"/>
      <c r="Y476" s="17"/>
      <c r="Z476" s="18">
        <f t="shared" si="301"/>
        <v>2983</v>
      </c>
      <c r="AA476" s="34">
        <v>4876</v>
      </c>
      <c r="AB476" s="16"/>
      <c r="AC476" s="16"/>
      <c r="AD476" s="17"/>
      <c r="AE476" s="18">
        <f t="shared" si="302"/>
        <v>4876</v>
      </c>
      <c r="AF476" s="34">
        <v>209</v>
      </c>
      <c r="AG476" s="16"/>
      <c r="AH476" s="16"/>
      <c r="AI476" s="17"/>
      <c r="AJ476" s="18">
        <f t="shared" si="303"/>
        <v>209</v>
      </c>
      <c r="AK476" s="34">
        <v>44</v>
      </c>
      <c r="AL476" s="16"/>
      <c r="AM476" s="16"/>
      <c r="AN476" s="17"/>
      <c r="AO476" s="18">
        <f t="shared" si="304"/>
        <v>44</v>
      </c>
      <c r="AP476" s="34">
        <v>31</v>
      </c>
      <c r="AQ476" s="16"/>
      <c r="AR476" s="16"/>
      <c r="AS476" s="17"/>
      <c r="AT476" s="18">
        <f t="shared" si="305"/>
        <v>31</v>
      </c>
      <c r="AU476" s="34"/>
      <c r="AV476" s="16"/>
      <c r="AW476" s="16"/>
      <c r="AX476" s="17"/>
      <c r="AY476" s="18">
        <f t="shared" si="306"/>
        <v>0</v>
      </c>
      <c r="AZ476" s="34"/>
      <c r="BA476" s="16"/>
      <c r="BB476" s="16"/>
      <c r="BC476" s="17"/>
      <c r="BD476" s="18">
        <f t="shared" si="307"/>
        <v>0</v>
      </c>
      <c r="BE476" s="34"/>
      <c r="BF476" s="16"/>
      <c r="BG476" s="16"/>
      <c r="BH476" s="17"/>
      <c r="BI476" s="18">
        <f t="shared" si="308"/>
        <v>0</v>
      </c>
      <c r="BJ476" s="34"/>
      <c r="BK476" s="16"/>
      <c r="BL476" s="16"/>
      <c r="BM476" s="17"/>
      <c r="BN476" s="18">
        <f t="shared" si="309"/>
        <v>0</v>
      </c>
      <c r="BO476" s="70">
        <f>SUM(G476,L476,Q476,V476,AA476,AF476,AK476,AP476,AU476,AZ476,BE476,BJ476)</f>
        <v>10069</v>
      </c>
      <c r="BP476" s="16">
        <f>SUM(H476,M476,R476,W476,AB476,AG476,AL476,AQ476,AV476,BA476,BF476,BK476)</f>
        <v>0</v>
      </c>
      <c r="BQ476" s="16">
        <f>SUM(I476,N476,S476,X476,AC476,AH476,AM476,AR476,AW476,BB476,BG476,BL476)</f>
        <v>0</v>
      </c>
      <c r="BR476" s="17">
        <f>SUM(J476,O476,T476,Y476,AD476,AI476,AN476,AS476,AX476,BC476,BH476,BM476)</f>
        <v>0</v>
      </c>
      <c r="BS476" s="35">
        <f t="shared" si="270"/>
        <v>10069</v>
      </c>
    </row>
    <row r="477" spans="2:71" x14ac:dyDescent="0.3">
      <c r="B477" s="254"/>
      <c r="C477" s="204"/>
      <c r="D477" s="200"/>
      <c r="E477" s="201"/>
      <c r="F477" s="123" t="s">
        <v>590</v>
      </c>
      <c r="G477" s="34"/>
      <c r="H477" s="16"/>
      <c r="I477" s="16"/>
      <c r="J477" s="17"/>
      <c r="K477" s="18">
        <f t="shared" si="310"/>
        <v>0</v>
      </c>
      <c r="L477" s="34">
        <v>10</v>
      </c>
      <c r="M477" s="16"/>
      <c r="N477" s="16"/>
      <c r="O477" s="17"/>
      <c r="P477" s="18">
        <f t="shared" si="299"/>
        <v>10</v>
      </c>
      <c r="Q477" s="34">
        <v>149</v>
      </c>
      <c r="R477" s="16"/>
      <c r="S477" s="16"/>
      <c r="T477" s="17"/>
      <c r="U477" s="18">
        <f t="shared" si="300"/>
        <v>149</v>
      </c>
      <c r="V477" s="34">
        <v>228</v>
      </c>
      <c r="W477" s="16"/>
      <c r="X477" s="16"/>
      <c r="Y477" s="17"/>
      <c r="Z477" s="18">
        <f t="shared" si="301"/>
        <v>228</v>
      </c>
      <c r="AA477" s="34">
        <v>283</v>
      </c>
      <c r="AB477" s="16"/>
      <c r="AC477" s="16"/>
      <c r="AD477" s="17"/>
      <c r="AE477" s="18">
        <f t="shared" si="302"/>
        <v>283</v>
      </c>
      <c r="AF477" s="34"/>
      <c r="AG477" s="16"/>
      <c r="AH477" s="16"/>
      <c r="AI477" s="17"/>
      <c r="AJ477" s="18">
        <f t="shared" si="303"/>
        <v>0</v>
      </c>
      <c r="AK477" s="34"/>
      <c r="AL477" s="16"/>
      <c r="AM477" s="16"/>
      <c r="AN477" s="17"/>
      <c r="AO477" s="18">
        <f t="shared" si="304"/>
        <v>0</v>
      </c>
      <c r="AP477" s="34"/>
      <c r="AQ477" s="16"/>
      <c r="AR477" s="16"/>
      <c r="AS477" s="17"/>
      <c r="AT477" s="18">
        <f t="shared" si="305"/>
        <v>0</v>
      </c>
      <c r="AU477" s="34"/>
      <c r="AV477" s="16"/>
      <c r="AW477" s="16"/>
      <c r="AX477" s="17"/>
      <c r="AY477" s="18">
        <f t="shared" si="306"/>
        <v>0</v>
      </c>
      <c r="AZ477" s="34"/>
      <c r="BA477" s="16"/>
      <c r="BB477" s="16"/>
      <c r="BC477" s="17"/>
      <c r="BD477" s="18">
        <f t="shared" si="307"/>
        <v>0</v>
      </c>
      <c r="BE477" s="34"/>
      <c r="BF477" s="16"/>
      <c r="BG477" s="16"/>
      <c r="BH477" s="17"/>
      <c r="BI477" s="18">
        <f t="shared" si="308"/>
        <v>0</v>
      </c>
      <c r="BJ477" s="34"/>
      <c r="BK477" s="16"/>
      <c r="BL477" s="16"/>
      <c r="BM477" s="17"/>
      <c r="BN477" s="18">
        <f t="shared" si="309"/>
        <v>0</v>
      </c>
      <c r="BO477" s="70">
        <f>SUM(G477,L477,Q477,V477,AA477,AF477,AK477,AP477,AU477,AZ477,BE477,BJ477)</f>
        <v>670</v>
      </c>
      <c r="BP477" s="16">
        <f>SUM(H477,M477,R477,W477,AB477,AG477,AL477,AQ477,AV477,BA477,BF477,BK477)</f>
        <v>0</v>
      </c>
      <c r="BQ477" s="16">
        <f>SUM(I477,N477,S477,X477,AC477,AH477,AM477,AR477,AW477,BB477,BG477,BL477)</f>
        <v>0</v>
      </c>
      <c r="BR477" s="17">
        <f>SUM(J477,O477,T477,Y477,AD477,AI477,AN477,AS477,AX477,BC477,BH477,BM477)</f>
        <v>0</v>
      </c>
      <c r="BS477" s="35">
        <f t="shared" si="270"/>
        <v>670</v>
      </c>
    </row>
    <row r="478" spans="2:71" x14ac:dyDescent="0.3">
      <c r="B478" s="254"/>
      <c r="C478" s="204"/>
      <c r="D478" s="200"/>
      <c r="E478" s="201"/>
      <c r="F478" s="123" t="s">
        <v>593</v>
      </c>
      <c r="G478" s="34"/>
      <c r="H478" s="16"/>
      <c r="I478" s="16"/>
      <c r="J478" s="17"/>
      <c r="K478" s="18">
        <f t="shared" si="310"/>
        <v>0</v>
      </c>
      <c r="L478" s="34"/>
      <c r="M478" s="16"/>
      <c r="N478" s="16"/>
      <c r="O478" s="17"/>
      <c r="P478" s="18">
        <f t="shared" si="299"/>
        <v>0</v>
      </c>
      <c r="Q478" s="34">
        <v>10</v>
      </c>
      <c r="R478" s="16"/>
      <c r="S478" s="16"/>
      <c r="T478" s="17"/>
      <c r="U478" s="18">
        <f t="shared" si="300"/>
        <v>10</v>
      </c>
      <c r="V478" s="34">
        <v>29</v>
      </c>
      <c r="W478" s="16"/>
      <c r="X478" s="16"/>
      <c r="Y478" s="17"/>
      <c r="Z478" s="18">
        <f t="shared" si="301"/>
        <v>29</v>
      </c>
      <c r="AA478" s="34">
        <v>20</v>
      </c>
      <c r="AB478" s="16"/>
      <c r="AC478" s="16"/>
      <c r="AD478" s="17"/>
      <c r="AE478" s="18">
        <f t="shared" si="302"/>
        <v>20</v>
      </c>
      <c r="AF478" s="34"/>
      <c r="AG478" s="16"/>
      <c r="AH478" s="16"/>
      <c r="AI478" s="17"/>
      <c r="AJ478" s="18">
        <f t="shared" si="303"/>
        <v>0</v>
      </c>
      <c r="AK478" s="34"/>
      <c r="AL478" s="16"/>
      <c r="AM478" s="16"/>
      <c r="AN478" s="17"/>
      <c r="AO478" s="18">
        <f t="shared" si="304"/>
        <v>0</v>
      </c>
      <c r="AP478" s="34"/>
      <c r="AQ478" s="16"/>
      <c r="AR478" s="16"/>
      <c r="AS478" s="17"/>
      <c r="AT478" s="18">
        <f t="shared" si="305"/>
        <v>0</v>
      </c>
      <c r="AU478" s="34"/>
      <c r="AV478" s="16"/>
      <c r="AW478" s="16"/>
      <c r="AX478" s="17"/>
      <c r="AY478" s="18">
        <f t="shared" si="306"/>
        <v>0</v>
      </c>
      <c r="AZ478" s="34"/>
      <c r="BA478" s="16"/>
      <c r="BB478" s="16"/>
      <c r="BC478" s="17"/>
      <c r="BD478" s="18">
        <f t="shared" si="307"/>
        <v>0</v>
      </c>
      <c r="BE478" s="34"/>
      <c r="BF478" s="16"/>
      <c r="BG478" s="16"/>
      <c r="BH478" s="17"/>
      <c r="BI478" s="18">
        <f t="shared" si="308"/>
        <v>0</v>
      </c>
      <c r="BJ478" s="34"/>
      <c r="BK478" s="16"/>
      <c r="BL478" s="16"/>
      <c r="BM478" s="17"/>
      <c r="BN478" s="18">
        <f t="shared" si="309"/>
        <v>0</v>
      </c>
      <c r="BO478" s="70">
        <f>SUM(G478,L478,Q478,V478,AA478,AF478,AK478,AP478,AU478,AZ478,BE478,BJ478)</f>
        <v>59</v>
      </c>
      <c r="BP478" s="16">
        <f>SUM(H478,M478,R478,W478,AB478,AG478,AL478,AQ478,AV478,BA478,BF478,BK478)</f>
        <v>0</v>
      </c>
      <c r="BQ478" s="16">
        <f>SUM(I478,N478,S478,X478,AC478,AH478,AM478,AR478,AW478,BB478,BG478,BL478)</f>
        <v>0</v>
      </c>
      <c r="BR478" s="17">
        <f>SUM(J478,O478,T478,Y478,AD478,AI478,AN478,AS478,AX478,BC478,BH478,BM478)</f>
        <v>0</v>
      </c>
      <c r="BS478" s="35">
        <f t="shared" si="270"/>
        <v>59</v>
      </c>
    </row>
    <row r="479" spans="2:71" x14ac:dyDescent="0.3">
      <c r="B479" s="254"/>
      <c r="C479" s="204"/>
      <c r="D479" s="200"/>
      <c r="E479" s="201"/>
      <c r="F479" s="123" t="s">
        <v>841</v>
      </c>
      <c r="G479" s="34"/>
      <c r="H479" s="16"/>
      <c r="I479" s="16"/>
      <c r="J479" s="17"/>
      <c r="K479" s="18">
        <f t="shared" si="310"/>
        <v>0</v>
      </c>
      <c r="L479" s="34"/>
      <c r="M479" s="16"/>
      <c r="N479" s="16"/>
      <c r="O479" s="17"/>
      <c r="P479" s="18">
        <f t="shared" si="299"/>
        <v>0</v>
      </c>
      <c r="Q479" s="34"/>
      <c r="R479" s="16"/>
      <c r="S479" s="16"/>
      <c r="T479" s="17"/>
      <c r="U479" s="18">
        <f t="shared" si="300"/>
        <v>0</v>
      </c>
      <c r="V479" s="34">
        <v>4238</v>
      </c>
      <c r="W479" s="16"/>
      <c r="X479" s="16"/>
      <c r="Y479" s="17"/>
      <c r="Z479" s="18">
        <f t="shared" si="301"/>
        <v>4238</v>
      </c>
      <c r="AA479" s="34">
        <v>7304</v>
      </c>
      <c r="AB479" s="16"/>
      <c r="AC479" s="16"/>
      <c r="AD479" s="17"/>
      <c r="AE479" s="18">
        <f t="shared" si="302"/>
        <v>7304</v>
      </c>
      <c r="AF479" s="34">
        <v>264</v>
      </c>
      <c r="AG479" s="16"/>
      <c r="AH479" s="16"/>
      <c r="AI479" s="17"/>
      <c r="AJ479" s="18">
        <f t="shared" si="303"/>
        <v>264</v>
      </c>
      <c r="AK479" s="34">
        <v>38</v>
      </c>
      <c r="AL479" s="16"/>
      <c r="AM479" s="16"/>
      <c r="AN479" s="17"/>
      <c r="AO479" s="18">
        <f t="shared" si="304"/>
        <v>38</v>
      </c>
      <c r="AP479" s="34">
        <v>23</v>
      </c>
      <c r="AQ479" s="16"/>
      <c r="AR479" s="16"/>
      <c r="AS479" s="17"/>
      <c r="AT479" s="18">
        <f t="shared" si="305"/>
        <v>23</v>
      </c>
      <c r="AU479" s="34"/>
      <c r="AV479" s="16"/>
      <c r="AW479" s="16"/>
      <c r="AX479" s="17"/>
      <c r="AY479" s="18">
        <f t="shared" si="306"/>
        <v>0</v>
      </c>
      <c r="AZ479" s="34"/>
      <c r="BA479" s="16"/>
      <c r="BB479" s="16"/>
      <c r="BC479" s="17"/>
      <c r="BD479" s="18">
        <f t="shared" si="307"/>
        <v>0</v>
      </c>
      <c r="BE479" s="34"/>
      <c r="BF479" s="16"/>
      <c r="BG479" s="16"/>
      <c r="BH479" s="17"/>
      <c r="BI479" s="18">
        <f t="shared" si="308"/>
        <v>0</v>
      </c>
      <c r="BJ479" s="34"/>
      <c r="BK479" s="16"/>
      <c r="BL479" s="16"/>
      <c r="BM479" s="17"/>
      <c r="BN479" s="18">
        <f t="shared" si="309"/>
        <v>0</v>
      </c>
      <c r="BO479" s="70">
        <f>SUM(G479,L479,Q479,V479,AA479,AF479,AK479,AP479,AU479,AZ479,BE479,BJ479)</f>
        <v>11867</v>
      </c>
      <c r="BP479" s="16">
        <f>SUM(H479,M479,R479,W479,AB479,AG479,AL479,AQ479,AV479,BA479,BF479,BK479)</f>
        <v>0</v>
      </c>
      <c r="BQ479" s="16">
        <f>SUM(I479,N479,S479,X479,AC479,AH479,AM479,AR479,AW479,BB479,BG479,BL479)</f>
        <v>0</v>
      </c>
      <c r="BR479" s="17">
        <f>SUM(J479,O479,T479,Y479,AD479,AI479,AN479,AS479,AX479,BC479,BH479,BM479)</f>
        <v>0</v>
      </c>
      <c r="BS479" s="35">
        <f t="shared" si="270"/>
        <v>11867</v>
      </c>
    </row>
    <row r="480" spans="2:71" x14ac:dyDescent="0.3">
      <c r="B480" s="254"/>
      <c r="C480" s="204"/>
      <c r="D480" s="200"/>
      <c r="E480" s="201"/>
      <c r="F480" s="123" t="s">
        <v>842</v>
      </c>
      <c r="G480" s="34"/>
      <c r="H480" s="16"/>
      <c r="I480" s="16"/>
      <c r="J480" s="17"/>
      <c r="K480" s="18">
        <f t="shared" si="310"/>
        <v>0</v>
      </c>
      <c r="L480" s="34"/>
      <c r="M480" s="16"/>
      <c r="N480" s="16"/>
      <c r="O480" s="17"/>
      <c r="P480" s="18">
        <f t="shared" si="299"/>
        <v>0</v>
      </c>
      <c r="Q480" s="34"/>
      <c r="R480" s="16"/>
      <c r="S480" s="16"/>
      <c r="T480" s="17"/>
      <c r="U480" s="18">
        <f t="shared" si="300"/>
        <v>0</v>
      </c>
      <c r="V480" s="34">
        <v>2700</v>
      </c>
      <c r="W480" s="16"/>
      <c r="X480" s="16"/>
      <c r="Y480" s="17"/>
      <c r="Z480" s="18">
        <f t="shared" si="301"/>
        <v>2700</v>
      </c>
      <c r="AA480" s="34">
        <v>3390</v>
      </c>
      <c r="AB480" s="16"/>
      <c r="AC480" s="16"/>
      <c r="AD480" s="17"/>
      <c r="AE480" s="18">
        <f t="shared" si="302"/>
        <v>3390</v>
      </c>
      <c r="AF480" s="34"/>
      <c r="AG480" s="16"/>
      <c r="AH480" s="16"/>
      <c r="AI480" s="17"/>
      <c r="AJ480" s="18">
        <f t="shared" si="303"/>
        <v>0</v>
      </c>
      <c r="AK480" s="34"/>
      <c r="AL480" s="16"/>
      <c r="AM480" s="16"/>
      <c r="AN480" s="17"/>
      <c r="AO480" s="18">
        <f t="shared" si="304"/>
        <v>0</v>
      </c>
      <c r="AP480" s="34"/>
      <c r="AQ480" s="16"/>
      <c r="AR480" s="16"/>
      <c r="AS480" s="17"/>
      <c r="AT480" s="18">
        <f t="shared" si="305"/>
        <v>0</v>
      </c>
      <c r="AU480" s="34"/>
      <c r="AV480" s="16"/>
      <c r="AW480" s="16"/>
      <c r="AX480" s="17"/>
      <c r="AY480" s="18">
        <f t="shared" si="306"/>
        <v>0</v>
      </c>
      <c r="AZ480" s="34"/>
      <c r="BA480" s="16"/>
      <c r="BB480" s="16"/>
      <c r="BC480" s="17"/>
      <c r="BD480" s="18">
        <f t="shared" si="307"/>
        <v>0</v>
      </c>
      <c r="BE480" s="34"/>
      <c r="BF480" s="16"/>
      <c r="BG480" s="16"/>
      <c r="BH480" s="17"/>
      <c r="BI480" s="18">
        <f t="shared" si="308"/>
        <v>0</v>
      </c>
      <c r="BJ480" s="34"/>
      <c r="BK480" s="16"/>
      <c r="BL480" s="16"/>
      <c r="BM480" s="17"/>
      <c r="BN480" s="18">
        <f t="shared" si="309"/>
        <v>0</v>
      </c>
      <c r="BO480" s="70">
        <f>SUM(G480,L480,Q480,V480,AA480,AF480,AK480,AP480,AU480,AZ480,BE480,BJ480)</f>
        <v>6090</v>
      </c>
      <c r="BP480" s="16">
        <f>SUM(H480,M480,R480,W480,AB480,AG480,AL480,AQ480,AV480,BA480,BF480,BK480)</f>
        <v>0</v>
      </c>
      <c r="BQ480" s="16">
        <f>SUM(I480,N480,S480,X480,AC480,AH480,AM480,AR480,AW480,BB480,BG480,BL480)</f>
        <v>0</v>
      </c>
      <c r="BR480" s="17">
        <f>SUM(J480,O480,T480,Y480,AD480,AI480,AN480,AS480,AX480,BC480,BH480,BM480)</f>
        <v>0</v>
      </c>
      <c r="BS480" s="35">
        <f t="shared" si="270"/>
        <v>6090</v>
      </c>
    </row>
    <row r="481" spans="2:71" x14ac:dyDescent="0.3">
      <c r="B481" s="254"/>
      <c r="C481" s="204"/>
      <c r="D481" s="200"/>
      <c r="E481" s="201"/>
      <c r="F481" s="123" t="s">
        <v>843</v>
      </c>
      <c r="G481" s="34"/>
      <c r="H481" s="16"/>
      <c r="I481" s="16"/>
      <c r="J481" s="17"/>
      <c r="K481" s="18">
        <f t="shared" si="310"/>
        <v>0</v>
      </c>
      <c r="L481" s="34"/>
      <c r="M481" s="16"/>
      <c r="N481" s="16"/>
      <c r="O481" s="17"/>
      <c r="P481" s="18">
        <f t="shared" si="299"/>
        <v>0</v>
      </c>
      <c r="Q481" s="34"/>
      <c r="R481" s="16"/>
      <c r="S481" s="16"/>
      <c r="T481" s="17"/>
      <c r="U481" s="18">
        <f t="shared" si="300"/>
        <v>0</v>
      </c>
      <c r="V481" s="34"/>
      <c r="W481" s="16"/>
      <c r="X481" s="16">
        <v>807</v>
      </c>
      <c r="Y481" s="17"/>
      <c r="Z481" s="18">
        <f t="shared" si="301"/>
        <v>807</v>
      </c>
      <c r="AA481" s="34"/>
      <c r="AB481" s="16"/>
      <c r="AC481" s="16">
        <v>1180</v>
      </c>
      <c r="AD481" s="17"/>
      <c r="AE481" s="18">
        <f t="shared" si="302"/>
        <v>1180</v>
      </c>
      <c r="AF481" s="34"/>
      <c r="AG481" s="16"/>
      <c r="AH481" s="16"/>
      <c r="AI481" s="17"/>
      <c r="AJ481" s="18">
        <f t="shared" si="303"/>
        <v>0</v>
      </c>
      <c r="AK481" s="34"/>
      <c r="AL481" s="16"/>
      <c r="AM481" s="16"/>
      <c r="AN481" s="17"/>
      <c r="AO481" s="18">
        <f t="shared" si="304"/>
        <v>0</v>
      </c>
      <c r="AP481" s="34"/>
      <c r="AQ481" s="16"/>
      <c r="AR481" s="16"/>
      <c r="AS481" s="17"/>
      <c r="AT481" s="18">
        <f t="shared" si="305"/>
        <v>0</v>
      </c>
      <c r="AU481" s="34"/>
      <c r="AV481" s="16"/>
      <c r="AW481" s="16"/>
      <c r="AX481" s="17"/>
      <c r="AY481" s="18">
        <f t="shared" si="306"/>
        <v>0</v>
      </c>
      <c r="AZ481" s="34"/>
      <c r="BA481" s="16"/>
      <c r="BB481" s="16"/>
      <c r="BC481" s="17"/>
      <c r="BD481" s="18">
        <f t="shared" si="307"/>
        <v>0</v>
      </c>
      <c r="BE481" s="34"/>
      <c r="BF481" s="16"/>
      <c r="BG481" s="16"/>
      <c r="BH481" s="17"/>
      <c r="BI481" s="18">
        <f t="shared" si="308"/>
        <v>0</v>
      </c>
      <c r="BJ481" s="34"/>
      <c r="BK481" s="16"/>
      <c r="BL481" s="16"/>
      <c r="BM481" s="17"/>
      <c r="BN481" s="18">
        <f t="shared" si="309"/>
        <v>0</v>
      </c>
      <c r="BO481" s="70">
        <f>SUM(G481,L481,Q481,V481,AA481,AF481,AK481,AP481,AU481,AZ481,BE481,BJ481)</f>
        <v>0</v>
      </c>
      <c r="BP481" s="16">
        <f>SUM(H481,M481,R481,W481,AB481,AG481,AL481,AQ481,AV481,BA481,BF481,BK481)</f>
        <v>0</v>
      </c>
      <c r="BQ481" s="16">
        <f>SUM(I481,N481,S481,X481,AC481,AH481,AM481,AR481,AW481,BB481,BG481,BL481)</f>
        <v>1987</v>
      </c>
      <c r="BR481" s="17">
        <f>SUM(J481,O481,T481,Y481,AD481,AI481,AN481,AS481,AX481,BC481,BH481,BM481)</f>
        <v>0</v>
      </c>
      <c r="BS481" s="35">
        <f t="shared" si="270"/>
        <v>1987</v>
      </c>
    </row>
    <row r="482" spans="2:71" x14ac:dyDescent="0.3">
      <c r="B482" s="254"/>
      <c r="C482" s="204"/>
      <c r="D482" s="200"/>
      <c r="E482" s="201"/>
      <c r="F482" s="123" t="s">
        <v>599</v>
      </c>
      <c r="G482" s="34"/>
      <c r="H482" s="16"/>
      <c r="I482" s="16"/>
      <c r="J482" s="17"/>
      <c r="K482" s="18">
        <f t="shared" si="310"/>
        <v>0</v>
      </c>
      <c r="L482" s="34"/>
      <c r="M482" s="16"/>
      <c r="N482" s="16"/>
      <c r="O482" s="17"/>
      <c r="P482" s="18">
        <f t="shared" si="299"/>
        <v>0</v>
      </c>
      <c r="Q482" s="34"/>
      <c r="R482" s="16"/>
      <c r="S482" s="16"/>
      <c r="T482" s="17"/>
      <c r="U482" s="18">
        <f t="shared" si="300"/>
        <v>0</v>
      </c>
      <c r="V482" s="34"/>
      <c r="W482" s="16"/>
      <c r="X482" s="16"/>
      <c r="Y482" s="17"/>
      <c r="Z482" s="18">
        <f t="shared" si="301"/>
        <v>0</v>
      </c>
      <c r="AA482" s="34">
        <v>655</v>
      </c>
      <c r="AB482" s="16"/>
      <c r="AC482" s="16"/>
      <c r="AD482" s="17"/>
      <c r="AE482" s="18">
        <f t="shared" si="302"/>
        <v>655</v>
      </c>
      <c r="AF482" s="34">
        <v>10604</v>
      </c>
      <c r="AG482" s="16"/>
      <c r="AH482" s="16"/>
      <c r="AI482" s="17"/>
      <c r="AJ482" s="18">
        <f t="shared" si="303"/>
        <v>10604</v>
      </c>
      <c r="AK482" s="34">
        <v>3045</v>
      </c>
      <c r="AL482" s="16"/>
      <c r="AM482" s="16"/>
      <c r="AN482" s="17"/>
      <c r="AO482" s="18">
        <f t="shared" si="304"/>
        <v>3045</v>
      </c>
      <c r="AP482" s="34">
        <v>6077</v>
      </c>
      <c r="AQ482" s="16"/>
      <c r="AR482" s="16"/>
      <c r="AS482" s="17"/>
      <c r="AT482" s="18">
        <f t="shared" si="305"/>
        <v>6077</v>
      </c>
      <c r="AU482" s="34">
        <v>376</v>
      </c>
      <c r="AV482" s="16"/>
      <c r="AW482" s="16"/>
      <c r="AX482" s="17"/>
      <c r="AY482" s="18">
        <f t="shared" si="306"/>
        <v>376</v>
      </c>
      <c r="AZ482" s="34">
        <v>311</v>
      </c>
      <c r="BA482" s="16"/>
      <c r="BB482" s="16"/>
      <c r="BC482" s="17"/>
      <c r="BD482" s="18">
        <f t="shared" si="307"/>
        <v>311</v>
      </c>
      <c r="BE482" s="34">
        <v>92</v>
      </c>
      <c r="BF482" s="16"/>
      <c r="BG482" s="16"/>
      <c r="BH482" s="17"/>
      <c r="BI482" s="18">
        <f t="shared" si="308"/>
        <v>92</v>
      </c>
      <c r="BJ482" s="34">
        <v>2</v>
      </c>
      <c r="BK482" s="16"/>
      <c r="BL482" s="16"/>
      <c r="BM482" s="17"/>
      <c r="BN482" s="18">
        <f t="shared" si="309"/>
        <v>2</v>
      </c>
      <c r="BO482" s="70">
        <f>SUM(G482,L482,Q482,V482,AA482,AF482,AK482,AP482,AU482,AZ482,BE482,BJ482)</f>
        <v>21162</v>
      </c>
      <c r="BP482" s="16">
        <f>SUM(H482,M482,R482,W482,AB482,AG482,AL482,AQ482,AV482,BA482,BF482,BK482)</f>
        <v>0</v>
      </c>
      <c r="BQ482" s="16">
        <f>SUM(I482,N482,S482,X482,AC482,AH482,AM482,AR482,AW482,BB482,BG482,BL482)</f>
        <v>0</v>
      </c>
      <c r="BR482" s="17">
        <f>SUM(J482,O482,T482,Y482,AD482,AI482,AN482,AS482,AX482,BC482,BH482,BM482)</f>
        <v>0</v>
      </c>
      <c r="BS482" s="35">
        <f t="shared" si="270"/>
        <v>21162</v>
      </c>
    </row>
    <row r="483" spans="2:71" x14ac:dyDescent="0.3">
      <c r="B483" s="254"/>
      <c r="C483" s="204"/>
      <c r="D483" s="200"/>
      <c r="E483" s="201"/>
      <c r="F483" s="123" t="s">
        <v>600</v>
      </c>
      <c r="G483" s="34"/>
      <c r="H483" s="16"/>
      <c r="I483" s="16"/>
      <c r="J483" s="17"/>
      <c r="K483" s="18">
        <f t="shared" si="310"/>
        <v>0</v>
      </c>
      <c r="L483" s="34"/>
      <c r="M483" s="16"/>
      <c r="N483" s="16"/>
      <c r="O483" s="17"/>
      <c r="P483" s="18">
        <f t="shared" si="299"/>
        <v>0</v>
      </c>
      <c r="Q483" s="34"/>
      <c r="R483" s="16"/>
      <c r="S483" s="16"/>
      <c r="T483" s="17"/>
      <c r="U483" s="18">
        <f t="shared" si="300"/>
        <v>0</v>
      </c>
      <c r="V483" s="34"/>
      <c r="W483" s="16"/>
      <c r="X483" s="16"/>
      <c r="Y483" s="17"/>
      <c r="Z483" s="18">
        <f t="shared" si="301"/>
        <v>0</v>
      </c>
      <c r="AA483" s="34">
        <v>50</v>
      </c>
      <c r="AB483" s="16"/>
      <c r="AC483" s="16"/>
      <c r="AD483" s="17"/>
      <c r="AE483" s="18">
        <f t="shared" si="302"/>
        <v>50</v>
      </c>
      <c r="AF483" s="34">
        <v>3163</v>
      </c>
      <c r="AG483" s="16"/>
      <c r="AH483" s="16"/>
      <c r="AI483" s="17"/>
      <c r="AJ483" s="18">
        <f t="shared" si="303"/>
        <v>3163</v>
      </c>
      <c r="AK483" s="34">
        <v>2889</v>
      </c>
      <c r="AL483" s="16"/>
      <c r="AM483" s="16"/>
      <c r="AN483" s="17"/>
      <c r="AO483" s="18">
        <f t="shared" si="304"/>
        <v>2889</v>
      </c>
      <c r="AP483" s="34">
        <v>2831</v>
      </c>
      <c r="AQ483" s="16"/>
      <c r="AR483" s="16"/>
      <c r="AS483" s="17"/>
      <c r="AT483" s="18">
        <f t="shared" si="305"/>
        <v>2831</v>
      </c>
      <c r="AU483" s="34">
        <v>159</v>
      </c>
      <c r="AV483" s="16"/>
      <c r="AW483" s="16"/>
      <c r="AX483" s="17"/>
      <c r="AY483" s="18">
        <f t="shared" si="306"/>
        <v>159</v>
      </c>
      <c r="AZ483" s="34">
        <v>48</v>
      </c>
      <c r="BA483" s="16"/>
      <c r="BB483" s="16"/>
      <c r="BC483" s="17"/>
      <c r="BD483" s="18">
        <f t="shared" si="307"/>
        <v>48</v>
      </c>
      <c r="BE483" s="34">
        <v>8</v>
      </c>
      <c r="BF483" s="16"/>
      <c r="BG483" s="16"/>
      <c r="BH483" s="17"/>
      <c r="BI483" s="18">
        <f t="shared" si="308"/>
        <v>8</v>
      </c>
      <c r="BJ483" s="34"/>
      <c r="BK483" s="16"/>
      <c r="BL483" s="16"/>
      <c r="BM483" s="17"/>
      <c r="BN483" s="18">
        <f t="shared" si="309"/>
        <v>0</v>
      </c>
      <c r="BO483" s="70">
        <f>SUM(G483,L483,Q483,V483,AA483,AF483,AK483,AP483,AU483,AZ483,BE483,BJ483)</f>
        <v>9148</v>
      </c>
      <c r="BP483" s="16">
        <f>SUM(H483,M483,R483,W483,AB483,AG483,AL483,AQ483,AV483,BA483,BF483,BK483)</f>
        <v>0</v>
      </c>
      <c r="BQ483" s="16">
        <f>SUM(I483,N483,S483,X483,AC483,AH483,AM483,AR483,AW483,BB483,BG483,BL483)</f>
        <v>0</v>
      </c>
      <c r="BR483" s="17">
        <f>SUM(J483,O483,T483,Y483,AD483,AI483,AN483,AS483,AX483,BC483,BH483,BM483)</f>
        <v>0</v>
      </c>
      <c r="BS483" s="35">
        <f t="shared" si="270"/>
        <v>9148</v>
      </c>
    </row>
    <row r="484" spans="2:71" x14ac:dyDescent="0.3">
      <c r="B484" s="254"/>
      <c r="C484" s="204"/>
      <c r="D484" s="200"/>
      <c r="E484" s="201"/>
      <c r="F484" s="123" t="s">
        <v>844</v>
      </c>
      <c r="G484" s="34"/>
      <c r="H484" s="16"/>
      <c r="I484" s="16"/>
      <c r="J484" s="17"/>
      <c r="K484" s="18">
        <f t="shared" si="310"/>
        <v>0</v>
      </c>
      <c r="L484" s="34"/>
      <c r="M484" s="16"/>
      <c r="N484" s="16"/>
      <c r="O484" s="17"/>
      <c r="P484" s="18">
        <f t="shared" si="299"/>
        <v>0</v>
      </c>
      <c r="Q484" s="34"/>
      <c r="R484" s="16"/>
      <c r="S484" s="16"/>
      <c r="T484" s="17"/>
      <c r="U484" s="18">
        <f t="shared" si="300"/>
        <v>0</v>
      </c>
      <c r="V484" s="34"/>
      <c r="W484" s="16"/>
      <c r="X484" s="16"/>
      <c r="Y484" s="17"/>
      <c r="Z484" s="18">
        <f t="shared" si="301"/>
        <v>0</v>
      </c>
      <c r="AA484" s="34">
        <v>583</v>
      </c>
      <c r="AB484" s="16"/>
      <c r="AC484" s="16"/>
      <c r="AD484" s="17"/>
      <c r="AE484" s="18">
        <f t="shared" si="302"/>
        <v>583</v>
      </c>
      <c r="AF484" s="34">
        <v>6874</v>
      </c>
      <c r="AG484" s="16"/>
      <c r="AH484" s="16"/>
      <c r="AI484" s="17"/>
      <c r="AJ484" s="18">
        <f t="shared" si="303"/>
        <v>6874</v>
      </c>
      <c r="AK484" s="34">
        <v>3267</v>
      </c>
      <c r="AL484" s="16"/>
      <c r="AM484" s="16"/>
      <c r="AN484" s="17"/>
      <c r="AO484" s="18">
        <f t="shared" si="304"/>
        <v>3267</v>
      </c>
      <c r="AP484" s="34">
        <v>6556</v>
      </c>
      <c r="AQ484" s="16"/>
      <c r="AR484" s="16"/>
      <c r="AS484" s="17"/>
      <c r="AT484" s="18">
        <f t="shared" si="305"/>
        <v>6556</v>
      </c>
      <c r="AU484" s="34">
        <v>171</v>
      </c>
      <c r="AV484" s="16"/>
      <c r="AW484" s="16"/>
      <c r="AX484" s="17"/>
      <c r="AY484" s="18">
        <f t="shared" si="306"/>
        <v>171</v>
      </c>
      <c r="AZ484" s="34">
        <v>147</v>
      </c>
      <c r="BA484" s="16"/>
      <c r="BB484" s="16"/>
      <c r="BC484" s="17"/>
      <c r="BD484" s="18">
        <f t="shared" si="307"/>
        <v>147</v>
      </c>
      <c r="BE484" s="34">
        <v>31</v>
      </c>
      <c r="BF484" s="16"/>
      <c r="BG484" s="16"/>
      <c r="BH484" s="17"/>
      <c r="BI484" s="18">
        <f t="shared" si="308"/>
        <v>31</v>
      </c>
      <c r="BJ484" s="34"/>
      <c r="BK484" s="16"/>
      <c r="BL484" s="16"/>
      <c r="BM484" s="17"/>
      <c r="BN484" s="18">
        <f t="shared" si="309"/>
        <v>0</v>
      </c>
      <c r="BO484" s="70">
        <f>SUM(G484,L484,Q484,V484,AA484,AF484,AK484,AP484,AU484,AZ484,BE484,BJ484)</f>
        <v>17629</v>
      </c>
      <c r="BP484" s="16">
        <f>SUM(H484,M484,R484,W484,AB484,AG484,AL484,AQ484,AV484,BA484,BF484,BK484)</f>
        <v>0</v>
      </c>
      <c r="BQ484" s="16">
        <f>SUM(I484,N484,S484,X484,AC484,AH484,AM484,AR484,AW484,BB484,BG484,BL484)</f>
        <v>0</v>
      </c>
      <c r="BR484" s="17">
        <f>SUM(J484,O484,T484,Y484,AD484,AI484,AN484,AS484,AX484,BC484,BH484,BM484)</f>
        <v>0</v>
      </c>
      <c r="BS484" s="35">
        <f t="shared" si="270"/>
        <v>17629</v>
      </c>
    </row>
    <row r="485" spans="2:71" x14ac:dyDescent="0.3">
      <c r="B485" s="254"/>
      <c r="C485" s="204"/>
      <c r="D485" s="200"/>
      <c r="E485" s="201"/>
      <c r="F485" s="123" t="s">
        <v>845</v>
      </c>
      <c r="G485" s="34"/>
      <c r="H485" s="16"/>
      <c r="I485" s="16"/>
      <c r="J485" s="17"/>
      <c r="K485" s="18">
        <f t="shared" si="310"/>
        <v>0</v>
      </c>
      <c r="L485" s="34"/>
      <c r="M485" s="16"/>
      <c r="N485" s="16"/>
      <c r="O485" s="17"/>
      <c r="P485" s="18">
        <f t="shared" si="299"/>
        <v>0</v>
      </c>
      <c r="Q485" s="34"/>
      <c r="R485" s="16"/>
      <c r="S485" s="16"/>
      <c r="T485" s="17"/>
      <c r="U485" s="18">
        <f t="shared" si="300"/>
        <v>0</v>
      </c>
      <c r="V485" s="34"/>
      <c r="W485" s="16"/>
      <c r="X485" s="16"/>
      <c r="Y485" s="17"/>
      <c r="Z485" s="18">
        <f t="shared" si="301"/>
        <v>0</v>
      </c>
      <c r="AA485" s="34">
        <v>132</v>
      </c>
      <c r="AB485" s="16"/>
      <c r="AC485" s="16"/>
      <c r="AD485" s="17"/>
      <c r="AE485" s="18">
        <f t="shared" si="302"/>
        <v>132</v>
      </c>
      <c r="AF485" s="34">
        <v>1376</v>
      </c>
      <c r="AG485" s="16"/>
      <c r="AH485" s="16"/>
      <c r="AI485" s="17"/>
      <c r="AJ485" s="18">
        <f t="shared" si="303"/>
        <v>1376</v>
      </c>
      <c r="AK485" s="34">
        <v>1063</v>
      </c>
      <c r="AL485" s="16"/>
      <c r="AM485" s="16"/>
      <c r="AN485" s="17"/>
      <c r="AO485" s="18">
        <f t="shared" si="304"/>
        <v>1063</v>
      </c>
      <c r="AP485" s="34">
        <v>2429</v>
      </c>
      <c r="AQ485" s="16"/>
      <c r="AR485" s="16"/>
      <c r="AS485" s="17"/>
      <c r="AT485" s="18">
        <f t="shared" si="305"/>
        <v>2429</v>
      </c>
      <c r="AU485" s="34">
        <v>60</v>
      </c>
      <c r="AV485" s="16"/>
      <c r="AW485" s="16"/>
      <c r="AX485" s="17"/>
      <c r="AY485" s="18">
        <f t="shared" si="306"/>
        <v>60</v>
      </c>
      <c r="AZ485" s="34">
        <v>24</v>
      </c>
      <c r="BA485" s="16"/>
      <c r="BB485" s="16"/>
      <c r="BC485" s="17"/>
      <c r="BD485" s="18">
        <f t="shared" si="307"/>
        <v>24</v>
      </c>
      <c r="BE485" s="34">
        <v>4</v>
      </c>
      <c r="BF485" s="16"/>
      <c r="BG485" s="16"/>
      <c r="BH485" s="17"/>
      <c r="BI485" s="18">
        <f t="shared" si="308"/>
        <v>4</v>
      </c>
      <c r="BJ485" s="34"/>
      <c r="BK485" s="16"/>
      <c r="BL485" s="16"/>
      <c r="BM485" s="17"/>
      <c r="BN485" s="18">
        <f t="shared" si="309"/>
        <v>0</v>
      </c>
      <c r="BO485" s="70">
        <f>SUM(G485,L485,Q485,V485,AA485,AF485,AK485,AP485,AU485,AZ485,BE485,BJ485)</f>
        <v>5088</v>
      </c>
      <c r="BP485" s="16">
        <f>SUM(H485,M485,R485,W485,AB485,AG485,AL485,AQ485,AV485,BA485,BF485,BK485)</f>
        <v>0</v>
      </c>
      <c r="BQ485" s="16">
        <f>SUM(I485,N485,S485,X485,AC485,AH485,AM485,AR485,AW485,BB485,BG485,BL485)</f>
        <v>0</v>
      </c>
      <c r="BR485" s="17">
        <f>SUM(J485,O485,T485,Y485,AD485,AI485,AN485,AS485,AX485,BC485,BH485,BM485)</f>
        <v>0</v>
      </c>
      <c r="BS485" s="35">
        <f t="shared" si="270"/>
        <v>5088</v>
      </c>
    </row>
    <row r="486" spans="2:71" x14ac:dyDescent="0.3">
      <c r="B486" s="254"/>
      <c r="C486" s="204"/>
      <c r="D486" s="200"/>
      <c r="E486" s="201"/>
      <c r="F486" s="123" t="s">
        <v>602</v>
      </c>
      <c r="G486" s="34"/>
      <c r="H486" s="16"/>
      <c r="I486" s="16"/>
      <c r="J486" s="17"/>
      <c r="K486" s="18">
        <f t="shared" si="310"/>
        <v>0</v>
      </c>
      <c r="L486" s="34"/>
      <c r="M486" s="16"/>
      <c r="N486" s="16"/>
      <c r="O486" s="17"/>
      <c r="P486" s="18">
        <f t="shared" si="299"/>
        <v>0</v>
      </c>
      <c r="Q486" s="34"/>
      <c r="R486" s="16"/>
      <c r="S486" s="16"/>
      <c r="T486" s="17"/>
      <c r="U486" s="18">
        <f t="shared" si="300"/>
        <v>0</v>
      </c>
      <c r="V486" s="34"/>
      <c r="W486" s="16"/>
      <c r="X486" s="16"/>
      <c r="Y486" s="17"/>
      <c r="Z486" s="18">
        <f t="shared" si="301"/>
        <v>0</v>
      </c>
      <c r="AA486" s="34">
        <v>4</v>
      </c>
      <c r="AB486" s="16"/>
      <c r="AC486" s="16"/>
      <c r="AD486" s="17"/>
      <c r="AE486" s="18">
        <f t="shared" si="302"/>
        <v>4</v>
      </c>
      <c r="AF486" s="34">
        <v>199</v>
      </c>
      <c r="AG486" s="16"/>
      <c r="AH486" s="16"/>
      <c r="AI486" s="17"/>
      <c r="AJ486" s="18">
        <f t="shared" si="303"/>
        <v>199</v>
      </c>
      <c r="AK486" s="34">
        <v>48</v>
      </c>
      <c r="AL486" s="16"/>
      <c r="AM486" s="16"/>
      <c r="AN486" s="17"/>
      <c r="AO486" s="18">
        <f t="shared" si="304"/>
        <v>48</v>
      </c>
      <c r="AP486" s="34">
        <v>41</v>
      </c>
      <c r="AQ486" s="16"/>
      <c r="AR486" s="16"/>
      <c r="AS486" s="17"/>
      <c r="AT486" s="18">
        <f t="shared" si="305"/>
        <v>41</v>
      </c>
      <c r="AU486" s="34"/>
      <c r="AV486" s="16"/>
      <c r="AW486" s="16"/>
      <c r="AX486" s="17"/>
      <c r="AY486" s="18">
        <f t="shared" si="306"/>
        <v>0</v>
      </c>
      <c r="AZ486" s="34"/>
      <c r="BA486" s="16"/>
      <c r="BB486" s="16"/>
      <c r="BC486" s="17"/>
      <c r="BD486" s="18">
        <f t="shared" si="307"/>
        <v>0</v>
      </c>
      <c r="BE486" s="34"/>
      <c r="BF486" s="16"/>
      <c r="BG486" s="16"/>
      <c r="BH486" s="17"/>
      <c r="BI486" s="18">
        <f t="shared" si="308"/>
        <v>0</v>
      </c>
      <c r="BJ486" s="34"/>
      <c r="BK486" s="16"/>
      <c r="BL486" s="16"/>
      <c r="BM486" s="17"/>
      <c r="BN486" s="18">
        <f t="shared" si="309"/>
        <v>0</v>
      </c>
      <c r="BO486" s="70">
        <f>SUM(G486,L486,Q486,V486,AA486,AF486,AK486,AP486,AU486,AZ486,BE486,BJ486)</f>
        <v>292</v>
      </c>
      <c r="BP486" s="16">
        <f>SUM(H486,M486,R486,W486,AB486,AG486,AL486,AQ486,AV486,BA486,BF486,BK486)</f>
        <v>0</v>
      </c>
      <c r="BQ486" s="16">
        <f>SUM(I486,N486,S486,X486,AC486,AH486,AM486,AR486,AW486,BB486,BG486,BL486)</f>
        <v>0</v>
      </c>
      <c r="BR486" s="17">
        <f>SUM(J486,O486,T486,Y486,AD486,AI486,AN486,AS486,AX486,BC486,BH486,BM486)</f>
        <v>0</v>
      </c>
      <c r="BS486" s="35">
        <f t="shared" si="270"/>
        <v>292</v>
      </c>
    </row>
    <row r="487" spans="2:71" x14ac:dyDescent="0.3">
      <c r="B487" s="254"/>
      <c r="C487" s="204"/>
      <c r="D487" s="200"/>
      <c r="E487" s="201"/>
      <c r="F487" s="123" t="s">
        <v>603</v>
      </c>
      <c r="G487" s="34"/>
      <c r="H487" s="16"/>
      <c r="I487" s="16"/>
      <c r="J487" s="17"/>
      <c r="K487" s="18">
        <f t="shared" si="310"/>
        <v>0</v>
      </c>
      <c r="L487" s="34"/>
      <c r="M487" s="16"/>
      <c r="N487" s="16"/>
      <c r="O487" s="17"/>
      <c r="P487" s="18">
        <f t="shared" si="299"/>
        <v>0</v>
      </c>
      <c r="Q487" s="34"/>
      <c r="R487" s="16"/>
      <c r="S487" s="16"/>
      <c r="T487" s="17"/>
      <c r="U487" s="18">
        <f t="shared" si="300"/>
        <v>0</v>
      </c>
      <c r="V487" s="34"/>
      <c r="W487" s="16"/>
      <c r="X487" s="16"/>
      <c r="Y487" s="17"/>
      <c r="Z487" s="18">
        <f t="shared" si="301"/>
        <v>0</v>
      </c>
      <c r="AA487" s="34"/>
      <c r="AB487" s="16"/>
      <c r="AC487" s="16"/>
      <c r="AD487" s="17"/>
      <c r="AE487" s="18">
        <f t="shared" si="302"/>
        <v>0</v>
      </c>
      <c r="AF487" s="34">
        <v>29</v>
      </c>
      <c r="AG487" s="16"/>
      <c r="AH487" s="16"/>
      <c r="AI487" s="17"/>
      <c r="AJ487" s="18">
        <f t="shared" si="303"/>
        <v>29</v>
      </c>
      <c r="AK487" s="34">
        <v>16</v>
      </c>
      <c r="AL487" s="16"/>
      <c r="AM487" s="16"/>
      <c r="AN487" s="17"/>
      <c r="AO487" s="18">
        <f t="shared" si="304"/>
        <v>16</v>
      </c>
      <c r="AP487" s="34">
        <v>23</v>
      </c>
      <c r="AQ487" s="16"/>
      <c r="AR487" s="16"/>
      <c r="AS487" s="17"/>
      <c r="AT487" s="18">
        <f t="shared" si="305"/>
        <v>23</v>
      </c>
      <c r="AU487" s="34"/>
      <c r="AV487" s="16"/>
      <c r="AW487" s="16"/>
      <c r="AX487" s="17"/>
      <c r="AY487" s="18">
        <f t="shared" si="306"/>
        <v>0</v>
      </c>
      <c r="AZ487" s="34"/>
      <c r="BA487" s="16"/>
      <c r="BB487" s="16"/>
      <c r="BC487" s="17"/>
      <c r="BD487" s="18">
        <f t="shared" si="307"/>
        <v>0</v>
      </c>
      <c r="BE487" s="34"/>
      <c r="BF487" s="16"/>
      <c r="BG487" s="16"/>
      <c r="BH487" s="17"/>
      <c r="BI487" s="18">
        <f t="shared" si="308"/>
        <v>0</v>
      </c>
      <c r="BJ487" s="34"/>
      <c r="BK487" s="16"/>
      <c r="BL487" s="16"/>
      <c r="BM487" s="17"/>
      <c r="BN487" s="18">
        <f t="shared" si="309"/>
        <v>0</v>
      </c>
      <c r="BO487" s="70">
        <f>SUM(G487,L487,Q487,V487,AA487,AF487,AK487,AP487,AU487,AZ487,BE487,BJ487)</f>
        <v>68</v>
      </c>
      <c r="BP487" s="16">
        <f>SUM(H487,M487,R487,W487,AB487,AG487,AL487,AQ487,AV487,BA487,BF487,BK487)</f>
        <v>0</v>
      </c>
      <c r="BQ487" s="16">
        <f>SUM(I487,N487,S487,X487,AC487,AH487,AM487,AR487,AW487,BB487,BG487,BL487)</f>
        <v>0</v>
      </c>
      <c r="BR487" s="17">
        <f>SUM(J487,O487,T487,Y487,AD487,AI487,AN487,AS487,AX487,BC487,BH487,BM487)</f>
        <v>0</v>
      </c>
      <c r="BS487" s="35">
        <f t="shared" si="270"/>
        <v>68</v>
      </c>
    </row>
    <row r="488" spans="2:71" x14ac:dyDescent="0.3">
      <c r="B488" s="254"/>
      <c r="C488" s="204"/>
      <c r="D488" s="200"/>
      <c r="E488" s="201"/>
      <c r="F488" s="123" t="s">
        <v>846</v>
      </c>
      <c r="G488" s="34"/>
      <c r="H488" s="16"/>
      <c r="I488" s="16"/>
      <c r="J488" s="17"/>
      <c r="K488" s="18">
        <f t="shared" si="310"/>
        <v>0</v>
      </c>
      <c r="L488" s="34"/>
      <c r="M488" s="16"/>
      <c r="N488" s="16"/>
      <c r="O488" s="17"/>
      <c r="P488" s="18">
        <f t="shared" si="299"/>
        <v>0</v>
      </c>
      <c r="Q488" s="34"/>
      <c r="R488" s="16"/>
      <c r="S488" s="16"/>
      <c r="T488" s="17"/>
      <c r="U488" s="18">
        <f t="shared" si="300"/>
        <v>0</v>
      </c>
      <c r="V488" s="34"/>
      <c r="W488" s="16"/>
      <c r="X488" s="16"/>
      <c r="Y488" s="17"/>
      <c r="Z488" s="18">
        <f t="shared" si="301"/>
        <v>0</v>
      </c>
      <c r="AA488" s="34">
        <v>5</v>
      </c>
      <c r="AB488" s="16"/>
      <c r="AC488" s="16"/>
      <c r="AD488" s="17"/>
      <c r="AE488" s="18">
        <f t="shared" si="302"/>
        <v>5</v>
      </c>
      <c r="AF488" s="34">
        <v>77</v>
      </c>
      <c r="AG488" s="16"/>
      <c r="AH488" s="16"/>
      <c r="AI488" s="17"/>
      <c r="AJ488" s="18">
        <f t="shared" si="303"/>
        <v>77</v>
      </c>
      <c r="AK488" s="34">
        <v>17</v>
      </c>
      <c r="AL488" s="16"/>
      <c r="AM488" s="16"/>
      <c r="AN488" s="17"/>
      <c r="AO488" s="18">
        <f t="shared" si="304"/>
        <v>17</v>
      </c>
      <c r="AP488" s="34">
        <v>65</v>
      </c>
      <c r="AQ488" s="16"/>
      <c r="AR488" s="16"/>
      <c r="AS488" s="17"/>
      <c r="AT488" s="18">
        <f t="shared" si="305"/>
        <v>65</v>
      </c>
      <c r="AU488" s="34"/>
      <c r="AV488" s="16"/>
      <c r="AW488" s="16"/>
      <c r="AX488" s="17"/>
      <c r="AY488" s="18">
        <f t="shared" si="306"/>
        <v>0</v>
      </c>
      <c r="AZ488" s="34"/>
      <c r="BA488" s="16"/>
      <c r="BB488" s="16"/>
      <c r="BC488" s="17"/>
      <c r="BD488" s="18">
        <f t="shared" si="307"/>
        <v>0</v>
      </c>
      <c r="BE488" s="34"/>
      <c r="BF488" s="16"/>
      <c r="BG488" s="16"/>
      <c r="BH488" s="17"/>
      <c r="BI488" s="18">
        <f t="shared" si="308"/>
        <v>0</v>
      </c>
      <c r="BJ488" s="34"/>
      <c r="BK488" s="16"/>
      <c r="BL488" s="16"/>
      <c r="BM488" s="17"/>
      <c r="BN488" s="18">
        <f t="shared" si="309"/>
        <v>0</v>
      </c>
      <c r="BO488" s="70">
        <f>SUM(G488,L488,Q488,V488,AA488,AF488,AK488,AP488,AU488,AZ488,BE488,BJ488)</f>
        <v>164</v>
      </c>
      <c r="BP488" s="16">
        <f>SUM(H488,M488,R488,W488,AB488,AG488,AL488,AQ488,AV488,BA488,BF488,BK488)</f>
        <v>0</v>
      </c>
      <c r="BQ488" s="16">
        <f>SUM(I488,N488,S488,X488,AC488,AH488,AM488,AR488,AW488,BB488,BG488,BL488)</f>
        <v>0</v>
      </c>
      <c r="BR488" s="17">
        <f>SUM(J488,O488,T488,Y488,AD488,AI488,AN488,AS488,AX488,BC488,BH488,BM488)</f>
        <v>0</v>
      </c>
      <c r="BS488" s="35">
        <f t="shared" si="270"/>
        <v>164</v>
      </c>
    </row>
    <row r="489" spans="2:71" x14ac:dyDescent="0.3">
      <c r="B489" s="254"/>
      <c r="C489" s="204"/>
      <c r="D489" s="200"/>
      <c r="E489" s="201"/>
      <c r="F489" s="123" t="s">
        <v>847</v>
      </c>
      <c r="G489" s="34"/>
      <c r="H489" s="16"/>
      <c r="I489" s="16"/>
      <c r="J489" s="17"/>
      <c r="K489" s="18">
        <f t="shared" si="310"/>
        <v>0</v>
      </c>
      <c r="L489" s="34"/>
      <c r="M489" s="16"/>
      <c r="N489" s="16"/>
      <c r="O489" s="17"/>
      <c r="P489" s="18">
        <f t="shared" si="299"/>
        <v>0</v>
      </c>
      <c r="Q489" s="34"/>
      <c r="R489" s="16"/>
      <c r="S489" s="16"/>
      <c r="T489" s="17"/>
      <c r="U489" s="18">
        <f t="shared" si="300"/>
        <v>0</v>
      </c>
      <c r="V489" s="34"/>
      <c r="W489" s="16"/>
      <c r="X489" s="16"/>
      <c r="Y489" s="17"/>
      <c r="Z489" s="18">
        <f t="shared" si="301"/>
        <v>0</v>
      </c>
      <c r="AA489" s="34"/>
      <c r="AB489" s="16"/>
      <c r="AC489" s="16"/>
      <c r="AD489" s="17"/>
      <c r="AE489" s="18">
        <f t="shared" si="302"/>
        <v>0</v>
      </c>
      <c r="AF489" s="34">
        <v>16</v>
      </c>
      <c r="AG489" s="16"/>
      <c r="AH489" s="16"/>
      <c r="AI489" s="17"/>
      <c r="AJ489" s="18">
        <f t="shared" si="303"/>
        <v>16</v>
      </c>
      <c r="AK489" s="34">
        <v>3</v>
      </c>
      <c r="AL489" s="16"/>
      <c r="AM489" s="16"/>
      <c r="AN489" s="17"/>
      <c r="AO489" s="18">
        <f t="shared" si="304"/>
        <v>3</v>
      </c>
      <c r="AP489" s="34">
        <v>14</v>
      </c>
      <c r="AQ489" s="16"/>
      <c r="AR489" s="16"/>
      <c r="AS489" s="17"/>
      <c r="AT489" s="18">
        <f t="shared" si="305"/>
        <v>14</v>
      </c>
      <c r="AU489" s="34"/>
      <c r="AV489" s="16"/>
      <c r="AW489" s="16"/>
      <c r="AX489" s="17"/>
      <c r="AY489" s="18">
        <f t="shared" si="306"/>
        <v>0</v>
      </c>
      <c r="AZ489" s="34"/>
      <c r="BA489" s="16"/>
      <c r="BB489" s="16"/>
      <c r="BC489" s="17"/>
      <c r="BD489" s="18">
        <f t="shared" si="307"/>
        <v>0</v>
      </c>
      <c r="BE489" s="34"/>
      <c r="BF489" s="16"/>
      <c r="BG489" s="16"/>
      <c r="BH489" s="17"/>
      <c r="BI489" s="18">
        <f t="shared" si="308"/>
        <v>0</v>
      </c>
      <c r="BJ489" s="34"/>
      <c r="BK489" s="16"/>
      <c r="BL489" s="16"/>
      <c r="BM489" s="17"/>
      <c r="BN489" s="18">
        <f t="shared" si="309"/>
        <v>0</v>
      </c>
      <c r="BO489" s="70">
        <f>SUM(G489,L489,Q489,V489,AA489,AF489,AK489,AP489,AU489,AZ489,BE489,BJ489)</f>
        <v>33</v>
      </c>
      <c r="BP489" s="16">
        <f>SUM(H489,M489,R489,W489,AB489,AG489,AL489,AQ489,AV489,BA489,BF489,BK489)</f>
        <v>0</v>
      </c>
      <c r="BQ489" s="16">
        <f>SUM(I489,N489,S489,X489,AC489,AH489,AM489,AR489,AW489,BB489,BG489,BL489)</f>
        <v>0</v>
      </c>
      <c r="BR489" s="17">
        <f>SUM(J489,O489,T489,Y489,AD489,AI489,AN489,AS489,AX489,BC489,BH489,BM489)</f>
        <v>0</v>
      </c>
      <c r="BS489" s="35">
        <f t="shared" si="270"/>
        <v>33</v>
      </c>
    </row>
    <row r="490" spans="2:71" x14ac:dyDescent="0.3">
      <c r="B490" s="254"/>
      <c r="C490" s="204"/>
      <c r="D490" s="200"/>
      <c r="E490" s="201"/>
      <c r="F490" s="123" t="s">
        <v>848</v>
      </c>
      <c r="G490" s="34"/>
      <c r="H490" s="16"/>
      <c r="I490" s="16"/>
      <c r="J490" s="17"/>
      <c r="K490" s="18">
        <f t="shared" si="310"/>
        <v>0</v>
      </c>
      <c r="L490" s="34"/>
      <c r="M490" s="16"/>
      <c r="N490" s="16"/>
      <c r="O490" s="17"/>
      <c r="P490" s="18">
        <f t="shared" si="299"/>
        <v>0</v>
      </c>
      <c r="Q490" s="34"/>
      <c r="R490" s="16"/>
      <c r="S490" s="16"/>
      <c r="T490" s="17"/>
      <c r="U490" s="18">
        <f t="shared" si="300"/>
        <v>0</v>
      </c>
      <c r="V490" s="34"/>
      <c r="W490" s="16"/>
      <c r="X490" s="16"/>
      <c r="Y490" s="17"/>
      <c r="Z490" s="18">
        <f t="shared" si="301"/>
        <v>0</v>
      </c>
      <c r="AA490" s="34"/>
      <c r="AB490" s="16"/>
      <c r="AC490" s="16"/>
      <c r="AD490" s="17"/>
      <c r="AE490" s="18">
        <f t="shared" si="302"/>
        <v>0</v>
      </c>
      <c r="AF490" s="34"/>
      <c r="AG490" s="16"/>
      <c r="AH490" s="16"/>
      <c r="AI490" s="17"/>
      <c r="AJ490" s="18">
        <f t="shared" si="303"/>
        <v>0</v>
      </c>
      <c r="AK490" s="34">
        <v>524</v>
      </c>
      <c r="AL490" s="16"/>
      <c r="AM490" s="16"/>
      <c r="AN490" s="17"/>
      <c r="AO490" s="18">
        <f t="shared" si="304"/>
        <v>524</v>
      </c>
      <c r="AP490" s="34">
        <v>1347</v>
      </c>
      <c r="AQ490" s="16"/>
      <c r="AR490" s="16"/>
      <c r="AS490" s="17"/>
      <c r="AT490" s="18">
        <f t="shared" si="305"/>
        <v>1347</v>
      </c>
      <c r="AU490" s="34">
        <v>28</v>
      </c>
      <c r="AV490" s="16"/>
      <c r="AW490" s="16"/>
      <c r="AX490" s="17"/>
      <c r="AY490" s="18">
        <f t="shared" si="306"/>
        <v>28</v>
      </c>
      <c r="AZ490" s="34"/>
      <c r="BA490" s="16"/>
      <c r="BB490" s="16"/>
      <c r="BC490" s="17"/>
      <c r="BD490" s="18">
        <f t="shared" si="307"/>
        <v>0</v>
      </c>
      <c r="BE490" s="34"/>
      <c r="BF490" s="16"/>
      <c r="BG490" s="16"/>
      <c r="BH490" s="17"/>
      <c r="BI490" s="18">
        <f t="shared" si="308"/>
        <v>0</v>
      </c>
      <c r="BJ490" s="34"/>
      <c r="BK490" s="16"/>
      <c r="BL490" s="16"/>
      <c r="BM490" s="17"/>
      <c r="BN490" s="18">
        <f t="shared" si="309"/>
        <v>0</v>
      </c>
      <c r="BO490" s="70">
        <f>SUM(G490,L490,Q490,V490,AA490,AF490,AK490,AP490,AU490,AZ490,BE490,BJ490)</f>
        <v>1899</v>
      </c>
      <c r="BP490" s="16">
        <f>SUM(H490,M490,R490,W490,AB490,AG490,AL490,AQ490,AV490,BA490,BF490,BK490)</f>
        <v>0</v>
      </c>
      <c r="BQ490" s="16">
        <f>SUM(I490,N490,S490,X490,AC490,AH490,AM490,AR490,AW490,BB490,BG490,BL490)</f>
        <v>0</v>
      </c>
      <c r="BR490" s="17">
        <f>SUM(J490,O490,T490,Y490,AD490,AI490,AN490,AS490,AX490,BC490,BH490,BM490)</f>
        <v>0</v>
      </c>
      <c r="BS490" s="35">
        <f t="shared" si="270"/>
        <v>1899</v>
      </c>
    </row>
    <row r="491" spans="2:71" x14ac:dyDescent="0.3">
      <c r="B491" s="254"/>
      <c r="C491" s="204"/>
      <c r="D491" s="200"/>
      <c r="E491" s="201"/>
      <c r="F491" s="123" t="s">
        <v>849</v>
      </c>
      <c r="G491" s="34"/>
      <c r="H491" s="16"/>
      <c r="I491" s="16"/>
      <c r="J491" s="17"/>
      <c r="K491" s="18">
        <f t="shared" si="310"/>
        <v>0</v>
      </c>
      <c r="L491" s="34"/>
      <c r="M491" s="16"/>
      <c r="N491" s="16"/>
      <c r="O491" s="17"/>
      <c r="P491" s="18">
        <f t="shared" si="299"/>
        <v>0</v>
      </c>
      <c r="Q491" s="34"/>
      <c r="R491" s="16"/>
      <c r="S491" s="16"/>
      <c r="T491" s="17"/>
      <c r="U491" s="18">
        <f t="shared" si="300"/>
        <v>0</v>
      </c>
      <c r="V491" s="34"/>
      <c r="W491" s="16"/>
      <c r="X491" s="16"/>
      <c r="Y491" s="17"/>
      <c r="Z491" s="18">
        <f t="shared" si="301"/>
        <v>0</v>
      </c>
      <c r="AA491" s="34"/>
      <c r="AB491" s="16"/>
      <c r="AC491" s="16"/>
      <c r="AD491" s="17"/>
      <c r="AE491" s="18">
        <f t="shared" si="302"/>
        <v>0</v>
      </c>
      <c r="AF491" s="34"/>
      <c r="AG491" s="16"/>
      <c r="AH491" s="16"/>
      <c r="AI491" s="17"/>
      <c r="AJ491" s="18">
        <f t="shared" si="303"/>
        <v>0</v>
      </c>
      <c r="AK491" s="34">
        <v>236</v>
      </c>
      <c r="AL491" s="16"/>
      <c r="AM491" s="16"/>
      <c r="AN491" s="17"/>
      <c r="AO491" s="18">
        <f t="shared" si="304"/>
        <v>236</v>
      </c>
      <c r="AP491" s="34">
        <v>672</v>
      </c>
      <c r="AQ491" s="16"/>
      <c r="AR491" s="16"/>
      <c r="AS491" s="17"/>
      <c r="AT491" s="18">
        <f t="shared" si="305"/>
        <v>672</v>
      </c>
      <c r="AU491" s="34">
        <v>21</v>
      </c>
      <c r="AV491" s="16"/>
      <c r="AW491" s="16"/>
      <c r="AX491" s="17"/>
      <c r="AY491" s="18">
        <f t="shared" si="306"/>
        <v>21</v>
      </c>
      <c r="AZ491" s="34"/>
      <c r="BA491" s="16"/>
      <c r="BB491" s="16"/>
      <c r="BC491" s="17"/>
      <c r="BD491" s="18">
        <f t="shared" si="307"/>
        <v>0</v>
      </c>
      <c r="BE491" s="34"/>
      <c r="BF491" s="16"/>
      <c r="BG491" s="16"/>
      <c r="BH491" s="17"/>
      <c r="BI491" s="18">
        <f t="shared" si="308"/>
        <v>0</v>
      </c>
      <c r="BJ491" s="34"/>
      <c r="BK491" s="16"/>
      <c r="BL491" s="16"/>
      <c r="BM491" s="17"/>
      <c r="BN491" s="18">
        <f t="shared" si="309"/>
        <v>0</v>
      </c>
      <c r="BO491" s="70">
        <f>SUM(G491,L491,Q491,V491,AA491,AF491,AK491,AP491,AU491,AZ491,BE491,BJ491)</f>
        <v>929</v>
      </c>
      <c r="BP491" s="16">
        <f>SUM(H491,M491,R491,W491,AB491,AG491,AL491,AQ491,AV491,BA491,BF491,BK491)</f>
        <v>0</v>
      </c>
      <c r="BQ491" s="16">
        <f>SUM(I491,N491,S491,X491,AC491,AH491,AM491,AR491,AW491,BB491,BG491,BL491)</f>
        <v>0</v>
      </c>
      <c r="BR491" s="17">
        <f>SUM(J491,O491,T491,Y491,AD491,AI491,AN491,AS491,AX491,BC491,BH491,BM491)</f>
        <v>0</v>
      </c>
      <c r="BS491" s="35">
        <f t="shared" si="270"/>
        <v>929</v>
      </c>
    </row>
    <row r="492" spans="2:71" x14ac:dyDescent="0.3">
      <c r="B492" s="254"/>
      <c r="C492" s="204"/>
      <c r="D492" s="200"/>
      <c r="E492" s="201"/>
      <c r="F492" s="123" t="s">
        <v>605</v>
      </c>
      <c r="G492" s="34"/>
      <c r="H492" s="16"/>
      <c r="I492" s="16"/>
      <c r="J492" s="17"/>
      <c r="K492" s="18">
        <f t="shared" si="310"/>
        <v>0</v>
      </c>
      <c r="L492" s="34"/>
      <c r="M492" s="16"/>
      <c r="N492" s="16"/>
      <c r="O492" s="17"/>
      <c r="P492" s="18">
        <f t="shared" si="299"/>
        <v>0</v>
      </c>
      <c r="Q492" s="34"/>
      <c r="R492" s="16"/>
      <c r="S492" s="16"/>
      <c r="T492" s="17"/>
      <c r="U492" s="18">
        <f t="shared" si="300"/>
        <v>0</v>
      </c>
      <c r="V492" s="34"/>
      <c r="W492" s="16"/>
      <c r="X492" s="16"/>
      <c r="Y492" s="17"/>
      <c r="Z492" s="18">
        <f t="shared" si="301"/>
        <v>0</v>
      </c>
      <c r="AA492" s="34"/>
      <c r="AB492" s="16"/>
      <c r="AC492" s="16"/>
      <c r="AD492" s="17"/>
      <c r="AE492" s="18">
        <f t="shared" si="302"/>
        <v>0</v>
      </c>
      <c r="AF492" s="34"/>
      <c r="AG492" s="16"/>
      <c r="AH492" s="16"/>
      <c r="AI492" s="17"/>
      <c r="AJ492" s="18">
        <f t="shared" si="303"/>
        <v>0</v>
      </c>
      <c r="AK492" s="34"/>
      <c r="AL492" s="16"/>
      <c r="AM492" s="16"/>
      <c r="AN492" s="17"/>
      <c r="AO492" s="18">
        <f t="shared" si="304"/>
        <v>0</v>
      </c>
      <c r="AP492" s="34">
        <v>462</v>
      </c>
      <c r="AQ492" s="16"/>
      <c r="AR492" s="16"/>
      <c r="AS492" s="17"/>
      <c r="AT492" s="18">
        <f t="shared" si="305"/>
        <v>462</v>
      </c>
      <c r="AU492" s="34">
        <v>8530</v>
      </c>
      <c r="AV492" s="16"/>
      <c r="AW492" s="16"/>
      <c r="AX492" s="17"/>
      <c r="AY492" s="18">
        <f t="shared" si="306"/>
        <v>8530</v>
      </c>
      <c r="AZ492" s="34">
        <v>27524</v>
      </c>
      <c r="BA492" s="16"/>
      <c r="BB492" s="16"/>
      <c r="BC492" s="17"/>
      <c r="BD492" s="18">
        <f t="shared" si="307"/>
        <v>27524</v>
      </c>
      <c r="BE492" s="34">
        <v>14338</v>
      </c>
      <c r="BF492" s="16"/>
      <c r="BG492" s="16"/>
      <c r="BH492" s="17"/>
      <c r="BI492" s="18">
        <f t="shared" si="308"/>
        <v>14338</v>
      </c>
      <c r="BJ492" s="34">
        <v>82</v>
      </c>
      <c r="BK492" s="16"/>
      <c r="BL492" s="16"/>
      <c r="BM492" s="17"/>
      <c r="BN492" s="18">
        <f t="shared" si="309"/>
        <v>82</v>
      </c>
      <c r="BO492" s="70">
        <f>SUM(G492,L492,Q492,V492,AA492,AF492,AK492,AP492,AU492,AZ492,BE492,BJ492)</f>
        <v>50936</v>
      </c>
      <c r="BP492" s="16">
        <f>SUM(H492,M492,R492,W492,AB492,AG492,AL492,AQ492,AV492,BA492,BF492,BK492)</f>
        <v>0</v>
      </c>
      <c r="BQ492" s="16">
        <f>SUM(I492,N492,S492,X492,AC492,AH492,AM492,AR492,AW492,BB492,BG492,BL492)</f>
        <v>0</v>
      </c>
      <c r="BR492" s="17">
        <f>SUM(J492,O492,T492,Y492,AD492,AI492,AN492,AS492,AX492,BC492,BH492,BM492)</f>
        <v>0</v>
      </c>
      <c r="BS492" s="35">
        <f t="shared" ref="BS492:BS509" si="311">SUM(BO492:BR492)</f>
        <v>50936</v>
      </c>
    </row>
    <row r="493" spans="2:71" x14ac:dyDescent="0.3">
      <c r="B493" s="254"/>
      <c r="C493" s="204"/>
      <c r="D493" s="200"/>
      <c r="E493" s="201"/>
      <c r="F493" s="123" t="s">
        <v>850</v>
      </c>
      <c r="G493" s="34"/>
      <c r="H493" s="16"/>
      <c r="I493" s="16"/>
      <c r="J493" s="17"/>
      <c r="K493" s="18">
        <f t="shared" si="310"/>
        <v>0</v>
      </c>
      <c r="L493" s="34"/>
      <c r="M493" s="16"/>
      <c r="N493" s="16"/>
      <c r="O493" s="17"/>
      <c r="P493" s="18">
        <f t="shared" si="299"/>
        <v>0</v>
      </c>
      <c r="Q493" s="34"/>
      <c r="R493" s="16"/>
      <c r="S493" s="16"/>
      <c r="T493" s="17"/>
      <c r="U493" s="18">
        <f t="shared" si="300"/>
        <v>0</v>
      </c>
      <c r="V493" s="34"/>
      <c r="W493" s="16"/>
      <c r="X493" s="16"/>
      <c r="Y493" s="17"/>
      <c r="Z493" s="18">
        <f t="shared" si="301"/>
        <v>0</v>
      </c>
      <c r="AA493" s="34"/>
      <c r="AB493" s="16"/>
      <c r="AC493" s="16"/>
      <c r="AD493" s="17"/>
      <c r="AE493" s="18">
        <f t="shared" si="302"/>
        <v>0</v>
      </c>
      <c r="AF493" s="34"/>
      <c r="AG493" s="16"/>
      <c r="AH493" s="16"/>
      <c r="AI493" s="17"/>
      <c r="AJ493" s="18">
        <f t="shared" si="303"/>
        <v>0</v>
      </c>
      <c r="AK493" s="34"/>
      <c r="AL493" s="16"/>
      <c r="AM493" s="16"/>
      <c r="AN493" s="17"/>
      <c r="AO493" s="18">
        <f t="shared" si="304"/>
        <v>0</v>
      </c>
      <c r="AP493" s="34">
        <v>466</v>
      </c>
      <c r="AQ493" s="16"/>
      <c r="AR493" s="16"/>
      <c r="AS493" s="17"/>
      <c r="AT493" s="18">
        <f t="shared" si="305"/>
        <v>466</v>
      </c>
      <c r="AU493" s="34">
        <v>6033</v>
      </c>
      <c r="AV493" s="16"/>
      <c r="AW493" s="16"/>
      <c r="AX493" s="17"/>
      <c r="AY493" s="18">
        <f t="shared" si="306"/>
        <v>6033</v>
      </c>
      <c r="AZ493" s="34">
        <v>12715</v>
      </c>
      <c r="BA493" s="16"/>
      <c r="BB493" s="16"/>
      <c r="BC493" s="17"/>
      <c r="BD493" s="18">
        <f t="shared" si="307"/>
        <v>12715</v>
      </c>
      <c r="BE493" s="34">
        <v>8203</v>
      </c>
      <c r="BF493" s="16"/>
      <c r="BG493" s="16"/>
      <c r="BH493" s="17"/>
      <c r="BI493" s="18">
        <f t="shared" si="308"/>
        <v>8203</v>
      </c>
      <c r="BJ493" s="34">
        <v>10</v>
      </c>
      <c r="BK493" s="16"/>
      <c r="BL493" s="16"/>
      <c r="BM493" s="17"/>
      <c r="BN493" s="18">
        <f t="shared" si="309"/>
        <v>10</v>
      </c>
      <c r="BO493" s="70">
        <f>SUM(G493,L493,Q493,V493,AA493,AF493,AK493,AP493,AU493,AZ493,BE493,BJ493)</f>
        <v>27427</v>
      </c>
      <c r="BP493" s="16">
        <f>SUM(H493,M493,R493,W493,AB493,AG493,AL493,AQ493,AV493,BA493,BF493,BK493)</f>
        <v>0</v>
      </c>
      <c r="BQ493" s="16">
        <f>SUM(I493,N493,S493,X493,AC493,AH493,AM493,AR493,AW493,BB493,BG493,BL493)</f>
        <v>0</v>
      </c>
      <c r="BR493" s="17">
        <f>SUM(J493,O493,T493,Y493,AD493,AI493,AN493,AS493,AX493,BC493,BH493,BM493)</f>
        <v>0</v>
      </c>
      <c r="BS493" s="35">
        <f t="shared" si="311"/>
        <v>27427</v>
      </c>
    </row>
    <row r="494" spans="2:71" x14ac:dyDescent="0.3">
      <c r="B494" s="254"/>
      <c r="C494" s="204"/>
      <c r="D494" s="200"/>
      <c r="E494" s="201"/>
      <c r="F494" s="123" t="s">
        <v>606</v>
      </c>
      <c r="G494" s="34"/>
      <c r="H494" s="16"/>
      <c r="I494" s="16"/>
      <c r="J494" s="17"/>
      <c r="K494" s="18">
        <f t="shared" si="310"/>
        <v>0</v>
      </c>
      <c r="L494" s="34"/>
      <c r="M494" s="16"/>
      <c r="N494" s="16"/>
      <c r="O494" s="17"/>
      <c r="P494" s="18">
        <f t="shared" si="299"/>
        <v>0</v>
      </c>
      <c r="Q494" s="34"/>
      <c r="R494" s="16"/>
      <c r="S494" s="16"/>
      <c r="T494" s="17"/>
      <c r="U494" s="18">
        <f t="shared" si="300"/>
        <v>0</v>
      </c>
      <c r="V494" s="34"/>
      <c r="W494" s="16"/>
      <c r="X494" s="16"/>
      <c r="Y494" s="17"/>
      <c r="Z494" s="18">
        <f t="shared" si="301"/>
        <v>0</v>
      </c>
      <c r="AA494" s="34"/>
      <c r="AB494" s="16"/>
      <c r="AC494" s="16"/>
      <c r="AD494" s="17"/>
      <c r="AE494" s="18">
        <f t="shared" si="302"/>
        <v>0</v>
      </c>
      <c r="AF494" s="34"/>
      <c r="AG494" s="16"/>
      <c r="AH494" s="16"/>
      <c r="AI494" s="17"/>
      <c r="AJ494" s="18">
        <f t="shared" si="303"/>
        <v>0</v>
      </c>
      <c r="AK494" s="34"/>
      <c r="AL494" s="16"/>
      <c r="AM494" s="16"/>
      <c r="AN494" s="17"/>
      <c r="AO494" s="18">
        <f t="shared" si="304"/>
        <v>0</v>
      </c>
      <c r="AP494" s="34">
        <v>516</v>
      </c>
      <c r="AQ494" s="16"/>
      <c r="AR494" s="16"/>
      <c r="AS494" s="17"/>
      <c r="AT494" s="18">
        <f t="shared" si="305"/>
        <v>516</v>
      </c>
      <c r="AU494" s="34">
        <v>4091</v>
      </c>
      <c r="AV494" s="16"/>
      <c r="AW494" s="16"/>
      <c r="AX494" s="17"/>
      <c r="AY494" s="18">
        <f t="shared" si="306"/>
        <v>4091</v>
      </c>
      <c r="AZ494" s="34">
        <v>7899</v>
      </c>
      <c r="BA494" s="16"/>
      <c r="BB494" s="16"/>
      <c r="BC494" s="17"/>
      <c r="BD494" s="18">
        <f t="shared" si="307"/>
        <v>7899</v>
      </c>
      <c r="BE494" s="34">
        <v>4346</v>
      </c>
      <c r="BF494" s="16"/>
      <c r="BG494" s="16"/>
      <c r="BH494" s="17"/>
      <c r="BI494" s="18">
        <f t="shared" si="308"/>
        <v>4346</v>
      </c>
      <c r="BJ494" s="34">
        <v>9</v>
      </c>
      <c r="BK494" s="16"/>
      <c r="BL494" s="16"/>
      <c r="BM494" s="17"/>
      <c r="BN494" s="18">
        <f t="shared" si="309"/>
        <v>9</v>
      </c>
      <c r="BO494" s="70">
        <f>SUM(G494,L494,Q494,V494,AA494,AF494,AK494,AP494,AU494,AZ494,BE494,BJ494)</f>
        <v>16861</v>
      </c>
      <c r="BP494" s="16">
        <f>SUM(H494,M494,R494,W494,AB494,AG494,AL494,AQ494,AV494,BA494,BF494,BK494)</f>
        <v>0</v>
      </c>
      <c r="BQ494" s="16">
        <f>SUM(I494,N494,S494,X494,AC494,AH494,AM494,AR494,AW494,BB494,BG494,BL494)</f>
        <v>0</v>
      </c>
      <c r="BR494" s="17">
        <f>SUM(J494,O494,T494,Y494,AD494,AI494,AN494,AS494,AX494,BC494,BH494,BM494)</f>
        <v>0</v>
      </c>
      <c r="BS494" s="35">
        <f t="shared" si="311"/>
        <v>16861</v>
      </c>
    </row>
    <row r="495" spans="2:71" x14ac:dyDescent="0.3">
      <c r="B495" s="254"/>
      <c r="C495" s="204"/>
      <c r="D495" s="200"/>
      <c r="E495" s="201"/>
      <c r="F495" s="123" t="s">
        <v>607</v>
      </c>
      <c r="G495" s="34"/>
      <c r="H495" s="16"/>
      <c r="I495" s="16"/>
      <c r="J495" s="17"/>
      <c r="K495" s="18">
        <f t="shared" si="310"/>
        <v>0</v>
      </c>
      <c r="L495" s="34"/>
      <c r="M495" s="16"/>
      <c r="N495" s="16"/>
      <c r="O495" s="17"/>
      <c r="P495" s="18">
        <f t="shared" si="299"/>
        <v>0</v>
      </c>
      <c r="Q495" s="34"/>
      <c r="R495" s="16"/>
      <c r="S495" s="16"/>
      <c r="T495" s="17"/>
      <c r="U495" s="18">
        <f t="shared" si="300"/>
        <v>0</v>
      </c>
      <c r="V495" s="34"/>
      <c r="W495" s="16"/>
      <c r="X495" s="16"/>
      <c r="Y495" s="17"/>
      <c r="Z495" s="18">
        <f t="shared" si="301"/>
        <v>0</v>
      </c>
      <c r="AA495" s="34"/>
      <c r="AB495" s="16"/>
      <c r="AC495" s="16"/>
      <c r="AD495" s="17"/>
      <c r="AE495" s="18">
        <f t="shared" si="302"/>
        <v>0</v>
      </c>
      <c r="AF495" s="34"/>
      <c r="AG495" s="16"/>
      <c r="AH495" s="16"/>
      <c r="AI495" s="17"/>
      <c r="AJ495" s="18">
        <f t="shared" si="303"/>
        <v>0</v>
      </c>
      <c r="AK495" s="34"/>
      <c r="AL495" s="16"/>
      <c r="AM495" s="16"/>
      <c r="AN495" s="17"/>
      <c r="AO495" s="18">
        <f t="shared" si="304"/>
        <v>0</v>
      </c>
      <c r="AP495" s="34">
        <v>9</v>
      </c>
      <c r="AQ495" s="16"/>
      <c r="AR495" s="16"/>
      <c r="AS495" s="17"/>
      <c r="AT495" s="18">
        <f t="shared" si="305"/>
        <v>9</v>
      </c>
      <c r="AU495" s="34">
        <v>123</v>
      </c>
      <c r="AV495" s="16"/>
      <c r="AW495" s="16"/>
      <c r="AX495" s="17"/>
      <c r="AY495" s="18">
        <f t="shared" si="306"/>
        <v>123</v>
      </c>
      <c r="AZ495" s="34">
        <v>228</v>
      </c>
      <c r="BA495" s="16"/>
      <c r="BB495" s="16"/>
      <c r="BC495" s="17"/>
      <c r="BD495" s="18">
        <f t="shared" si="307"/>
        <v>228</v>
      </c>
      <c r="BE495" s="34">
        <v>10</v>
      </c>
      <c r="BF495" s="16"/>
      <c r="BG495" s="16"/>
      <c r="BH495" s="17"/>
      <c r="BI495" s="18">
        <f t="shared" si="308"/>
        <v>10</v>
      </c>
      <c r="BJ495" s="34"/>
      <c r="BK495" s="16"/>
      <c r="BL495" s="16"/>
      <c r="BM495" s="17"/>
      <c r="BN495" s="18">
        <f t="shared" si="309"/>
        <v>0</v>
      </c>
      <c r="BO495" s="70">
        <f>SUM(G495,L495,Q495,V495,AA495,AF495,AK495,AP495,AU495,AZ495,BE495,BJ495)</f>
        <v>370</v>
      </c>
      <c r="BP495" s="16">
        <f>SUM(H495,M495,R495,W495,AB495,AG495,AL495,AQ495,AV495,BA495,BF495,BK495)</f>
        <v>0</v>
      </c>
      <c r="BQ495" s="16">
        <f>SUM(I495,N495,S495,X495,AC495,AH495,AM495,AR495,AW495,BB495,BG495,BL495)</f>
        <v>0</v>
      </c>
      <c r="BR495" s="17">
        <f>SUM(J495,O495,T495,Y495,AD495,AI495,AN495,AS495,AX495,BC495,BH495,BM495)</f>
        <v>0</v>
      </c>
      <c r="BS495" s="35">
        <f t="shared" si="311"/>
        <v>370</v>
      </c>
    </row>
    <row r="496" spans="2:71" x14ac:dyDescent="0.3">
      <c r="B496" s="254"/>
      <c r="C496" s="204"/>
      <c r="D496" s="200"/>
      <c r="E496" s="201"/>
      <c r="F496" s="123" t="s">
        <v>851</v>
      </c>
      <c r="G496" s="34"/>
      <c r="H496" s="16"/>
      <c r="I496" s="16"/>
      <c r="J496" s="17"/>
      <c r="K496" s="18">
        <f t="shared" si="310"/>
        <v>0</v>
      </c>
      <c r="L496" s="34"/>
      <c r="M496" s="16"/>
      <c r="N496" s="16"/>
      <c r="O496" s="17"/>
      <c r="P496" s="18">
        <f t="shared" si="299"/>
        <v>0</v>
      </c>
      <c r="Q496" s="34"/>
      <c r="R496" s="16"/>
      <c r="S496" s="16"/>
      <c r="T496" s="17"/>
      <c r="U496" s="18">
        <f t="shared" si="300"/>
        <v>0</v>
      </c>
      <c r="V496" s="34"/>
      <c r="W496" s="16"/>
      <c r="X496" s="16"/>
      <c r="Y496" s="17"/>
      <c r="Z496" s="18">
        <f t="shared" si="301"/>
        <v>0</v>
      </c>
      <c r="AA496" s="34"/>
      <c r="AB496" s="16"/>
      <c r="AC496" s="16"/>
      <c r="AD496" s="17"/>
      <c r="AE496" s="18">
        <f t="shared" si="302"/>
        <v>0</v>
      </c>
      <c r="AF496" s="34"/>
      <c r="AG496" s="16"/>
      <c r="AH496" s="16"/>
      <c r="AI496" s="17"/>
      <c r="AJ496" s="18">
        <f t="shared" si="303"/>
        <v>0</v>
      </c>
      <c r="AK496" s="34"/>
      <c r="AL496" s="16"/>
      <c r="AM496" s="16"/>
      <c r="AN496" s="17"/>
      <c r="AO496" s="18">
        <f t="shared" si="304"/>
        <v>0</v>
      </c>
      <c r="AP496" s="34">
        <v>3</v>
      </c>
      <c r="AQ496" s="16"/>
      <c r="AR496" s="16"/>
      <c r="AS496" s="17"/>
      <c r="AT496" s="18">
        <f t="shared" si="305"/>
        <v>3</v>
      </c>
      <c r="AU496" s="34">
        <v>60</v>
      </c>
      <c r="AV496" s="16"/>
      <c r="AW496" s="16"/>
      <c r="AX496" s="17"/>
      <c r="AY496" s="18">
        <f t="shared" si="306"/>
        <v>60</v>
      </c>
      <c r="AZ496" s="34">
        <v>165</v>
      </c>
      <c r="BA496" s="16"/>
      <c r="BB496" s="16"/>
      <c r="BC496" s="17"/>
      <c r="BD496" s="18">
        <f t="shared" si="307"/>
        <v>165</v>
      </c>
      <c r="BE496" s="34">
        <v>2</v>
      </c>
      <c r="BF496" s="16"/>
      <c r="BG496" s="16"/>
      <c r="BH496" s="17"/>
      <c r="BI496" s="18">
        <f t="shared" si="308"/>
        <v>2</v>
      </c>
      <c r="BJ496" s="34"/>
      <c r="BK496" s="16"/>
      <c r="BL496" s="16"/>
      <c r="BM496" s="17"/>
      <c r="BN496" s="18">
        <f t="shared" si="309"/>
        <v>0</v>
      </c>
      <c r="BO496" s="70">
        <f>SUM(G496,L496,Q496,V496,AA496,AF496,AK496,AP496,AU496,AZ496,BE496,BJ496)</f>
        <v>230</v>
      </c>
      <c r="BP496" s="16">
        <f>SUM(H496,M496,R496,W496,AB496,AG496,AL496,AQ496,AV496,BA496,BF496,BK496)</f>
        <v>0</v>
      </c>
      <c r="BQ496" s="16">
        <f>SUM(I496,N496,S496,X496,AC496,AH496,AM496,AR496,AW496,BB496,BG496,BL496)</f>
        <v>0</v>
      </c>
      <c r="BR496" s="17">
        <f>SUM(J496,O496,T496,Y496,AD496,AI496,AN496,AS496,AX496,BC496,BH496,BM496)</f>
        <v>0</v>
      </c>
      <c r="BS496" s="35">
        <f t="shared" si="311"/>
        <v>230</v>
      </c>
    </row>
    <row r="497" spans="2:71" x14ac:dyDescent="0.3">
      <c r="B497" s="254"/>
      <c r="C497" s="204"/>
      <c r="D497" s="200"/>
      <c r="E497" s="201"/>
      <c r="F497" s="123" t="s">
        <v>608</v>
      </c>
      <c r="G497" s="34"/>
      <c r="H497" s="16"/>
      <c r="I497" s="16"/>
      <c r="J497" s="17"/>
      <c r="K497" s="18">
        <f t="shared" si="310"/>
        <v>0</v>
      </c>
      <c r="L497" s="34"/>
      <c r="M497" s="16"/>
      <c r="N497" s="16"/>
      <c r="O497" s="17"/>
      <c r="P497" s="18">
        <f t="shared" si="299"/>
        <v>0</v>
      </c>
      <c r="Q497" s="34"/>
      <c r="R497" s="16"/>
      <c r="S497" s="16"/>
      <c r="T497" s="17"/>
      <c r="U497" s="18">
        <f t="shared" si="300"/>
        <v>0</v>
      </c>
      <c r="V497" s="34"/>
      <c r="W497" s="16"/>
      <c r="X497" s="16"/>
      <c r="Y497" s="17"/>
      <c r="Z497" s="18">
        <f t="shared" si="301"/>
        <v>0</v>
      </c>
      <c r="AA497" s="34"/>
      <c r="AB497" s="16"/>
      <c r="AC497" s="16"/>
      <c r="AD497" s="17"/>
      <c r="AE497" s="18">
        <f t="shared" si="302"/>
        <v>0</v>
      </c>
      <c r="AF497" s="34"/>
      <c r="AG497" s="16"/>
      <c r="AH497" s="16"/>
      <c r="AI497" s="17"/>
      <c r="AJ497" s="18">
        <f t="shared" si="303"/>
        <v>0</v>
      </c>
      <c r="AK497" s="34"/>
      <c r="AL497" s="16"/>
      <c r="AM497" s="16"/>
      <c r="AN497" s="17"/>
      <c r="AO497" s="18">
        <f t="shared" si="304"/>
        <v>0</v>
      </c>
      <c r="AP497" s="34">
        <v>7</v>
      </c>
      <c r="AQ497" s="16"/>
      <c r="AR497" s="16"/>
      <c r="AS497" s="17"/>
      <c r="AT497" s="18">
        <f t="shared" si="305"/>
        <v>7</v>
      </c>
      <c r="AU497" s="34">
        <v>22</v>
      </c>
      <c r="AV497" s="16"/>
      <c r="AW497" s="16"/>
      <c r="AX497" s="17"/>
      <c r="AY497" s="18">
        <f t="shared" si="306"/>
        <v>22</v>
      </c>
      <c r="AZ497" s="34">
        <v>96</v>
      </c>
      <c r="BA497" s="16"/>
      <c r="BB497" s="16"/>
      <c r="BC497" s="17"/>
      <c r="BD497" s="18">
        <f t="shared" si="307"/>
        <v>96</v>
      </c>
      <c r="BE497" s="34"/>
      <c r="BF497" s="16"/>
      <c r="BG497" s="16"/>
      <c r="BH497" s="17"/>
      <c r="BI497" s="18">
        <f t="shared" si="308"/>
        <v>0</v>
      </c>
      <c r="BJ497" s="34"/>
      <c r="BK497" s="16"/>
      <c r="BL497" s="16"/>
      <c r="BM497" s="17"/>
      <c r="BN497" s="18">
        <f t="shared" si="309"/>
        <v>0</v>
      </c>
      <c r="BO497" s="70">
        <f>SUM(G497,L497,Q497,V497,AA497,AF497,AK497,AP497,AU497,AZ497,BE497,BJ497)</f>
        <v>125</v>
      </c>
      <c r="BP497" s="16">
        <f>SUM(H497,M497,R497,W497,AB497,AG497,AL497,AQ497,AV497,BA497,BF497,BK497)</f>
        <v>0</v>
      </c>
      <c r="BQ497" s="16">
        <f>SUM(I497,N497,S497,X497,AC497,AH497,AM497,AR497,AW497,BB497,BG497,BL497)</f>
        <v>0</v>
      </c>
      <c r="BR497" s="17">
        <f>SUM(J497,O497,T497,Y497,AD497,AI497,AN497,AS497,AX497,BC497,BH497,BM497)</f>
        <v>0</v>
      </c>
      <c r="BS497" s="35">
        <f t="shared" si="311"/>
        <v>125</v>
      </c>
    </row>
    <row r="498" spans="2:71" x14ac:dyDescent="0.3">
      <c r="B498" s="254"/>
      <c r="C498" s="204"/>
      <c r="D498" s="200"/>
      <c r="E498" s="201"/>
      <c r="F498" s="123" t="s">
        <v>613</v>
      </c>
      <c r="G498" s="34"/>
      <c r="H498" s="16"/>
      <c r="I498" s="16"/>
      <c r="J498" s="17"/>
      <c r="K498" s="18">
        <f t="shared" si="310"/>
        <v>0</v>
      </c>
      <c r="L498" s="34"/>
      <c r="M498" s="16"/>
      <c r="N498" s="16"/>
      <c r="O498" s="17"/>
      <c r="P498" s="18">
        <f t="shared" si="299"/>
        <v>0</v>
      </c>
      <c r="Q498" s="34"/>
      <c r="R498" s="16"/>
      <c r="S498" s="16"/>
      <c r="T498" s="17"/>
      <c r="U498" s="18">
        <f t="shared" si="300"/>
        <v>0</v>
      </c>
      <c r="V498" s="34"/>
      <c r="W498" s="16"/>
      <c r="X498" s="16"/>
      <c r="Y498" s="17"/>
      <c r="Z498" s="18">
        <f t="shared" si="301"/>
        <v>0</v>
      </c>
      <c r="AA498" s="34"/>
      <c r="AB498" s="16"/>
      <c r="AC498" s="16"/>
      <c r="AD498" s="17"/>
      <c r="AE498" s="18">
        <f t="shared" si="302"/>
        <v>0</v>
      </c>
      <c r="AF498" s="34"/>
      <c r="AG498" s="16"/>
      <c r="AH498" s="16"/>
      <c r="AI498" s="17"/>
      <c r="AJ498" s="18">
        <f t="shared" si="303"/>
        <v>0</v>
      </c>
      <c r="AK498" s="34"/>
      <c r="AL498" s="16"/>
      <c r="AM498" s="16"/>
      <c r="AN498" s="17"/>
      <c r="AO498" s="18">
        <f t="shared" si="304"/>
        <v>0</v>
      </c>
      <c r="AP498" s="34"/>
      <c r="AQ498" s="16"/>
      <c r="AR498" s="16"/>
      <c r="AS498" s="17"/>
      <c r="AT498" s="18">
        <f t="shared" si="305"/>
        <v>0</v>
      </c>
      <c r="AU498" s="34"/>
      <c r="AV498" s="16"/>
      <c r="AW498" s="16"/>
      <c r="AX498" s="17"/>
      <c r="AY498" s="18">
        <f t="shared" si="306"/>
        <v>0</v>
      </c>
      <c r="AZ498" s="34"/>
      <c r="BA498" s="16"/>
      <c r="BB498" s="16"/>
      <c r="BC498" s="17"/>
      <c r="BD498" s="18">
        <f t="shared" si="307"/>
        <v>0</v>
      </c>
      <c r="BE498" s="34">
        <f>581+958</f>
        <v>1539</v>
      </c>
      <c r="BF498" s="16"/>
      <c r="BG498" s="16"/>
      <c r="BH498" s="17"/>
      <c r="BI498" s="18">
        <f t="shared" si="308"/>
        <v>1539</v>
      </c>
      <c r="BJ498" s="34">
        <f>2434</f>
        <v>2434</v>
      </c>
      <c r="BK498" s="16"/>
      <c r="BL498" s="16"/>
      <c r="BM498" s="17"/>
      <c r="BN498" s="18">
        <f t="shared" ref="BN498:BN499" si="312">SUM(BJ498:BM498)</f>
        <v>2434</v>
      </c>
      <c r="BO498" s="70">
        <f>SUM(G498,L498,Q498,V498,AA498,AF498,AK498,AP498,AU498,AZ498,BE498,BJ498)</f>
        <v>3973</v>
      </c>
      <c r="BP498" s="16">
        <f>SUM(H498,M498,R498,W498,AB498,AG498,AL498,AQ498,AV498,BA498,BF498,BK498)</f>
        <v>0</v>
      </c>
      <c r="BQ498" s="16">
        <f>SUM(I498,N498,S498,X498,AC498,AH498,AM498,AR498,AW498,BB498,BG498,BL498)</f>
        <v>0</v>
      </c>
      <c r="BR498" s="17">
        <f>SUM(J498,O498,T498,Y498,AD498,AI498,AN498,AS498,AX498,BC498,BH498,BM498)</f>
        <v>0</v>
      </c>
      <c r="BS498" s="35">
        <f t="shared" si="311"/>
        <v>3973</v>
      </c>
    </row>
    <row r="499" spans="2:71" x14ac:dyDescent="0.3">
      <c r="B499" s="254"/>
      <c r="C499" s="204"/>
      <c r="D499" s="200"/>
      <c r="E499" s="201"/>
      <c r="F499" s="123" t="s">
        <v>614</v>
      </c>
      <c r="G499" s="34"/>
      <c r="H499" s="16"/>
      <c r="I499" s="16"/>
      <c r="J499" s="17"/>
      <c r="K499" s="18">
        <f t="shared" si="310"/>
        <v>0</v>
      </c>
      <c r="L499" s="34"/>
      <c r="M499" s="16"/>
      <c r="N499" s="16"/>
      <c r="O499" s="17"/>
      <c r="P499" s="18">
        <f t="shared" si="299"/>
        <v>0</v>
      </c>
      <c r="Q499" s="34"/>
      <c r="R499" s="16"/>
      <c r="S499" s="16"/>
      <c r="T499" s="17"/>
      <c r="U499" s="18">
        <f t="shared" si="300"/>
        <v>0</v>
      </c>
      <c r="V499" s="34"/>
      <c r="W499" s="16"/>
      <c r="X499" s="16"/>
      <c r="Y499" s="17"/>
      <c r="Z499" s="18">
        <f t="shared" si="301"/>
        <v>0</v>
      </c>
      <c r="AA499" s="34"/>
      <c r="AB499" s="16"/>
      <c r="AC499" s="16"/>
      <c r="AD499" s="17"/>
      <c r="AE499" s="18">
        <f t="shared" si="302"/>
        <v>0</v>
      </c>
      <c r="AF499" s="34"/>
      <c r="AG499" s="16"/>
      <c r="AH499" s="16"/>
      <c r="AI499" s="17"/>
      <c r="AJ499" s="18">
        <f t="shared" si="303"/>
        <v>0</v>
      </c>
      <c r="AK499" s="34"/>
      <c r="AL499" s="16"/>
      <c r="AM499" s="16"/>
      <c r="AN499" s="17"/>
      <c r="AO499" s="18">
        <f t="shared" si="304"/>
        <v>0</v>
      </c>
      <c r="AP499" s="34"/>
      <c r="AQ499" s="16"/>
      <c r="AR499" s="16"/>
      <c r="AS499" s="17"/>
      <c r="AT499" s="18">
        <f t="shared" si="305"/>
        <v>0</v>
      </c>
      <c r="AU499" s="34"/>
      <c r="AV499" s="16"/>
      <c r="AW499" s="16"/>
      <c r="AX499" s="17"/>
      <c r="AY499" s="18">
        <f t="shared" si="306"/>
        <v>0</v>
      </c>
      <c r="AZ499" s="34"/>
      <c r="BA499" s="16"/>
      <c r="BB499" s="16"/>
      <c r="BC499" s="17"/>
      <c r="BD499" s="18">
        <f t="shared" si="307"/>
        <v>0</v>
      </c>
      <c r="BE499" s="34">
        <f>74</f>
        <v>74</v>
      </c>
      <c r="BF499" s="16"/>
      <c r="BG499" s="16"/>
      <c r="BH499" s="17"/>
      <c r="BI499" s="18">
        <f t="shared" si="308"/>
        <v>74</v>
      </c>
      <c r="BJ499" s="34">
        <v>1717</v>
      </c>
      <c r="BK499" s="16"/>
      <c r="BL499" s="16"/>
      <c r="BM499" s="17"/>
      <c r="BN499" s="18">
        <f t="shared" si="312"/>
        <v>1717</v>
      </c>
      <c r="BO499" s="70">
        <f>SUM(G499,L499,Q499,V499,AA499,AF499,AK499,AP499,AU499,AZ499,BE499,BJ499)</f>
        <v>1791</v>
      </c>
      <c r="BP499" s="16">
        <f>SUM(H499,M499,R499,W499,AB499,AG499,AL499,AQ499,AV499,BA499,BF499,BK499)</f>
        <v>0</v>
      </c>
      <c r="BQ499" s="16">
        <f>SUM(I499,N499,S499,X499,AC499,AH499,AM499,AR499,AW499,BB499,BG499,BL499)</f>
        <v>0</v>
      </c>
      <c r="BR499" s="17">
        <f>SUM(J499,O499,T499,Y499,AD499,AI499,AN499,AS499,AX499,BC499,BH499,BM499)</f>
        <v>0</v>
      </c>
      <c r="BS499" s="35">
        <f t="shared" si="311"/>
        <v>1791</v>
      </c>
    </row>
    <row r="500" spans="2:71" x14ac:dyDescent="0.3">
      <c r="B500" s="254"/>
      <c r="C500" s="204"/>
      <c r="D500" s="200"/>
      <c r="E500" s="201"/>
      <c r="F500" s="123" t="s">
        <v>615</v>
      </c>
      <c r="G500" s="34"/>
      <c r="H500" s="16"/>
      <c r="I500" s="16"/>
      <c r="J500" s="17"/>
      <c r="K500" s="18">
        <f t="shared" si="310"/>
        <v>0</v>
      </c>
      <c r="L500" s="34"/>
      <c r="M500" s="16"/>
      <c r="N500" s="16"/>
      <c r="O500" s="17"/>
      <c r="P500" s="18">
        <f t="shared" si="299"/>
        <v>0</v>
      </c>
      <c r="Q500" s="34"/>
      <c r="R500" s="16"/>
      <c r="S500" s="16"/>
      <c r="T500" s="17"/>
      <c r="U500" s="18">
        <f t="shared" si="300"/>
        <v>0</v>
      </c>
      <c r="V500" s="34"/>
      <c r="W500" s="16"/>
      <c r="X500" s="16"/>
      <c r="Y500" s="17"/>
      <c r="Z500" s="18">
        <f t="shared" si="301"/>
        <v>0</v>
      </c>
      <c r="AA500" s="34"/>
      <c r="AB500" s="16"/>
      <c r="AC500" s="16"/>
      <c r="AD500" s="17"/>
      <c r="AE500" s="18">
        <f t="shared" si="302"/>
        <v>0</v>
      </c>
      <c r="AF500" s="34"/>
      <c r="AG500" s="16"/>
      <c r="AH500" s="16"/>
      <c r="AI500" s="17"/>
      <c r="AJ500" s="18">
        <f t="shared" si="303"/>
        <v>0</v>
      </c>
      <c r="AK500" s="34"/>
      <c r="AL500" s="16"/>
      <c r="AM500" s="16"/>
      <c r="AN500" s="17"/>
      <c r="AO500" s="18">
        <f t="shared" si="304"/>
        <v>0</v>
      </c>
      <c r="AP500" s="34"/>
      <c r="AQ500" s="16"/>
      <c r="AR500" s="16"/>
      <c r="AS500" s="17"/>
      <c r="AT500" s="18">
        <f t="shared" si="305"/>
        <v>0</v>
      </c>
      <c r="AU500" s="34"/>
      <c r="AV500" s="16"/>
      <c r="AW500" s="16"/>
      <c r="AX500" s="17"/>
      <c r="AY500" s="18">
        <f t="shared" si="306"/>
        <v>0</v>
      </c>
      <c r="AZ500" s="34"/>
      <c r="BA500" s="16"/>
      <c r="BB500" s="16"/>
      <c r="BC500" s="17"/>
      <c r="BD500" s="18">
        <f t="shared" si="307"/>
        <v>0</v>
      </c>
      <c r="BE500" s="34">
        <v>783</v>
      </c>
      <c r="BF500" s="16"/>
      <c r="BG500" s="16"/>
      <c r="BH500" s="17"/>
      <c r="BI500" s="18">
        <f t="shared" si="308"/>
        <v>783</v>
      </c>
      <c r="BJ500" s="34">
        <v>3074</v>
      </c>
      <c r="BK500" s="16"/>
      <c r="BL500" s="16"/>
      <c r="BM500" s="17"/>
      <c r="BN500" s="18">
        <f t="shared" si="309"/>
        <v>3074</v>
      </c>
      <c r="BO500" s="70">
        <f>SUM(G500,L500,Q500,V500,AA500,AF500,AK500,AP500,AU500,AZ500,BE500,BJ500)</f>
        <v>3857</v>
      </c>
      <c r="BP500" s="16">
        <f>SUM(H500,M500,R500,W500,AB500,AG500,AL500,AQ500,AV500,BA500,BF500,BK500)</f>
        <v>0</v>
      </c>
      <c r="BQ500" s="16">
        <f>SUM(I500,N500,S500,X500,AC500,AH500,AM500,AR500,AW500,BB500,BG500,BL500)</f>
        <v>0</v>
      </c>
      <c r="BR500" s="17">
        <f>SUM(J500,O500,T500,Y500,AD500,AI500,AN500,AS500,AX500,BC500,BH500,BM500)</f>
        <v>0</v>
      </c>
      <c r="BS500" s="35">
        <f t="shared" si="311"/>
        <v>3857</v>
      </c>
    </row>
    <row r="501" spans="2:71" x14ac:dyDescent="0.3">
      <c r="B501" s="254"/>
      <c r="C501" s="204"/>
      <c r="D501" s="200"/>
      <c r="E501" s="201"/>
      <c r="F501" s="123" t="s">
        <v>852</v>
      </c>
      <c r="G501" s="34"/>
      <c r="H501" s="16"/>
      <c r="I501" s="16"/>
      <c r="J501" s="17"/>
      <c r="K501" s="18">
        <f t="shared" si="310"/>
        <v>0</v>
      </c>
      <c r="L501" s="34"/>
      <c r="M501" s="16"/>
      <c r="N501" s="16"/>
      <c r="O501" s="17"/>
      <c r="P501" s="18">
        <f t="shared" si="299"/>
        <v>0</v>
      </c>
      <c r="Q501" s="34"/>
      <c r="R501" s="16"/>
      <c r="S501" s="16"/>
      <c r="T501" s="17"/>
      <c r="U501" s="18">
        <f t="shared" si="300"/>
        <v>0</v>
      </c>
      <c r="V501" s="34"/>
      <c r="W501" s="16"/>
      <c r="X501" s="16"/>
      <c r="Y501" s="17"/>
      <c r="Z501" s="18">
        <f t="shared" si="301"/>
        <v>0</v>
      </c>
      <c r="AA501" s="34"/>
      <c r="AB501" s="16"/>
      <c r="AC501" s="16"/>
      <c r="AD501" s="17"/>
      <c r="AE501" s="18">
        <f t="shared" si="302"/>
        <v>0</v>
      </c>
      <c r="AF501" s="34"/>
      <c r="AG501" s="16"/>
      <c r="AH501" s="16"/>
      <c r="AI501" s="17"/>
      <c r="AJ501" s="18">
        <f t="shared" si="303"/>
        <v>0</v>
      </c>
      <c r="AK501" s="34"/>
      <c r="AL501" s="16"/>
      <c r="AM501" s="16"/>
      <c r="AN501" s="17"/>
      <c r="AO501" s="18">
        <f t="shared" si="304"/>
        <v>0</v>
      </c>
      <c r="AP501" s="34"/>
      <c r="AQ501" s="16"/>
      <c r="AR501" s="16"/>
      <c r="AS501" s="17"/>
      <c r="AT501" s="18">
        <f t="shared" si="305"/>
        <v>0</v>
      </c>
      <c r="AU501" s="34"/>
      <c r="AV501" s="16"/>
      <c r="AW501" s="16"/>
      <c r="AX501" s="17"/>
      <c r="AY501" s="18">
        <f t="shared" si="306"/>
        <v>0</v>
      </c>
      <c r="AZ501" s="34"/>
      <c r="BA501" s="16"/>
      <c r="BB501" s="16"/>
      <c r="BC501" s="17"/>
      <c r="BD501" s="18">
        <f t="shared" si="307"/>
        <v>0</v>
      </c>
      <c r="BE501" s="34"/>
      <c r="BF501" s="16"/>
      <c r="BG501" s="16"/>
      <c r="BH501" s="17"/>
      <c r="BI501" s="18">
        <f t="shared" si="308"/>
        <v>0</v>
      </c>
      <c r="BJ501" s="34">
        <v>2</v>
      </c>
      <c r="BK501" s="16"/>
      <c r="BL501" s="16"/>
      <c r="BM501" s="17"/>
      <c r="BN501" s="18">
        <f t="shared" si="309"/>
        <v>2</v>
      </c>
      <c r="BO501" s="70">
        <f>SUM(G501,L501,Q501,V501,AA501,AF501,AK501,AP501,AU501,AZ501,BE501,BJ501)</f>
        <v>2</v>
      </c>
      <c r="BP501" s="16">
        <f>SUM(H501,M501,R501,W501,AB501,AG501,AL501,AQ501,AV501,BA501,BF501,BK501)</f>
        <v>0</v>
      </c>
      <c r="BQ501" s="16">
        <f>SUM(I501,N501,S501,X501,AC501,AH501,AM501,AR501,AW501,BB501,BG501,BL501)</f>
        <v>0</v>
      </c>
      <c r="BR501" s="17">
        <f>SUM(J501,O501,T501,Y501,AD501,AI501,AN501,AS501,AX501,BC501,BH501,BM501)</f>
        <v>0</v>
      </c>
      <c r="BS501" s="35">
        <f t="shared" si="311"/>
        <v>2</v>
      </c>
    </row>
    <row r="502" spans="2:71" s="97" customFormat="1" x14ac:dyDescent="0.3">
      <c r="B502" s="254"/>
      <c r="C502" s="204"/>
      <c r="D502" s="202"/>
      <c r="E502" s="203"/>
      <c r="F502" s="113" t="s">
        <v>54</v>
      </c>
      <c r="G502" s="98">
        <f>SUM(G466:G501)</f>
        <v>12279</v>
      </c>
      <c r="H502" s="99">
        <f>SUM(H466:H501)</f>
        <v>0</v>
      </c>
      <c r="I502" s="99">
        <f>SUM(I466:I501)</f>
        <v>0</v>
      </c>
      <c r="J502" s="100">
        <f>SUM(J466:J501)</f>
        <v>0</v>
      </c>
      <c r="K502" s="101">
        <f t="shared" si="310"/>
        <v>12279</v>
      </c>
      <c r="L502" s="98">
        <f>SUM(L466:L501)</f>
        <v>13054</v>
      </c>
      <c r="M502" s="99">
        <f>SUM(M466:M501)</f>
        <v>0</v>
      </c>
      <c r="N502" s="99">
        <f>SUM(N466:N501)</f>
        <v>0</v>
      </c>
      <c r="O502" s="100">
        <f>SUM(O466:O501)</f>
        <v>0</v>
      </c>
      <c r="P502" s="101">
        <f t="shared" si="299"/>
        <v>13054</v>
      </c>
      <c r="Q502" s="98">
        <f>SUM(Q466:Q501)</f>
        <v>14572</v>
      </c>
      <c r="R502" s="99">
        <f>SUM(R466:R501)</f>
        <v>0</v>
      </c>
      <c r="S502" s="99">
        <f>SUM(S466:S501)</f>
        <v>0</v>
      </c>
      <c r="T502" s="100">
        <f>SUM(T466:T501)</f>
        <v>0</v>
      </c>
      <c r="U502" s="101">
        <f t="shared" si="300"/>
        <v>14572</v>
      </c>
      <c r="V502" s="98">
        <f>SUM(V466:V501)</f>
        <v>17576</v>
      </c>
      <c r="W502" s="99">
        <f>SUM(W466:W501)</f>
        <v>0</v>
      </c>
      <c r="X502" s="99">
        <f>SUM(X466:X501)</f>
        <v>807</v>
      </c>
      <c r="Y502" s="100">
        <f>SUM(Y466:Y501)</f>
        <v>0</v>
      </c>
      <c r="Z502" s="101">
        <f t="shared" si="301"/>
        <v>18383</v>
      </c>
      <c r="AA502" s="98">
        <f>SUM(AA466:AA501)</f>
        <v>28420</v>
      </c>
      <c r="AB502" s="99">
        <f>SUM(AB466:AB501)</f>
        <v>0</v>
      </c>
      <c r="AC502" s="99">
        <f>SUM(AC466:AC501)</f>
        <v>1180</v>
      </c>
      <c r="AD502" s="100">
        <f>SUM(AD466:AD501)</f>
        <v>0</v>
      </c>
      <c r="AE502" s="101">
        <f t="shared" si="302"/>
        <v>29600</v>
      </c>
      <c r="AF502" s="98">
        <f>SUM(AF466:AF501)</f>
        <v>24356</v>
      </c>
      <c r="AG502" s="99">
        <f>SUM(AG466:AG501)</f>
        <v>0</v>
      </c>
      <c r="AH502" s="99">
        <f>SUM(AH466:AH501)</f>
        <v>0</v>
      </c>
      <c r="AI502" s="100">
        <f>SUM(AI466:AI501)</f>
        <v>0</v>
      </c>
      <c r="AJ502" s="101">
        <f t="shared" si="303"/>
        <v>24356</v>
      </c>
      <c r="AK502" s="98">
        <f>SUM(AK466:AK501)</f>
        <v>11508</v>
      </c>
      <c r="AL502" s="99">
        <f>SUM(AL466:AL501)</f>
        <v>0</v>
      </c>
      <c r="AM502" s="99">
        <f>SUM(AM466:AM501)</f>
        <v>0</v>
      </c>
      <c r="AN502" s="100">
        <f>SUM(AN466:AN501)</f>
        <v>0</v>
      </c>
      <c r="AO502" s="101">
        <f t="shared" si="304"/>
        <v>11508</v>
      </c>
      <c r="AP502" s="98">
        <f>SUM(AP466:AP501)</f>
        <v>21680</v>
      </c>
      <c r="AQ502" s="99">
        <f>SUM(AQ466:AQ501)</f>
        <v>0</v>
      </c>
      <c r="AR502" s="99">
        <f>SUM(AR466:AR501)</f>
        <v>0</v>
      </c>
      <c r="AS502" s="100">
        <f>SUM(AS466:AS501)</f>
        <v>0</v>
      </c>
      <c r="AT502" s="101">
        <f t="shared" si="305"/>
        <v>21680</v>
      </c>
      <c r="AU502" s="98">
        <f>SUM(AU466:AU501)</f>
        <v>19674</v>
      </c>
      <c r="AV502" s="99">
        <f>SUM(AV466:AV501)</f>
        <v>0</v>
      </c>
      <c r="AW502" s="99">
        <f>SUM(AW466:AW501)</f>
        <v>0</v>
      </c>
      <c r="AX502" s="100">
        <f>SUM(AX466:AX501)</f>
        <v>0</v>
      </c>
      <c r="AY502" s="101">
        <f t="shared" si="306"/>
        <v>19674</v>
      </c>
      <c r="AZ502" s="98">
        <f>SUM(AZ466:AZ501)</f>
        <v>50382</v>
      </c>
      <c r="BA502" s="99">
        <f>SUM(BA466:BA501)</f>
        <v>0</v>
      </c>
      <c r="BB502" s="99">
        <f>SUM(BB466:BB501)</f>
        <v>0</v>
      </c>
      <c r="BC502" s="100">
        <f>SUM(BC466:BC501)</f>
        <v>0</v>
      </c>
      <c r="BD502" s="101">
        <f t="shared" si="307"/>
        <v>50382</v>
      </c>
      <c r="BE502" s="98">
        <f>SUM(BE466:BE501)</f>
        <v>29430</v>
      </c>
      <c r="BF502" s="99">
        <f>SUM(BF466:BF501)</f>
        <v>0</v>
      </c>
      <c r="BG502" s="99">
        <f>SUM(BG466:BG501)</f>
        <v>0</v>
      </c>
      <c r="BH502" s="100">
        <f>SUM(BH466:BH501)</f>
        <v>0</v>
      </c>
      <c r="BI502" s="101">
        <f t="shared" si="308"/>
        <v>29430</v>
      </c>
      <c r="BJ502" s="98">
        <f>SUM(BJ466:BJ501)</f>
        <v>7586</v>
      </c>
      <c r="BK502" s="99">
        <f>SUM(BK466:BK501)</f>
        <v>0</v>
      </c>
      <c r="BL502" s="99">
        <f>SUM(BL466:BL501)</f>
        <v>0</v>
      </c>
      <c r="BM502" s="100">
        <f>SUM(BM466:BM501)</f>
        <v>0</v>
      </c>
      <c r="BN502" s="101">
        <f t="shared" si="309"/>
        <v>7586</v>
      </c>
      <c r="BO502" s="103">
        <f>SUM(BO466:BO501)</f>
        <v>250517</v>
      </c>
      <c r="BP502" s="99">
        <f>SUM(BP466:BP501)</f>
        <v>0</v>
      </c>
      <c r="BQ502" s="99">
        <f>SUM(BQ466:BQ501)</f>
        <v>1987</v>
      </c>
      <c r="BR502" s="100">
        <f>SUM(BR466:BR501)</f>
        <v>0</v>
      </c>
      <c r="BS502" s="102">
        <f t="shared" si="311"/>
        <v>252504</v>
      </c>
    </row>
    <row r="503" spans="2:71" x14ac:dyDescent="0.3">
      <c r="B503" s="254"/>
      <c r="C503" s="206"/>
      <c r="D503" s="96"/>
      <c r="E503" s="96"/>
      <c r="F503" s="118"/>
      <c r="G503" s="42">
        <f>SUM(G465,G502)</f>
        <v>13825</v>
      </c>
      <c r="H503" s="25">
        <f>SUM(H465,H502)</f>
        <v>0</v>
      </c>
      <c r="I503" s="25">
        <f>SUM(I465,I502)</f>
        <v>0</v>
      </c>
      <c r="J503" s="26">
        <f>SUM(J465,J502)</f>
        <v>0</v>
      </c>
      <c r="K503" s="27">
        <f t="shared" si="310"/>
        <v>13825</v>
      </c>
      <c r="L503" s="42">
        <f>SUM(L465,L502)</f>
        <v>15510</v>
      </c>
      <c r="M503" s="25">
        <f>SUM(M465,M502)</f>
        <v>0</v>
      </c>
      <c r="N503" s="25">
        <f>SUM(N465,N502)</f>
        <v>0</v>
      </c>
      <c r="O503" s="26">
        <f>SUM(O465,O502)</f>
        <v>0</v>
      </c>
      <c r="P503" s="27">
        <f t="shared" si="299"/>
        <v>15510</v>
      </c>
      <c r="Q503" s="42">
        <f>SUM(Q465,Q502)</f>
        <v>16630</v>
      </c>
      <c r="R503" s="25">
        <f>SUM(R465,R502)</f>
        <v>0</v>
      </c>
      <c r="S503" s="25">
        <f>SUM(S465,S502)</f>
        <v>0</v>
      </c>
      <c r="T503" s="26">
        <f>SUM(T465,T502)</f>
        <v>0</v>
      </c>
      <c r="U503" s="27">
        <f t="shared" si="300"/>
        <v>16630</v>
      </c>
      <c r="V503" s="42">
        <f>SUM(V465,V502)</f>
        <v>23157</v>
      </c>
      <c r="W503" s="25">
        <f>SUM(W465,W502)</f>
        <v>0</v>
      </c>
      <c r="X503" s="25">
        <f>SUM(X465,X502)</f>
        <v>807</v>
      </c>
      <c r="Y503" s="26">
        <f>SUM(Y465,Y502)</f>
        <v>0</v>
      </c>
      <c r="Z503" s="27">
        <f t="shared" si="301"/>
        <v>23964</v>
      </c>
      <c r="AA503" s="42">
        <f>SUM(AA465,AA502)</f>
        <v>32939</v>
      </c>
      <c r="AB503" s="25">
        <f>SUM(AB465,AB502)</f>
        <v>0</v>
      </c>
      <c r="AC503" s="25">
        <f>SUM(AC465,AC502)</f>
        <v>1180</v>
      </c>
      <c r="AD503" s="26">
        <f>SUM(AD465,AD502)</f>
        <v>0</v>
      </c>
      <c r="AE503" s="27">
        <f t="shared" si="302"/>
        <v>34119</v>
      </c>
      <c r="AF503" s="42">
        <f>SUM(AF465,AF502)</f>
        <v>41558</v>
      </c>
      <c r="AG503" s="25">
        <f>SUM(AG465,AG502)</f>
        <v>0</v>
      </c>
      <c r="AH503" s="25">
        <f>SUM(AH465,AH502)</f>
        <v>0</v>
      </c>
      <c r="AI503" s="26">
        <f>SUM(AI465,AI502)</f>
        <v>0</v>
      </c>
      <c r="AJ503" s="27">
        <f t="shared" si="303"/>
        <v>41558</v>
      </c>
      <c r="AK503" s="42">
        <f>SUM(AK465,AK502)</f>
        <v>12836</v>
      </c>
      <c r="AL503" s="25">
        <f>SUM(AL465,AL502)</f>
        <v>0</v>
      </c>
      <c r="AM503" s="25">
        <f>SUM(AM465,AM502)</f>
        <v>0</v>
      </c>
      <c r="AN503" s="26">
        <f>SUM(AN465,AN502)</f>
        <v>0</v>
      </c>
      <c r="AO503" s="27">
        <f t="shared" si="304"/>
        <v>12836</v>
      </c>
      <c r="AP503" s="42">
        <f>SUM(AP465,AP502)</f>
        <v>24110</v>
      </c>
      <c r="AQ503" s="25">
        <f>SUM(AQ465,AQ502)</f>
        <v>0</v>
      </c>
      <c r="AR503" s="25">
        <f>SUM(AR465,AR502)</f>
        <v>0</v>
      </c>
      <c r="AS503" s="26">
        <f>SUM(AS465,AS502)</f>
        <v>0</v>
      </c>
      <c r="AT503" s="27">
        <f t="shared" si="305"/>
        <v>24110</v>
      </c>
      <c r="AU503" s="42">
        <f>SUM(AU465,AU502)</f>
        <v>29083</v>
      </c>
      <c r="AV503" s="25">
        <f>SUM(AV465,AV502)</f>
        <v>0</v>
      </c>
      <c r="AW503" s="25">
        <f>SUM(AW465,AW502)</f>
        <v>0</v>
      </c>
      <c r="AX503" s="26">
        <f>SUM(AX465,AX502)</f>
        <v>0</v>
      </c>
      <c r="AY503" s="27">
        <f t="shared" si="306"/>
        <v>29083</v>
      </c>
      <c r="AZ503" s="42">
        <f>SUM(AZ465,AZ502)</f>
        <v>54608</v>
      </c>
      <c r="BA503" s="25">
        <f>SUM(BA465,BA502)</f>
        <v>0</v>
      </c>
      <c r="BB503" s="25">
        <f>SUM(BB465,BB502)</f>
        <v>0</v>
      </c>
      <c r="BC503" s="26">
        <f>SUM(BC465,BC502)</f>
        <v>0</v>
      </c>
      <c r="BD503" s="27">
        <f t="shared" si="307"/>
        <v>54608</v>
      </c>
      <c r="BE503" s="42">
        <f>SUM(BE465,BE502)</f>
        <v>32687</v>
      </c>
      <c r="BF503" s="25">
        <f>SUM(BF465,BF502)</f>
        <v>0</v>
      </c>
      <c r="BG503" s="25">
        <f>SUM(BG465,BG502)</f>
        <v>0</v>
      </c>
      <c r="BH503" s="26">
        <f>SUM(BH465,BH502)</f>
        <v>0</v>
      </c>
      <c r="BI503" s="27">
        <f t="shared" si="308"/>
        <v>32687</v>
      </c>
      <c r="BJ503" s="42">
        <f>SUM(BJ465,BJ502)</f>
        <v>8059</v>
      </c>
      <c r="BK503" s="25">
        <f>SUM(BK465,BK502)</f>
        <v>0</v>
      </c>
      <c r="BL503" s="25">
        <f>SUM(BL465,BL502)</f>
        <v>0</v>
      </c>
      <c r="BM503" s="26">
        <f>SUM(BM465,BM502)</f>
        <v>0</v>
      </c>
      <c r="BN503" s="27">
        <f t="shared" si="309"/>
        <v>8059</v>
      </c>
      <c r="BO503" s="74">
        <f>SUM(BO465,BO502)</f>
        <v>305002</v>
      </c>
      <c r="BP503" s="25">
        <f>SUM(BP465,BP502)</f>
        <v>0</v>
      </c>
      <c r="BQ503" s="25">
        <f>SUM(BQ465,BQ502)</f>
        <v>1987</v>
      </c>
      <c r="BR503" s="26">
        <f>SUM(BR465,BR502)</f>
        <v>0</v>
      </c>
      <c r="BS503" s="43">
        <f t="shared" si="311"/>
        <v>306989</v>
      </c>
    </row>
    <row r="504" spans="2:71" x14ac:dyDescent="0.3">
      <c r="B504" s="254"/>
      <c r="C504" s="204" t="s">
        <v>199</v>
      </c>
      <c r="D504" s="205"/>
      <c r="E504" s="205"/>
      <c r="F504" s="133" t="s">
        <v>107</v>
      </c>
      <c r="G504" s="49"/>
      <c r="H504" s="50"/>
      <c r="I504" s="50"/>
      <c r="J504" s="51"/>
      <c r="K504" s="52">
        <f t="shared" ref="K504" si="313">SUM(G504:J504)</f>
        <v>0</v>
      </c>
      <c r="L504" s="49">
        <v>46</v>
      </c>
      <c r="M504" s="50"/>
      <c r="N504" s="50"/>
      <c r="O504" s="51"/>
      <c r="P504" s="52">
        <f t="shared" si="299"/>
        <v>46</v>
      </c>
      <c r="Q504" s="49">
        <v>68</v>
      </c>
      <c r="R504" s="50"/>
      <c r="S504" s="50"/>
      <c r="T504" s="51"/>
      <c r="U504" s="52">
        <f t="shared" si="300"/>
        <v>68</v>
      </c>
      <c r="V504" s="49">
        <v>809</v>
      </c>
      <c r="W504" s="50"/>
      <c r="X504" s="50"/>
      <c r="Y504" s="51"/>
      <c r="Z504" s="52">
        <f t="shared" si="301"/>
        <v>809</v>
      </c>
      <c r="AA504" s="49">
        <v>810</v>
      </c>
      <c r="AB504" s="50"/>
      <c r="AC504" s="50"/>
      <c r="AD504" s="51"/>
      <c r="AE504" s="52">
        <f t="shared" si="302"/>
        <v>810</v>
      </c>
      <c r="AF504" s="49">
        <v>88</v>
      </c>
      <c r="AG504" s="50"/>
      <c r="AH504" s="50"/>
      <c r="AI504" s="51"/>
      <c r="AJ504" s="52">
        <f t="shared" si="303"/>
        <v>88</v>
      </c>
      <c r="AK504" s="49">
        <v>570</v>
      </c>
      <c r="AL504" s="50"/>
      <c r="AM504" s="50"/>
      <c r="AN504" s="51"/>
      <c r="AO504" s="52">
        <f t="shared" si="304"/>
        <v>570</v>
      </c>
      <c r="AP504" s="49">
        <v>34</v>
      </c>
      <c r="AQ504" s="50"/>
      <c r="AR504" s="50"/>
      <c r="AS504" s="51"/>
      <c r="AT504" s="52">
        <f t="shared" si="305"/>
        <v>34</v>
      </c>
      <c r="AU504" s="49">
        <v>87</v>
      </c>
      <c r="AV504" s="50"/>
      <c r="AW504" s="50"/>
      <c r="AX504" s="51"/>
      <c r="AY504" s="52">
        <f t="shared" si="306"/>
        <v>87</v>
      </c>
      <c r="AZ504" s="49">
        <v>67</v>
      </c>
      <c r="BA504" s="50"/>
      <c r="BB504" s="50"/>
      <c r="BC504" s="51"/>
      <c r="BD504" s="52">
        <f t="shared" si="307"/>
        <v>67</v>
      </c>
      <c r="BE504" s="49">
        <v>640</v>
      </c>
      <c r="BF504" s="50"/>
      <c r="BG504" s="50"/>
      <c r="BH504" s="51"/>
      <c r="BI504" s="52">
        <f t="shared" si="308"/>
        <v>640</v>
      </c>
      <c r="BJ504" s="49">
        <v>152</v>
      </c>
      <c r="BK504" s="50"/>
      <c r="BL504" s="50"/>
      <c r="BM504" s="51"/>
      <c r="BN504" s="52">
        <f t="shared" si="309"/>
        <v>152</v>
      </c>
      <c r="BO504" s="167">
        <f>SUM(G504,L504,Q504,V504,AA504,AF504,AK504,AP504,AU504,AZ504,BE504,BJ504)</f>
        <v>3371</v>
      </c>
      <c r="BP504" s="50">
        <f>SUM(H504,M504,R504,W504,AB504,AG504,AL504,AQ504,AV504,BA504,BF504,BK504)</f>
        <v>0</v>
      </c>
      <c r="BQ504" s="50">
        <f>SUM(I504,N504,S504,X504,AC504,AH504,AM504,AR504,AW504,BB504,BG504,BL504)</f>
        <v>0</v>
      </c>
      <c r="BR504" s="51">
        <f>SUM(J504,O504,T504,Y504,AD504,AI504,AN504,AS504,AX504,BC504,BH504,BM504)</f>
        <v>0</v>
      </c>
      <c r="BS504" s="53">
        <f t="shared" si="311"/>
        <v>3371</v>
      </c>
    </row>
    <row r="505" spans="2:71" x14ac:dyDescent="0.3">
      <c r="B505" s="254"/>
      <c r="C505" s="206"/>
      <c r="D505" s="207"/>
      <c r="E505" s="207"/>
      <c r="F505" s="118"/>
      <c r="G505" s="59">
        <f>SUM(G504:G504)</f>
        <v>0</v>
      </c>
      <c r="H505" s="60">
        <f>SUM(H504:H504)</f>
        <v>0</v>
      </c>
      <c r="I505" s="60">
        <f>SUM(I504:I504)</f>
        <v>0</v>
      </c>
      <c r="J505" s="61">
        <f>SUM(J504:J504)</f>
        <v>0</v>
      </c>
      <c r="K505" s="62">
        <f t="shared" si="310"/>
        <v>0</v>
      </c>
      <c r="L505" s="59">
        <f>SUM(L504:L504)</f>
        <v>46</v>
      </c>
      <c r="M505" s="60">
        <f>SUM(M504:M504)</f>
        <v>0</v>
      </c>
      <c r="N505" s="60">
        <f>SUM(N504:N504)</f>
        <v>0</v>
      </c>
      <c r="O505" s="61">
        <f>SUM(O504:O504)</f>
        <v>0</v>
      </c>
      <c r="P505" s="62">
        <f t="shared" si="299"/>
        <v>46</v>
      </c>
      <c r="Q505" s="59">
        <f>SUM(Q504:Q504)</f>
        <v>68</v>
      </c>
      <c r="R505" s="60">
        <f>SUM(R504:R504)</f>
        <v>0</v>
      </c>
      <c r="S505" s="60">
        <f>SUM(S504:S504)</f>
        <v>0</v>
      </c>
      <c r="T505" s="61">
        <f>SUM(T504:T504)</f>
        <v>0</v>
      </c>
      <c r="U505" s="62">
        <f t="shared" si="300"/>
        <v>68</v>
      </c>
      <c r="V505" s="59">
        <f>SUM(V504:V504)</f>
        <v>809</v>
      </c>
      <c r="W505" s="60">
        <f>SUM(W504:W504)</f>
        <v>0</v>
      </c>
      <c r="X505" s="60">
        <f>SUM(X504:X504)</f>
        <v>0</v>
      </c>
      <c r="Y505" s="61">
        <f>SUM(Y504:Y504)</f>
        <v>0</v>
      </c>
      <c r="Z505" s="62">
        <f t="shared" si="301"/>
        <v>809</v>
      </c>
      <c r="AA505" s="59">
        <f>SUM(AA504:AA504)</f>
        <v>810</v>
      </c>
      <c r="AB505" s="60">
        <f>SUM(AB504:AB504)</f>
        <v>0</v>
      </c>
      <c r="AC505" s="60">
        <f>SUM(AC504:AC504)</f>
        <v>0</v>
      </c>
      <c r="AD505" s="61">
        <f>SUM(AD504:AD504)</f>
        <v>0</v>
      </c>
      <c r="AE505" s="62">
        <f t="shared" si="302"/>
        <v>810</v>
      </c>
      <c r="AF505" s="59">
        <f>SUM(AF504:AF504)</f>
        <v>88</v>
      </c>
      <c r="AG505" s="60">
        <f>SUM(AG504:AG504)</f>
        <v>0</v>
      </c>
      <c r="AH505" s="60">
        <f>SUM(AH504:AH504)</f>
        <v>0</v>
      </c>
      <c r="AI505" s="61">
        <f>SUM(AI504:AI504)</f>
        <v>0</v>
      </c>
      <c r="AJ505" s="62">
        <f t="shared" si="303"/>
        <v>88</v>
      </c>
      <c r="AK505" s="59">
        <f>SUM(AK504:AK504)</f>
        <v>570</v>
      </c>
      <c r="AL505" s="60">
        <f>SUM(AL504:AL504)</f>
        <v>0</v>
      </c>
      <c r="AM505" s="60">
        <f>SUM(AM504:AM504)</f>
        <v>0</v>
      </c>
      <c r="AN505" s="61">
        <f>SUM(AN504:AN504)</f>
        <v>0</v>
      </c>
      <c r="AO505" s="62">
        <f t="shared" si="304"/>
        <v>570</v>
      </c>
      <c r="AP505" s="59">
        <f>SUM(AP504:AP504)</f>
        <v>34</v>
      </c>
      <c r="AQ505" s="60">
        <f>SUM(AQ504:AQ504)</f>
        <v>0</v>
      </c>
      <c r="AR505" s="60">
        <f>SUM(AR504:AR504)</f>
        <v>0</v>
      </c>
      <c r="AS505" s="61">
        <f>SUM(AS504:AS504)</f>
        <v>0</v>
      </c>
      <c r="AT505" s="62">
        <f t="shared" si="305"/>
        <v>34</v>
      </c>
      <c r="AU505" s="59">
        <f>SUM(AU504:AU504)</f>
        <v>87</v>
      </c>
      <c r="AV505" s="60">
        <f>SUM(AV504:AV504)</f>
        <v>0</v>
      </c>
      <c r="AW505" s="60">
        <f>SUM(AW504:AW504)</f>
        <v>0</v>
      </c>
      <c r="AX505" s="61">
        <f>SUM(AX504:AX504)</f>
        <v>0</v>
      </c>
      <c r="AY505" s="62">
        <f t="shared" si="306"/>
        <v>87</v>
      </c>
      <c r="AZ505" s="59">
        <f>SUM(AZ504:AZ504)</f>
        <v>67</v>
      </c>
      <c r="BA505" s="60">
        <f>SUM(BA504:BA504)</f>
        <v>0</v>
      </c>
      <c r="BB505" s="60">
        <f>SUM(BB504:BB504)</f>
        <v>0</v>
      </c>
      <c r="BC505" s="61">
        <f>SUM(BC504:BC504)</f>
        <v>0</v>
      </c>
      <c r="BD505" s="62">
        <f t="shared" si="307"/>
        <v>67</v>
      </c>
      <c r="BE505" s="59">
        <f>SUM(BE504:BE504)</f>
        <v>640</v>
      </c>
      <c r="BF505" s="60">
        <f>SUM(BF504:BF504)</f>
        <v>0</v>
      </c>
      <c r="BG505" s="60">
        <f>SUM(BG504:BG504)</f>
        <v>0</v>
      </c>
      <c r="BH505" s="61">
        <f>SUM(BH504:BH504)</f>
        <v>0</v>
      </c>
      <c r="BI505" s="62">
        <f t="shared" si="308"/>
        <v>640</v>
      </c>
      <c r="BJ505" s="59">
        <f>SUM(BJ504:BJ504)</f>
        <v>152</v>
      </c>
      <c r="BK505" s="60">
        <f>SUM(BK504:BK504)</f>
        <v>0</v>
      </c>
      <c r="BL505" s="60">
        <f>SUM(BL504:BL504)</f>
        <v>0</v>
      </c>
      <c r="BM505" s="61">
        <f>SUM(BM504:BM504)</f>
        <v>0</v>
      </c>
      <c r="BN505" s="62">
        <f t="shared" si="309"/>
        <v>152</v>
      </c>
      <c r="BO505" s="73">
        <f>SUM(BO504:BO504)</f>
        <v>3371</v>
      </c>
      <c r="BP505" s="60">
        <f>SUM(BP504:BP504)</f>
        <v>0</v>
      </c>
      <c r="BQ505" s="60">
        <f>SUM(BQ504:BQ504)</f>
        <v>0</v>
      </c>
      <c r="BR505" s="61">
        <f>SUM(BR504:BR504)</f>
        <v>0</v>
      </c>
      <c r="BS505" s="63">
        <f t="shared" si="311"/>
        <v>3371</v>
      </c>
    </row>
    <row r="506" spans="2:71" x14ac:dyDescent="0.3">
      <c r="B506" s="254"/>
      <c r="C506" s="208" t="s">
        <v>5</v>
      </c>
      <c r="D506" s="209"/>
      <c r="E506" s="209"/>
      <c r="F506" s="146" t="s">
        <v>127</v>
      </c>
      <c r="G506" s="30">
        <v>35</v>
      </c>
      <c r="H506" s="7"/>
      <c r="I506" s="7"/>
      <c r="J506" s="8"/>
      <c r="K506" s="9">
        <f t="shared" si="310"/>
        <v>35</v>
      </c>
      <c r="L506" s="30"/>
      <c r="M506" s="7"/>
      <c r="N506" s="7"/>
      <c r="O506" s="8"/>
      <c r="P506" s="9">
        <f t="shared" si="299"/>
        <v>0</v>
      </c>
      <c r="Q506" s="30">
        <v>59</v>
      </c>
      <c r="R506" s="7"/>
      <c r="S506" s="7"/>
      <c r="T506" s="8"/>
      <c r="U506" s="9">
        <f t="shared" si="300"/>
        <v>59</v>
      </c>
      <c r="V506" s="30">
        <v>2</v>
      </c>
      <c r="W506" s="7"/>
      <c r="X506" s="7"/>
      <c r="Y506" s="8"/>
      <c r="Z506" s="9">
        <f t="shared" si="301"/>
        <v>2</v>
      </c>
      <c r="AA506" s="30">
        <v>15</v>
      </c>
      <c r="AB506" s="7"/>
      <c r="AC506" s="7"/>
      <c r="AD506" s="8"/>
      <c r="AE506" s="9">
        <f t="shared" si="302"/>
        <v>15</v>
      </c>
      <c r="AF506" s="30">
        <v>24</v>
      </c>
      <c r="AG506" s="7"/>
      <c r="AH506" s="7"/>
      <c r="AI506" s="8"/>
      <c r="AJ506" s="9">
        <f t="shared" si="303"/>
        <v>24</v>
      </c>
      <c r="AK506" s="30">
        <v>9</v>
      </c>
      <c r="AL506" s="7"/>
      <c r="AM506" s="7"/>
      <c r="AN506" s="8"/>
      <c r="AO506" s="9">
        <f t="shared" si="304"/>
        <v>9</v>
      </c>
      <c r="AP506" s="30">
        <v>8</v>
      </c>
      <c r="AQ506" s="7"/>
      <c r="AR506" s="7"/>
      <c r="AS506" s="8"/>
      <c r="AT506" s="9">
        <f t="shared" si="305"/>
        <v>8</v>
      </c>
      <c r="AU506" s="30">
        <v>59</v>
      </c>
      <c r="AV506" s="7"/>
      <c r="AW506" s="7"/>
      <c r="AX506" s="8"/>
      <c r="AY506" s="9">
        <f t="shared" si="306"/>
        <v>59</v>
      </c>
      <c r="AZ506" s="30"/>
      <c r="BA506" s="7"/>
      <c r="BB506" s="7"/>
      <c r="BC506" s="8"/>
      <c r="BD506" s="9">
        <f t="shared" si="307"/>
        <v>0</v>
      </c>
      <c r="BE506" s="30">
        <v>12</v>
      </c>
      <c r="BF506" s="7"/>
      <c r="BG506" s="7"/>
      <c r="BH506" s="8"/>
      <c r="BI506" s="9">
        <f t="shared" si="308"/>
        <v>12</v>
      </c>
      <c r="BJ506" s="30">
        <v>2</v>
      </c>
      <c r="BK506" s="7"/>
      <c r="BL506" s="7"/>
      <c r="BM506" s="8"/>
      <c r="BN506" s="9">
        <f t="shared" si="309"/>
        <v>2</v>
      </c>
      <c r="BO506" s="65">
        <f>SUM(G506,L506,Q506,V506,AA506,AF506,AK506,AP506,AU506,AZ506,BE506,BJ506)</f>
        <v>225</v>
      </c>
      <c r="BP506" s="7">
        <f>SUM(H506,M506,R506,W506,AB506,AG506,AL506,AQ506,AV506,BA506,BF506,BK506)</f>
        <v>0</v>
      </c>
      <c r="BQ506" s="7">
        <f>SUM(I506,N506,S506,X506,AC506,AH506,AM506,AR506,AW506,BB506,BG506,BL506)</f>
        <v>0</v>
      </c>
      <c r="BR506" s="8">
        <f>SUM(J506,O506,T506,Y506,AD506,AI506,AN506,AS506,AX506,BC506,BH506,BM506)</f>
        <v>0</v>
      </c>
      <c r="BS506" s="31">
        <f t="shared" si="311"/>
        <v>225</v>
      </c>
    </row>
    <row r="507" spans="2:71" x14ac:dyDescent="0.3">
      <c r="B507" s="254"/>
      <c r="C507" s="206"/>
      <c r="D507" s="207"/>
      <c r="E507" s="207"/>
      <c r="F507" s="118"/>
      <c r="G507" s="59">
        <f>SUM(G506:G506)</f>
        <v>35</v>
      </c>
      <c r="H507" s="60">
        <f>SUM(H506:H506)</f>
        <v>0</v>
      </c>
      <c r="I507" s="60">
        <f>SUM(I506:I506)</f>
        <v>0</v>
      </c>
      <c r="J507" s="61">
        <f>SUM(J506:J506)</f>
        <v>0</v>
      </c>
      <c r="K507" s="62">
        <f t="shared" si="310"/>
        <v>35</v>
      </c>
      <c r="L507" s="59">
        <f>SUM(L506:L506)</f>
        <v>0</v>
      </c>
      <c r="M507" s="60">
        <f>SUM(M506:M506)</f>
        <v>0</v>
      </c>
      <c r="N507" s="60">
        <f>SUM(N506:N506)</f>
        <v>0</v>
      </c>
      <c r="O507" s="61">
        <f>SUM(O506:O506)</f>
        <v>0</v>
      </c>
      <c r="P507" s="62">
        <f t="shared" si="299"/>
        <v>0</v>
      </c>
      <c r="Q507" s="59">
        <f>SUM(Q506:Q506)</f>
        <v>59</v>
      </c>
      <c r="R507" s="60">
        <f>SUM(R506:R506)</f>
        <v>0</v>
      </c>
      <c r="S507" s="60">
        <f>SUM(S506:S506)</f>
        <v>0</v>
      </c>
      <c r="T507" s="61">
        <f>SUM(T506:T506)</f>
        <v>0</v>
      </c>
      <c r="U507" s="62">
        <f t="shared" si="300"/>
        <v>59</v>
      </c>
      <c r="V507" s="59">
        <f>SUM(V506:V506)</f>
        <v>2</v>
      </c>
      <c r="W507" s="60">
        <f>SUM(W506:W506)</f>
        <v>0</v>
      </c>
      <c r="X507" s="60">
        <f>SUM(X506:X506)</f>
        <v>0</v>
      </c>
      <c r="Y507" s="61">
        <f>SUM(Y506:Y506)</f>
        <v>0</v>
      </c>
      <c r="Z507" s="62">
        <f t="shared" si="301"/>
        <v>2</v>
      </c>
      <c r="AA507" s="59">
        <f>SUM(AA506:AA506)</f>
        <v>15</v>
      </c>
      <c r="AB507" s="60">
        <f>SUM(AB506:AB506)</f>
        <v>0</v>
      </c>
      <c r="AC507" s="60">
        <f>SUM(AC506:AC506)</f>
        <v>0</v>
      </c>
      <c r="AD507" s="61">
        <f>SUM(AD506:AD506)</f>
        <v>0</v>
      </c>
      <c r="AE507" s="62">
        <f t="shared" si="302"/>
        <v>15</v>
      </c>
      <c r="AF507" s="59">
        <f>SUM(AF506:AF506)</f>
        <v>24</v>
      </c>
      <c r="AG507" s="60">
        <f>SUM(AG506:AG506)</f>
        <v>0</v>
      </c>
      <c r="AH507" s="60">
        <f>SUM(AH506:AH506)</f>
        <v>0</v>
      </c>
      <c r="AI507" s="61">
        <f>SUM(AI506:AI506)</f>
        <v>0</v>
      </c>
      <c r="AJ507" s="62">
        <f t="shared" si="303"/>
        <v>24</v>
      </c>
      <c r="AK507" s="59">
        <f>SUM(AK506:AK506)</f>
        <v>9</v>
      </c>
      <c r="AL507" s="60">
        <f>SUM(AL506:AL506)</f>
        <v>0</v>
      </c>
      <c r="AM507" s="60">
        <f>SUM(AM506:AM506)</f>
        <v>0</v>
      </c>
      <c r="AN507" s="61">
        <f>SUM(AN506:AN506)</f>
        <v>0</v>
      </c>
      <c r="AO507" s="62">
        <f t="shared" si="304"/>
        <v>9</v>
      </c>
      <c r="AP507" s="59">
        <f>SUM(AP506:AP506)</f>
        <v>8</v>
      </c>
      <c r="AQ507" s="60">
        <f>SUM(AQ506:AQ506)</f>
        <v>0</v>
      </c>
      <c r="AR507" s="60">
        <f>SUM(AR506:AR506)</f>
        <v>0</v>
      </c>
      <c r="AS507" s="61">
        <f>SUM(AS506:AS506)</f>
        <v>0</v>
      </c>
      <c r="AT507" s="62">
        <f t="shared" si="305"/>
        <v>8</v>
      </c>
      <c r="AU507" s="59">
        <f>SUM(AU506:AU506)</f>
        <v>59</v>
      </c>
      <c r="AV507" s="60">
        <f>SUM(AV506:AV506)</f>
        <v>0</v>
      </c>
      <c r="AW507" s="60">
        <f>SUM(AW506:AW506)</f>
        <v>0</v>
      </c>
      <c r="AX507" s="61">
        <f>SUM(AX506:AX506)</f>
        <v>0</v>
      </c>
      <c r="AY507" s="62">
        <f t="shared" si="306"/>
        <v>59</v>
      </c>
      <c r="AZ507" s="59">
        <f>SUM(AZ506:AZ506)</f>
        <v>0</v>
      </c>
      <c r="BA507" s="60">
        <f>SUM(BA506:BA506)</f>
        <v>0</v>
      </c>
      <c r="BB507" s="60">
        <f>SUM(BB506:BB506)</f>
        <v>0</v>
      </c>
      <c r="BC507" s="61">
        <f>SUM(BC506:BC506)</f>
        <v>0</v>
      </c>
      <c r="BD507" s="62">
        <f t="shared" si="307"/>
        <v>0</v>
      </c>
      <c r="BE507" s="59">
        <f>SUM(BE506:BE506)</f>
        <v>12</v>
      </c>
      <c r="BF507" s="60">
        <f>SUM(BF506:BF506)</f>
        <v>0</v>
      </c>
      <c r="BG507" s="60">
        <f>SUM(BG506:BG506)</f>
        <v>0</v>
      </c>
      <c r="BH507" s="61">
        <f>SUM(BH506:BH506)</f>
        <v>0</v>
      </c>
      <c r="BI507" s="62">
        <f t="shared" si="308"/>
        <v>12</v>
      </c>
      <c r="BJ507" s="59">
        <f>SUM(BJ506:BJ506)</f>
        <v>2</v>
      </c>
      <c r="BK507" s="60">
        <f>SUM(BK506:BK506)</f>
        <v>0</v>
      </c>
      <c r="BL507" s="60">
        <f>SUM(BL506:BL506)</f>
        <v>0</v>
      </c>
      <c r="BM507" s="61">
        <f>SUM(BM506:BM506)</f>
        <v>0</v>
      </c>
      <c r="BN507" s="62">
        <f t="shared" si="309"/>
        <v>2</v>
      </c>
      <c r="BO507" s="73">
        <f>SUM(BO506:BO506)</f>
        <v>225</v>
      </c>
      <c r="BP507" s="60">
        <f>SUM(BP506:BP506)</f>
        <v>0</v>
      </c>
      <c r="BQ507" s="60">
        <f>SUM(BQ506:BQ506)</f>
        <v>0</v>
      </c>
      <c r="BR507" s="61">
        <f>SUM(BR506:BR506)</f>
        <v>0</v>
      </c>
      <c r="BS507" s="63">
        <f t="shared" si="311"/>
        <v>225</v>
      </c>
    </row>
    <row r="508" spans="2:71" s="75" customFormat="1" ht="22.5" customHeight="1" thickBot="1" x14ac:dyDescent="0.35">
      <c r="B508" s="255"/>
      <c r="C508" s="266" t="s">
        <v>22</v>
      </c>
      <c r="D508" s="266"/>
      <c r="E508" s="266"/>
      <c r="F508" s="267"/>
      <c r="G508" s="86">
        <f>SUM(G438,G503,G505,G507)</f>
        <v>14005</v>
      </c>
      <c r="H508" s="87">
        <f>SUM(H438,H503,H505,H507)</f>
        <v>0</v>
      </c>
      <c r="I508" s="87">
        <f>SUM(I438,I503,I505,I507)</f>
        <v>0</v>
      </c>
      <c r="J508" s="88">
        <f>SUM(J438,J503,J505,J507)</f>
        <v>0</v>
      </c>
      <c r="K508" s="89">
        <f t="shared" si="310"/>
        <v>14005</v>
      </c>
      <c r="L508" s="86">
        <f>SUM(L438,L503,L505,L507)</f>
        <v>15556</v>
      </c>
      <c r="M508" s="87">
        <f>SUM(M438,M503,M505,M507)</f>
        <v>0</v>
      </c>
      <c r="N508" s="87">
        <f>SUM(N438,N503,N505,N507)</f>
        <v>0</v>
      </c>
      <c r="O508" s="88">
        <f>SUM(O438,O503,O505,O507)</f>
        <v>0</v>
      </c>
      <c r="P508" s="89">
        <f t="shared" si="299"/>
        <v>15556</v>
      </c>
      <c r="Q508" s="86">
        <f>SUM(Q438,Q503,Q505,Q507)</f>
        <v>16775</v>
      </c>
      <c r="R508" s="87">
        <f>SUM(R438,R503,R505,R507)</f>
        <v>0</v>
      </c>
      <c r="S508" s="87">
        <f>SUM(S438,S503,S505,S507)</f>
        <v>0</v>
      </c>
      <c r="T508" s="88">
        <f>SUM(T438,T503,T505,T507)</f>
        <v>0</v>
      </c>
      <c r="U508" s="89">
        <f t="shared" si="300"/>
        <v>16775</v>
      </c>
      <c r="V508" s="86">
        <f>SUM(V438,V503,V505,V507)</f>
        <v>24264</v>
      </c>
      <c r="W508" s="87">
        <f>SUM(W438,W503,W505,W507)</f>
        <v>0</v>
      </c>
      <c r="X508" s="87">
        <f>SUM(X438,X503,X505,X507)</f>
        <v>807</v>
      </c>
      <c r="Y508" s="88">
        <f>SUM(Y438,Y503,Y505,Y507)</f>
        <v>0</v>
      </c>
      <c r="Z508" s="89">
        <f t="shared" si="301"/>
        <v>25071</v>
      </c>
      <c r="AA508" s="86">
        <f>SUM(AA438,AA503,AA505,AA507)</f>
        <v>35348</v>
      </c>
      <c r="AB508" s="87">
        <f>SUM(AB438,AB503,AB505,AB507)</f>
        <v>0</v>
      </c>
      <c r="AC508" s="87">
        <f>SUM(AC438,AC503,AC505,AC507)</f>
        <v>1180</v>
      </c>
      <c r="AD508" s="88">
        <f>SUM(AD438,AD503,AD505,AD507)</f>
        <v>0</v>
      </c>
      <c r="AE508" s="89">
        <f t="shared" si="302"/>
        <v>36528</v>
      </c>
      <c r="AF508" s="86">
        <f>SUM(AF438,AF503,AF505,AF507)</f>
        <v>64275</v>
      </c>
      <c r="AG508" s="87">
        <f>SUM(AG438,AG503,AG505,AG507)</f>
        <v>0</v>
      </c>
      <c r="AH508" s="87">
        <f>SUM(AH438,AH503,AH505,AH507)</f>
        <v>0</v>
      </c>
      <c r="AI508" s="88">
        <f>SUM(AI438,AI503,AI505,AI507)</f>
        <v>0</v>
      </c>
      <c r="AJ508" s="89">
        <f t="shared" si="303"/>
        <v>64275</v>
      </c>
      <c r="AK508" s="86">
        <f>SUM(AK438,AK503,AK505,AK507)</f>
        <v>13415</v>
      </c>
      <c r="AL508" s="87">
        <f>SUM(AL438,AL503,AL505,AL507)</f>
        <v>0</v>
      </c>
      <c r="AM508" s="87">
        <f>SUM(AM438,AM503,AM505,AM507)</f>
        <v>0</v>
      </c>
      <c r="AN508" s="88">
        <f>SUM(AN438,AN503,AN505,AN507)</f>
        <v>0</v>
      </c>
      <c r="AO508" s="89">
        <f t="shared" si="304"/>
        <v>13415</v>
      </c>
      <c r="AP508" s="86">
        <f>SUM(AP438,AP503,AP505,AP507)</f>
        <v>39759</v>
      </c>
      <c r="AQ508" s="87">
        <f>SUM(AQ438,AQ503,AQ505,AQ507)</f>
        <v>0</v>
      </c>
      <c r="AR508" s="87">
        <f>SUM(AR438,AR503,AR505,AR507)</f>
        <v>0</v>
      </c>
      <c r="AS508" s="88">
        <f>SUM(AS438,AS503,AS505,AS507)</f>
        <v>0</v>
      </c>
      <c r="AT508" s="89">
        <f t="shared" si="305"/>
        <v>39759</v>
      </c>
      <c r="AU508" s="86">
        <f>SUM(AU438,AU503,AU505,AU507)</f>
        <v>29262</v>
      </c>
      <c r="AV508" s="87">
        <f>SUM(AV438,AV503,AV505,AV507)</f>
        <v>0</v>
      </c>
      <c r="AW508" s="87">
        <f>SUM(AW438,AW503,AW505,AW507)</f>
        <v>0</v>
      </c>
      <c r="AX508" s="88">
        <f>SUM(AX438,AX503,AX505,AX507)</f>
        <v>0</v>
      </c>
      <c r="AY508" s="89">
        <f t="shared" si="306"/>
        <v>29262</v>
      </c>
      <c r="AZ508" s="86">
        <f>SUM(AZ438,AZ503,AZ505,AZ507)</f>
        <v>60113</v>
      </c>
      <c r="BA508" s="87">
        <f>SUM(BA438,BA503,BA505,BA507)</f>
        <v>0</v>
      </c>
      <c r="BB508" s="87">
        <f>SUM(BB438,BB503,BB505,BB507)</f>
        <v>0</v>
      </c>
      <c r="BC508" s="88">
        <f>SUM(BC438,BC503,BC505,BC507)</f>
        <v>0</v>
      </c>
      <c r="BD508" s="89">
        <f t="shared" si="307"/>
        <v>60113</v>
      </c>
      <c r="BE508" s="86">
        <f>SUM(BE438,BE503,BE505,BE507)</f>
        <v>40641</v>
      </c>
      <c r="BF508" s="87">
        <f>SUM(BF438,BF503,BF505,BF507)</f>
        <v>0</v>
      </c>
      <c r="BG508" s="87">
        <f>SUM(BG438,BG503,BG505,BG507)</f>
        <v>0</v>
      </c>
      <c r="BH508" s="88">
        <f>SUM(BH438,BH503,BH505,BH507)</f>
        <v>0</v>
      </c>
      <c r="BI508" s="89">
        <f t="shared" si="308"/>
        <v>40641</v>
      </c>
      <c r="BJ508" s="86">
        <f>SUM(BJ438,BJ503,BJ505,BJ507)</f>
        <v>8375</v>
      </c>
      <c r="BK508" s="87">
        <f>SUM(BK438,BK503,BK505,BK507)</f>
        <v>0</v>
      </c>
      <c r="BL508" s="87">
        <f>SUM(BL438,BL503,BL505,BL507)</f>
        <v>0</v>
      </c>
      <c r="BM508" s="88">
        <f>SUM(BM438,BM503,BM505,BM507)</f>
        <v>0</v>
      </c>
      <c r="BN508" s="89">
        <f t="shared" si="309"/>
        <v>8375</v>
      </c>
      <c r="BO508" s="169">
        <f>SUM(BO438,BO503,BO505,BO507)</f>
        <v>361788</v>
      </c>
      <c r="BP508" s="87">
        <f>SUM(BP438,BP503,BP505,BP507)</f>
        <v>0</v>
      </c>
      <c r="BQ508" s="87">
        <f>SUM(BQ438,BQ503,BQ505,BQ507)</f>
        <v>1987</v>
      </c>
      <c r="BR508" s="88">
        <f>SUM(BR438,BR503,BR505,BR507)</f>
        <v>0</v>
      </c>
      <c r="BS508" s="90">
        <f t="shared" si="311"/>
        <v>363775</v>
      </c>
    </row>
    <row r="509" spans="2:71" s="75" customFormat="1" ht="22.5" customHeight="1" thickBot="1" x14ac:dyDescent="0.35">
      <c r="B509" s="256" t="s">
        <v>25</v>
      </c>
      <c r="C509" s="257"/>
      <c r="D509" s="257"/>
      <c r="E509" s="257"/>
      <c r="F509" s="258"/>
      <c r="G509" s="91">
        <f>SUM(G369,G434,G508)</f>
        <v>43307</v>
      </c>
      <c r="H509" s="92">
        <f>SUM(H369,H434,H508)</f>
        <v>1089</v>
      </c>
      <c r="I509" s="92">
        <f>SUM(I369,I434,I508)</f>
        <v>6372</v>
      </c>
      <c r="J509" s="93">
        <f>SUM(J369,J434,J508)</f>
        <v>15741</v>
      </c>
      <c r="K509" s="94">
        <f t="shared" si="310"/>
        <v>66509</v>
      </c>
      <c r="L509" s="91">
        <f>SUM(L369,L434,L508)</f>
        <v>42107</v>
      </c>
      <c r="M509" s="92">
        <f>SUM(M369,M434,M508)</f>
        <v>1921</v>
      </c>
      <c r="N509" s="92">
        <f>SUM(N369,N434,N508)</f>
        <v>6301</v>
      </c>
      <c r="O509" s="93">
        <f>SUM(O369,O434,O508)</f>
        <v>16038</v>
      </c>
      <c r="P509" s="94">
        <f t="shared" si="299"/>
        <v>66367</v>
      </c>
      <c r="Q509" s="91">
        <f>SUM(Q369,Q434,Q508)</f>
        <v>46845</v>
      </c>
      <c r="R509" s="92">
        <f>SUM(R369,R434,R508)</f>
        <v>1564</v>
      </c>
      <c r="S509" s="92">
        <f>SUM(S369,S434,S508)</f>
        <v>7778</v>
      </c>
      <c r="T509" s="93">
        <f>SUM(T369,T434,T508)</f>
        <v>6656</v>
      </c>
      <c r="U509" s="94">
        <f t="shared" si="300"/>
        <v>62843</v>
      </c>
      <c r="V509" s="91">
        <f>SUM(V369,V434,V508)</f>
        <v>78990</v>
      </c>
      <c r="W509" s="92">
        <f>SUM(W369,W434,W508)</f>
        <v>15800</v>
      </c>
      <c r="X509" s="92">
        <f>SUM(X369,X434,X508)</f>
        <v>12688</v>
      </c>
      <c r="Y509" s="93">
        <f>SUM(Y369,Y434,Y508)</f>
        <v>17035</v>
      </c>
      <c r="Z509" s="94">
        <f t="shared" si="301"/>
        <v>124513</v>
      </c>
      <c r="AA509" s="91">
        <f>SUM(AA369,AA434,AA508)</f>
        <v>120106</v>
      </c>
      <c r="AB509" s="92">
        <f>SUM(AB369,AB434,AB508)</f>
        <v>32836</v>
      </c>
      <c r="AC509" s="92">
        <f>SUM(AC369,AC434,AC508)</f>
        <v>19931</v>
      </c>
      <c r="AD509" s="93">
        <f>SUM(AD369,AD434,AD508)</f>
        <v>20735</v>
      </c>
      <c r="AE509" s="94">
        <f t="shared" si="302"/>
        <v>193608</v>
      </c>
      <c r="AF509" s="91">
        <f>SUM(AF369,AF434,AF508)</f>
        <v>116527</v>
      </c>
      <c r="AG509" s="92">
        <f>SUM(AG369,AG434,AG508)</f>
        <v>4536</v>
      </c>
      <c r="AH509" s="92">
        <f>SUM(AH369,AH434,AH508)</f>
        <v>9264</v>
      </c>
      <c r="AI509" s="93">
        <f>SUM(AI369,AI434,AI508)</f>
        <v>7879</v>
      </c>
      <c r="AJ509" s="94">
        <f t="shared" si="303"/>
        <v>138206</v>
      </c>
      <c r="AK509" s="91">
        <f>SUM(AK369,AK434,AK508)</f>
        <v>47821</v>
      </c>
      <c r="AL509" s="92">
        <f>SUM(AL369,AL434,AL508)</f>
        <v>1074</v>
      </c>
      <c r="AM509" s="92">
        <f>SUM(AM369,AM434,AM508)</f>
        <v>3736</v>
      </c>
      <c r="AN509" s="93">
        <f>SUM(AN369,AN434,AN508)</f>
        <v>3951</v>
      </c>
      <c r="AO509" s="94">
        <f t="shared" si="304"/>
        <v>56582</v>
      </c>
      <c r="AP509" s="91">
        <f>SUM(AP369,AP434,AP508)</f>
        <v>79883</v>
      </c>
      <c r="AQ509" s="92">
        <f>SUM(AQ369,AQ434,AQ508)</f>
        <v>787</v>
      </c>
      <c r="AR509" s="92">
        <f>SUM(AR369,AR434,AR508)</f>
        <v>6778</v>
      </c>
      <c r="AS509" s="93">
        <f>SUM(AS369,AS434,AS508)</f>
        <v>3983</v>
      </c>
      <c r="AT509" s="94">
        <f t="shared" si="305"/>
        <v>91431</v>
      </c>
      <c r="AU509" s="91">
        <f>SUM(AU369,AU434,AU508)</f>
        <v>64344</v>
      </c>
      <c r="AV509" s="92">
        <f>SUM(AV369,AV434,AV508)</f>
        <v>10660</v>
      </c>
      <c r="AW509" s="92">
        <f>SUM(AW369,AW434,AW508)</f>
        <v>8399</v>
      </c>
      <c r="AX509" s="93">
        <f>SUM(AX369,AX434,AX508)</f>
        <v>11525</v>
      </c>
      <c r="AY509" s="94">
        <f t="shared" si="306"/>
        <v>94928</v>
      </c>
      <c r="AZ509" s="91">
        <f>SUM(AZ369,AZ434,AZ508)</f>
        <v>136669</v>
      </c>
      <c r="BA509" s="92">
        <f>SUM(BA369,BA434,BA508)</f>
        <v>35863</v>
      </c>
      <c r="BB509" s="92">
        <f>SUM(BB369,BB434,BB508)</f>
        <v>16863</v>
      </c>
      <c r="BC509" s="93">
        <f>SUM(BC369,BC434,BC508)</f>
        <v>20030</v>
      </c>
      <c r="BD509" s="94">
        <f t="shared" si="307"/>
        <v>209425</v>
      </c>
      <c r="BE509" s="91">
        <f>SUM(BE369,BE434,BE508)</f>
        <v>91615</v>
      </c>
      <c r="BF509" s="92">
        <f>SUM(BF369,BF434,BF508)</f>
        <v>4380</v>
      </c>
      <c r="BG509" s="92">
        <f>SUM(BG369,BG434,BG508)</f>
        <v>8617</v>
      </c>
      <c r="BH509" s="93">
        <f>SUM(BH369,BH434,BH508)</f>
        <v>15345</v>
      </c>
      <c r="BI509" s="94">
        <f t="shared" si="308"/>
        <v>119957</v>
      </c>
      <c r="BJ509" s="91">
        <f>SUM(BJ369,BJ434,BJ508)</f>
        <v>33479</v>
      </c>
      <c r="BK509" s="92">
        <f>SUM(BK369,BK434,BK508)</f>
        <v>2376</v>
      </c>
      <c r="BL509" s="92">
        <f>SUM(BL369,BL434,BL508)</f>
        <v>2251</v>
      </c>
      <c r="BM509" s="93">
        <f>SUM(BM369,BM434,BM508)</f>
        <v>4025</v>
      </c>
      <c r="BN509" s="94">
        <f t="shared" si="309"/>
        <v>42131</v>
      </c>
      <c r="BO509" s="106">
        <f>SUM(BO369,BO434,BO508)</f>
        <v>901693</v>
      </c>
      <c r="BP509" s="92">
        <f>SUM(BP369,BP434,BP508)</f>
        <v>112886</v>
      </c>
      <c r="BQ509" s="92">
        <f>SUM(BQ369,BQ434,BQ508)</f>
        <v>108978</v>
      </c>
      <c r="BR509" s="93">
        <f>SUM(BR369,BR434,BR508)</f>
        <v>142943</v>
      </c>
      <c r="BS509" s="95">
        <f t="shared" si="311"/>
        <v>1266500</v>
      </c>
    </row>
    <row r="513" spans="5:71" x14ac:dyDescent="0.3">
      <c r="E513" s="290" t="s">
        <v>36</v>
      </c>
      <c r="F513" s="196" t="s">
        <v>421</v>
      </c>
      <c r="G513" s="197"/>
      <c r="H513" s="197"/>
      <c r="I513" s="197"/>
      <c r="J513" s="197"/>
      <c r="K513" s="197">
        <f>SUM(K280:K327)</f>
        <v>12336</v>
      </c>
      <c r="L513" s="197"/>
      <c r="M513" s="197"/>
      <c r="N513" s="197"/>
      <c r="O513" s="197"/>
      <c r="P513" s="197">
        <f>SUM(P280:P327)</f>
        <v>10926</v>
      </c>
      <c r="Q513" s="197"/>
      <c r="R513" s="197"/>
      <c r="S513" s="197"/>
      <c r="T513" s="197"/>
      <c r="U513" s="197">
        <f>SUM(U280:U327)</f>
        <v>13672</v>
      </c>
      <c r="V513" s="197"/>
      <c r="W513" s="197"/>
      <c r="X513" s="197"/>
      <c r="Y513" s="197"/>
      <c r="Z513" s="197">
        <f>SUM(Z280:Z327)</f>
        <v>22093</v>
      </c>
      <c r="AA513" s="197"/>
      <c r="AB513" s="197"/>
      <c r="AC513" s="197"/>
      <c r="AD513" s="197"/>
      <c r="AE513" s="197">
        <f>SUM(AE280:AE327)</f>
        <v>42577</v>
      </c>
      <c r="AF513" s="197"/>
      <c r="AG513" s="197"/>
      <c r="AH513" s="197"/>
      <c r="AI513" s="197"/>
      <c r="AJ513" s="197">
        <f>SUM(AJ280:AJ327)</f>
        <v>26071</v>
      </c>
      <c r="AK513" s="197"/>
      <c r="AL513" s="197"/>
      <c r="AM513" s="197"/>
      <c r="AN513" s="197"/>
      <c r="AO513" s="197">
        <f>SUM(AO280:AO327)</f>
        <v>11202</v>
      </c>
      <c r="AP513" s="197"/>
      <c r="AQ513" s="197"/>
      <c r="AR513" s="197"/>
      <c r="AS513" s="197"/>
      <c r="AT513" s="197">
        <f>SUM(AT280:AT327)</f>
        <v>22064</v>
      </c>
      <c r="AU513" s="197"/>
      <c r="AV513" s="197"/>
      <c r="AW513" s="197"/>
      <c r="AX513" s="197"/>
      <c r="AY513" s="197">
        <f>SUM(AY280:AY327)</f>
        <v>16107</v>
      </c>
      <c r="AZ513" s="197"/>
      <c r="BA513" s="197"/>
      <c r="BB513" s="197"/>
      <c r="BC513" s="197"/>
      <c r="BD513" s="197">
        <f>SUM(BD280:BD327)</f>
        <v>34703</v>
      </c>
      <c r="BE513" s="197"/>
      <c r="BF513" s="197"/>
      <c r="BG513" s="197"/>
      <c r="BH513" s="197"/>
      <c r="BI513" s="197">
        <f>SUM(BI280:BI327)</f>
        <v>20796</v>
      </c>
      <c r="BJ513" s="197"/>
      <c r="BK513" s="197"/>
      <c r="BL513" s="197"/>
      <c r="BM513" s="197"/>
      <c r="BN513" s="197">
        <f>SUM(BN280:BN327)</f>
        <v>9077</v>
      </c>
      <c r="BO513" s="197"/>
      <c r="BP513" s="197"/>
      <c r="BQ513" s="197"/>
      <c r="BR513" s="197"/>
      <c r="BS513" s="197">
        <f>SUM(BS280:BS327)</f>
        <v>241624</v>
      </c>
    </row>
    <row r="514" spans="5:71" x14ac:dyDescent="0.3">
      <c r="F514" s="196" t="s">
        <v>422</v>
      </c>
      <c r="G514" s="197"/>
      <c r="H514" s="197"/>
      <c r="I514" s="197"/>
      <c r="J514" s="197"/>
      <c r="K514" s="197">
        <f>SUM(K23:K30,K42:K49,K65:K68,K80:K83,K106:K109,K134:K141,K198:K201,K235:K236,K246:K256)</f>
        <v>1210</v>
      </c>
      <c r="L514" s="197"/>
      <c r="M514" s="197"/>
      <c r="N514" s="197"/>
      <c r="O514" s="197"/>
      <c r="P514" s="197">
        <f>SUM(P23:P30,P42:P49,P65:P68,P80:P83,P106:P109,P134:P141,P198:P201,P235:P236,P246:P256)</f>
        <v>1115</v>
      </c>
      <c r="Q514" s="197"/>
      <c r="R514" s="197"/>
      <c r="S514" s="197"/>
      <c r="T514" s="197"/>
      <c r="U514" s="197">
        <f>SUM(U23:U30,U42:U49,U65:U68,U80:U83,U106:U109,U134:U141,U198:U201,U235:U236,U246:U256)</f>
        <v>1294</v>
      </c>
      <c r="V514" s="197"/>
      <c r="W514" s="197"/>
      <c r="X514" s="197"/>
      <c r="Y514" s="197"/>
      <c r="Z514" s="197">
        <f>SUM(Z23:Z30,Z42:Z49,Z65:Z68,Z80:Z83,Z106:Z109,Z134:Z141,Z198:Z201,Z235:Z236,Z246:Z256)</f>
        <v>8015</v>
      </c>
      <c r="AA514" s="197"/>
      <c r="AB514" s="197"/>
      <c r="AC514" s="197"/>
      <c r="AD514" s="197"/>
      <c r="AE514" s="197">
        <f>SUM(AE23:AE30,AE42:AE49,AE65:AE68,AE80:AE83,AE106:AE109,AE134:AE141,AE198:AE201,AE235:AE236,AE246:AE256)</f>
        <v>16689</v>
      </c>
      <c r="AF514" s="197"/>
      <c r="AG514" s="197"/>
      <c r="AH514" s="197"/>
      <c r="AI514" s="197"/>
      <c r="AJ514" s="197">
        <f>SUM(AJ23:AJ30,AJ42:AJ49,AJ65:AJ68,AJ80:AJ83,AJ106:AJ109,AJ134:AJ141,AJ198:AJ201,AJ235:AJ236,AJ246:AJ256)</f>
        <v>8552</v>
      </c>
      <c r="AK514" s="197"/>
      <c r="AL514" s="197"/>
      <c r="AM514" s="197"/>
      <c r="AN514" s="197"/>
      <c r="AO514" s="197">
        <f>SUM(AO23:AO30,AO42:AO49,AO65:AO68,AO80:AO83,AO106:AO109,AO134:AO141,AO198:AO201,AO235:AO236,AO246:AO256)</f>
        <v>1990</v>
      </c>
      <c r="AP514" s="197"/>
      <c r="AQ514" s="197"/>
      <c r="AR514" s="197"/>
      <c r="AS514" s="197"/>
      <c r="AT514" s="197">
        <f>SUM(AT23:AT30,AT42:AT49,AT65:AT68,AT80:AT83,AT106:AT109,AT134:AT141,AT198:AT201,AT235:AT236,AT246:AT256)</f>
        <v>3933</v>
      </c>
      <c r="AU514" s="197"/>
      <c r="AV514" s="197"/>
      <c r="AW514" s="197"/>
      <c r="AX514" s="197"/>
      <c r="AY514" s="197">
        <f>SUM(AY23:AY30,AY42:AY49,AY65:AY68,AY80:AY83,AY106:AY109,AY134:AY141,AY198:AY201,AY235:AY236,AY246:AY256)</f>
        <v>2903</v>
      </c>
      <c r="AZ514" s="197"/>
      <c r="BA514" s="197"/>
      <c r="BB514" s="197"/>
      <c r="BC514" s="197"/>
      <c r="BD514" s="197">
        <f>SUM(BD23:BD30,BD42:BD49,BD65:BD68,BD80:BD83,BD106:BD109,BD134:BD141,BD198:BD201,BD235:BD236,BD246:BD256)</f>
        <v>8917</v>
      </c>
      <c r="BE514" s="197"/>
      <c r="BF514" s="197"/>
      <c r="BG514" s="197"/>
      <c r="BH514" s="197"/>
      <c r="BI514" s="197">
        <f>SUM(BI23:BI30,BI42:BI49,BI65:BI68,BI80:BI83,BI106:BI109,BI134:BI141,BI198:BI201,BI235:BI236,BI246:BI256)</f>
        <v>7903</v>
      </c>
      <c r="BJ514" s="197"/>
      <c r="BK514" s="197"/>
      <c r="BL514" s="197"/>
      <c r="BM514" s="197"/>
      <c r="BN514" s="197">
        <f>SUM(BN23:BN30,BN42:BN49,BN65:BN68,BN80:BN83,BN106:BN109,BN134:BN141,BN198:BN201,BN235:BN236,BN246:BN256)</f>
        <v>4050</v>
      </c>
      <c r="BO514" s="197"/>
      <c r="BP514" s="197"/>
      <c r="BQ514" s="197"/>
      <c r="BR514" s="197"/>
      <c r="BS514" s="197">
        <f>SUM(BS23:BS30,BS42:BS49,BS65:BS68,BS80:BS83,BS106:BS109,BS134:BS141,BS198:BS201,BS235:BS236,BS246:BS256)</f>
        <v>66571</v>
      </c>
    </row>
    <row r="515" spans="5:71" x14ac:dyDescent="0.3">
      <c r="E515" s="290" t="s">
        <v>620</v>
      </c>
      <c r="F515" s="196" t="s">
        <v>421</v>
      </c>
      <c r="G515" s="197"/>
      <c r="H515" s="197"/>
      <c r="I515" s="197"/>
      <c r="J515" s="197"/>
      <c r="K515" s="197">
        <f>SUM(K343:K345,K348:K358,K364:K367)</f>
        <v>1831</v>
      </c>
      <c r="L515" s="197"/>
      <c r="M515" s="197"/>
      <c r="N515" s="197"/>
      <c r="O515" s="197"/>
      <c r="P515" s="197">
        <f>SUM(P343:P345,P348:P358,P364:P367)</f>
        <v>1080</v>
      </c>
      <c r="Q515" s="197"/>
      <c r="R515" s="197"/>
      <c r="S515" s="197"/>
      <c r="T515" s="197"/>
      <c r="U515" s="197">
        <f>SUM(U343:U345,U348:U358,U364:U367)</f>
        <v>2109</v>
      </c>
      <c r="V515" s="197"/>
      <c r="W515" s="197"/>
      <c r="X515" s="197"/>
      <c r="Y515" s="197"/>
      <c r="Z515" s="197">
        <f>SUM(Z343:Z345,Z348:Z358,Z364:Z367)</f>
        <v>1803</v>
      </c>
      <c r="AA515" s="197"/>
      <c r="AB515" s="197"/>
      <c r="AC515" s="197"/>
      <c r="AD515" s="197"/>
      <c r="AE515" s="197">
        <f>SUM(AE343:AE345,AE348:AE358,AE364:AE367)</f>
        <v>2994</v>
      </c>
      <c r="AF515" s="197"/>
      <c r="AG515" s="197"/>
      <c r="AH515" s="197"/>
      <c r="AI515" s="197"/>
      <c r="AJ515" s="197">
        <f>SUM(AJ343:AJ345,AJ348:AJ358,AJ364:AJ367)</f>
        <v>2533</v>
      </c>
      <c r="AK515" s="197"/>
      <c r="AL515" s="197"/>
      <c r="AM515" s="197"/>
      <c r="AN515" s="197"/>
      <c r="AO515" s="197">
        <f>SUM(AO343:AO345,AO348:AO358,AO364:AO367)</f>
        <v>1507</v>
      </c>
      <c r="AP515" s="197"/>
      <c r="AQ515" s="197"/>
      <c r="AR515" s="197"/>
      <c r="AS515" s="197"/>
      <c r="AT515" s="197">
        <f>SUM(AT343:AT345,AT348:AT358,AT364:AT367)</f>
        <v>1674</v>
      </c>
      <c r="AU515" s="197"/>
      <c r="AV515" s="197"/>
      <c r="AW515" s="197"/>
      <c r="AX515" s="197"/>
      <c r="AY515" s="197">
        <f>SUM(AY343:AY345,AY348:AY358,AY364:AY367)</f>
        <v>1418</v>
      </c>
      <c r="AZ515" s="197"/>
      <c r="BA515" s="197"/>
      <c r="BB515" s="197"/>
      <c r="BC515" s="197"/>
      <c r="BD515" s="197">
        <f>SUM(BD343:BD345,BD348:BD358,BD364:BD367)</f>
        <v>1417</v>
      </c>
      <c r="BE515" s="197"/>
      <c r="BF515" s="197"/>
      <c r="BG515" s="197"/>
      <c r="BH515" s="197"/>
      <c r="BI515" s="197">
        <f>SUM(BI343:BI345,BI348:BI358,BI364:BI367)</f>
        <v>1173</v>
      </c>
      <c r="BJ515" s="197"/>
      <c r="BK515" s="197"/>
      <c r="BL515" s="197"/>
      <c r="BM515" s="197"/>
      <c r="BN515" s="197">
        <f>SUM(BN343:BN345,BN348:BN358,BN364:BN367)</f>
        <v>541</v>
      </c>
      <c r="BO515" s="197"/>
      <c r="BP515" s="197"/>
      <c r="BQ515" s="197"/>
      <c r="BR515" s="197"/>
      <c r="BS515" s="197">
        <f>SUM(BS343:BS345,BS348:BS358,BS364:BS367)</f>
        <v>20080</v>
      </c>
    </row>
    <row r="516" spans="5:71" x14ac:dyDescent="0.3">
      <c r="E516" s="290" t="s">
        <v>24</v>
      </c>
      <c r="F516" s="196" t="s">
        <v>421</v>
      </c>
      <c r="K516" s="273">
        <f>SUM(K439:K457,K459,K502)</f>
        <v>13825</v>
      </c>
      <c r="P516" s="273">
        <f>SUM(P439:P457,P459,P502)</f>
        <v>14710</v>
      </c>
      <c r="U516" s="273">
        <f>SUM(U439:U457,U459,U502)</f>
        <v>15475</v>
      </c>
      <c r="Z516" s="273">
        <f>SUM(Z439:Z457,Z459,Z502)</f>
        <v>20533</v>
      </c>
      <c r="AE516" s="273">
        <f>SUM(AE439:AE457,AE459,AE502)</f>
        <v>32882</v>
      </c>
      <c r="AJ516" s="273">
        <f>SUM(AJ439:AJ457,AJ459,AJ502)</f>
        <v>27203</v>
      </c>
      <c r="AO516" s="273">
        <f>SUM(AO439:AO457,AO459,AO502)</f>
        <v>12813</v>
      </c>
      <c r="AT516" s="273">
        <f>SUM(AT439:AT457,AT459,AT502)</f>
        <v>23506</v>
      </c>
      <c r="AY516" s="273">
        <f>SUM(AY439:AY457,AY459,AY502)</f>
        <v>21383</v>
      </c>
      <c r="BD516" s="273">
        <f>SUM(BD439:BD457,BD459,BD502)</f>
        <v>54568</v>
      </c>
      <c r="BI516" s="273">
        <f>SUM(BI439:BI457,BI459,BI502)</f>
        <v>31877</v>
      </c>
      <c r="BN516" s="273">
        <f>SUM(BN439:BN457,BN459,BN502)</f>
        <v>8059</v>
      </c>
      <c r="BS516" s="273">
        <f>SUM(BS439:BS457,BS459,BS502)</f>
        <v>276834</v>
      </c>
    </row>
    <row r="517" spans="5:71" x14ac:dyDescent="0.3">
      <c r="E517" s="291"/>
      <c r="F517" s="75" t="s">
        <v>14</v>
      </c>
      <c r="G517" s="292"/>
      <c r="H517" s="292"/>
      <c r="I517" s="292"/>
      <c r="J517" s="292"/>
      <c r="K517" s="293">
        <f>SUM(K513:K516)</f>
        <v>29202</v>
      </c>
      <c r="L517" s="292"/>
      <c r="M517" s="292"/>
      <c r="N517" s="292"/>
      <c r="O517" s="292"/>
      <c r="P517" s="293">
        <f>SUM(P513:P516)</f>
        <v>27831</v>
      </c>
      <c r="Q517" s="292"/>
      <c r="R517" s="292"/>
      <c r="S517" s="292"/>
      <c r="T517" s="292"/>
      <c r="U517" s="293">
        <f>SUM(U513:U516)</f>
        <v>32550</v>
      </c>
      <c r="V517" s="292"/>
      <c r="W517" s="292"/>
      <c r="X517" s="292"/>
      <c r="Y517" s="292"/>
      <c r="Z517" s="293">
        <f>SUM(Z513:Z516)</f>
        <v>52444</v>
      </c>
      <c r="AA517" s="292"/>
      <c r="AB517" s="292"/>
      <c r="AC517" s="292"/>
      <c r="AD517" s="292"/>
      <c r="AE517" s="293">
        <f>SUM(AE513:AE516)</f>
        <v>95142</v>
      </c>
      <c r="AF517" s="292"/>
      <c r="AG517" s="292"/>
      <c r="AH517" s="292"/>
      <c r="AI517" s="292"/>
      <c r="AJ517" s="293">
        <f>SUM(AJ513:AJ516)</f>
        <v>64359</v>
      </c>
      <c r="AK517" s="292"/>
      <c r="AL517" s="292"/>
      <c r="AM517" s="292"/>
      <c r="AN517" s="292"/>
      <c r="AO517" s="293">
        <f>SUM(AO513:AO516)</f>
        <v>27512</v>
      </c>
      <c r="AP517" s="292"/>
      <c r="AQ517" s="292"/>
      <c r="AR517" s="292"/>
      <c r="AS517" s="292"/>
      <c r="AT517" s="293">
        <f>SUM(AT513:AT516)</f>
        <v>51177</v>
      </c>
      <c r="AU517" s="292"/>
      <c r="AV517" s="292"/>
      <c r="AW517" s="292"/>
      <c r="AX517" s="292"/>
      <c r="AY517" s="293">
        <f>SUM(AY513:AY516)</f>
        <v>41811</v>
      </c>
      <c r="AZ517" s="292"/>
      <c r="BA517" s="292"/>
      <c r="BB517" s="292"/>
      <c r="BC517" s="292"/>
      <c r="BD517" s="293">
        <f>SUM(BD513:BD516)</f>
        <v>99605</v>
      </c>
      <c r="BE517" s="292"/>
      <c r="BF517" s="292"/>
      <c r="BG517" s="292"/>
      <c r="BH517" s="292"/>
      <c r="BI517" s="293">
        <f>SUM(BI513:BI516)</f>
        <v>61749</v>
      </c>
      <c r="BJ517" s="292"/>
      <c r="BK517" s="292"/>
      <c r="BL517" s="292"/>
      <c r="BM517" s="292"/>
      <c r="BN517" s="293">
        <f>SUM(BN513:BN516)</f>
        <v>21727</v>
      </c>
      <c r="BO517" s="292"/>
      <c r="BP517" s="292"/>
      <c r="BQ517" s="292"/>
      <c r="BR517" s="292"/>
      <c r="BS517" s="293">
        <f>SUM(BS513:BS516)</f>
        <v>605109</v>
      </c>
    </row>
  </sheetData>
  <mergeCells count="88">
    <mergeCell ref="B509:F509"/>
    <mergeCell ref="B435:B508"/>
    <mergeCell ref="C435:D438"/>
    <mergeCell ref="C439:C503"/>
    <mergeCell ref="D439:E465"/>
    <mergeCell ref="D466:E502"/>
    <mergeCell ref="C504:E505"/>
    <mergeCell ref="C506:E507"/>
    <mergeCell ref="C508:F508"/>
    <mergeCell ref="E409:E414"/>
    <mergeCell ref="E415:E416"/>
    <mergeCell ref="E417:E420"/>
    <mergeCell ref="E421:E422"/>
    <mergeCell ref="C424:E433"/>
    <mergeCell ref="C434:F434"/>
    <mergeCell ref="C369:F369"/>
    <mergeCell ref="B370:B434"/>
    <mergeCell ref="C370:E377"/>
    <mergeCell ref="C378:D396"/>
    <mergeCell ref="E378:E384"/>
    <mergeCell ref="E385:E394"/>
    <mergeCell ref="C397:D408"/>
    <mergeCell ref="E397:E402"/>
    <mergeCell ref="E403:E407"/>
    <mergeCell ref="C409:D423"/>
    <mergeCell ref="D279:F279"/>
    <mergeCell ref="C280:E330"/>
    <mergeCell ref="C331:D368"/>
    <mergeCell ref="E331:E358"/>
    <mergeCell ref="E359:E360"/>
    <mergeCell ref="E361:E363"/>
    <mergeCell ref="E364:E367"/>
    <mergeCell ref="E368:F368"/>
    <mergeCell ref="D181:F181"/>
    <mergeCell ref="C182:C279"/>
    <mergeCell ref="D182:D278"/>
    <mergeCell ref="E182:E216"/>
    <mergeCell ref="E217:E277"/>
    <mergeCell ref="E278:F278"/>
    <mergeCell ref="D148:F148"/>
    <mergeCell ref="C149:C181"/>
    <mergeCell ref="D149:D180"/>
    <mergeCell ref="E149:E159"/>
    <mergeCell ref="E160:E168"/>
    <mergeCell ref="E169:E179"/>
    <mergeCell ref="E180:F180"/>
    <mergeCell ref="E130:E146"/>
    <mergeCell ref="E147:F147"/>
    <mergeCell ref="E74:E88"/>
    <mergeCell ref="E89:E95"/>
    <mergeCell ref="E96:E110"/>
    <mergeCell ref="E111:E117"/>
    <mergeCell ref="E118:E124"/>
    <mergeCell ref="E125:E129"/>
    <mergeCell ref="BO4:BS4"/>
    <mergeCell ref="B6:B369"/>
    <mergeCell ref="C6:E8"/>
    <mergeCell ref="C9:C148"/>
    <mergeCell ref="D9:D147"/>
    <mergeCell ref="E9:E31"/>
    <mergeCell ref="E32:E54"/>
    <mergeCell ref="E55:E73"/>
    <mergeCell ref="BE4:BI4"/>
    <mergeCell ref="BJ4:BN4"/>
    <mergeCell ref="AU4:AY4"/>
    <mergeCell ref="AZ4:BD4"/>
    <mergeCell ref="AK4:AO4"/>
    <mergeCell ref="AP4:AT4"/>
    <mergeCell ref="AA4:AE4"/>
    <mergeCell ref="AF4:AJ4"/>
    <mergeCell ref="BJ3:BN3"/>
    <mergeCell ref="BO3:BS3"/>
    <mergeCell ref="G4:K4"/>
    <mergeCell ref="L4:P4"/>
    <mergeCell ref="Q4:U4"/>
    <mergeCell ref="AF3:AJ3"/>
    <mergeCell ref="AK3:AO3"/>
    <mergeCell ref="AP3:AT3"/>
    <mergeCell ref="AU3:AY3"/>
    <mergeCell ref="AZ3:BD3"/>
    <mergeCell ref="BE3:BI3"/>
    <mergeCell ref="B3:F5"/>
    <mergeCell ref="G3:K3"/>
    <mergeCell ref="L3:P3"/>
    <mergeCell ref="Q3:U3"/>
    <mergeCell ref="V3:Z3"/>
    <mergeCell ref="AA3:AE3"/>
    <mergeCell ref="V4:Z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23년</vt:lpstr>
      <vt:lpstr>24년</vt:lpstr>
      <vt:lpstr>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김광중</dc:creator>
  <cp:lastModifiedBy>김묵주</cp:lastModifiedBy>
  <dcterms:created xsi:type="dcterms:W3CDTF">2019-01-28T09:03:11Z</dcterms:created>
  <dcterms:modified xsi:type="dcterms:W3CDTF">2026-01-19T00:29:28Z</dcterms:modified>
</cp:coreProperties>
</file>