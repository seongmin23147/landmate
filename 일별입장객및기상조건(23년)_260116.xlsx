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D:\기획팀(기획)\4.기획업무\기타\2026_한국외대\2.전달\"/>
    </mc:Choice>
  </mc:AlternateContent>
  <xr:revisionPtr revIDLastSave="0" documentId="13_ncr:1_{12F046B6-7412-4048-9045-FF0A62E647B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월" sheetId="64" r:id="rId1"/>
    <sheet name="2월" sheetId="65" r:id="rId2"/>
    <sheet name="3월" sheetId="66" r:id="rId3"/>
    <sheet name="4월" sheetId="67" r:id="rId4"/>
    <sheet name="5월" sheetId="68" r:id="rId5"/>
    <sheet name="6월" sheetId="69" r:id="rId6"/>
    <sheet name="7월" sheetId="70" r:id="rId7"/>
    <sheet name="8월" sheetId="71" r:id="rId8"/>
    <sheet name="9월" sheetId="72" r:id="rId9"/>
    <sheet name="10월" sheetId="73" r:id="rId10"/>
    <sheet name="11월" sheetId="74" r:id="rId11"/>
    <sheet name="12월" sheetId="75" r:id="rId12"/>
  </sheets>
  <calcPr calcId="191029"/>
</workbook>
</file>

<file path=xl/calcChain.xml><?xml version="1.0" encoding="utf-8"?>
<calcChain xmlns="http://schemas.openxmlformats.org/spreadsheetml/2006/main">
  <c r="H39" i="67" l="1"/>
  <c r="I36" i="67"/>
  <c r="E39" i="73"/>
  <c r="D39" i="73"/>
  <c r="I39" i="67" l="1"/>
  <c r="H36" i="67"/>
  <c r="I39" i="75"/>
  <c r="E24" i="75" l="1"/>
  <c r="H39" i="74" l="1"/>
  <c r="H39" i="73" l="1"/>
  <c r="H39" i="72" l="1"/>
  <c r="I40" i="70" l="1"/>
  <c r="I39" i="69" l="1"/>
  <c r="I41" i="69" l="1"/>
  <c r="I39" i="68" l="1"/>
  <c r="I40" i="66" l="1"/>
  <c r="H39" i="65" l="1"/>
  <c r="I39" i="64" l="1"/>
  <c r="I36" i="69" l="1"/>
  <c r="I36" i="68"/>
  <c r="I36" i="65"/>
  <c r="H36" i="65"/>
  <c r="H36" i="68" l="1"/>
  <c r="H36" i="69"/>
  <c r="I36" i="75"/>
  <c r="H36" i="75"/>
  <c r="I36" i="74"/>
  <c r="H36" i="74"/>
  <c r="I36" i="73"/>
  <c r="H36" i="73"/>
  <c r="I36" i="72"/>
  <c r="H36" i="72"/>
  <c r="I36" i="71"/>
  <c r="H36" i="71"/>
  <c r="I36" i="70"/>
  <c r="H36" i="70"/>
  <c r="I36" i="66"/>
  <c r="H36" i="66"/>
  <c r="H36" i="64"/>
  <c r="H37" i="64" s="1"/>
  <c r="H37" i="65" s="1"/>
  <c r="I36" i="64"/>
  <c r="I37" i="64" s="1"/>
  <c r="I37" i="65" s="1"/>
  <c r="I37" i="66" l="1"/>
  <c r="H37" i="66"/>
  <c r="H37" i="67" l="1"/>
  <c r="H37" i="68" s="1"/>
  <c r="H37" i="69" s="1"/>
  <c r="H37" i="70" s="1"/>
  <c r="H37" i="71" s="1"/>
  <c r="H37" i="72" s="1"/>
  <c r="H37" i="73" s="1"/>
  <c r="H37" i="74" s="1"/>
  <c r="H37" i="75" s="1"/>
  <c r="I37" i="67"/>
  <c r="I37" i="68" s="1"/>
  <c r="I37" i="69" s="1"/>
  <c r="I37" i="70" s="1"/>
  <c r="I37" i="71" s="1"/>
  <c r="I37" i="72" s="1"/>
  <c r="I37" i="73" s="1"/>
  <c r="I37" i="74" s="1"/>
  <c r="I37" i="7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김묵주</author>
  </authors>
  <commentList>
    <comment ref="C10" authorId="0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구름많음</t>
        </r>
      </text>
    </comment>
    <comment ref="C11" authorId="0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미세먼지</t>
        </r>
      </text>
    </comment>
    <comment ref="C12" authorId="0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미세먼지</t>
        </r>
      </text>
    </comment>
    <comment ref="C13" authorId="0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미세먼지</t>
        </r>
      </text>
    </comment>
    <comment ref="C17" authorId="0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흐림</t>
        </r>
      </text>
    </comment>
    <comment ref="C18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흐림</t>
        </r>
      </text>
    </comment>
    <comment ref="C19" authorId="0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흐림</t>
        </r>
      </text>
    </comment>
    <comment ref="C23" authorId="0" shapeId="0" xr:uid="{00000000-0006-0000-0000-000009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구름많음</t>
        </r>
      </text>
    </comment>
    <comment ref="C24" authorId="0" shapeId="0" xr:uid="{00000000-0006-0000-0000-00000A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미세먼지</t>
        </r>
      </text>
    </comment>
    <comment ref="A28" authorId="0" shapeId="0" xr:uid="{00000000-0006-0000-0000-00000B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대체공휴일</t>
        </r>
      </text>
    </comment>
    <comment ref="C28" authorId="0" shapeId="0" xr:uid="{00000000-0006-0000-0000-00000C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한파경보</t>
        </r>
      </text>
    </comment>
    <comment ref="C29" authorId="0" shapeId="0" xr:uid="{00000000-0006-0000-0000-00000D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한파경보</t>
        </r>
      </text>
    </comment>
    <comment ref="C30" authorId="0" shapeId="0" xr:uid="{00000000-0006-0000-0000-00000E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대설주의보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눈</t>
        </r>
        <r>
          <rPr>
            <sz val="9"/>
            <color indexed="81"/>
            <rFont val="Tahoma"/>
            <family val="2"/>
          </rPr>
          <t>(~14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>)</t>
        </r>
      </text>
    </comment>
    <comment ref="C31" authorId="0" shapeId="0" xr:uid="{00000000-0006-0000-0000-00000F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한파주의보</t>
        </r>
      </text>
    </comment>
    <comment ref="C32" authorId="0" shapeId="0" xr:uid="{00000000-0006-0000-0000-000010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한파주의보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김묵주</author>
  </authors>
  <commentList>
    <comment ref="C14" authorId="0" shapeId="0" xr:uid="{00000000-0006-0000-0100-000002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~10</t>
        </r>
        <r>
          <rPr>
            <sz val="9"/>
            <color indexed="81"/>
            <rFont val="돋움"/>
            <family val="3"/>
            <charset val="129"/>
          </rPr>
          <t>시</t>
        </r>
      </text>
    </comment>
    <comment ref="C18" authorId="0" shapeId="0" xr:uid="{00000000-0006-0000-0100-000003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18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>~</t>
        </r>
      </text>
    </comment>
    <comment ref="C23" authorId="0" shapeId="0" xr:uid="{00000000-0006-0000-0100-000004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오전비예보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구름조금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김묵주</author>
  </authors>
  <commentList>
    <comment ref="C12" authorId="0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구름많음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비예보</t>
        </r>
      </text>
    </comment>
    <comment ref="C13" authorId="0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구름조금</t>
        </r>
      </text>
    </comment>
    <comment ref="C16" authorId="0" shapeId="0" xr:uid="{00000000-0006-0000-0200-000004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오전비</t>
        </r>
        <r>
          <rPr>
            <sz val="9"/>
            <color indexed="81"/>
            <rFont val="Tahoma"/>
            <family val="2"/>
          </rPr>
          <t>(~14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>)</t>
        </r>
      </text>
    </comment>
    <comment ref="C17" authorId="0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한파주의보</t>
        </r>
        <r>
          <rPr>
            <sz val="9"/>
            <color indexed="81"/>
            <rFont val="Tahoma"/>
            <family val="2"/>
          </rPr>
          <t>(10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해제</t>
        </r>
        <r>
          <rPr>
            <sz val="9"/>
            <color indexed="81"/>
            <rFont val="Tahoma"/>
            <family val="2"/>
          </rPr>
          <t>)</t>
        </r>
      </text>
    </comment>
    <comment ref="C27" authorId="0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오전비예보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구름많음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미세먼지</t>
        </r>
      </text>
    </comment>
    <comment ref="C28" authorId="0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미세먼지</t>
        </r>
      </text>
    </comment>
    <comment ref="C29" authorId="0" shapeId="0" xr:uid="{00000000-0006-0000-0200-000008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미세먼지</t>
        </r>
      </text>
    </comment>
    <comment ref="C30" authorId="0" shapeId="0" xr:uid="{00000000-0006-0000-0200-000009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미세먼지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김묵주</author>
  </authors>
  <commentList>
    <comment ref="C8" authorId="0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비</t>
        </r>
        <r>
          <rPr>
            <sz val="9"/>
            <color indexed="81"/>
            <rFont val="Tahoma"/>
            <family val="2"/>
          </rPr>
          <t xml:space="preserve"> 18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>~</t>
        </r>
      </text>
    </comment>
    <comment ref="C9" authorId="0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흐림</t>
        </r>
      </text>
    </comment>
    <comment ref="C10" authorId="0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흐림</t>
        </r>
      </text>
    </comment>
    <comment ref="C15" authorId="0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강풍주의보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황사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미세먼지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구름많음</t>
        </r>
      </text>
    </comment>
    <comment ref="C16" authorId="0" shapeId="0" xr:uid="{00000000-0006-0000-0300-000006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미세먼지</t>
        </r>
      </text>
    </comment>
    <comment ref="C17" authorId="0" shapeId="0" xr:uid="{00000000-0006-0000-0300-000007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미세먼지</t>
        </r>
      </text>
    </comment>
    <comment ref="C18" authorId="0" shapeId="0" xr:uid="{00000000-0006-0000-0300-000008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미세먼지</t>
        </r>
      </text>
    </comment>
    <comment ref="C19" authorId="0" shapeId="0" xr:uid="{00000000-0006-0000-0300-000009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오전비</t>
        </r>
        <r>
          <rPr>
            <sz val="9"/>
            <color indexed="81"/>
            <rFont val="Tahoma"/>
            <family val="2"/>
          </rPr>
          <t>(~14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 xml:space="preserve">), </t>
        </r>
        <r>
          <rPr>
            <sz val="9"/>
            <color indexed="81"/>
            <rFont val="돋움"/>
            <family val="3"/>
            <charset val="129"/>
          </rPr>
          <t>구름많음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0" authorId="0" shapeId="0" xr:uid="{00000000-0006-0000-0300-00000A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구름많음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돋움"/>
            <family val="3"/>
            <charset val="129"/>
          </rPr>
          <t>미세먼지</t>
        </r>
      </text>
    </comment>
    <comment ref="C21" authorId="0" shapeId="0" xr:uid="{00000000-0006-0000-0300-00000B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저녁비</t>
        </r>
        <r>
          <rPr>
            <sz val="9"/>
            <color indexed="81"/>
            <rFont val="Tahoma"/>
            <family val="2"/>
          </rPr>
          <t>(19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 xml:space="preserve">~), </t>
        </r>
        <r>
          <rPr>
            <sz val="9"/>
            <color indexed="81"/>
            <rFont val="돋움"/>
            <family val="3"/>
            <charset val="129"/>
          </rPr>
          <t>구름많음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돋움"/>
            <family val="3"/>
            <charset val="129"/>
          </rPr>
          <t>미세먼지</t>
        </r>
      </text>
    </comment>
    <comment ref="C22" authorId="0" shapeId="0" xr:uid="{00000000-0006-0000-0300-00000C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오전비</t>
        </r>
        <r>
          <rPr>
            <sz val="9"/>
            <color indexed="81"/>
            <rFont val="Tahoma"/>
            <family val="2"/>
          </rPr>
          <t>(~13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>)</t>
        </r>
      </text>
    </comment>
    <comment ref="C24" authorId="0" shapeId="0" xr:uid="{00000000-0006-0000-0300-00000D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오전비예보</t>
        </r>
      </text>
    </comment>
    <comment ref="C26" authorId="0" shapeId="0" xr:uid="{00000000-0006-0000-0300-00000E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미세먼지</t>
        </r>
      </text>
    </comment>
    <comment ref="C29" authorId="0" shapeId="0" xr:uid="{00000000-0006-0000-0300-00000F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흐림</t>
        </r>
      </text>
    </comment>
    <comment ref="C32" authorId="0" shapeId="0" xr:uid="{00000000-0006-0000-0300-000010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비</t>
        </r>
        <r>
          <rPr>
            <sz val="9"/>
            <color indexed="81"/>
            <rFont val="Tahoma"/>
            <family val="2"/>
          </rPr>
          <t>(20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>~)</t>
        </r>
      </text>
    </comment>
    <comment ref="C33" authorId="0" shapeId="0" xr:uid="{00000000-0006-0000-0300-000011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오전비</t>
        </r>
        <r>
          <rPr>
            <sz val="9"/>
            <color indexed="81"/>
            <rFont val="Tahoma"/>
            <family val="2"/>
          </rPr>
          <t>(~14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 xml:space="preserve">), </t>
        </r>
        <r>
          <rPr>
            <sz val="9"/>
            <color indexed="81"/>
            <rFont val="돋움"/>
            <family val="3"/>
            <charset val="129"/>
          </rPr>
          <t>저녁비</t>
        </r>
        <r>
          <rPr>
            <sz val="9"/>
            <color indexed="81"/>
            <rFont val="Tahoma"/>
            <family val="2"/>
          </rPr>
          <t>(19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>~),</t>
        </r>
        <r>
          <rPr>
            <sz val="9"/>
            <color indexed="81"/>
            <rFont val="돋움"/>
            <family val="3"/>
            <charset val="129"/>
          </rPr>
          <t>흐림</t>
        </r>
      </text>
    </comment>
    <comment ref="C34" authorId="0" shapeId="0" xr:uid="{00000000-0006-0000-0300-000013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저녁비</t>
        </r>
        <r>
          <rPr>
            <sz val="9"/>
            <color indexed="81"/>
            <rFont val="Tahoma"/>
            <family val="2"/>
          </rPr>
          <t>(20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>~)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김묵주</author>
  </authors>
  <commentList>
    <comment ref="C9" authorId="0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흐림</t>
        </r>
      </text>
    </comment>
    <comment ref="C10" authorId="0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흐림
비예보</t>
        </r>
        <r>
          <rPr>
            <sz val="9"/>
            <color indexed="81"/>
            <rFont val="Tahoma"/>
            <family val="2"/>
          </rPr>
          <t>(~18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>)</t>
        </r>
      </text>
    </comment>
    <comment ref="C11" authorId="0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비</t>
        </r>
        <r>
          <rPr>
            <sz val="9"/>
            <color indexed="81"/>
            <rFont val="Tahoma"/>
            <family val="2"/>
          </rPr>
          <t>(~9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>)</t>
        </r>
      </text>
    </comment>
    <comment ref="C22" authorId="0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비</t>
        </r>
        <r>
          <rPr>
            <sz val="9"/>
            <color indexed="81"/>
            <rFont val="Tahoma"/>
            <family val="2"/>
          </rPr>
          <t>(13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>~14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 xml:space="preserve"> 30</t>
        </r>
        <r>
          <rPr>
            <sz val="9"/>
            <color indexed="81"/>
            <rFont val="돋움"/>
            <family val="3"/>
            <charset val="129"/>
          </rPr>
          <t>분</t>
        </r>
        <r>
          <rPr>
            <sz val="9"/>
            <color indexed="81"/>
            <rFont val="Tahoma"/>
            <family val="2"/>
          </rPr>
          <t xml:space="preserve">)
</t>
        </r>
        <r>
          <rPr>
            <sz val="9"/>
            <color indexed="81"/>
            <rFont val="돋움"/>
            <family val="3"/>
            <charset val="129"/>
          </rPr>
          <t>오전비예보</t>
        </r>
      </text>
    </comment>
    <comment ref="C25" authorId="0" shapeId="0" xr:uid="{00000000-0006-0000-0400-000006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미세먼지</t>
        </r>
      </text>
    </comment>
    <comment ref="C26" authorId="0" shapeId="0" xr:uid="{00000000-0006-0000-0400-000007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미세먼지</t>
        </r>
      </text>
    </comment>
    <comment ref="C27" authorId="0" shapeId="0" xr:uid="{00000000-0006-0000-0400-000008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맑음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미세먼지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소나기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예보</t>
        </r>
      </text>
    </comment>
    <comment ref="C31" authorId="0" shapeId="0" xr:uid="{00000000-0006-0000-0400-000009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흐림</t>
        </r>
      </text>
    </comment>
    <comment ref="C32" authorId="0" shapeId="0" xr:uid="{00000000-0006-0000-0400-00000A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흐림</t>
        </r>
      </text>
    </comment>
    <comment ref="A33" authorId="0" shapeId="0" xr:uid="{00000000-0006-0000-0400-00000B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석가탄신일</t>
        </r>
        <r>
          <rPr>
            <sz val="9"/>
            <color indexed="81"/>
            <rFont val="Tahoma"/>
            <family val="2"/>
          </rPr>
          <t>(27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) </t>
        </r>
        <r>
          <rPr>
            <sz val="9"/>
            <color indexed="81"/>
            <rFont val="돋움"/>
            <family val="3"/>
            <charset val="129"/>
          </rPr>
          <t>대체공휴일</t>
        </r>
      </text>
    </comment>
    <comment ref="C33" authorId="0" shapeId="0" xr:uid="{00000000-0006-0000-0400-00000C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오전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예보</t>
        </r>
      </text>
    </comment>
    <comment ref="C34" authorId="0" shapeId="0" xr:uid="{00000000-0006-0000-0400-00000D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소나기</t>
        </r>
        <r>
          <rPr>
            <sz val="9"/>
            <color indexed="81"/>
            <rFont val="Tahoma"/>
            <family val="2"/>
          </rPr>
          <t>(17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>30</t>
        </r>
        <r>
          <rPr>
            <sz val="9"/>
            <color indexed="81"/>
            <rFont val="돋움"/>
            <family val="3"/>
            <charset val="129"/>
          </rPr>
          <t>분</t>
        </r>
        <r>
          <rPr>
            <sz val="9"/>
            <color indexed="81"/>
            <rFont val="Tahoma"/>
            <family val="2"/>
          </rPr>
          <t>~18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>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김묵주</author>
  </authors>
  <commentList>
    <comment ref="C12" authorId="0" shapeId="0" xr:uid="{00000000-0006-0000-0500-000005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비</t>
        </r>
        <r>
          <rPr>
            <sz val="9"/>
            <color indexed="81"/>
            <rFont val="Tahoma"/>
            <family val="2"/>
          </rPr>
          <t>(13~15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>)</t>
        </r>
      </text>
    </comment>
    <comment ref="C16" authorId="0" shapeId="0" xr:uid="{00000000-0006-0000-0500-000006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비</t>
        </r>
        <r>
          <rPr>
            <sz val="9"/>
            <color indexed="81"/>
            <rFont val="Tahoma"/>
            <family val="2"/>
          </rPr>
          <t>(17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>30</t>
        </r>
        <r>
          <rPr>
            <sz val="9"/>
            <color indexed="81"/>
            <rFont val="돋움"/>
            <family val="3"/>
            <charset val="129"/>
          </rPr>
          <t>분</t>
        </r>
        <r>
          <rPr>
            <sz val="9"/>
            <color indexed="81"/>
            <rFont val="Tahoma"/>
            <family val="2"/>
          </rPr>
          <t>~18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>30</t>
        </r>
        <r>
          <rPr>
            <sz val="9"/>
            <color indexed="81"/>
            <rFont val="돋움"/>
            <family val="3"/>
            <charset val="129"/>
          </rPr>
          <t>분</t>
        </r>
        <r>
          <rPr>
            <sz val="9"/>
            <color indexed="81"/>
            <rFont val="Tahoma"/>
            <family val="2"/>
          </rPr>
          <t>)</t>
        </r>
      </text>
    </comment>
    <comment ref="C19" authorId="0" shapeId="0" xr:uid="{00000000-0006-0000-0500-000007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소나기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예보</t>
        </r>
      </text>
    </comment>
    <comment ref="C25" authorId="0" shapeId="0" xr:uid="{00000000-0006-0000-0500-000008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흐림</t>
        </r>
      </text>
    </comment>
    <comment ref="C26" authorId="0" shapeId="0" xr:uid="{00000000-0006-0000-0500-000009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소나기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예보</t>
        </r>
      </text>
    </comment>
    <comment ref="C30" authorId="0" shapeId="0" xr:uid="{00000000-0006-0000-0500-00000A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흐림</t>
        </r>
      </text>
    </comment>
    <comment ref="C32" authorId="0" shapeId="0" xr:uid="{00000000-0006-0000-0500-00000B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소나기예보</t>
        </r>
      </text>
    </comment>
    <comment ref="C33" authorId="0" shapeId="0" xr:uid="{00000000-0006-0000-0500-00000C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흐림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김묵주</author>
  </authors>
  <commentList>
    <comment ref="C8" authorId="0" shapeId="0" xr:uid="{00000000-0006-0000-0600-000002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흐림</t>
        </r>
      </text>
    </comment>
    <comment ref="C9" authorId="0" shapeId="0" xr:uid="{00000000-0006-0000-0600-000003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오전비예보</t>
        </r>
      </text>
    </comment>
    <comment ref="C13" authorId="0" shapeId="0" xr:uid="{00000000-0006-0000-0600-000005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비</t>
        </r>
        <r>
          <rPr>
            <sz val="9"/>
            <color indexed="81"/>
            <rFont val="Tahoma"/>
            <family val="2"/>
          </rPr>
          <t>(~14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>)</t>
        </r>
      </text>
    </comment>
    <comment ref="C15" authorId="0" shapeId="0" xr:uid="{00000000-0006-0000-0600-000007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흐림</t>
        </r>
      </text>
    </comment>
    <comment ref="C17" authorId="0" shapeId="0" xr:uid="{00000000-0006-0000-0600-000008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흐림</t>
        </r>
      </text>
    </comment>
    <comment ref="C18" authorId="0" shapeId="0" xr:uid="{00000000-0006-0000-0600-000009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흐림</t>
        </r>
      </text>
    </comment>
    <comment ref="C19" authorId="0" shapeId="0" xr:uid="{00000000-0006-0000-0600-00000A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흐림</t>
        </r>
      </text>
    </comment>
    <comment ref="C20" authorId="0" shapeId="0" xr:uid="{00000000-0006-0000-0600-00000B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비</t>
        </r>
        <r>
          <rPr>
            <sz val="9"/>
            <color indexed="81"/>
            <rFont val="Tahoma"/>
            <family val="2"/>
          </rPr>
          <t>(~12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>)</t>
        </r>
      </text>
    </comment>
    <comment ref="C21" authorId="0" shapeId="0" xr:uid="{00000000-0006-0000-0600-00000C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비</t>
        </r>
        <r>
          <rPr>
            <sz val="9"/>
            <color indexed="81"/>
            <rFont val="Tahoma"/>
            <family val="2"/>
          </rPr>
          <t>(14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>~17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 xml:space="preserve">), </t>
        </r>
        <r>
          <rPr>
            <sz val="9"/>
            <color indexed="81"/>
            <rFont val="돋움"/>
            <family val="3"/>
            <charset val="129"/>
          </rPr>
          <t>비예보</t>
        </r>
      </text>
    </comment>
    <comment ref="C22" authorId="0" shapeId="0" xr:uid="{00000000-0006-0000-0600-00000D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비</t>
        </r>
        <r>
          <rPr>
            <sz val="9"/>
            <color indexed="81"/>
            <rFont val="Tahoma"/>
            <family val="2"/>
          </rPr>
          <t>(~14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>)</t>
        </r>
      </text>
    </comment>
    <comment ref="C25" authorId="0" shapeId="0" xr:uid="{00000000-0006-0000-0600-00000E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맑음</t>
        </r>
      </text>
    </comment>
    <comment ref="C26" authorId="0" shapeId="0" xr:uid="{00000000-0006-0000-0600-00000F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비</t>
        </r>
        <r>
          <rPr>
            <sz val="9"/>
            <color indexed="81"/>
            <rFont val="Tahoma"/>
            <family val="2"/>
          </rPr>
          <t>(15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>~),</t>
        </r>
        <r>
          <rPr>
            <sz val="9"/>
            <color indexed="81"/>
            <rFont val="돋움"/>
            <family val="3"/>
            <charset val="129"/>
          </rPr>
          <t>구름많음</t>
        </r>
      </text>
    </comment>
    <comment ref="C27" authorId="0" shapeId="0" xr:uid="{00000000-0006-0000-0600-000010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흐림</t>
        </r>
      </text>
    </comment>
    <comment ref="C30" authorId="0" shapeId="0" xr:uid="{00000000-0006-0000-0600-000011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구름많음</t>
        </r>
      </text>
    </comment>
    <comment ref="C31" authorId="0" shapeId="0" xr:uid="{00000000-0006-0000-0600-000012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구름많음</t>
        </r>
      </text>
    </comment>
    <comment ref="C34" authorId="0" shapeId="0" xr:uid="{00000000-0006-0000-0600-000013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구름조금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김묵주</author>
  </authors>
  <commentList>
    <comment ref="C10" authorId="0" shapeId="0" xr:uid="{00000000-0006-0000-0700-000002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구름많음
</t>
        </r>
      </text>
    </comment>
    <comment ref="C14" authorId="0" shapeId="0" xr:uid="{00000000-0006-0000-0700-000003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흐림</t>
        </r>
      </text>
    </comment>
    <comment ref="C15" authorId="0" shapeId="0" xr:uid="{00000000-0006-0000-0700-000004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흐림</t>
        </r>
      </text>
    </comment>
    <comment ref="C16" authorId="0" shapeId="0" xr:uid="{00000000-0006-0000-0700-000005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흐림</t>
        </r>
      </text>
    </comment>
    <comment ref="C26" authorId="0" shapeId="0" xr:uid="{00000000-0006-0000-0700-000007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흐림</t>
        </r>
      </text>
    </comment>
    <comment ref="C27" authorId="0" shapeId="0" xr:uid="{00000000-0006-0000-0700-000008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흐림</t>
        </r>
      </text>
    </comment>
    <comment ref="C28" authorId="0" shapeId="0" xr:uid="{00000000-0006-0000-0700-000009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흐림</t>
        </r>
      </text>
    </comment>
    <comment ref="C32" authorId="0" shapeId="0" xr:uid="{00000000-0006-0000-0700-00000A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흐림</t>
        </r>
      </text>
    </comment>
    <comment ref="C33" authorId="0" shapeId="0" xr:uid="{00000000-0006-0000-0700-00000C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흐림</t>
        </r>
      </text>
    </comment>
    <comment ref="C34" authorId="0" shapeId="0" xr:uid="{00000000-0006-0000-0700-00000D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흐림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김묵주</author>
  </authors>
  <commentList>
    <comment ref="C7" authorId="0" shapeId="0" xr:uid="{00000000-0006-0000-0800-000003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구름많음</t>
        </r>
      </text>
    </comment>
    <comment ref="C17" authorId="0" shapeId="0" xr:uid="{00000000-0006-0000-0800-000007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흐림</t>
        </r>
      </text>
    </comment>
    <comment ref="C19" authorId="0" shapeId="0" xr:uid="{00000000-0006-0000-0800-000008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흐림</t>
        </r>
      </text>
    </comment>
    <comment ref="C20" authorId="0" shapeId="0" xr:uid="{00000000-0006-0000-0800-000009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흐림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비</t>
        </r>
        <r>
          <rPr>
            <sz val="9"/>
            <color indexed="81"/>
            <rFont val="Tahoma"/>
            <family val="2"/>
          </rPr>
          <t>(17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>~)</t>
        </r>
      </text>
    </comment>
    <comment ref="C24" authorId="0" shapeId="0" xr:uid="{00000000-0006-0000-0800-00000A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흐림</t>
        </r>
      </text>
    </comment>
    <comment ref="C29" authorId="0" shapeId="0" xr:uid="{00000000-0006-0000-0800-00000B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비</t>
        </r>
        <r>
          <rPr>
            <sz val="9"/>
            <color indexed="81"/>
            <rFont val="Tahoma"/>
            <family val="2"/>
          </rPr>
          <t>(17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>~)</t>
        </r>
      </text>
    </comment>
    <comment ref="C30" authorId="0" shapeId="0" xr:uid="{00000000-0006-0000-0800-00000C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흐림</t>
        </r>
      </text>
    </comment>
    <comment ref="C31" authorId="0" shapeId="0" xr:uid="{00000000-0006-0000-0800-00000D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흐림</t>
        </r>
      </text>
    </comment>
    <comment ref="C34" authorId="0" shapeId="0" xr:uid="{00000000-0006-0000-0800-00000E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비</t>
        </r>
        <r>
          <rPr>
            <sz val="9"/>
            <color indexed="81"/>
            <rFont val="Tahoma"/>
            <family val="2"/>
          </rPr>
          <t>(~13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>30</t>
        </r>
        <r>
          <rPr>
            <sz val="9"/>
            <color indexed="81"/>
            <rFont val="돋움"/>
            <family val="3"/>
            <charset val="129"/>
          </rPr>
          <t>분</t>
        </r>
        <r>
          <rPr>
            <sz val="9"/>
            <color indexed="81"/>
            <rFont val="Tahoma"/>
            <family val="2"/>
          </rPr>
          <t>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김묵주</author>
  </authors>
  <commentList>
    <comment ref="A6" authorId="0" shapeId="0" xr:uid="{00000000-0006-0000-0900-000002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임시공휴일</t>
        </r>
      </text>
    </comment>
    <comment ref="C8" authorId="0" shapeId="0" xr:uid="{00000000-0006-0000-0900-000003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비</t>
        </r>
        <r>
          <rPr>
            <sz val="9"/>
            <color indexed="81"/>
            <rFont val="Tahoma"/>
            <family val="2"/>
          </rPr>
          <t>(17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>~)</t>
        </r>
      </text>
    </comment>
    <comment ref="C13" authorId="0" shapeId="0" xr:uid="{00000000-0006-0000-0900-000004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비</t>
        </r>
        <r>
          <rPr>
            <sz val="9"/>
            <color indexed="81"/>
            <rFont val="Tahoma"/>
            <family val="2"/>
          </rPr>
          <t>(~11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>)</t>
        </r>
      </text>
    </comment>
    <comment ref="C18" authorId="0" shapeId="0" xr:uid="{00000000-0006-0000-0900-000005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비</t>
        </r>
        <r>
          <rPr>
            <sz val="9"/>
            <color indexed="81"/>
            <rFont val="Tahoma"/>
            <family val="2"/>
          </rPr>
          <t>(~14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>)</t>
        </r>
      </text>
    </comment>
    <comment ref="C23" authorId="0" shapeId="0" xr:uid="{00000000-0006-0000-0900-000006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비</t>
        </r>
        <r>
          <rPr>
            <sz val="9"/>
            <color indexed="81"/>
            <rFont val="Tahoma"/>
            <family val="2"/>
          </rPr>
          <t>(~12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>)</t>
        </r>
      </text>
    </comment>
    <comment ref="C28" authorId="0" shapeId="0" xr:uid="{00000000-0006-0000-0900-000008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구름조금</t>
        </r>
      </text>
    </comment>
    <comment ref="C30" authorId="0" shapeId="0" xr:uid="{00000000-0006-0000-0900-000009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한때비</t>
        </r>
        <r>
          <rPr>
            <sz val="9"/>
            <color indexed="81"/>
            <rFont val="Tahoma"/>
            <family val="2"/>
          </rPr>
          <t>(18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>30</t>
        </r>
        <r>
          <rPr>
            <sz val="9"/>
            <color indexed="81"/>
            <rFont val="돋움"/>
            <family val="3"/>
            <charset val="129"/>
          </rPr>
          <t>분</t>
        </r>
        <r>
          <rPr>
            <sz val="9"/>
            <color indexed="81"/>
            <rFont val="Tahoma"/>
            <family val="2"/>
          </rPr>
          <t>~),</t>
        </r>
        <r>
          <rPr>
            <sz val="9"/>
            <color indexed="81"/>
            <rFont val="돋움"/>
            <family val="3"/>
            <charset val="129"/>
          </rPr>
          <t>흐림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김묵주</author>
  </authors>
  <commentList>
    <comment ref="C5" authorId="0" shapeId="0" xr:uid="{00000000-0006-0000-0A00-000002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흐림</t>
        </r>
      </text>
    </comment>
    <comment ref="C7" authorId="0" shapeId="0" xr:uid="{00000000-0006-0000-0A00-000003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구름많음</t>
        </r>
      </text>
    </comment>
    <comment ref="C9" authorId="0" shapeId="0" xr:uid="{00000000-0006-0000-0A00-000004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흐림</t>
        </r>
      </text>
    </comment>
    <comment ref="C10" authorId="0" shapeId="0" xr:uid="{00000000-0006-0000-0A00-000005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흐림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강풍주의보</t>
        </r>
      </text>
    </comment>
    <comment ref="C13" authorId="0" shapeId="0" xr:uid="{00000000-0006-0000-0A00-000006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오후비</t>
        </r>
        <r>
          <rPr>
            <sz val="9"/>
            <color indexed="81"/>
            <rFont val="Tahoma"/>
            <family val="2"/>
          </rPr>
          <t>(16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>~)</t>
        </r>
      </text>
    </comment>
    <comment ref="C20" authorId="0" shapeId="0" xr:uid="{00000000-0006-0000-0A00-000007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흐림</t>
        </r>
      </text>
    </comment>
    <comment ref="C28" authorId="0" shapeId="0" xr:uid="{00000000-0006-0000-0A00-000008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한파주의보</t>
        </r>
      </text>
    </comment>
    <comment ref="C31" authorId="0" shapeId="0" xr:uid="{00000000-0006-0000-0A00-000009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비</t>
        </r>
        <r>
          <rPr>
            <sz val="9"/>
            <color indexed="81"/>
            <rFont val="Tahoma"/>
            <family val="2"/>
          </rPr>
          <t>(~13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>)</t>
        </r>
      </text>
    </comment>
    <comment ref="C33" authorId="0" shapeId="0" xr:uid="{00000000-0006-0000-0A00-00000A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눈</t>
        </r>
        <r>
          <rPr>
            <sz val="9"/>
            <color indexed="81"/>
            <rFont val="Tahoma"/>
            <family val="2"/>
          </rPr>
          <t>(15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>~)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김묵주</author>
  </authors>
  <commentList>
    <comment ref="C10" authorId="0" shapeId="0" xr:uid="{00000000-0006-0000-0B00-000002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비</t>
        </r>
        <r>
          <rPr>
            <sz val="9"/>
            <color indexed="81"/>
            <rFont val="Tahoma"/>
            <family val="2"/>
          </rPr>
          <t>(14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>30</t>
        </r>
        <r>
          <rPr>
            <sz val="9"/>
            <color indexed="81"/>
            <rFont val="돋움"/>
            <family val="3"/>
            <charset val="129"/>
          </rPr>
          <t>분</t>
        </r>
        <r>
          <rPr>
            <sz val="9"/>
            <color indexed="81"/>
            <rFont val="Tahoma"/>
            <family val="2"/>
          </rPr>
          <t xml:space="preserve">~), </t>
        </r>
        <r>
          <rPr>
            <sz val="9"/>
            <color indexed="81"/>
            <rFont val="돋움"/>
            <family val="3"/>
            <charset val="129"/>
          </rPr>
          <t>구름많음</t>
        </r>
      </text>
    </comment>
    <comment ref="C15" authorId="0" shapeId="0" xr:uid="{00000000-0006-0000-0B00-000003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흐림</t>
        </r>
      </text>
    </comment>
    <comment ref="C16" authorId="0" shapeId="0" xr:uid="{00000000-0006-0000-0B00-000004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오전비예보</t>
        </r>
      </text>
    </comment>
    <comment ref="C18" authorId="0" shapeId="0" xr:uid="{00000000-0006-0000-0B00-000005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흐림</t>
        </r>
      </text>
    </comment>
    <comment ref="C19" authorId="0" shapeId="0" xr:uid="{00000000-0006-0000-0B00-000006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흐림</t>
        </r>
      </text>
    </comment>
    <comment ref="C20" authorId="0" shapeId="0" xr:uid="{00000000-0006-0000-0B00-000007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눈</t>
        </r>
        <r>
          <rPr>
            <sz val="9"/>
            <color indexed="81"/>
            <rFont val="Tahoma"/>
            <family val="2"/>
          </rPr>
          <t>(~11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 xml:space="preserve">), </t>
        </r>
        <r>
          <rPr>
            <sz val="9"/>
            <color indexed="81"/>
            <rFont val="돋움"/>
            <family val="3"/>
            <charset val="129"/>
          </rPr>
          <t>대설주의보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맑음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한파주의보</t>
        </r>
      </text>
    </comment>
    <comment ref="C21" authorId="0" shapeId="0" xr:uid="{00000000-0006-0000-0B00-000008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한파주의보</t>
        </r>
      </text>
    </comment>
    <comment ref="C22" authorId="0" shapeId="0" xr:uid="{00000000-0006-0000-0B00-000009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한파주의보</t>
        </r>
      </text>
    </comment>
    <comment ref="C23" authorId="0" shapeId="0" xr:uid="{00000000-0006-0000-0B00-00000A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오후눈</t>
        </r>
        <r>
          <rPr>
            <sz val="9"/>
            <color indexed="81"/>
            <rFont val="Tahoma"/>
            <family val="2"/>
          </rPr>
          <t>(14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>~)</t>
        </r>
      </text>
    </comment>
    <comment ref="C24" authorId="0" shapeId="0" xr:uid="{00000000-0006-0000-0B00-00000B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눈</t>
        </r>
        <r>
          <rPr>
            <sz val="9"/>
            <color indexed="81"/>
            <rFont val="Tahoma"/>
            <family val="2"/>
          </rPr>
          <t>(~12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>30</t>
        </r>
        <r>
          <rPr>
            <sz val="9"/>
            <color indexed="81"/>
            <rFont val="돋움"/>
            <family val="3"/>
            <charset val="129"/>
          </rPr>
          <t>분</t>
        </r>
        <r>
          <rPr>
            <sz val="9"/>
            <color indexed="81"/>
            <rFont val="Tahoma"/>
            <family val="2"/>
          </rPr>
          <t xml:space="preserve">)
</t>
        </r>
      </text>
    </comment>
    <comment ref="C25" authorId="0" shapeId="0" xr:uid="{00000000-0006-0000-0B00-00000C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한파경보</t>
        </r>
      </text>
    </comment>
    <comment ref="C26" authorId="0" shapeId="0" xr:uid="{00000000-0006-0000-0B00-00000D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한파경보</t>
        </r>
      </text>
    </comment>
    <comment ref="C27" authorId="0" shapeId="0" xr:uid="{00000000-0006-0000-0B00-00000E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한파주의보</t>
        </r>
      </text>
    </comment>
    <comment ref="C29" authorId="0" shapeId="0" xr:uid="{00000000-0006-0000-0B00-00000F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대설주의보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돋움"/>
            <family val="3"/>
            <charset val="129"/>
          </rPr>
          <t>오전눈</t>
        </r>
        <r>
          <rPr>
            <sz val="9"/>
            <color indexed="81"/>
            <rFont val="Tahoma"/>
            <family val="2"/>
          </rPr>
          <t>(~12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 xml:space="preserve">), </t>
        </r>
        <r>
          <rPr>
            <sz val="9"/>
            <color indexed="81"/>
            <rFont val="돋움"/>
            <family val="3"/>
            <charset val="129"/>
          </rPr>
          <t>구름많음</t>
        </r>
      </text>
    </comment>
    <comment ref="C34" authorId="0" shapeId="0" xr:uid="{00000000-0006-0000-0B00-000010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눈</t>
        </r>
        <r>
          <rPr>
            <sz val="9"/>
            <color indexed="81"/>
            <rFont val="Tahoma"/>
            <family val="2"/>
          </rPr>
          <t>(~15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>),</t>
        </r>
        <r>
          <rPr>
            <sz val="9"/>
            <color indexed="81"/>
            <rFont val="돋움"/>
            <family val="3"/>
            <charset val="129"/>
          </rPr>
          <t>흐림</t>
        </r>
      </text>
    </comment>
    <comment ref="C35" authorId="0" shapeId="0" xr:uid="{00000000-0006-0000-0B00-000011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오전눈비예보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돋움"/>
            <family val="3"/>
            <charset val="129"/>
          </rPr>
          <t>구름많음</t>
        </r>
      </text>
    </comment>
  </commentList>
</comments>
</file>

<file path=xl/sharedStrings.xml><?xml version="1.0" encoding="utf-8"?>
<sst xmlns="http://schemas.openxmlformats.org/spreadsheetml/2006/main" count="1664" uniqueCount="891">
  <si>
    <t>월   계</t>
    <phoneticPr fontId="3" type="noConversion"/>
  </si>
  <si>
    <t>요일</t>
    <phoneticPr fontId="3" type="noConversion"/>
  </si>
  <si>
    <t>일자</t>
    <phoneticPr fontId="3" type="noConversion"/>
  </si>
  <si>
    <t>1월</t>
    <phoneticPr fontId="3" type="noConversion"/>
  </si>
  <si>
    <t>연   계</t>
    <phoneticPr fontId="3" type="noConversion"/>
  </si>
  <si>
    <t>금</t>
  </si>
  <si>
    <t>토</t>
  </si>
  <si>
    <t>일</t>
  </si>
  <si>
    <t>월</t>
  </si>
  <si>
    <t>화</t>
  </si>
  <si>
    <t>수</t>
  </si>
  <si>
    <t>목</t>
  </si>
  <si>
    <t>날씨</t>
    <phoneticPr fontId="3" type="noConversion"/>
  </si>
  <si>
    <t>최저</t>
    <phoneticPr fontId="3" type="noConversion"/>
  </si>
  <si>
    <t>최고</t>
    <phoneticPr fontId="3" type="noConversion"/>
  </si>
  <si>
    <t>기온(℃)</t>
    <phoneticPr fontId="3" type="noConversion"/>
  </si>
  <si>
    <t>운영시간</t>
    <phoneticPr fontId="3" type="noConversion"/>
  </si>
  <si>
    <t>폐장</t>
    <phoneticPr fontId="3" type="noConversion"/>
  </si>
  <si>
    <t>개장</t>
    <phoneticPr fontId="3" type="noConversion"/>
  </si>
  <si>
    <t>A</t>
    <phoneticPr fontId="3" type="noConversion"/>
  </si>
  <si>
    <t>실입장객</t>
    <phoneticPr fontId="3" type="noConversion"/>
  </si>
  <si>
    <t>일간보고</t>
    <phoneticPr fontId="3" type="noConversion"/>
  </si>
  <si>
    <t>주간보고</t>
    <phoneticPr fontId="3" type="noConversion"/>
  </si>
  <si>
    <t>매표입장객</t>
    <phoneticPr fontId="3" type="noConversion"/>
  </si>
  <si>
    <t>2월</t>
    <phoneticPr fontId="3" type="noConversion"/>
  </si>
  <si>
    <t>3월</t>
    <phoneticPr fontId="3" type="noConversion"/>
  </si>
  <si>
    <t>4월</t>
    <phoneticPr fontId="3" type="noConversion"/>
  </si>
  <si>
    <t>월   계</t>
    <phoneticPr fontId="3" type="noConversion"/>
  </si>
  <si>
    <t>연   계</t>
    <phoneticPr fontId="3" type="noConversion"/>
  </si>
  <si>
    <t>5월</t>
    <phoneticPr fontId="3" type="noConversion"/>
  </si>
  <si>
    <t>6월</t>
    <phoneticPr fontId="3" type="noConversion"/>
  </si>
  <si>
    <t>7월</t>
    <phoneticPr fontId="3" type="noConversion"/>
  </si>
  <si>
    <t>8월</t>
    <phoneticPr fontId="3" type="noConversion"/>
  </si>
  <si>
    <t>9월</t>
    <phoneticPr fontId="3" type="noConversion"/>
  </si>
  <si>
    <t>10월</t>
    <phoneticPr fontId="3" type="noConversion"/>
  </si>
  <si>
    <t>11월</t>
    <phoneticPr fontId="3" type="noConversion"/>
  </si>
  <si>
    <t>12월</t>
    <phoneticPr fontId="3" type="noConversion"/>
  </si>
  <si>
    <t>주간보고</t>
    <phoneticPr fontId="3" type="noConversion"/>
  </si>
  <si>
    <t>일</t>
    <phoneticPr fontId="3" type="noConversion"/>
  </si>
  <si>
    <t>월</t>
    <phoneticPr fontId="3" type="noConversion"/>
  </si>
  <si>
    <t>수</t>
    <phoneticPr fontId="3" type="noConversion"/>
  </si>
  <si>
    <t>목</t>
    <phoneticPr fontId="3" type="noConversion"/>
  </si>
  <si>
    <t>수</t>
    <phoneticPr fontId="3" type="noConversion"/>
  </si>
  <si>
    <t>목</t>
    <phoneticPr fontId="3" type="noConversion"/>
  </si>
  <si>
    <t>토</t>
    <phoneticPr fontId="3" type="noConversion"/>
  </si>
  <si>
    <t>일</t>
    <phoneticPr fontId="3" type="noConversion"/>
  </si>
  <si>
    <t>월</t>
    <phoneticPr fontId="3" type="noConversion"/>
  </si>
  <si>
    <t>화</t>
    <phoneticPr fontId="3" type="noConversion"/>
  </si>
  <si>
    <t>목</t>
    <phoneticPr fontId="3" type="noConversion"/>
  </si>
  <si>
    <t>금</t>
    <phoneticPr fontId="3" type="noConversion"/>
  </si>
  <si>
    <t>토</t>
    <phoneticPr fontId="3" type="noConversion"/>
  </si>
  <si>
    <t>일</t>
    <phoneticPr fontId="3" type="noConversion"/>
  </si>
  <si>
    <t>화</t>
    <phoneticPr fontId="3" type="noConversion"/>
  </si>
  <si>
    <t>수</t>
    <phoneticPr fontId="3" type="noConversion"/>
  </si>
  <si>
    <t>금</t>
    <phoneticPr fontId="3" type="noConversion"/>
  </si>
  <si>
    <t>토</t>
    <phoneticPr fontId="3" type="noConversion"/>
  </si>
  <si>
    <t>월</t>
    <phoneticPr fontId="3" type="noConversion"/>
  </si>
  <si>
    <t>수</t>
    <phoneticPr fontId="3" type="noConversion"/>
  </si>
  <si>
    <t>금</t>
    <phoneticPr fontId="3" type="noConversion"/>
  </si>
  <si>
    <t>10시</t>
    <phoneticPr fontId="3" type="noConversion"/>
  </si>
  <si>
    <t>21시</t>
    <phoneticPr fontId="3" type="noConversion"/>
  </si>
  <si>
    <t>맑음(미세먼지)</t>
    <phoneticPr fontId="3" type="noConversion"/>
  </si>
  <si>
    <t>10시</t>
    <phoneticPr fontId="3" type="noConversion"/>
  </si>
  <si>
    <t>20시</t>
    <phoneticPr fontId="3" type="noConversion"/>
  </si>
  <si>
    <t>맑음</t>
    <phoneticPr fontId="3" type="noConversion"/>
  </si>
  <si>
    <t>맑음</t>
    <phoneticPr fontId="3" type="noConversion"/>
  </si>
  <si>
    <t>10시</t>
  </si>
  <si>
    <t>10시</t>
    <phoneticPr fontId="3" type="noConversion"/>
  </si>
  <si>
    <t>20시</t>
    <phoneticPr fontId="3" type="noConversion"/>
  </si>
  <si>
    <t>맑음</t>
    <phoneticPr fontId="3" type="noConversion"/>
  </si>
  <si>
    <t>20시</t>
    <phoneticPr fontId="3" type="noConversion"/>
  </si>
  <si>
    <t>20시</t>
    <phoneticPr fontId="3" type="noConversion"/>
  </si>
  <si>
    <t>구름조금(미세먼지)</t>
    <phoneticPr fontId="3" type="noConversion"/>
  </si>
  <si>
    <t>저녁비(미세먼지)</t>
    <phoneticPr fontId="3" type="noConversion"/>
  </si>
  <si>
    <t>21시</t>
    <phoneticPr fontId="3" type="noConversion"/>
  </si>
  <si>
    <t>21시</t>
    <phoneticPr fontId="3" type="noConversion"/>
  </si>
  <si>
    <t>21시</t>
    <phoneticPr fontId="3" type="noConversion"/>
  </si>
  <si>
    <t>구름조금(황사)</t>
    <phoneticPr fontId="3" type="noConversion"/>
  </si>
  <si>
    <t>구름많음(황사)</t>
    <phoneticPr fontId="3" type="noConversion"/>
  </si>
  <si>
    <t>20시</t>
    <phoneticPr fontId="3" type="noConversion"/>
  </si>
  <si>
    <t>구름조금(황사)</t>
    <phoneticPr fontId="3" type="noConversion"/>
  </si>
  <si>
    <t>맑음</t>
    <phoneticPr fontId="3" type="noConversion"/>
  </si>
  <si>
    <t>20시</t>
    <phoneticPr fontId="3" type="noConversion"/>
  </si>
  <si>
    <t>20시</t>
    <phoneticPr fontId="3" type="noConversion"/>
  </si>
  <si>
    <t>맑음(미세먼지)</t>
    <phoneticPr fontId="3" type="noConversion"/>
  </si>
  <si>
    <t>20시</t>
    <phoneticPr fontId="3" type="noConversion"/>
  </si>
  <si>
    <t>19시</t>
    <phoneticPr fontId="3" type="noConversion"/>
  </si>
  <si>
    <t>오전비/오후눈</t>
    <phoneticPr fontId="3" type="noConversion"/>
  </si>
  <si>
    <t>비</t>
    <phoneticPr fontId="3" type="noConversion"/>
  </si>
  <si>
    <t>비</t>
    <phoneticPr fontId="3" type="noConversion"/>
  </si>
  <si>
    <t>21시</t>
    <phoneticPr fontId="3" type="noConversion"/>
  </si>
  <si>
    <t>19시</t>
    <phoneticPr fontId="3" type="noConversion"/>
  </si>
  <si>
    <t>20시</t>
    <phoneticPr fontId="3" type="noConversion"/>
  </si>
  <si>
    <t>구름조금</t>
    <phoneticPr fontId="3" type="noConversion"/>
  </si>
  <si>
    <t>흐림</t>
    <phoneticPr fontId="3" type="noConversion"/>
  </si>
  <si>
    <t>20시</t>
    <phoneticPr fontId="3" type="noConversion"/>
  </si>
  <si>
    <t>저년눈(미세먼지)</t>
    <phoneticPr fontId="3" type="noConversion"/>
  </si>
  <si>
    <t>20시</t>
    <phoneticPr fontId="3" type="noConversion"/>
  </si>
  <si>
    <t>20시</t>
    <phoneticPr fontId="3" type="noConversion"/>
  </si>
  <si>
    <t>21시</t>
    <phoneticPr fontId="3" type="noConversion"/>
  </si>
  <si>
    <t>21시</t>
    <phoneticPr fontId="3" type="noConversion"/>
  </si>
  <si>
    <t>20시</t>
    <phoneticPr fontId="3" type="noConversion"/>
  </si>
  <si>
    <t>19시</t>
    <phoneticPr fontId="3" type="noConversion"/>
  </si>
  <si>
    <t>구름조금(미세먼지)</t>
    <phoneticPr fontId="3" type="noConversion"/>
  </si>
  <si>
    <t>맑음</t>
    <phoneticPr fontId="3" type="noConversion"/>
  </si>
  <si>
    <t>맑음(황사)</t>
    <phoneticPr fontId="3" type="noConversion"/>
  </si>
  <si>
    <t>구름많음(눈비에보)</t>
    <phoneticPr fontId="3" type="noConversion"/>
  </si>
  <si>
    <t>맑음(미세먼지)</t>
    <phoneticPr fontId="3" type="noConversion"/>
  </si>
  <si>
    <t>18시</t>
    <phoneticPr fontId="3" type="noConversion"/>
  </si>
  <si>
    <t>19시</t>
    <phoneticPr fontId="3" type="noConversion"/>
  </si>
  <si>
    <t>맑음(한파)</t>
    <phoneticPr fontId="3" type="noConversion"/>
  </si>
  <si>
    <t>18시</t>
    <phoneticPr fontId="3" type="noConversion"/>
  </si>
  <si>
    <t>맑음(한파)</t>
    <phoneticPr fontId="3" type="noConversion"/>
  </si>
  <si>
    <t>오전눈(흐림)</t>
    <phoneticPr fontId="3" type="noConversion"/>
  </si>
  <si>
    <t>20시</t>
    <phoneticPr fontId="3" type="noConversion"/>
  </si>
  <si>
    <t>21시</t>
    <phoneticPr fontId="3" type="noConversion"/>
  </si>
  <si>
    <t>구름조금</t>
    <phoneticPr fontId="3" type="noConversion"/>
  </si>
  <si>
    <t>맑음(한파)</t>
    <phoneticPr fontId="3" type="noConversion"/>
  </si>
  <si>
    <t>맑음(한파)</t>
    <phoneticPr fontId="3" type="noConversion"/>
  </si>
  <si>
    <t>맑음</t>
    <phoneticPr fontId="3" type="noConversion"/>
  </si>
  <si>
    <t>20시</t>
    <phoneticPr fontId="3" type="noConversion"/>
  </si>
  <si>
    <t>20시</t>
    <phoneticPr fontId="3" type="noConversion"/>
  </si>
  <si>
    <t>구름조금</t>
    <phoneticPr fontId="3" type="noConversion"/>
  </si>
  <si>
    <t>구름많음</t>
    <phoneticPr fontId="3" type="noConversion"/>
  </si>
  <si>
    <t>10시</t>
    <phoneticPr fontId="3" type="noConversion"/>
  </si>
  <si>
    <t>10시</t>
    <phoneticPr fontId="3" type="noConversion"/>
  </si>
  <si>
    <t>20시</t>
    <phoneticPr fontId="3" type="noConversion"/>
  </si>
  <si>
    <t>10시</t>
    <phoneticPr fontId="3" type="noConversion"/>
  </si>
  <si>
    <t>20시</t>
    <phoneticPr fontId="3" type="noConversion"/>
  </si>
  <si>
    <t>20시</t>
    <phoneticPr fontId="3" type="noConversion"/>
  </si>
  <si>
    <t>20시</t>
    <phoneticPr fontId="3" type="noConversion"/>
  </si>
  <si>
    <t>맑음(미세먼지)</t>
    <phoneticPr fontId="3" type="noConversion"/>
  </si>
  <si>
    <t>맑음</t>
    <phoneticPr fontId="3" type="noConversion"/>
  </si>
  <si>
    <t>구름조금</t>
    <phoneticPr fontId="3" type="noConversion"/>
  </si>
  <si>
    <t>20시</t>
    <phoneticPr fontId="3" type="noConversion"/>
  </si>
  <si>
    <t>구름조금(미세먼지)</t>
    <phoneticPr fontId="3" type="noConversion"/>
  </si>
  <si>
    <t>구름조금(미세먼지)</t>
    <phoneticPr fontId="3" type="noConversion"/>
  </si>
  <si>
    <t>20시</t>
    <phoneticPr fontId="3" type="noConversion"/>
  </si>
  <si>
    <t>20시</t>
    <phoneticPr fontId="3" type="noConversion"/>
  </si>
  <si>
    <t>구름많음</t>
    <phoneticPr fontId="3" type="noConversion"/>
  </si>
  <si>
    <t>20시</t>
    <phoneticPr fontId="3" type="noConversion"/>
  </si>
  <si>
    <t>20시</t>
    <phoneticPr fontId="3" type="noConversion"/>
  </si>
  <si>
    <t>20시</t>
    <phoneticPr fontId="3" type="noConversion"/>
  </si>
  <si>
    <t>구름많음(미세먼지)</t>
    <phoneticPr fontId="3" type="noConversion"/>
  </si>
  <si>
    <t>구름조금(미세먼지)</t>
    <phoneticPr fontId="3" type="noConversion"/>
  </si>
  <si>
    <t>오전비(구름많음)</t>
    <phoneticPr fontId="3" type="noConversion"/>
  </si>
  <si>
    <t>20시</t>
    <phoneticPr fontId="3" type="noConversion"/>
  </si>
  <si>
    <t>구름많음</t>
    <phoneticPr fontId="3" type="noConversion"/>
  </si>
  <si>
    <t>20시</t>
    <phoneticPr fontId="3" type="noConversion"/>
  </si>
  <si>
    <t>맑음(저녁비)</t>
    <phoneticPr fontId="3" type="noConversion"/>
  </si>
  <si>
    <t>구름조금</t>
    <phoneticPr fontId="3" type="noConversion"/>
  </si>
  <si>
    <t>20시</t>
    <phoneticPr fontId="3" type="noConversion"/>
  </si>
  <si>
    <t>20시</t>
    <phoneticPr fontId="3" type="noConversion"/>
  </si>
  <si>
    <t>구름조금</t>
    <phoneticPr fontId="3" type="noConversion"/>
  </si>
  <si>
    <t>흐림(미세먼지)</t>
    <phoneticPr fontId="3" type="noConversion"/>
  </si>
  <si>
    <t>20시</t>
    <phoneticPr fontId="3" type="noConversion"/>
  </si>
  <si>
    <t>비예보(미세먼지)</t>
    <phoneticPr fontId="3" type="noConversion"/>
  </si>
  <si>
    <t>20시</t>
    <phoneticPr fontId="3" type="noConversion"/>
  </si>
  <si>
    <t>맑음</t>
    <phoneticPr fontId="3" type="noConversion"/>
  </si>
  <si>
    <t>20시</t>
    <phoneticPr fontId="3" type="noConversion"/>
  </si>
  <si>
    <t>맑음</t>
    <phoneticPr fontId="3" type="noConversion"/>
  </si>
  <si>
    <t>20시</t>
    <phoneticPr fontId="3" type="noConversion"/>
  </si>
  <si>
    <t>20시</t>
    <phoneticPr fontId="3" type="noConversion"/>
  </si>
  <si>
    <t>20시</t>
    <phoneticPr fontId="3" type="noConversion"/>
  </si>
  <si>
    <t>구름조금(미세먼지)</t>
    <phoneticPr fontId="3" type="noConversion"/>
  </si>
  <si>
    <t>구름많음</t>
    <phoneticPr fontId="3" type="noConversion"/>
  </si>
  <si>
    <t>20시</t>
    <phoneticPr fontId="3" type="noConversion"/>
  </si>
  <si>
    <t>20시</t>
    <phoneticPr fontId="3" type="noConversion"/>
  </si>
  <si>
    <t>맑음</t>
    <phoneticPr fontId="3" type="noConversion"/>
  </si>
  <si>
    <t>맑음</t>
    <phoneticPr fontId="3" type="noConversion"/>
  </si>
  <si>
    <t>맑음(미세먼지)</t>
    <phoneticPr fontId="3" type="noConversion"/>
  </si>
  <si>
    <t>10시</t>
    <phoneticPr fontId="3" type="noConversion"/>
  </si>
  <si>
    <t>10시</t>
    <phoneticPr fontId="3" type="noConversion"/>
  </si>
  <si>
    <t>맑음(미세먼지)</t>
    <phoneticPr fontId="3" type="noConversion"/>
  </si>
  <si>
    <t>20시</t>
    <phoneticPr fontId="3" type="noConversion"/>
  </si>
  <si>
    <t>20시</t>
    <phoneticPr fontId="3" type="noConversion"/>
  </si>
  <si>
    <t>20시</t>
    <phoneticPr fontId="3" type="noConversion"/>
  </si>
  <si>
    <t>구름조금</t>
    <phoneticPr fontId="3" type="noConversion"/>
  </si>
  <si>
    <t>구름많음</t>
    <phoneticPr fontId="3" type="noConversion"/>
  </si>
  <si>
    <t>맑음</t>
    <phoneticPr fontId="3" type="noConversion"/>
  </si>
  <si>
    <t>20시</t>
    <phoneticPr fontId="3" type="noConversion"/>
  </si>
  <si>
    <t>20시</t>
    <phoneticPr fontId="3" type="noConversion"/>
  </si>
  <si>
    <t>20시</t>
    <phoneticPr fontId="3" type="noConversion"/>
  </si>
  <si>
    <t>구름조금(미세먼지)</t>
    <phoneticPr fontId="3" type="noConversion"/>
  </si>
  <si>
    <t>구름조금</t>
    <phoneticPr fontId="3" type="noConversion"/>
  </si>
  <si>
    <t>맑음(미세먼지)</t>
    <phoneticPr fontId="3" type="noConversion"/>
  </si>
  <si>
    <t>맑음(미세먼지)</t>
    <phoneticPr fontId="3" type="noConversion"/>
  </si>
  <si>
    <t>19시</t>
    <phoneticPr fontId="3" type="noConversion"/>
  </si>
  <si>
    <t>19시</t>
    <phoneticPr fontId="3" type="noConversion"/>
  </si>
  <si>
    <t>한때비(미세먼지)</t>
    <phoneticPr fontId="3" type="noConversion"/>
  </si>
  <si>
    <t>19시</t>
    <phoneticPr fontId="3" type="noConversion"/>
  </si>
  <si>
    <t>오전비(미세먼지)</t>
    <phoneticPr fontId="3" type="noConversion"/>
  </si>
  <si>
    <t>19시</t>
    <phoneticPr fontId="3" type="noConversion"/>
  </si>
  <si>
    <t>18시</t>
    <phoneticPr fontId="3" type="noConversion"/>
  </si>
  <si>
    <t>21시</t>
    <phoneticPr fontId="3" type="noConversion"/>
  </si>
  <si>
    <t>19시</t>
    <phoneticPr fontId="3" type="noConversion"/>
  </si>
  <si>
    <t>구름많음(미세먼지)</t>
    <phoneticPr fontId="3" type="noConversion"/>
  </si>
  <si>
    <t>맑음(미세먼지)</t>
    <phoneticPr fontId="3" type="noConversion"/>
  </si>
  <si>
    <t>오전비(구름많음)</t>
    <phoneticPr fontId="3" type="noConversion"/>
  </si>
  <si>
    <t>구름조금(한파)</t>
    <phoneticPr fontId="3" type="noConversion"/>
  </si>
  <si>
    <t>20시</t>
    <phoneticPr fontId="3" type="noConversion"/>
  </si>
  <si>
    <t>20시</t>
    <phoneticPr fontId="3" type="noConversion"/>
  </si>
  <si>
    <t>구름조금</t>
    <phoneticPr fontId="3" type="noConversion"/>
  </si>
  <si>
    <t>구름많음(황사)</t>
    <phoneticPr fontId="3" type="noConversion"/>
  </si>
  <si>
    <t>20시</t>
    <phoneticPr fontId="3" type="noConversion"/>
  </si>
  <si>
    <t>구름많음(황사)</t>
    <phoneticPr fontId="3" type="noConversion"/>
  </si>
  <si>
    <t>20시</t>
    <phoneticPr fontId="3" type="noConversion"/>
  </si>
  <si>
    <t>21시</t>
    <phoneticPr fontId="3" type="noConversion"/>
  </si>
  <si>
    <t>21시</t>
    <phoneticPr fontId="3" type="noConversion"/>
  </si>
  <si>
    <t>21시</t>
    <phoneticPr fontId="3" type="noConversion"/>
  </si>
  <si>
    <t>맑음</t>
    <phoneticPr fontId="3" type="noConversion"/>
  </si>
  <si>
    <t>구름많음</t>
    <phoneticPr fontId="3" type="noConversion"/>
  </si>
  <si>
    <t>20시</t>
    <phoneticPr fontId="3" type="noConversion"/>
  </si>
  <si>
    <t>맑음(미세먼지)</t>
    <phoneticPr fontId="3" type="noConversion"/>
  </si>
  <si>
    <t>20시</t>
    <phoneticPr fontId="3" type="noConversion"/>
  </si>
  <si>
    <t>구름많음(미세먼지)</t>
    <phoneticPr fontId="3" type="noConversion"/>
  </si>
  <si>
    <t>20시</t>
    <phoneticPr fontId="3" type="noConversion"/>
  </si>
  <si>
    <t>비예보(황사)</t>
    <phoneticPr fontId="3" type="noConversion"/>
  </si>
  <si>
    <t>20시</t>
    <phoneticPr fontId="3" type="noConversion"/>
  </si>
  <si>
    <t>구름많음(황사)</t>
    <phoneticPr fontId="3" type="noConversion"/>
  </si>
  <si>
    <t>21시</t>
    <phoneticPr fontId="3" type="noConversion"/>
  </si>
  <si>
    <t>맑음(황사)</t>
    <phoneticPr fontId="3" type="noConversion"/>
  </si>
  <si>
    <t>구름조금(황사)</t>
    <phoneticPr fontId="3" type="noConversion"/>
  </si>
  <si>
    <t>21시</t>
    <phoneticPr fontId="3" type="noConversion"/>
  </si>
  <si>
    <t>맑음</t>
    <phoneticPr fontId="3" type="noConversion"/>
  </si>
  <si>
    <t>21시</t>
    <phoneticPr fontId="3" type="noConversion"/>
  </si>
  <si>
    <t>구름조금(미세먼지)</t>
    <phoneticPr fontId="3" type="noConversion"/>
  </si>
  <si>
    <t>21시</t>
    <phoneticPr fontId="3" type="noConversion"/>
  </si>
  <si>
    <t>21시</t>
    <phoneticPr fontId="3" type="noConversion"/>
  </si>
  <si>
    <t>맑음(미세먼지)</t>
    <phoneticPr fontId="3" type="noConversion"/>
  </si>
  <si>
    <t>맑음</t>
    <phoneticPr fontId="3" type="noConversion"/>
  </si>
  <si>
    <t>맑음(미세먼지)</t>
    <phoneticPr fontId="3" type="noConversion"/>
  </si>
  <si>
    <t>맑음(미세먼지)</t>
    <phoneticPr fontId="3" type="noConversion"/>
  </si>
  <si>
    <t>21시</t>
    <phoneticPr fontId="3" type="noConversion"/>
  </si>
  <si>
    <t>22시</t>
    <phoneticPr fontId="3" type="noConversion"/>
  </si>
  <si>
    <t>9시30분</t>
    <phoneticPr fontId="3" type="noConversion"/>
  </si>
  <si>
    <t>9시30분</t>
    <phoneticPr fontId="3" type="noConversion"/>
  </si>
  <si>
    <t>22시</t>
    <phoneticPr fontId="3" type="noConversion"/>
  </si>
  <si>
    <t>구름조금</t>
    <phoneticPr fontId="3" type="noConversion"/>
  </si>
  <si>
    <t>10시</t>
    <phoneticPr fontId="3" type="noConversion"/>
  </si>
  <si>
    <t>21시</t>
    <phoneticPr fontId="3" type="noConversion"/>
  </si>
  <si>
    <t>9시30분</t>
  </si>
  <si>
    <t>9시30분</t>
    <phoneticPr fontId="3" type="noConversion"/>
  </si>
  <si>
    <t>21시</t>
    <phoneticPr fontId="3" type="noConversion"/>
  </si>
  <si>
    <t>흐림(저녁비)</t>
    <phoneticPr fontId="3" type="noConversion"/>
  </si>
  <si>
    <t>17시</t>
    <phoneticPr fontId="3" type="noConversion"/>
  </si>
  <si>
    <t>비</t>
    <phoneticPr fontId="3" type="noConversion"/>
  </si>
  <si>
    <t>20시</t>
    <phoneticPr fontId="3" type="noConversion"/>
  </si>
  <si>
    <t>비(미세먼지)</t>
    <phoneticPr fontId="3" type="noConversion"/>
  </si>
  <si>
    <t>22시</t>
    <phoneticPr fontId="3" type="noConversion"/>
  </si>
  <si>
    <t>22시</t>
    <phoneticPr fontId="3" type="noConversion"/>
  </si>
  <si>
    <t>22시</t>
    <phoneticPr fontId="3" type="noConversion"/>
  </si>
  <si>
    <t>맑음</t>
    <phoneticPr fontId="3" type="noConversion"/>
  </si>
  <si>
    <t>맑음(미세먼지)</t>
    <phoneticPr fontId="3" type="noConversion"/>
  </si>
  <si>
    <t>구름조금</t>
    <phoneticPr fontId="3" type="noConversion"/>
  </si>
  <si>
    <t>21시</t>
    <phoneticPr fontId="3" type="noConversion"/>
  </si>
  <si>
    <t>19시</t>
    <phoneticPr fontId="3" type="noConversion"/>
  </si>
  <si>
    <t>비(강풍)</t>
    <phoneticPr fontId="3" type="noConversion"/>
  </si>
  <si>
    <t>22시</t>
    <phoneticPr fontId="3" type="noConversion"/>
  </si>
  <si>
    <t>22시</t>
    <phoneticPr fontId="3" type="noConversion"/>
  </si>
  <si>
    <t>21시</t>
    <phoneticPr fontId="3" type="noConversion"/>
  </si>
  <si>
    <t>비예보(황사)</t>
    <phoneticPr fontId="3" type="noConversion"/>
  </si>
  <si>
    <t>오전비(미세먼지)</t>
    <phoneticPr fontId="3" type="noConversion"/>
  </si>
  <si>
    <t>구름많음(황사)</t>
    <phoneticPr fontId="3" type="noConversion"/>
  </si>
  <si>
    <t>구름조금(황사)</t>
    <phoneticPr fontId="3" type="noConversion"/>
  </si>
  <si>
    <t>맑음(황사)</t>
    <phoneticPr fontId="3" type="noConversion"/>
  </si>
  <si>
    <t>21시</t>
    <phoneticPr fontId="3" type="noConversion"/>
  </si>
  <si>
    <t>저녁비(황사)</t>
    <phoneticPr fontId="3" type="noConversion"/>
  </si>
  <si>
    <t>20시</t>
    <phoneticPr fontId="3" type="noConversion"/>
  </si>
  <si>
    <t>맑음</t>
    <phoneticPr fontId="3" type="noConversion"/>
  </si>
  <si>
    <t>21시</t>
    <phoneticPr fontId="3" type="noConversion"/>
  </si>
  <si>
    <t>21시</t>
    <phoneticPr fontId="3" type="noConversion"/>
  </si>
  <si>
    <t>비예보(흐림)</t>
    <phoneticPr fontId="3" type="noConversion"/>
  </si>
  <si>
    <t>22시</t>
    <phoneticPr fontId="3" type="noConversion"/>
  </si>
  <si>
    <t>22시</t>
    <phoneticPr fontId="3" type="noConversion"/>
  </si>
  <si>
    <t>구름많음</t>
    <phoneticPr fontId="3" type="noConversion"/>
  </si>
  <si>
    <t>구름많음(황사)</t>
    <phoneticPr fontId="3" type="noConversion"/>
  </si>
  <si>
    <t>구름조금(미세먼지)</t>
    <phoneticPr fontId="3" type="noConversion"/>
  </si>
  <si>
    <t>구름많음</t>
    <phoneticPr fontId="3" type="noConversion"/>
  </si>
  <si>
    <t>21시</t>
    <phoneticPr fontId="3" type="noConversion"/>
  </si>
  <si>
    <t>19시</t>
    <phoneticPr fontId="3" type="noConversion"/>
  </si>
  <si>
    <t>비</t>
    <phoneticPr fontId="3" type="noConversion"/>
  </si>
  <si>
    <t>구름조금</t>
    <phoneticPr fontId="3" type="noConversion"/>
  </si>
  <si>
    <t>21시</t>
    <phoneticPr fontId="3" type="noConversion"/>
  </si>
  <si>
    <t>맑음</t>
    <phoneticPr fontId="3" type="noConversion"/>
  </si>
  <si>
    <t>21시</t>
    <phoneticPr fontId="3" type="noConversion"/>
  </si>
  <si>
    <t>구름많음(저녁비)</t>
    <phoneticPr fontId="3" type="noConversion"/>
  </si>
  <si>
    <t>22시</t>
    <phoneticPr fontId="3" type="noConversion"/>
  </si>
  <si>
    <t>오전비(저녁비)</t>
    <phoneticPr fontId="3" type="noConversion"/>
  </si>
  <si>
    <t>22시</t>
    <phoneticPr fontId="3" type="noConversion"/>
  </si>
  <si>
    <t>구름많음(저녁비)</t>
    <phoneticPr fontId="3" type="noConversion"/>
  </si>
  <si>
    <t>9시30분</t>
    <phoneticPr fontId="3" type="noConversion"/>
  </si>
  <si>
    <t>22시</t>
    <phoneticPr fontId="3" type="noConversion"/>
  </si>
  <si>
    <t>10시</t>
    <phoneticPr fontId="3" type="noConversion"/>
  </si>
  <si>
    <t>10시</t>
    <phoneticPr fontId="3" type="noConversion"/>
  </si>
  <si>
    <t>구름조금</t>
    <phoneticPr fontId="3" type="noConversion"/>
  </si>
  <si>
    <t>구름많음</t>
    <phoneticPr fontId="3" type="noConversion"/>
  </si>
  <si>
    <t>21시</t>
    <phoneticPr fontId="3" type="noConversion"/>
  </si>
  <si>
    <t>구름조금</t>
    <phoneticPr fontId="3" type="noConversion"/>
  </si>
  <si>
    <t>9시30분</t>
    <phoneticPr fontId="3" type="noConversion"/>
  </si>
  <si>
    <t>9시30분</t>
    <phoneticPr fontId="3" type="noConversion"/>
  </si>
  <si>
    <t>21시</t>
    <phoneticPr fontId="3" type="noConversion"/>
  </si>
  <si>
    <t>9시30분</t>
    <phoneticPr fontId="3" type="noConversion"/>
  </si>
  <si>
    <t>22시</t>
    <phoneticPr fontId="3" type="noConversion"/>
  </si>
  <si>
    <t>9시30분</t>
    <phoneticPr fontId="3" type="noConversion"/>
  </si>
  <si>
    <t>20시</t>
    <phoneticPr fontId="3" type="noConversion"/>
  </si>
  <si>
    <t>20시</t>
    <phoneticPr fontId="3" type="noConversion"/>
  </si>
  <si>
    <t>21시</t>
    <phoneticPr fontId="3" type="noConversion"/>
  </si>
  <si>
    <t>비예보(구름많음)</t>
    <phoneticPr fontId="3" type="noConversion"/>
  </si>
  <si>
    <t>비</t>
    <phoneticPr fontId="3" type="noConversion"/>
  </si>
  <si>
    <t>구름많음</t>
    <phoneticPr fontId="3" type="noConversion"/>
  </si>
  <si>
    <t>비(~16시)</t>
    <phoneticPr fontId="3" type="noConversion"/>
  </si>
  <si>
    <t>맑음</t>
    <phoneticPr fontId="3" type="noConversion"/>
  </si>
  <si>
    <t>21시</t>
    <phoneticPr fontId="3" type="noConversion"/>
  </si>
  <si>
    <t>맑음</t>
    <phoneticPr fontId="3" type="noConversion"/>
  </si>
  <si>
    <t>10시</t>
    <phoneticPr fontId="3" type="noConversion"/>
  </si>
  <si>
    <t>21시</t>
    <phoneticPr fontId="3" type="noConversion"/>
  </si>
  <si>
    <t>10시</t>
    <phoneticPr fontId="3" type="noConversion"/>
  </si>
  <si>
    <t>10시</t>
    <phoneticPr fontId="3" type="noConversion"/>
  </si>
  <si>
    <t>10시</t>
    <phoneticPr fontId="3" type="noConversion"/>
  </si>
  <si>
    <t>9시30분</t>
    <phoneticPr fontId="3" type="noConversion"/>
  </si>
  <si>
    <t>구름조금(미세먼지)</t>
    <phoneticPr fontId="3" type="noConversion"/>
  </si>
  <si>
    <t>21시</t>
    <phoneticPr fontId="3" type="noConversion"/>
  </si>
  <si>
    <t>21시</t>
    <phoneticPr fontId="3" type="noConversion"/>
  </si>
  <si>
    <t>구름조금(미세먼지)</t>
    <phoneticPr fontId="3" type="noConversion"/>
  </si>
  <si>
    <t>22시</t>
    <phoneticPr fontId="3" type="noConversion"/>
  </si>
  <si>
    <t>22시</t>
    <phoneticPr fontId="3" type="noConversion"/>
  </si>
  <si>
    <t>22시</t>
    <phoneticPr fontId="3" type="noConversion"/>
  </si>
  <si>
    <t>맑음</t>
    <phoneticPr fontId="3" type="noConversion"/>
  </si>
  <si>
    <t>구름조금</t>
    <phoneticPr fontId="3" type="noConversion"/>
  </si>
  <si>
    <t>구름조금</t>
    <phoneticPr fontId="3" type="noConversion"/>
  </si>
  <si>
    <t>10시</t>
    <phoneticPr fontId="3" type="noConversion"/>
  </si>
  <si>
    <t>10시</t>
    <phoneticPr fontId="3" type="noConversion"/>
  </si>
  <si>
    <t>10시</t>
    <phoneticPr fontId="3" type="noConversion"/>
  </si>
  <si>
    <t>21시</t>
    <phoneticPr fontId="3" type="noConversion"/>
  </si>
  <si>
    <t>맑음</t>
    <phoneticPr fontId="3" type="noConversion"/>
  </si>
  <si>
    <t>맑음(미세먼지)</t>
    <phoneticPr fontId="3" type="noConversion"/>
  </si>
  <si>
    <t>21시</t>
    <phoneticPr fontId="3" type="noConversion"/>
  </si>
  <si>
    <t>21시</t>
    <phoneticPr fontId="3" type="noConversion"/>
  </si>
  <si>
    <t>구름조금</t>
    <phoneticPr fontId="3" type="noConversion"/>
  </si>
  <si>
    <t>21시</t>
    <phoneticPr fontId="3" type="noConversion"/>
  </si>
  <si>
    <t>구름많음(한때비)</t>
    <phoneticPr fontId="3" type="noConversion"/>
  </si>
  <si>
    <t>흐림(황사)</t>
    <phoneticPr fontId="3" type="noConversion"/>
  </si>
  <si>
    <t>10시</t>
    <phoneticPr fontId="3" type="noConversion"/>
  </si>
  <si>
    <t>22시</t>
    <phoneticPr fontId="3" type="noConversion"/>
  </si>
  <si>
    <t>9시30분</t>
    <phoneticPr fontId="3" type="noConversion"/>
  </si>
  <si>
    <t>22시</t>
    <phoneticPr fontId="3" type="noConversion"/>
  </si>
  <si>
    <t>9시30분</t>
    <phoneticPr fontId="3" type="noConversion"/>
  </si>
  <si>
    <t>구름조금</t>
    <phoneticPr fontId="3" type="noConversion"/>
  </si>
  <si>
    <t>맑음</t>
    <phoneticPr fontId="3" type="noConversion"/>
  </si>
  <si>
    <t>구름많음(황사)</t>
    <phoneticPr fontId="3" type="noConversion"/>
  </si>
  <si>
    <t>10시</t>
    <phoneticPr fontId="3" type="noConversion"/>
  </si>
  <si>
    <t>10시</t>
    <phoneticPr fontId="3" type="noConversion"/>
  </si>
  <si>
    <t>10시</t>
    <phoneticPr fontId="3" type="noConversion"/>
  </si>
  <si>
    <t>10시</t>
    <phoneticPr fontId="3" type="noConversion"/>
  </si>
  <si>
    <t>21시</t>
    <phoneticPr fontId="3" type="noConversion"/>
  </si>
  <si>
    <t>10시</t>
    <phoneticPr fontId="3" type="noConversion"/>
  </si>
  <si>
    <t>9시30분</t>
    <phoneticPr fontId="3" type="noConversion"/>
  </si>
  <si>
    <t>9시30분</t>
    <phoneticPr fontId="3" type="noConversion"/>
  </si>
  <si>
    <t>21시</t>
    <phoneticPr fontId="3" type="noConversion"/>
  </si>
  <si>
    <t>21시</t>
    <phoneticPr fontId="3" type="noConversion"/>
  </si>
  <si>
    <t>구름많음</t>
    <phoneticPr fontId="3" type="noConversion"/>
  </si>
  <si>
    <t>비예보(황사)</t>
    <phoneticPr fontId="3" type="noConversion"/>
  </si>
  <si>
    <t>구름조금</t>
    <phoneticPr fontId="3" type="noConversion"/>
  </si>
  <si>
    <t>21시</t>
    <phoneticPr fontId="3" type="noConversion"/>
  </si>
  <si>
    <t>비</t>
    <phoneticPr fontId="3" type="noConversion"/>
  </si>
  <si>
    <t>비</t>
    <phoneticPr fontId="3" type="noConversion"/>
  </si>
  <si>
    <t>구름많음</t>
    <phoneticPr fontId="3" type="noConversion"/>
  </si>
  <si>
    <t>19시</t>
    <phoneticPr fontId="3" type="noConversion"/>
  </si>
  <si>
    <t>21시</t>
    <phoneticPr fontId="3" type="noConversion"/>
  </si>
  <si>
    <t>22시</t>
    <phoneticPr fontId="3" type="noConversion"/>
  </si>
  <si>
    <t>비예보(구름많음)</t>
    <phoneticPr fontId="3" type="noConversion"/>
  </si>
  <si>
    <t>22시</t>
    <phoneticPr fontId="3" type="noConversion"/>
  </si>
  <si>
    <t>10시</t>
    <phoneticPr fontId="3" type="noConversion"/>
  </si>
  <si>
    <t>구름많음(소나기)</t>
    <phoneticPr fontId="3" type="noConversion"/>
  </si>
  <si>
    <t>21시</t>
    <phoneticPr fontId="3" type="noConversion"/>
  </si>
  <si>
    <t>구름많음</t>
    <phoneticPr fontId="3" type="noConversion"/>
  </si>
  <si>
    <t>21시</t>
    <phoneticPr fontId="3" type="noConversion"/>
  </si>
  <si>
    <t>10시</t>
    <phoneticPr fontId="3" type="noConversion"/>
  </si>
  <si>
    <t>21시</t>
    <phoneticPr fontId="3" type="noConversion"/>
  </si>
  <si>
    <t>10시</t>
    <phoneticPr fontId="3" type="noConversion"/>
  </si>
  <si>
    <t>22시</t>
    <phoneticPr fontId="3" type="noConversion"/>
  </si>
  <si>
    <t>9시30분</t>
    <phoneticPr fontId="3" type="noConversion"/>
  </si>
  <si>
    <t>22시</t>
    <phoneticPr fontId="3" type="noConversion"/>
  </si>
  <si>
    <t>9시30분</t>
    <phoneticPr fontId="3" type="noConversion"/>
  </si>
  <si>
    <t>10시</t>
    <phoneticPr fontId="3" type="noConversion"/>
  </si>
  <si>
    <t>22시</t>
    <phoneticPr fontId="3" type="noConversion"/>
  </si>
  <si>
    <t>21시</t>
    <phoneticPr fontId="3" type="noConversion"/>
  </si>
  <si>
    <t>10시</t>
    <phoneticPr fontId="3" type="noConversion"/>
  </si>
  <si>
    <t>22시</t>
    <phoneticPr fontId="3" type="noConversion"/>
  </si>
  <si>
    <t>22시</t>
    <phoneticPr fontId="3" type="noConversion"/>
  </si>
  <si>
    <t>구름많음</t>
    <phoneticPr fontId="3" type="noConversion"/>
  </si>
  <si>
    <t>구름조금</t>
    <phoneticPr fontId="3" type="noConversion"/>
  </si>
  <si>
    <t>맑음</t>
    <phoneticPr fontId="3" type="noConversion"/>
  </si>
  <si>
    <t>구름조금</t>
    <phoneticPr fontId="3" type="noConversion"/>
  </si>
  <si>
    <t>구름조금</t>
    <phoneticPr fontId="3" type="noConversion"/>
  </si>
  <si>
    <t>구름조금</t>
    <phoneticPr fontId="3" type="noConversion"/>
  </si>
  <si>
    <t>흐림</t>
    <phoneticPr fontId="3" type="noConversion"/>
  </si>
  <si>
    <t>10시</t>
    <phoneticPr fontId="3" type="noConversion"/>
  </si>
  <si>
    <t>10시</t>
    <phoneticPr fontId="3" type="noConversion"/>
  </si>
  <si>
    <t>10시</t>
    <phoneticPr fontId="3" type="noConversion"/>
  </si>
  <si>
    <t>구름많음(한때비)</t>
    <phoneticPr fontId="3" type="noConversion"/>
  </si>
  <si>
    <t>비예보(구름많음)</t>
    <phoneticPr fontId="3" type="noConversion"/>
  </si>
  <si>
    <t>비예보(구름많음)</t>
    <phoneticPr fontId="3" type="noConversion"/>
  </si>
  <si>
    <t>21시</t>
    <phoneticPr fontId="3" type="noConversion"/>
  </si>
  <si>
    <t>21시</t>
    <phoneticPr fontId="3" type="noConversion"/>
  </si>
  <si>
    <t>21시</t>
    <phoneticPr fontId="3" type="noConversion"/>
  </si>
  <si>
    <t>구름조금(소나기)</t>
    <phoneticPr fontId="3" type="noConversion"/>
  </si>
  <si>
    <t>구름조금</t>
    <phoneticPr fontId="3" type="noConversion"/>
  </si>
  <si>
    <t>구름많음(한때비)</t>
    <phoneticPr fontId="3" type="noConversion"/>
  </si>
  <si>
    <t>구름많음(소나기)</t>
    <phoneticPr fontId="3" type="noConversion"/>
  </si>
  <si>
    <t>9시30분</t>
    <phoneticPr fontId="3" type="noConversion"/>
  </si>
  <si>
    <t>22시</t>
    <phoneticPr fontId="3" type="noConversion"/>
  </si>
  <si>
    <t>22시</t>
    <phoneticPr fontId="3" type="noConversion"/>
  </si>
  <si>
    <t>21시</t>
    <phoneticPr fontId="3" type="noConversion"/>
  </si>
  <si>
    <t>구름조금(폭염주의보)</t>
    <phoneticPr fontId="3" type="noConversion"/>
  </si>
  <si>
    <t>구름조금</t>
    <phoneticPr fontId="3" type="noConversion"/>
  </si>
  <si>
    <t>맑음</t>
    <phoneticPr fontId="3" type="noConversion"/>
  </si>
  <si>
    <t>비예보(구름조금)</t>
    <phoneticPr fontId="3" type="noConversion"/>
  </si>
  <si>
    <t>10시</t>
    <phoneticPr fontId="3" type="noConversion"/>
  </si>
  <si>
    <t>21시</t>
    <phoneticPr fontId="3" type="noConversion"/>
  </si>
  <si>
    <t>10시</t>
    <phoneticPr fontId="3" type="noConversion"/>
  </si>
  <si>
    <t>10시</t>
    <phoneticPr fontId="3" type="noConversion"/>
  </si>
  <si>
    <t>9시30분</t>
    <phoneticPr fontId="3" type="noConversion"/>
  </si>
  <si>
    <t>9시30분</t>
    <phoneticPr fontId="3" type="noConversion"/>
  </si>
  <si>
    <t>10시</t>
    <phoneticPr fontId="3" type="noConversion"/>
  </si>
  <si>
    <t>10시</t>
    <phoneticPr fontId="3" type="noConversion"/>
  </si>
  <si>
    <t>구름조금(폭염주의보)</t>
    <phoneticPr fontId="3" type="noConversion"/>
  </si>
  <si>
    <t>흐림(한때비)</t>
    <phoneticPr fontId="3" type="noConversion"/>
  </si>
  <si>
    <t>21시</t>
    <phoneticPr fontId="3" type="noConversion"/>
  </si>
  <si>
    <t>비</t>
    <phoneticPr fontId="3" type="noConversion"/>
  </si>
  <si>
    <t>21시</t>
    <phoneticPr fontId="3" type="noConversion"/>
  </si>
  <si>
    <t>비예보(구름많음)</t>
    <phoneticPr fontId="3" type="noConversion"/>
  </si>
  <si>
    <t>21시</t>
    <phoneticPr fontId="3" type="noConversion"/>
  </si>
  <si>
    <t>구름많음</t>
    <phoneticPr fontId="3" type="noConversion"/>
  </si>
  <si>
    <t>22시</t>
    <phoneticPr fontId="3" type="noConversion"/>
  </si>
  <si>
    <t>22시</t>
    <phoneticPr fontId="3" type="noConversion"/>
  </si>
  <si>
    <t>맑음</t>
    <phoneticPr fontId="3" type="noConversion"/>
  </si>
  <si>
    <t>구름조금</t>
    <phoneticPr fontId="3" type="noConversion"/>
  </si>
  <si>
    <t>22시</t>
    <phoneticPr fontId="3" type="noConversion"/>
  </si>
  <si>
    <t>18시</t>
    <phoneticPr fontId="3" type="noConversion"/>
  </si>
  <si>
    <t>비</t>
    <phoneticPr fontId="3" type="noConversion"/>
  </si>
  <si>
    <t>21시</t>
    <phoneticPr fontId="3" type="noConversion"/>
  </si>
  <si>
    <t>구름많음</t>
    <phoneticPr fontId="3" type="noConversion"/>
  </si>
  <si>
    <t>18시</t>
    <phoneticPr fontId="3" type="noConversion"/>
  </si>
  <si>
    <t>비(호우주의보)</t>
    <phoneticPr fontId="3" type="noConversion"/>
  </si>
  <si>
    <t>비예보(구름많음)</t>
    <phoneticPr fontId="3" type="noConversion"/>
  </si>
  <si>
    <t>21시</t>
    <phoneticPr fontId="3" type="noConversion"/>
  </si>
  <si>
    <t>맑음(폭염주의보)</t>
    <phoneticPr fontId="3" type="noConversion"/>
  </si>
  <si>
    <t>9시30분</t>
    <phoneticPr fontId="3" type="noConversion"/>
  </si>
  <si>
    <t>9시30분</t>
    <phoneticPr fontId="3" type="noConversion"/>
  </si>
  <si>
    <t>구름많음(한때비)</t>
    <phoneticPr fontId="3" type="noConversion"/>
  </si>
  <si>
    <t>22시</t>
    <phoneticPr fontId="3" type="noConversion"/>
  </si>
  <si>
    <t>22시</t>
    <phoneticPr fontId="3" type="noConversion"/>
  </si>
  <si>
    <t>22시</t>
    <phoneticPr fontId="3" type="noConversion"/>
  </si>
  <si>
    <t>10시</t>
    <phoneticPr fontId="3" type="noConversion"/>
  </si>
  <si>
    <t>21시</t>
    <phoneticPr fontId="3" type="noConversion"/>
  </si>
  <si>
    <t>구름많음(폭염주의보)</t>
    <phoneticPr fontId="3" type="noConversion"/>
  </si>
  <si>
    <t>구름조금(폭염주의보)</t>
    <phoneticPr fontId="3" type="noConversion"/>
  </si>
  <si>
    <t>18시</t>
    <phoneticPr fontId="3" type="noConversion"/>
  </si>
  <si>
    <t>10시</t>
    <phoneticPr fontId="3" type="noConversion"/>
  </si>
  <si>
    <t>오후비(호우주의보)</t>
    <phoneticPr fontId="3" type="noConversion"/>
  </si>
  <si>
    <t>구름많음</t>
    <phoneticPr fontId="3" type="noConversion"/>
  </si>
  <si>
    <t>비예보(구름많음)</t>
    <phoneticPr fontId="3" type="noConversion"/>
  </si>
  <si>
    <t>21시</t>
    <phoneticPr fontId="3" type="noConversion"/>
  </si>
  <si>
    <t>21시</t>
    <phoneticPr fontId="3" type="noConversion"/>
  </si>
  <si>
    <t>22시</t>
    <phoneticPr fontId="3" type="noConversion"/>
  </si>
  <si>
    <t>9시30분</t>
    <phoneticPr fontId="3" type="noConversion"/>
  </si>
  <si>
    <t>구름조금</t>
    <phoneticPr fontId="3" type="noConversion"/>
  </si>
  <si>
    <t>9시30분</t>
    <phoneticPr fontId="3" type="noConversion"/>
  </si>
  <si>
    <t>구름많음</t>
    <phoneticPr fontId="3" type="noConversion"/>
  </si>
  <si>
    <t>22시</t>
    <phoneticPr fontId="3" type="noConversion"/>
  </si>
  <si>
    <t>오전비(흐림)</t>
    <phoneticPr fontId="3" type="noConversion"/>
  </si>
  <si>
    <t>21시</t>
    <phoneticPr fontId="3" type="noConversion"/>
  </si>
  <si>
    <t>비예보(구름많음)</t>
    <phoneticPr fontId="3" type="noConversion"/>
  </si>
  <si>
    <t>18시</t>
    <phoneticPr fontId="3" type="noConversion"/>
  </si>
  <si>
    <t>비(호우경보)</t>
    <phoneticPr fontId="3" type="noConversion"/>
  </si>
  <si>
    <t>비(호우주의보)</t>
    <phoneticPr fontId="3" type="noConversion"/>
  </si>
  <si>
    <t>18시</t>
    <phoneticPr fontId="3" type="noConversion"/>
  </si>
  <si>
    <t>비예보(흐림)</t>
    <phoneticPr fontId="3" type="noConversion"/>
  </si>
  <si>
    <t>21시</t>
    <phoneticPr fontId="3" type="noConversion"/>
  </si>
  <si>
    <t>17시</t>
    <phoneticPr fontId="3" type="noConversion"/>
  </si>
  <si>
    <t>비</t>
    <phoneticPr fontId="3" type="noConversion"/>
  </si>
  <si>
    <t>비</t>
    <phoneticPr fontId="3" type="noConversion"/>
  </si>
  <si>
    <t>22시</t>
    <phoneticPr fontId="3" type="noConversion"/>
  </si>
  <si>
    <t>9시30분</t>
    <phoneticPr fontId="3" type="noConversion"/>
  </si>
  <si>
    <t>19시</t>
    <phoneticPr fontId="3" type="noConversion"/>
  </si>
  <si>
    <t>오후비(흐림)</t>
    <phoneticPr fontId="3" type="noConversion"/>
  </si>
  <si>
    <t>21시</t>
    <phoneticPr fontId="3" type="noConversion"/>
  </si>
  <si>
    <t>18시</t>
    <phoneticPr fontId="3" type="noConversion"/>
  </si>
  <si>
    <t>오전비(구름많음)</t>
    <phoneticPr fontId="3" type="noConversion"/>
  </si>
  <si>
    <t>21시</t>
    <phoneticPr fontId="3" type="noConversion"/>
  </si>
  <si>
    <t>구름조금(폭염주의보)</t>
    <phoneticPr fontId="3" type="noConversion"/>
  </si>
  <si>
    <t>21시</t>
    <phoneticPr fontId="3" type="noConversion"/>
  </si>
  <si>
    <t>폭염주의보(미세먼지)</t>
    <phoneticPr fontId="3" type="noConversion"/>
  </si>
  <si>
    <t>비(호우주의보)</t>
    <phoneticPr fontId="3" type="noConversion"/>
  </si>
  <si>
    <t>오후비(폭염주의보)</t>
    <phoneticPr fontId="3" type="noConversion"/>
  </si>
  <si>
    <t>20시</t>
    <phoneticPr fontId="3" type="noConversion"/>
  </si>
  <si>
    <t>9시30분</t>
    <phoneticPr fontId="3" type="noConversion"/>
  </si>
  <si>
    <t>22시</t>
    <phoneticPr fontId="3" type="noConversion"/>
  </si>
  <si>
    <t>22시</t>
    <phoneticPr fontId="3" type="noConversion"/>
  </si>
  <si>
    <t>비예보(구름많음)</t>
    <phoneticPr fontId="3" type="noConversion"/>
  </si>
  <si>
    <t>22시</t>
    <phoneticPr fontId="3" type="noConversion"/>
  </si>
  <si>
    <t>폭염주의보(소나기)</t>
    <phoneticPr fontId="3" type="noConversion"/>
  </si>
  <si>
    <t>22시</t>
    <phoneticPr fontId="3" type="noConversion"/>
  </si>
  <si>
    <t>22시</t>
    <phoneticPr fontId="3" type="noConversion"/>
  </si>
  <si>
    <t>폭염경보(소나기)</t>
    <phoneticPr fontId="3" type="noConversion"/>
  </si>
  <si>
    <t>구름조금(폭염경보)</t>
    <phoneticPr fontId="3" type="noConversion"/>
  </si>
  <si>
    <t>구름조금(폭염경보)</t>
    <phoneticPr fontId="3" type="noConversion"/>
  </si>
  <si>
    <t>10시</t>
    <phoneticPr fontId="3" type="noConversion"/>
  </si>
  <si>
    <t>22시</t>
    <phoneticPr fontId="3" type="noConversion"/>
  </si>
  <si>
    <t>22시</t>
    <phoneticPr fontId="3" type="noConversion"/>
  </si>
  <si>
    <t>9시30분</t>
    <phoneticPr fontId="3" type="noConversion"/>
  </si>
  <si>
    <t>구름많음(폭염경보)</t>
    <phoneticPr fontId="3" type="noConversion"/>
  </si>
  <si>
    <t>10시</t>
    <phoneticPr fontId="3" type="noConversion"/>
  </si>
  <si>
    <t>10시</t>
    <phoneticPr fontId="3" type="noConversion"/>
  </si>
  <si>
    <t>10시</t>
    <phoneticPr fontId="3" type="noConversion"/>
  </si>
  <si>
    <t>구름조금(폭염경보)</t>
    <phoneticPr fontId="3" type="noConversion"/>
  </si>
  <si>
    <t>22시</t>
    <phoneticPr fontId="3" type="noConversion"/>
  </si>
  <si>
    <t>22시</t>
    <phoneticPr fontId="3" type="noConversion"/>
  </si>
  <si>
    <t>구름조금(폭염경보)</t>
    <phoneticPr fontId="3" type="noConversion"/>
  </si>
  <si>
    <t>22시</t>
    <phoneticPr fontId="3" type="noConversion"/>
  </si>
  <si>
    <t>9시30분</t>
    <phoneticPr fontId="3" type="noConversion"/>
  </si>
  <si>
    <t>9시30분</t>
    <phoneticPr fontId="3" type="noConversion"/>
  </si>
  <si>
    <t>22시</t>
    <phoneticPr fontId="3" type="noConversion"/>
  </si>
  <si>
    <t>22시</t>
    <phoneticPr fontId="3" type="noConversion"/>
  </si>
  <si>
    <t>폭염경보(소나기)</t>
    <phoneticPr fontId="3" type="noConversion"/>
  </si>
  <si>
    <t>구름조금(폭염경보)</t>
    <phoneticPr fontId="3" type="noConversion"/>
  </si>
  <si>
    <t>22시</t>
    <phoneticPr fontId="3" type="noConversion"/>
  </si>
  <si>
    <t>22시</t>
    <phoneticPr fontId="3" type="noConversion"/>
  </si>
  <si>
    <t>맑음(폭염경보)</t>
    <phoneticPr fontId="3" type="noConversion"/>
  </si>
  <si>
    <t>22시</t>
    <phoneticPr fontId="3" type="noConversion"/>
  </si>
  <si>
    <t>14시</t>
    <phoneticPr fontId="3" type="noConversion"/>
  </si>
  <si>
    <t>비(태풍주의보)</t>
    <phoneticPr fontId="3" type="noConversion"/>
  </si>
  <si>
    <t>비</t>
    <phoneticPr fontId="3" type="noConversion"/>
  </si>
  <si>
    <t>21시</t>
    <phoneticPr fontId="3" type="noConversion"/>
  </si>
  <si>
    <t>구름많음(폭염주의보)</t>
    <phoneticPr fontId="3" type="noConversion"/>
  </si>
  <si>
    <t>비(~16시)</t>
    <phoneticPr fontId="3" type="noConversion"/>
  </si>
  <si>
    <t>9시30분</t>
    <phoneticPr fontId="3" type="noConversion"/>
  </si>
  <si>
    <t>22시</t>
    <phoneticPr fontId="3" type="noConversion"/>
  </si>
  <si>
    <t>22시</t>
    <phoneticPr fontId="3" type="noConversion"/>
  </si>
  <si>
    <t>구름많음(폭염주의보)</t>
    <phoneticPr fontId="3" type="noConversion"/>
  </si>
  <si>
    <t>10시</t>
    <phoneticPr fontId="3" type="noConversion"/>
  </si>
  <si>
    <t>10시</t>
    <phoneticPr fontId="3" type="noConversion"/>
  </si>
  <si>
    <t>9시30분</t>
    <phoneticPr fontId="3" type="noConversion"/>
  </si>
  <si>
    <t>22시</t>
    <phoneticPr fontId="3" type="noConversion"/>
  </si>
  <si>
    <t>22시</t>
    <phoneticPr fontId="3" type="noConversion"/>
  </si>
  <si>
    <t>구름조금(폭염주의보)</t>
    <phoneticPr fontId="3" type="noConversion"/>
  </si>
  <si>
    <t>22시</t>
    <phoneticPr fontId="3" type="noConversion"/>
  </si>
  <si>
    <t>구름조금(폭염주의보)</t>
    <phoneticPr fontId="3" type="noConversion"/>
  </si>
  <si>
    <t>22시</t>
    <phoneticPr fontId="3" type="noConversion"/>
  </si>
  <si>
    <t>22시</t>
    <phoneticPr fontId="3" type="noConversion"/>
  </si>
  <si>
    <t>9시30분</t>
    <phoneticPr fontId="3" type="noConversion"/>
  </si>
  <si>
    <t>22시</t>
    <phoneticPr fontId="3" type="noConversion"/>
  </si>
  <si>
    <t>구름조금(폭염주의보)</t>
    <phoneticPr fontId="3" type="noConversion"/>
  </si>
  <si>
    <t>22시</t>
    <phoneticPr fontId="3" type="noConversion"/>
  </si>
  <si>
    <t>구름많음(폭염주의보)</t>
    <phoneticPr fontId="3" type="noConversion"/>
  </si>
  <si>
    <t>10시</t>
    <phoneticPr fontId="3" type="noConversion"/>
  </si>
  <si>
    <t>21시</t>
    <phoneticPr fontId="3" type="noConversion"/>
  </si>
  <si>
    <t>비(호우주의보)</t>
    <phoneticPr fontId="3" type="noConversion"/>
  </si>
  <si>
    <t>10시</t>
    <phoneticPr fontId="3" type="noConversion"/>
  </si>
  <si>
    <t>19시</t>
    <phoneticPr fontId="3" type="noConversion"/>
  </si>
  <si>
    <t>비(호우주의보)</t>
    <phoneticPr fontId="3" type="noConversion"/>
  </si>
  <si>
    <t>17시</t>
    <phoneticPr fontId="3" type="noConversion"/>
  </si>
  <si>
    <t>10시</t>
    <phoneticPr fontId="3" type="noConversion"/>
  </si>
  <si>
    <t>비예보(한때비)</t>
    <phoneticPr fontId="3" type="noConversion"/>
  </si>
  <si>
    <t>10시</t>
    <phoneticPr fontId="3" type="noConversion"/>
  </si>
  <si>
    <t>21시</t>
    <phoneticPr fontId="3" type="noConversion"/>
  </si>
  <si>
    <t>흐림</t>
    <phoneticPr fontId="3" type="noConversion"/>
  </si>
  <si>
    <t>구름많음</t>
    <phoneticPr fontId="3" type="noConversion"/>
  </si>
  <si>
    <t>비예보(구름조금)</t>
    <phoneticPr fontId="3" type="noConversion"/>
  </si>
  <si>
    <t>10시</t>
    <phoneticPr fontId="3" type="noConversion"/>
  </si>
  <si>
    <t>9시30분</t>
    <phoneticPr fontId="3" type="noConversion"/>
  </si>
  <si>
    <t>21시</t>
    <phoneticPr fontId="3" type="noConversion"/>
  </si>
  <si>
    <t>22시</t>
    <phoneticPr fontId="3" type="noConversion"/>
  </si>
  <si>
    <t>22시</t>
    <phoneticPr fontId="3" type="noConversion"/>
  </si>
  <si>
    <t>10시</t>
    <phoneticPr fontId="3" type="noConversion"/>
  </si>
  <si>
    <t>17시</t>
    <phoneticPr fontId="3" type="noConversion"/>
  </si>
  <si>
    <t>10시</t>
    <phoneticPr fontId="3" type="noConversion"/>
  </si>
  <si>
    <t>10시</t>
    <phoneticPr fontId="3" type="noConversion"/>
  </si>
  <si>
    <t>10시</t>
    <phoneticPr fontId="3" type="noConversion"/>
  </si>
  <si>
    <t>비</t>
    <phoneticPr fontId="3" type="noConversion"/>
  </si>
  <si>
    <t>17시</t>
    <phoneticPr fontId="3" type="noConversion"/>
  </si>
  <si>
    <t>비</t>
    <phoneticPr fontId="3" type="noConversion"/>
  </si>
  <si>
    <t>18시</t>
    <phoneticPr fontId="3" type="noConversion"/>
  </si>
  <si>
    <t>비</t>
    <phoneticPr fontId="3" type="noConversion"/>
  </si>
  <si>
    <t>구름많음</t>
    <phoneticPr fontId="3" type="noConversion"/>
  </si>
  <si>
    <t>21시</t>
    <phoneticPr fontId="3" type="noConversion"/>
  </si>
  <si>
    <t>10시</t>
    <phoneticPr fontId="3" type="noConversion"/>
  </si>
  <si>
    <t>22시</t>
    <phoneticPr fontId="3" type="noConversion"/>
  </si>
  <si>
    <t>9시30분</t>
    <phoneticPr fontId="3" type="noConversion"/>
  </si>
  <si>
    <t>9시30분</t>
    <phoneticPr fontId="3" type="noConversion"/>
  </si>
  <si>
    <t>10시</t>
    <phoneticPr fontId="3" type="noConversion"/>
  </si>
  <si>
    <t>맑음</t>
    <phoneticPr fontId="3" type="noConversion"/>
  </si>
  <si>
    <t>22시</t>
    <phoneticPr fontId="3" type="noConversion"/>
  </si>
  <si>
    <t>22시</t>
    <phoneticPr fontId="3" type="noConversion"/>
  </si>
  <si>
    <t>구름조금</t>
    <phoneticPr fontId="3" type="noConversion"/>
  </si>
  <si>
    <t>비예보(한때비)</t>
    <phoneticPr fontId="3" type="noConversion"/>
  </si>
  <si>
    <t>비예보(흐림)</t>
    <phoneticPr fontId="3" type="noConversion"/>
  </si>
  <si>
    <t>21시</t>
    <phoneticPr fontId="3" type="noConversion"/>
  </si>
  <si>
    <t>21시</t>
    <phoneticPr fontId="3" type="noConversion"/>
  </si>
  <si>
    <t>맑음</t>
    <phoneticPr fontId="3" type="noConversion"/>
  </si>
  <si>
    <t>비</t>
    <phoneticPr fontId="3" type="noConversion"/>
  </si>
  <si>
    <t>18시</t>
    <phoneticPr fontId="3" type="noConversion"/>
  </si>
  <si>
    <t>21시</t>
    <phoneticPr fontId="3" type="noConversion"/>
  </si>
  <si>
    <t>10시</t>
    <phoneticPr fontId="3" type="noConversion"/>
  </si>
  <si>
    <t>10시</t>
    <phoneticPr fontId="3" type="noConversion"/>
  </si>
  <si>
    <t>10시</t>
    <phoneticPr fontId="3" type="noConversion"/>
  </si>
  <si>
    <t>21시</t>
    <phoneticPr fontId="3" type="noConversion"/>
  </si>
  <si>
    <t>22시</t>
    <phoneticPr fontId="3" type="noConversion"/>
  </si>
  <si>
    <t>22시</t>
    <phoneticPr fontId="3" type="noConversion"/>
  </si>
  <si>
    <t>22시</t>
    <phoneticPr fontId="3" type="noConversion"/>
  </si>
  <si>
    <t>21시</t>
    <phoneticPr fontId="3" type="noConversion"/>
  </si>
  <si>
    <t>구름많음</t>
    <phoneticPr fontId="3" type="noConversion"/>
  </si>
  <si>
    <t>구름많음</t>
    <phoneticPr fontId="3" type="noConversion"/>
  </si>
  <si>
    <t>구름많음</t>
    <phoneticPr fontId="3" type="noConversion"/>
  </si>
  <si>
    <t>구름많음</t>
    <phoneticPr fontId="3" type="noConversion"/>
  </si>
  <si>
    <t>구름조금</t>
    <phoneticPr fontId="3" type="noConversion"/>
  </si>
  <si>
    <t>맑음</t>
    <phoneticPr fontId="3" type="noConversion"/>
  </si>
  <si>
    <t>10시</t>
    <phoneticPr fontId="3" type="noConversion"/>
  </si>
  <si>
    <t>19시</t>
    <phoneticPr fontId="3" type="noConversion"/>
  </si>
  <si>
    <t>비예보(저녁비)</t>
    <phoneticPr fontId="3" type="noConversion"/>
  </si>
  <si>
    <t>비(~16시)</t>
    <phoneticPr fontId="3" type="noConversion"/>
  </si>
  <si>
    <t>10시</t>
    <phoneticPr fontId="3" type="noConversion"/>
  </si>
  <si>
    <t>10시</t>
    <phoneticPr fontId="3" type="noConversion"/>
  </si>
  <si>
    <t>10시</t>
    <phoneticPr fontId="3" type="noConversion"/>
  </si>
  <si>
    <t>9시30분</t>
    <phoneticPr fontId="3" type="noConversion"/>
  </si>
  <si>
    <t>22시</t>
    <phoneticPr fontId="3" type="noConversion"/>
  </si>
  <si>
    <t>22시</t>
    <phoneticPr fontId="3" type="noConversion"/>
  </si>
  <si>
    <t>비예보(구름많음)</t>
    <phoneticPr fontId="3" type="noConversion"/>
  </si>
  <si>
    <t>21시</t>
    <phoneticPr fontId="3" type="noConversion"/>
  </si>
  <si>
    <t>구름조금(소나기)</t>
    <phoneticPr fontId="3" type="noConversion"/>
  </si>
  <si>
    <t>흐림</t>
    <phoneticPr fontId="3" type="noConversion"/>
  </si>
  <si>
    <t>21시</t>
    <phoneticPr fontId="3" type="noConversion"/>
  </si>
  <si>
    <t>비</t>
    <phoneticPr fontId="3" type="noConversion"/>
  </si>
  <si>
    <t>18시</t>
    <phoneticPr fontId="3" type="noConversion"/>
  </si>
  <si>
    <t>21시</t>
    <phoneticPr fontId="3" type="noConversion"/>
  </si>
  <si>
    <t>구름많음</t>
    <phoneticPr fontId="3" type="noConversion"/>
  </si>
  <si>
    <t>9시30분</t>
    <phoneticPr fontId="3" type="noConversion"/>
  </si>
  <si>
    <t>22시</t>
    <phoneticPr fontId="3" type="noConversion"/>
  </si>
  <si>
    <t>9시30분</t>
    <phoneticPr fontId="3" type="noConversion"/>
  </si>
  <si>
    <t>22시</t>
    <phoneticPr fontId="3" type="noConversion"/>
  </si>
  <si>
    <t>22시</t>
    <phoneticPr fontId="3" type="noConversion"/>
  </si>
  <si>
    <t>구름조금</t>
    <phoneticPr fontId="3" type="noConversion"/>
  </si>
  <si>
    <t>구름조금</t>
    <phoneticPr fontId="3" type="noConversion"/>
  </si>
  <si>
    <t>맑음</t>
    <phoneticPr fontId="3" type="noConversion"/>
  </si>
  <si>
    <t>10시</t>
    <phoneticPr fontId="3" type="noConversion"/>
  </si>
  <si>
    <t>10시</t>
    <phoneticPr fontId="3" type="noConversion"/>
  </si>
  <si>
    <t>21시</t>
    <phoneticPr fontId="3" type="noConversion"/>
  </si>
  <si>
    <t>흐림(저녁비)</t>
    <phoneticPr fontId="3" type="noConversion"/>
  </si>
  <si>
    <t>비</t>
    <phoneticPr fontId="3" type="noConversion"/>
  </si>
  <si>
    <t>19시</t>
    <phoneticPr fontId="3" type="noConversion"/>
  </si>
  <si>
    <t>9시30분</t>
    <phoneticPr fontId="3" type="noConversion"/>
  </si>
  <si>
    <t>22시</t>
    <phoneticPr fontId="3" type="noConversion"/>
  </si>
  <si>
    <t>9시30분</t>
    <phoneticPr fontId="3" type="noConversion"/>
  </si>
  <si>
    <t>22시</t>
    <phoneticPr fontId="3" type="noConversion"/>
  </si>
  <si>
    <t>9시30분</t>
    <phoneticPr fontId="3" type="noConversion"/>
  </si>
  <si>
    <t>22시</t>
    <phoneticPr fontId="3" type="noConversion"/>
  </si>
  <si>
    <t>9시30분</t>
    <phoneticPr fontId="3" type="noConversion"/>
  </si>
  <si>
    <t>22시</t>
    <phoneticPr fontId="3" type="noConversion"/>
  </si>
  <si>
    <t>22시</t>
    <phoneticPr fontId="3" type="noConversion"/>
  </si>
  <si>
    <t>10시</t>
    <phoneticPr fontId="3" type="noConversion"/>
  </si>
  <si>
    <t>21시</t>
    <phoneticPr fontId="3" type="noConversion"/>
  </si>
  <si>
    <t>비</t>
    <phoneticPr fontId="3" type="noConversion"/>
  </si>
  <si>
    <t>맑음</t>
    <phoneticPr fontId="3" type="noConversion"/>
  </si>
  <si>
    <t>맑음</t>
    <phoneticPr fontId="3" type="noConversion"/>
  </si>
  <si>
    <t>오전비(구름많음)</t>
    <phoneticPr fontId="3" type="noConversion"/>
  </si>
  <si>
    <t>구름많음</t>
    <phoneticPr fontId="3" type="noConversion"/>
  </si>
  <si>
    <t>구름조금</t>
    <phoneticPr fontId="3" type="noConversion"/>
  </si>
  <si>
    <t>구름조금</t>
    <phoneticPr fontId="3" type="noConversion"/>
  </si>
  <si>
    <t>구름많음(저녁비)</t>
    <phoneticPr fontId="3" type="noConversion"/>
  </si>
  <si>
    <t>10시</t>
    <phoneticPr fontId="3" type="noConversion"/>
  </si>
  <si>
    <t>21시</t>
    <phoneticPr fontId="3" type="noConversion"/>
  </si>
  <si>
    <t>맑음</t>
    <phoneticPr fontId="3" type="noConversion"/>
  </si>
  <si>
    <t>10시</t>
    <phoneticPr fontId="3" type="noConversion"/>
  </si>
  <si>
    <t>21시</t>
    <phoneticPr fontId="3" type="noConversion"/>
  </si>
  <si>
    <t>구름많음(한때비)</t>
    <phoneticPr fontId="3" type="noConversion"/>
  </si>
  <si>
    <t>9시30분</t>
    <phoneticPr fontId="3" type="noConversion"/>
  </si>
  <si>
    <t>구름많음</t>
    <phoneticPr fontId="3" type="noConversion"/>
  </si>
  <si>
    <t>9시30분</t>
    <phoneticPr fontId="3" type="noConversion"/>
  </si>
  <si>
    <t>구름많음</t>
    <phoneticPr fontId="3" type="noConversion"/>
  </si>
  <si>
    <t>10시</t>
    <phoneticPr fontId="3" type="noConversion"/>
  </si>
  <si>
    <t>22시</t>
    <phoneticPr fontId="3" type="noConversion"/>
  </si>
  <si>
    <t>22시</t>
    <phoneticPr fontId="3" type="noConversion"/>
  </si>
  <si>
    <t>22시</t>
    <phoneticPr fontId="3" type="noConversion"/>
  </si>
  <si>
    <t>오전비(구름많음)</t>
    <phoneticPr fontId="3" type="noConversion"/>
  </si>
  <si>
    <t>22시</t>
    <phoneticPr fontId="3" type="noConversion"/>
  </si>
  <si>
    <t>10시</t>
    <phoneticPr fontId="3" type="noConversion"/>
  </si>
  <si>
    <t>21시</t>
    <phoneticPr fontId="3" type="noConversion"/>
  </si>
  <si>
    <t>맑음</t>
    <phoneticPr fontId="3" type="noConversion"/>
  </si>
  <si>
    <t>맑음</t>
    <phoneticPr fontId="3" type="noConversion"/>
  </si>
  <si>
    <t>10시</t>
    <phoneticPr fontId="3" type="noConversion"/>
  </si>
  <si>
    <t>21시</t>
    <phoneticPr fontId="3" type="noConversion"/>
  </si>
  <si>
    <t>구름조금</t>
    <phoneticPr fontId="3" type="noConversion"/>
  </si>
  <si>
    <t>10시</t>
    <phoneticPr fontId="3" type="noConversion"/>
  </si>
  <si>
    <t>21시</t>
    <phoneticPr fontId="3" type="noConversion"/>
  </si>
  <si>
    <t>9시30분</t>
    <phoneticPr fontId="3" type="noConversion"/>
  </si>
  <si>
    <t>22시</t>
    <phoneticPr fontId="3" type="noConversion"/>
  </si>
  <si>
    <t>9시30분</t>
    <phoneticPr fontId="3" type="noConversion"/>
  </si>
  <si>
    <t>22시</t>
    <phoneticPr fontId="3" type="noConversion"/>
  </si>
  <si>
    <t>10시</t>
    <phoneticPr fontId="3" type="noConversion"/>
  </si>
  <si>
    <t>22시</t>
    <phoneticPr fontId="3" type="noConversion"/>
  </si>
  <si>
    <t>맑음</t>
    <phoneticPr fontId="3" type="noConversion"/>
  </si>
  <si>
    <t>오전비(구름많음)</t>
    <phoneticPr fontId="3" type="noConversion"/>
  </si>
  <si>
    <t>구름많음</t>
    <phoneticPr fontId="3" type="noConversion"/>
  </si>
  <si>
    <t>맑음</t>
    <phoneticPr fontId="3" type="noConversion"/>
  </si>
  <si>
    <t>10시</t>
    <phoneticPr fontId="3" type="noConversion"/>
  </si>
  <si>
    <t>21시</t>
    <phoneticPr fontId="3" type="noConversion"/>
  </si>
  <si>
    <t>맑음</t>
    <phoneticPr fontId="3" type="noConversion"/>
  </si>
  <si>
    <t>10시</t>
    <phoneticPr fontId="3" type="noConversion"/>
  </si>
  <si>
    <t>21시</t>
    <phoneticPr fontId="3" type="noConversion"/>
  </si>
  <si>
    <t>구름조금</t>
    <phoneticPr fontId="3" type="noConversion"/>
  </si>
  <si>
    <t>10시</t>
    <phoneticPr fontId="3" type="noConversion"/>
  </si>
  <si>
    <t>21시</t>
    <phoneticPr fontId="3" type="noConversion"/>
  </si>
  <si>
    <t>구름조금</t>
    <phoneticPr fontId="3" type="noConversion"/>
  </si>
  <si>
    <t>맑음</t>
    <phoneticPr fontId="3" type="noConversion"/>
  </si>
  <si>
    <t>맑음</t>
    <phoneticPr fontId="3" type="noConversion"/>
  </si>
  <si>
    <t>오전비(흐림)</t>
    <phoneticPr fontId="3" type="noConversion"/>
  </si>
  <si>
    <t>10시</t>
    <phoneticPr fontId="3" type="noConversion"/>
  </si>
  <si>
    <t>21시</t>
    <phoneticPr fontId="3" type="noConversion"/>
  </si>
  <si>
    <t>9시30분</t>
    <phoneticPr fontId="3" type="noConversion"/>
  </si>
  <si>
    <t>22시</t>
    <phoneticPr fontId="3" type="noConversion"/>
  </si>
  <si>
    <t>22시</t>
    <phoneticPr fontId="3" type="noConversion"/>
  </si>
  <si>
    <t>22시</t>
    <phoneticPr fontId="3" type="noConversion"/>
  </si>
  <si>
    <t>10시</t>
    <phoneticPr fontId="3" type="noConversion"/>
  </si>
  <si>
    <t>21시</t>
    <phoneticPr fontId="3" type="noConversion"/>
  </si>
  <si>
    <t>구름조금</t>
    <phoneticPr fontId="3" type="noConversion"/>
  </si>
  <si>
    <t>10시</t>
    <phoneticPr fontId="3" type="noConversion"/>
  </si>
  <si>
    <t>21시</t>
    <phoneticPr fontId="3" type="noConversion"/>
  </si>
  <si>
    <t>비예보(미세먼지)</t>
    <phoneticPr fontId="3" type="noConversion"/>
  </si>
  <si>
    <t>10시</t>
    <phoneticPr fontId="3" type="noConversion"/>
  </si>
  <si>
    <t>21시</t>
    <phoneticPr fontId="3" type="noConversion"/>
  </si>
  <si>
    <t>구름조금</t>
    <phoneticPr fontId="3" type="noConversion"/>
  </si>
  <si>
    <t>10시</t>
    <phoneticPr fontId="3" type="noConversion"/>
  </si>
  <si>
    <t>21시</t>
    <phoneticPr fontId="3" type="noConversion"/>
  </si>
  <si>
    <t>9시30분</t>
    <phoneticPr fontId="3" type="noConversion"/>
  </si>
  <si>
    <t>22시</t>
    <phoneticPr fontId="3" type="noConversion"/>
  </si>
  <si>
    <t>10시</t>
    <phoneticPr fontId="3" type="noConversion"/>
  </si>
  <si>
    <t>22시</t>
    <phoneticPr fontId="3" type="noConversion"/>
  </si>
  <si>
    <t>맑음</t>
    <phoneticPr fontId="3" type="noConversion"/>
  </si>
  <si>
    <t>맑음</t>
    <phoneticPr fontId="3" type="noConversion"/>
  </si>
  <si>
    <t>구름조금</t>
    <phoneticPr fontId="3" type="noConversion"/>
  </si>
  <si>
    <t>맑음</t>
    <phoneticPr fontId="3" type="noConversion"/>
  </si>
  <si>
    <t>10시</t>
    <phoneticPr fontId="3" type="noConversion"/>
  </si>
  <si>
    <t>21시</t>
    <phoneticPr fontId="3" type="noConversion"/>
  </si>
  <si>
    <t>구름많음</t>
    <phoneticPr fontId="3" type="noConversion"/>
  </si>
  <si>
    <t>10시</t>
    <phoneticPr fontId="3" type="noConversion"/>
  </si>
  <si>
    <t>21시</t>
    <phoneticPr fontId="3" type="noConversion"/>
  </si>
  <si>
    <t>10시</t>
    <phoneticPr fontId="3" type="noConversion"/>
  </si>
  <si>
    <t>10시</t>
    <phoneticPr fontId="3" type="noConversion"/>
  </si>
  <si>
    <t>비예보(미세먼지)</t>
    <phoneticPr fontId="3" type="noConversion"/>
  </si>
  <si>
    <t>21시</t>
    <phoneticPr fontId="3" type="noConversion"/>
  </si>
  <si>
    <t>21시</t>
    <phoneticPr fontId="3" type="noConversion"/>
  </si>
  <si>
    <t>구름조금</t>
    <phoneticPr fontId="3" type="noConversion"/>
  </si>
  <si>
    <t>비예보(한때비)</t>
    <phoneticPr fontId="3" type="noConversion"/>
  </si>
  <si>
    <t>9시30분</t>
    <phoneticPr fontId="3" type="noConversion"/>
  </si>
  <si>
    <t>22시</t>
    <phoneticPr fontId="3" type="noConversion"/>
  </si>
  <si>
    <t>22시</t>
    <phoneticPr fontId="3" type="noConversion"/>
  </si>
  <si>
    <t>10시</t>
    <phoneticPr fontId="3" type="noConversion"/>
  </si>
  <si>
    <t>19시</t>
    <phoneticPr fontId="3" type="noConversion"/>
  </si>
  <si>
    <t>비</t>
    <phoneticPr fontId="3" type="noConversion"/>
  </si>
  <si>
    <t>구름많음</t>
    <phoneticPr fontId="3" type="noConversion"/>
  </si>
  <si>
    <t>19시</t>
    <phoneticPr fontId="3" type="noConversion"/>
  </si>
  <si>
    <t>맑음</t>
    <phoneticPr fontId="3" type="noConversion"/>
  </si>
  <si>
    <t>10시</t>
    <phoneticPr fontId="3" type="noConversion"/>
  </si>
  <si>
    <t>19시</t>
    <phoneticPr fontId="3" type="noConversion"/>
  </si>
  <si>
    <t>구름조금</t>
    <phoneticPr fontId="3" type="noConversion"/>
  </si>
  <si>
    <t>10시</t>
    <phoneticPr fontId="3" type="noConversion"/>
  </si>
  <si>
    <t>19시</t>
    <phoneticPr fontId="3" type="noConversion"/>
  </si>
  <si>
    <t>맑음</t>
    <phoneticPr fontId="3" type="noConversion"/>
  </si>
  <si>
    <t>10시</t>
    <phoneticPr fontId="3" type="noConversion"/>
  </si>
  <si>
    <t>오후비(구름많음)</t>
    <phoneticPr fontId="3" type="noConversion"/>
  </si>
  <si>
    <t>19시</t>
    <phoneticPr fontId="3" type="noConversion"/>
  </si>
  <si>
    <t>20시</t>
    <phoneticPr fontId="3" type="noConversion"/>
  </si>
  <si>
    <t>맑음</t>
    <phoneticPr fontId="3" type="noConversion"/>
  </si>
  <si>
    <t>10시</t>
    <phoneticPr fontId="3" type="noConversion"/>
  </si>
  <si>
    <t>10시</t>
    <phoneticPr fontId="3" type="noConversion"/>
  </si>
  <si>
    <t>21시</t>
    <phoneticPr fontId="3" type="noConversion"/>
  </si>
  <si>
    <t>20시</t>
    <phoneticPr fontId="3" type="noConversion"/>
  </si>
  <si>
    <t>맑음</t>
    <phoneticPr fontId="3" type="noConversion"/>
  </si>
  <si>
    <t>10시</t>
    <phoneticPr fontId="3" type="noConversion"/>
  </si>
  <si>
    <t>19시</t>
    <phoneticPr fontId="3" type="noConversion"/>
  </si>
  <si>
    <t>맑음</t>
    <phoneticPr fontId="3" type="noConversion"/>
  </si>
  <si>
    <t>맑음</t>
    <phoneticPr fontId="3" type="noConversion"/>
  </si>
  <si>
    <t>10시</t>
    <phoneticPr fontId="3" type="noConversion"/>
  </si>
  <si>
    <t>19시</t>
    <phoneticPr fontId="3" type="noConversion"/>
  </si>
  <si>
    <t>구름조금</t>
    <phoneticPr fontId="3" type="noConversion"/>
  </si>
  <si>
    <t>10시</t>
    <phoneticPr fontId="3" type="noConversion"/>
  </si>
  <si>
    <t>19시</t>
    <phoneticPr fontId="3" type="noConversion"/>
  </si>
  <si>
    <t>비</t>
    <phoneticPr fontId="3" type="noConversion"/>
  </si>
  <si>
    <t>10시</t>
    <phoneticPr fontId="3" type="noConversion"/>
  </si>
  <si>
    <t>19시</t>
    <phoneticPr fontId="3" type="noConversion"/>
  </si>
  <si>
    <t>구름조금(미세먼지)</t>
    <phoneticPr fontId="3" type="noConversion"/>
  </si>
  <si>
    <t>10시</t>
    <phoneticPr fontId="3" type="noConversion"/>
  </si>
  <si>
    <t>20시</t>
    <phoneticPr fontId="3" type="noConversion"/>
  </si>
  <si>
    <t>맑음</t>
    <phoneticPr fontId="3" type="noConversion"/>
  </si>
  <si>
    <t>21시</t>
    <phoneticPr fontId="3" type="noConversion"/>
  </si>
  <si>
    <t>구름조금(한때눈)</t>
    <phoneticPr fontId="3" type="noConversion"/>
  </si>
  <si>
    <t>10시</t>
    <phoneticPr fontId="3" type="noConversion"/>
  </si>
  <si>
    <t>20시</t>
    <phoneticPr fontId="3" type="noConversion"/>
  </si>
  <si>
    <t>맑음</t>
    <phoneticPr fontId="3" type="noConversion"/>
  </si>
  <si>
    <t>19시</t>
    <phoneticPr fontId="3" type="noConversion"/>
  </si>
  <si>
    <t>19시</t>
    <phoneticPr fontId="3" type="noConversion"/>
  </si>
  <si>
    <t>19시</t>
    <phoneticPr fontId="3" type="noConversion"/>
  </si>
  <si>
    <t>구름조금</t>
    <phoneticPr fontId="3" type="noConversion"/>
  </si>
  <si>
    <t>맑음</t>
    <phoneticPr fontId="3" type="noConversion"/>
  </si>
  <si>
    <t>19시</t>
    <phoneticPr fontId="3" type="noConversion"/>
  </si>
  <si>
    <t>흐림</t>
    <phoneticPr fontId="3" type="noConversion"/>
  </si>
  <si>
    <t>맑음</t>
    <phoneticPr fontId="3" type="noConversion"/>
  </si>
  <si>
    <t>맑음(한파)</t>
    <phoneticPr fontId="3" type="noConversion"/>
  </si>
  <si>
    <t>20시</t>
    <phoneticPr fontId="3" type="noConversion"/>
  </si>
  <si>
    <t>21시</t>
    <phoneticPr fontId="3" type="noConversion"/>
  </si>
  <si>
    <t>10시</t>
    <phoneticPr fontId="3" type="noConversion"/>
  </si>
  <si>
    <t>19시</t>
    <phoneticPr fontId="3" type="noConversion"/>
  </si>
  <si>
    <t>오전비(구름많음)</t>
    <phoneticPr fontId="3" type="noConversion"/>
  </si>
  <si>
    <t>맑음</t>
    <phoneticPr fontId="3" type="noConversion"/>
  </si>
  <si>
    <t>19시</t>
    <phoneticPr fontId="3" type="noConversion"/>
  </si>
  <si>
    <t>오후눈(구름조금)</t>
    <phoneticPr fontId="3" type="noConversion"/>
  </si>
  <si>
    <t>19시</t>
    <phoneticPr fontId="3" type="noConversion"/>
  </si>
  <si>
    <t>맑음</t>
    <phoneticPr fontId="3" type="noConversion"/>
  </si>
  <si>
    <t>19시</t>
    <phoneticPr fontId="3" type="noConversion"/>
  </si>
  <si>
    <t>맑음</t>
    <phoneticPr fontId="3" type="noConversion"/>
  </si>
  <si>
    <t>구름조금</t>
    <phoneticPr fontId="3" type="noConversion"/>
  </si>
  <si>
    <t>맑음</t>
    <phoneticPr fontId="3" type="noConversion"/>
  </si>
  <si>
    <t>10시</t>
    <phoneticPr fontId="3" type="noConversion"/>
  </si>
  <si>
    <t>10시</t>
    <phoneticPr fontId="3" type="noConversion"/>
  </si>
  <si>
    <t>20시</t>
    <phoneticPr fontId="3" type="noConversion"/>
  </si>
  <si>
    <t>21시</t>
    <phoneticPr fontId="3" type="noConversion"/>
  </si>
  <si>
    <t>19시</t>
    <phoneticPr fontId="3" type="noConversion"/>
  </si>
  <si>
    <t>10시</t>
    <phoneticPr fontId="3" type="noConversion"/>
  </si>
  <si>
    <t>19시</t>
    <phoneticPr fontId="3" type="noConversion"/>
  </si>
  <si>
    <t>구름조금</t>
    <phoneticPr fontId="3" type="noConversion"/>
  </si>
  <si>
    <t>구름조금(미세먼지)</t>
    <phoneticPr fontId="3" type="noConversion"/>
  </si>
  <si>
    <t>10시</t>
    <phoneticPr fontId="3" type="noConversion"/>
  </si>
  <si>
    <t>19시</t>
    <phoneticPr fontId="3" type="noConversion"/>
  </si>
  <si>
    <t>오후비(미세먼지)</t>
    <phoneticPr fontId="3" type="noConversion"/>
  </si>
  <si>
    <t>맑음</t>
    <phoneticPr fontId="3" type="noConversion"/>
  </si>
  <si>
    <t>10시</t>
    <phoneticPr fontId="3" type="noConversion"/>
  </si>
  <si>
    <t>10시</t>
    <phoneticPr fontId="3" type="noConversion"/>
  </si>
  <si>
    <t>10시</t>
    <phoneticPr fontId="3" type="noConversion"/>
  </si>
  <si>
    <t>19시</t>
    <phoneticPr fontId="3" type="noConversion"/>
  </si>
  <si>
    <t>10시</t>
    <phoneticPr fontId="3" type="noConversion"/>
  </si>
  <si>
    <t>10시</t>
    <phoneticPr fontId="3" type="noConversion"/>
  </si>
  <si>
    <t>21시</t>
    <phoneticPr fontId="3" type="noConversion"/>
  </si>
  <si>
    <t>구름많음(미세먼지)</t>
    <phoneticPr fontId="3" type="noConversion"/>
  </si>
  <si>
    <t>맑음</t>
    <phoneticPr fontId="3" type="noConversion"/>
  </si>
  <si>
    <t>19시</t>
    <phoneticPr fontId="3" type="noConversion"/>
  </si>
  <si>
    <t>구름많음(미세먼지)</t>
    <phoneticPr fontId="3" type="noConversion"/>
  </si>
  <si>
    <t>20시</t>
    <phoneticPr fontId="3" type="noConversion"/>
  </si>
  <si>
    <t>비</t>
    <phoneticPr fontId="3" type="noConversion"/>
  </si>
  <si>
    <t>10시</t>
    <phoneticPr fontId="3" type="noConversion"/>
  </si>
  <si>
    <t>17시</t>
    <phoneticPr fontId="3" type="noConversion"/>
  </si>
  <si>
    <t>19시</t>
    <phoneticPr fontId="3" type="noConversion"/>
  </si>
  <si>
    <t>구름많음</t>
    <phoneticPr fontId="3" type="noConversion"/>
  </si>
  <si>
    <t>비예보(구름조금)</t>
    <phoneticPr fontId="3" type="noConversion"/>
  </si>
  <si>
    <t>19시</t>
    <phoneticPr fontId="3" type="noConversion"/>
  </si>
  <si>
    <t>비</t>
    <phoneticPr fontId="3" type="noConversion"/>
  </si>
  <si>
    <t>17시</t>
    <phoneticPr fontId="3" type="noConversion"/>
  </si>
  <si>
    <t>20시</t>
    <phoneticPr fontId="3" type="noConversion"/>
  </si>
  <si>
    <t>19시</t>
    <phoneticPr fontId="3" type="noConversion"/>
  </si>
  <si>
    <t>비(~16시)</t>
    <phoneticPr fontId="3" type="noConversion"/>
  </si>
  <si>
    <t>17시</t>
    <phoneticPr fontId="3" type="noConversion"/>
  </si>
  <si>
    <t>19시</t>
    <phoneticPr fontId="3" type="noConversion"/>
  </si>
  <si>
    <t>오후눈(구름많음)</t>
    <phoneticPr fontId="3" type="noConversion"/>
  </si>
  <si>
    <t>오전눈(한파)</t>
    <phoneticPr fontId="3" type="noConversion"/>
  </si>
  <si>
    <t>맑음(한파)</t>
    <phoneticPr fontId="3" type="noConversion"/>
  </si>
  <si>
    <t>구름많음(한파)</t>
    <phoneticPr fontId="3" type="noConversion"/>
  </si>
  <si>
    <t>오전눈(구름조금)</t>
    <phoneticPr fontId="3" type="noConversion"/>
  </si>
  <si>
    <t>19시</t>
    <phoneticPr fontId="3" type="noConversion"/>
  </si>
  <si>
    <t>19시</t>
    <phoneticPr fontId="3" type="noConversion"/>
  </si>
  <si>
    <t>맑음(한파)</t>
    <phoneticPr fontId="3" type="noConversion"/>
  </si>
  <si>
    <t>19시</t>
    <phoneticPr fontId="3" type="noConversion"/>
  </si>
  <si>
    <t>구름조금</t>
    <phoneticPr fontId="3" type="noConversion"/>
  </si>
  <si>
    <t>맑음(한파)</t>
    <phoneticPr fontId="3" type="noConversion"/>
  </si>
  <si>
    <t>21시</t>
    <phoneticPr fontId="3" type="noConversion"/>
  </si>
  <si>
    <t>21시</t>
    <phoneticPr fontId="3" type="noConversion"/>
  </si>
  <si>
    <t>19시</t>
    <phoneticPr fontId="3" type="noConversion"/>
  </si>
  <si>
    <t>오전눈(미세먼지)</t>
    <phoneticPr fontId="3" type="noConversion"/>
  </si>
  <si>
    <t>20시</t>
    <phoneticPr fontId="3" type="noConversion"/>
  </si>
  <si>
    <t>19시</t>
    <phoneticPr fontId="3" type="noConversion"/>
  </si>
  <si>
    <t>맑음(미세먼지)</t>
    <phoneticPr fontId="3" type="noConversion"/>
  </si>
  <si>
    <t>구름조금(미세먼지)</t>
    <phoneticPr fontId="3" type="noConversion"/>
  </si>
  <si>
    <t>19시</t>
    <phoneticPr fontId="3" type="noConversion"/>
  </si>
  <si>
    <t>구름조금(미세먼지)</t>
    <phoneticPr fontId="3" type="noConversion"/>
  </si>
  <si>
    <t>19시</t>
    <phoneticPr fontId="3" type="noConversion"/>
  </si>
  <si>
    <t>눈(미세먼지)</t>
    <phoneticPr fontId="3" type="noConversion"/>
  </si>
  <si>
    <t>눈비예보(미세먼지)</t>
    <phoneticPr fontId="3" type="noConversion"/>
  </si>
  <si>
    <t>구름조금(미세먼지)</t>
    <phoneticPr fontId="3" type="noConversion"/>
  </si>
  <si>
    <t>21시</t>
    <phoneticPr fontId="3" type="noConversion"/>
  </si>
  <si>
    <t>21시</t>
    <phoneticPr fontId="3" type="noConversion"/>
  </si>
  <si>
    <t>19시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</si>
</sst>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-* #,##0_-;\-* #,##0_-;_-* &quot;-&quot;_-;_-@_-"/>
    <numFmt numFmtId="176" formatCode="_ * #,##0_ ;_ * \-#,##0_ ;_ * &quot;-&quot;_ ;_ @_ "/>
    <numFmt numFmtId="177" formatCode="_ * #,##0.00_ ;_ * &quot;₩&quot;&quot;₩&quot;&quot;₩&quot;&quot;₩&quot;&quot;₩&quot;&quot;₩&quot;&quot;₩&quot;\-#,##0.00_ ;_ * &quot;-&quot;??_ ;_ @_ "/>
    <numFmt numFmtId="178" formatCode="_ * #,##0.00_ ;_ * \-#,##0.00_ ;_ * &quot;-&quot;??_ ;_ @_ "/>
    <numFmt numFmtId="179" formatCode="_(&quot;$&quot;* #,##0_);_(&quot;$&quot;* \(#,##0\);_(&quot;$&quot;* &quot;-&quot;_);_(@_)"/>
    <numFmt numFmtId="180" formatCode="_(&quot;$&quot;* #,##0.00_);_(&quot;$&quot;* \(#,##0.00\);_(&quot;$&quot;* &quot;-&quot;??_);_(@_)"/>
    <numFmt numFmtId="181" formatCode="0_ "/>
    <numFmt numFmtId="182" formatCode="0.0%"/>
    <numFmt numFmtId="184" formatCode="_-* #,##0.000_-;\-* #,##0.000_-;_-* &quot;-&quot;_-;_-@_-"/>
    <numFmt numFmtId="185" formatCode="_-* #,##0.00000_-;\-* #,##0.00000_-;_-* &quot;-&quot;_-;_-@_-"/>
    <numFmt numFmtId="187" formatCode="0.0_ "/>
  </numFmts>
  <fonts count="24" x14ac:knownFonts="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돋움"/>
      <family val="3"/>
      <charset val="129"/>
    </font>
    <font>
      <b/>
      <sz val="10"/>
      <name val="돋움"/>
      <family val="3"/>
      <charset val="129"/>
    </font>
    <font>
      <b/>
      <sz val="10"/>
      <color indexed="10"/>
      <name val="돋움"/>
      <family val="3"/>
      <charset val="129"/>
    </font>
    <font>
      <sz val="11"/>
      <name val="굴림체"/>
      <family val="3"/>
      <charset val="129"/>
    </font>
    <font>
      <sz val="10"/>
      <name val="Arial"/>
      <family val="2"/>
    </font>
    <font>
      <sz val="10"/>
      <name val="Times New Roman"/>
      <family val="1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0"/>
      <color theme="1"/>
      <name val="돋움"/>
      <family val="3"/>
      <charset val="129"/>
    </font>
    <font>
      <b/>
      <sz val="10"/>
      <color theme="1"/>
      <name val="돋움"/>
      <family val="3"/>
      <charset val="129"/>
    </font>
    <font>
      <sz val="10"/>
      <color rgb="FFFF0000"/>
      <name val="돋움"/>
      <family val="3"/>
      <charset val="129"/>
    </font>
    <font>
      <sz val="11"/>
      <color rgb="FFFF0000"/>
      <name val="돋움"/>
      <family val="3"/>
      <charset val="129"/>
    </font>
    <font>
      <b/>
      <sz val="10"/>
      <color rgb="FFFF0000"/>
      <name val="돋움"/>
      <family val="3"/>
      <charset val="129"/>
    </font>
    <font>
      <sz val="11"/>
      <color rgb="FF002060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9"/>
      <color indexed="81"/>
      <name val="돋움"/>
      <family val="3"/>
      <charset val="129"/>
    </font>
    <font>
      <sz val="10"/>
      <color rgb="FF0070C0"/>
      <name val="돋움"/>
      <family val="3"/>
      <charset val="129"/>
    </font>
    <font>
      <b/>
      <sz val="10"/>
      <color rgb="FF0070C0"/>
      <name val="돋움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/>
        <bgColor indexed="64"/>
      </patternFill>
    </fill>
  </fills>
  <borders count="68">
    <border>
      <left/>
      <right/>
      <top/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7">
    <xf numFmtId="0" fontId="0" fillId="0" borderId="0"/>
    <xf numFmtId="176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179" fontId="8" fillId="0" borderId="0" applyFont="0" applyFill="0" applyBorder="0" applyAlignment="0" applyProtection="0"/>
    <xf numFmtId="180" fontId="8" fillId="0" borderId="0" applyFont="0" applyFill="0" applyBorder="0" applyAlignment="0" applyProtection="0"/>
    <xf numFmtId="0" fontId="9" fillId="0" borderId="0"/>
    <xf numFmtId="9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176" fontId="7" fillId="0" borderId="0" applyFont="0" applyFill="0" applyBorder="0" applyAlignment="0" applyProtection="0"/>
    <xf numFmtId="177" fontId="8" fillId="0" borderId="0" applyFont="0" applyFill="0" applyBorder="0" applyAlignment="0" applyProtection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9" fontId="2" fillId="0" borderId="0" applyFont="0" applyFill="0" applyBorder="0" applyAlignment="0" applyProtection="0">
      <alignment vertical="center"/>
    </xf>
  </cellStyleXfs>
  <cellXfs count="182">
    <xf numFmtId="0" fontId="0" fillId="0" borderId="0" xfId="0"/>
    <xf numFmtId="0" fontId="11" fillId="0" borderId="0" xfId="0" applyFont="1"/>
    <xf numFmtId="0" fontId="11" fillId="0" borderId="0" xfId="0" applyFont="1" applyAlignment="1">
      <alignment vertical="center"/>
    </xf>
    <xf numFmtId="41" fontId="12" fillId="0" borderId="0" xfId="7" applyFont="1" applyAlignment="1">
      <alignment vertical="center"/>
    </xf>
    <xf numFmtId="41" fontId="11" fillId="0" borderId="0" xfId="0" applyNumberFormat="1" applyFont="1"/>
    <xf numFmtId="0" fontId="14" fillId="2" borderId="1" xfId="0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horizontal="center" vertical="center"/>
    </xf>
    <xf numFmtId="0" fontId="14" fillId="2" borderId="7" xfId="0" applyFont="1" applyFill="1" applyBorder="1" applyAlignment="1">
      <alignment horizontal="center" vertical="center"/>
    </xf>
    <xf numFmtId="0" fontId="14" fillId="2" borderId="6" xfId="0" applyFont="1" applyFill="1" applyBorder="1" applyAlignment="1">
      <alignment horizontal="center" vertical="center"/>
    </xf>
    <xf numFmtId="0" fontId="12" fillId="0" borderId="0" xfId="0" applyFont="1"/>
    <xf numFmtId="0" fontId="14" fillId="2" borderId="14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41" fontId="16" fillId="0" borderId="19" xfId="7" applyFont="1" applyBorder="1" applyAlignment="1">
      <alignment horizontal="center" vertical="center"/>
    </xf>
    <xf numFmtId="41" fontId="16" fillId="0" borderId="21" xfId="7" applyFont="1" applyBorder="1" applyAlignment="1">
      <alignment horizontal="center" vertical="center"/>
    </xf>
    <xf numFmtId="0" fontId="4" fillId="2" borderId="23" xfId="0" applyFont="1" applyFill="1" applyBorder="1" applyAlignment="1">
      <alignment horizontal="center" vertical="center"/>
    </xf>
    <xf numFmtId="0" fontId="14" fillId="5" borderId="2" xfId="0" applyFont="1" applyFill="1" applyBorder="1" applyAlignment="1">
      <alignment horizontal="center" vertical="center" shrinkToFit="1"/>
    </xf>
    <xf numFmtId="0" fontId="4" fillId="2" borderId="26" xfId="0" applyFont="1" applyFill="1" applyBorder="1" applyAlignment="1">
      <alignment horizontal="center" vertical="center"/>
    </xf>
    <xf numFmtId="181" fontId="14" fillId="5" borderId="24" xfId="0" quotePrefix="1" applyNumberFormat="1" applyFont="1" applyFill="1" applyBorder="1" applyAlignment="1">
      <alignment horizontal="center" vertical="center" wrapText="1"/>
    </xf>
    <xf numFmtId="0" fontId="14" fillId="5" borderId="8" xfId="0" applyFont="1" applyFill="1" applyBorder="1" applyAlignment="1">
      <alignment horizontal="center" vertical="center" wrapText="1"/>
    </xf>
    <xf numFmtId="181" fontId="14" fillId="5" borderId="25" xfId="0" applyNumberFormat="1" applyFont="1" applyFill="1" applyBorder="1" applyAlignment="1">
      <alignment horizontal="center" vertical="center" wrapText="1"/>
    </xf>
    <xf numFmtId="0" fontId="14" fillId="5" borderId="3" xfId="0" applyFont="1" applyFill="1" applyBorder="1" applyAlignment="1">
      <alignment horizontal="center" vertical="center" wrapText="1"/>
    </xf>
    <xf numFmtId="181" fontId="14" fillId="5" borderId="5" xfId="0" applyNumberFormat="1" applyFont="1" applyFill="1" applyBorder="1" applyAlignment="1">
      <alignment horizontal="center" vertical="center" wrapText="1"/>
    </xf>
    <xf numFmtId="0" fontId="14" fillId="5" borderId="12" xfId="0" applyFont="1" applyFill="1" applyBorder="1" applyAlignment="1">
      <alignment horizontal="center" vertical="center" wrapText="1"/>
    </xf>
    <xf numFmtId="41" fontId="16" fillId="0" borderId="20" xfId="7" applyFont="1" applyBorder="1" applyAlignment="1">
      <alignment horizontal="center" vertical="center"/>
    </xf>
    <xf numFmtId="0" fontId="14" fillId="2" borderId="15" xfId="0" applyFont="1" applyFill="1" applyBorder="1" applyAlignment="1">
      <alignment horizontal="center" vertical="center"/>
    </xf>
    <xf numFmtId="0" fontId="14" fillId="5" borderId="15" xfId="0" applyFont="1" applyFill="1" applyBorder="1" applyAlignment="1">
      <alignment horizontal="center" vertical="center" shrinkToFit="1"/>
    </xf>
    <xf numFmtId="181" fontId="14" fillId="5" borderId="16" xfId="0" applyNumberFormat="1" applyFont="1" applyFill="1" applyBorder="1" applyAlignment="1">
      <alignment horizontal="center" vertical="center" wrapText="1"/>
    </xf>
    <xf numFmtId="0" fontId="14" fillId="5" borderId="18" xfId="0" applyFont="1" applyFill="1" applyBorder="1" applyAlignment="1">
      <alignment horizontal="center" vertical="center" wrapText="1"/>
    </xf>
    <xf numFmtId="41" fontId="16" fillId="0" borderId="45" xfId="7" applyFont="1" applyBorder="1" applyAlignment="1">
      <alignment horizontal="center" vertical="center"/>
    </xf>
    <xf numFmtId="0" fontId="14" fillId="5" borderId="4" xfId="0" applyFont="1" applyFill="1" applyBorder="1" applyAlignment="1">
      <alignment horizontal="center" vertical="center" shrinkToFit="1"/>
    </xf>
    <xf numFmtId="0" fontId="14" fillId="2" borderId="46" xfId="0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0" fontId="12" fillId="5" borderId="2" xfId="0" applyFont="1" applyFill="1" applyBorder="1" applyAlignment="1">
      <alignment horizontal="center" vertical="center" shrinkToFit="1"/>
    </xf>
    <xf numFmtId="0" fontId="12" fillId="5" borderId="8" xfId="0" applyFont="1" applyFill="1" applyBorder="1" applyAlignment="1">
      <alignment horizontal="center" vertical="center" wrapText="1"/>
    </xf>
    <xf numFmtId="41" fontId="13" fillId="0" borderId="19" xfId="7" applyFont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/>
    </xf>
    <xf numFmtId="181" fontId="12" fillId="5" borderId="5" xfId="0" applyNumberFormat="1" applyFont="1" applyFill="1" applyBorder="1" applyAlignment="1">
      <alignment horizontal="center" vertical="center" wrapText="1"/>
    </xf>
    <xf numFmtId="0" fontId="12" fillId="5" borderId="12" xfId="0" applyFont="1" applyFill="1" applyBorder="1" applyAlignment="1">
      <alignment horizontal="center" vertical="center" wrapText="1"/>
    </xf>
    <xf numFmtId="41" fontId="13" fillId="0" borderId="20" xfId="7" applyFont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181" fontId="12" fillId="5" borderId="25" xfId="0" applyNumberFormat="1" applyFont="1" applyFill="1" applyBorder="1" applyAlignment="1">
      <alignment horizontal="center" vertical="center" shrinkToFit="1"/>
    </xf>
    <xf numFmtId="0" fontId="12" fillId="5" borderId="3" xfId="0" applyFont="1" applyFill="1" applyBorder="1" applyAlignment="1">
      <alignment horizontal="center" vertical="center" shrinkToFit="1"/>
    </xf>
    <xf numFmtId="41" fontId="13" fillId="0" borderId="21" xfId="7" applyFont="1" applyBorder="1" applyAlignment="1">
      <alignment horizontal="center" vertical="center"/>
    </xf>
    <xf numFmtId="0" fontId="12" fillId="5" borderId="6" xfId="0" applyFont="1" applyFill="1" applyBorder="1" applyAlignment="1">
      <alignment horizontal="center" vertical="center" shrinkToFit="1"/>
    </xf>
    <xf numFmtId="0" fontId="12" fillId="5" borderId="3" xfId="0" applyFont="1" applyFill="1" applyBorder="1" applyAlignment="1">
      <alignment horizontal="center" vertical="center" wrapText="1"/>
    </xf>
    <xf numFmtId="0" fontId="12" fillId="5" borderId="4" xfId="0" applyFont="1" applyFill="1" applyBorder="1" applyAlignment="1">
      <alignment horizontal="center" vertical="center" shrinkToFit="1"/>
    </xf>
    <xf numFmtId="0" fontId="12" fillId="2" borderId="47" xfId="0" applyFont="1" applyFill="1" applyBorder="1" applyAlignment="1">
      <alignment horizontal="center" vertical="center"/>
    </xf>
    <xf numFmtId="0" fontId="12" fillId="2" borderId="48" xfId="0" applyFont="1" applyFill="1" applyBorder="1" applyAlignment="1">
      <alignment horizontal="center" vertical="center"/>
    </xf>
    <xf numFmtId="0" fontId="12" fillId="5" borderId="48" xfId="0" applyFont="1" applyFill="1" applyBorder="1" applyAlignment="1">
      <alignment horizontal="center" vertical="center" shrinkToFit="1"/>
    </xf>
    <xf numFmtId="181" fontId="12" fillId="5" borderId="49" xfId="0" applyNumberFormat="1" applyFont="1" applyFill="1" applyBorder="1" applyAlignment="1">
      <alignment horizontal="center" vertical="center" wrapText="1"/>
    </xf>
    <xf numFmtId="0" fontId="12" fillId="5" borderId="50" xfId="0" applyFont="1" applyFill="1" applyBorder="1" applyAlignment="1">
      <alignment horizontal="center" vertical="center" wrapText="1"/>
    </xf>
    <xf numFmtId="41" fontId="13" fillId="0" borderId="51" xfId="7" applyFont="1" applyBorder="1" applyAlignment="1">
      <alignment horizontal="center" vertical="center"/>
    </xf>
    <xf numFmtId="0" fontId="22" fillId="2" borderId="7" xfId="0" applyFont="1" applyFill="1" applyBorder="1" applyAlignment="1">
      <alignment horizontal="center" vertical="center"/>
    </xf>
    <xf numFmtId="0" fontId="22" fillId="2" borderId="6" xfId="0" applyFont="1" applyFill="1" applyBorder="1" applyAlignment="1">
      <alignment horizontal="center" vertical="center"/>
    </xf>
    <xf numFmtId="0" fontId="22" fillId="5" borderId="6" xfId="0" applyFont="1" applyFill="1" applyBorder="1" applyAlignment="1">
      <alignment horizontal="center" vertical="center" shrinkToFit="1"/>
    </xf>
    <xf numFmtId="181" fontId="22" fillId="5" borderId="24" xfId="0" quotePrefix="1" applyNumberFormat="1" applyFont="1" applyFill="1" applyBorder="1" applyAlignment="1">
      <alignment horizontal="center" vertical="center" wrapText="1"/>
    </xf>
    <xf numFmtId="41" fontId="23" fillId="0" borderId="19" xfId="7" applyFont="1" applyBorder="1" applyAlignment="1">
      <alignment horizontal="center" vertical="center"/>
    </xf>
    <xf numFmtId="0" fontId="22" fillId="2" borderId="1" xfId="0" applyFont="1" applyFill="1" applyBorder="1" applyAlignment="1">
      <alignment horizontal="center" vertical="center"/>
    </xf>
    <xf numFmtId="0" fontId="22" fillId="2" borderId="2" xfId="0" applyFont="1" applyFill="1" applyBorder="1" applyAlignment="1">
      <alignment horizontal="center" vertical="center"/>
    </xf>
    <xf numFmtId="0" fontId="22" fillId="5" borderId="2" xfId="0" applyFont="1" applyFill="1" applyBorder="1" applyAlignment="1">
      <alignment horizontal="center" vertical="center" shrinkToFit="1"/>
    </xf>
    <xf numFmtId="181" fontId="22" fillId="5" borderId="25" xfId="0" applyNumberFormat="1" applyFont="1" applyFill="1" applyBorder="1" applyAlignment="1">
      <alignment horizontal="center" vertical="center" wrapText="1" shrinkToFit="1"/>
    </xf>
    <xf numFmtId="0" fontId="22" fillId="5" borderId="3" xfId="0" applyFont="1" applyFill="1" applyBorder="1" applyAlignment="1">
      <alignment horizontal="center" vertical="center" wrapText="1"/>
    </xf>
    <xf numFmtId="41" fontId="23" fillId="0" borderId="21" xfId="7" applyFont="1" applyBorder="1" applyAlignment="1">
      <alignment horizontal="center" vertical="center"/>
    </xf>
    <xf numFmtId="181" fontId="22" fillId="5" borderId="25" xfId="0" applyNumberFormat="1" applyFont="1" applyFill="1" applyBorder="1" applyAlignment="1">
      <alignment horizontal="center" vertical="center" wrapText="1"/>
    </xf>
    <xf numFmtId="181" fontId="14" fillId="5" borderId="16" xfId="0" applyNumberFormat="1" applyFont="1" applyFill="1" applyBorder="1" applyAlignment="1">
      <alignment horizontal="center" vertical="center" wrapText="1" shrinkToFit="1"/>
    </xf>
    <xf numFmtId="0" fontId="14" fillId="2" borderId="52" xfId="0" applyFont="1" applyFill="1" applyBorder="1" applyAlignment="1">
      <alignment horizontal="center" vertical="center"/>
    </xf>
    <xf numFmtId="0" fontId="14" fillId="2" borderId="53" xfId="0" applyFont="1" applyFill="1" applyBorder="1" applyAlignment="1">
      <alignment horizontal="center" vertical="center"/>
    </xf>
    <xf numFmtId="0" fontId="14" fillId="5" borderId="53" xfId="0" applyFont="1" applyFill="1" applyBorder="1" applyAlignment="1">
      <alignment horizontal="center" vertical="center" shrinkToFit="1"/>
    </xf>
    <xf numFmtId="181" fontId="14" fillId="5" borderId="54" xfId="0" quotePrefix="1" applyNumberFormat="1" applyFont="1" applyFill="1" applyBorder="1" applyAlignment="1">
      <alignment horizontal="center" vertical="center" wrapText="1"/>
    </xf>
    <xf numFmtId="41" fontId="16" fillId="0" borderId="56" xfId="7" applyFont="1" applyBorder="1" applyAlignment="1">
      <alignment horizontal="center" vertical="center"/>
    </xf>
    <xf numFmtId="181" fontId="12" fillId="5" borderId="5" xfId="0" applyNumberFormat="1" applyFont="1" applyFill="1" applyBorder="1" applyAlignment="1">
      <alignment horizontal="center" vertical="center" wrapText="1" shrinkToFit="1"/>
    </xf>
    <xf numFmtId="181" fontId="12" fillId="5" borderId="24" xfId="0" quotePrefix="1" applyNumberFormat="1" applyFont="1" applyFill="1" applyBorder="1" applyAlignment="1">
      <alignment horizontal="center" vertical="center" wrapText="1"/>
    </xf>
    <xf numFmtId="181" fontId="22" fillId="5" borderId="25" xfId="0" applyNumberFormat="1" applyFont="1" applyFill="1" applyBorder="1" applyAlignment="1">
      <alignment horizontal="center" vertical="center" shrinkToFit="1"/>
    </xf>
    <xf numFmtId="0" fontId="22" fillId="5" borderId="3" xfId="0" applyFont="1" applyFill="1" applyBorder="1" applyAlignment="1">
      <alignment horizontal="center" vertical="center" shrinkToFit="1"/>
    </xf>
    <xf numFmtId="181" fontId="12" fillId="5" borderId="5" xfId="0" applyNumberFormat="1" applyFont="1" applyFill="1" applyBorder="1" applyAlignment="1">
      <alignment horizontal="center" vertical="center" shrinkToFit="1"/>
    </xf>
    <xf numFmtId="0" fontId="12" fillId="5" borderId="12" xfId="0" applyFont="1" applyFill="1" applyBorder="1" applyAlignment="1">
      <alignment horizontal="center" vertical="center" shrinkToFit="1"/>
    </xf>
    <xf numFmtId="0" fontId="14" fillId="2" borderId="47" xfId="0" applyFont="1" applyFill="1" applyBorder="1" applyAlignment="1">
      <alignment horizontal="center" vertical="center"/>
    </xf>
    <xf numFmtId="0" fontId="14" fillId="2" borderId="48" xfId="0" applyFont="1" applyFill="1" applyBorder="1" applyAlignment="1">
      <alignment horizontal="center" vertical="center"/>
    </xf>
    <xf numFmtId="0" fontId="14" fillId="5" borderId="48" xfId="0" applyFont="1" applyFill="1" applyBorder="1" applyAlignment="1">
      <alignment horizontal="center" vertical="center" shrinkToFit="1"/>
    </xf>
    <xf numFmtId="41" fontId="16" fillId="0" borderId="51" xfId="7" applyFont="1" applyBorder="1" applyAlignment="1">
      <alignment horizontal="center" vertical="center"/>
    </xf>
    <xf numFmtId="0" fontId="12" fillId="2" borderId="57" xfId="0" applyFont="1" applyFill="1" applyBorder="1" applyAlignment="1">
      <alignment horizontal="center" vertical="center"/>
    </xf>
    <xf numFmtId="0" fontId="12" fillId="2" borderId="10" xfId="0" applyFont="1" applyFill="1" applyBorder="1" applyAlignment="1">
      <alignment horizontal="center" vertical="center"/>
    </xf>
    <xf numFmtId="0" fontId="12" fillId="5" borderId="10" xfId="0" applyFont="1" applyFill="1" applyBorder="1" applyAlignment="1">
      <alignment horizontal="center" vertical="center" shrinkToFit="1"/>
    </xf>
    <xf numFmtId="181" fontId="12" fillId="5" borderId="58" xfId="0" applyNumberFormat="1" applyFont="1" applyFill="1" applyBorder="1" applyAlignment="1">
      <alignment horizontal="center" vertical="center" wrapText="1"/>
    </xf>
    <xf numFmtId="41" fontId="13" fillId="0" borderId="22" xfId="7" applyFont="1" applyBorder="1" applyAlignment="1">
      <alignment horizontal="center" vertical="center"/>
    </xf>
    <xf numFmtId="181" fontId="14" fillId="5" borderId="16" xfId="0" applyNumberFormat="1" applyFont="1" applyFill="1" applyBorder="1" applyAlignment="1">
      <alignment horizontal="center" vertical="center" shrinkToFit="1"/>
    </xf>
    <xf numFmtId="0" fontId="14" fillId="5" borderId="18" xfId="0" applyFont="1" applyFill="1" applyBorder="1" applyAlignment="1">
      <alignment horizontal="center" vertical="center" shrinkToFit="1"/>
    </xf>
    <xf numFmtId="0" fontId="14" fillId="5" borderId="6" xfId="0" applyFont="1" applyFill="1" applyBorder="1" applyAlignment="1">
      <alignment horizontal="center" vertical="center" shrinkToFit="1"/>
    </xf>
    <xf numFmtId="182" fontId="11" fillId="0" borderId="0" xfId="16" applyNumberFormat="1" applyFont="1" applyAlignment="1"/>
    <xf numFmtId="3" fontId="11" fillId="0" borderId="0" xfId="0" applyNumberFormat="1" applyFont="1"/>
    <xf numFmtId="41" fontId="12" fillId="0" borderId="0" xfId="0" applyNumberFormat="1" applyFont="1"/>
    <xf numFmtId="184" fontId="11" fillId="0" borderId="0" xfId="0" applyNumberFormat="1" applyFont="1"/>
    <xf numFmtId="181" fontId="12" fillId="5" borderId="25" xfId="0" applyNumberFormat="1" applyFont="1" applyFill="1" applyBorder="1" applyAlignment="1">
      <alignment horizontal="center" vertical="center" wrapText="1"/>
    </xf>
    <xf numFmtId="181" fontId="12" fillId="5" borderId="25" xfId="0" applyNumberFormat="1" applyFont="1" applyFill="1" applyBorder="1" applyAlignment="1">
      <alignment horizontal="center" vertical="center" wrapText="1" shrinkToFit="1"/>
    </xf>
    <xf numFmtId="181" fontId="12" fillId="5" borderId="49" xfId="0" applyNumberFormat="1" applyFont="1" applyFill="1" applyBorder="1" applyAlignment="1">
      <alignment horizontal="center" vertical="center" shrinkToFit="1"/>
    </xf>
    <xf numFmtId="0" fontId="12" fillId="5" borderId="50" xfId="0" applyFont="1" applyFill="1" applyBorder="1" applyAlignment="1">
      <alignment horizontal="center" vertical="center" shrinkToFit="1"/>
    </xf>
    <xf numFmtId="181" fontId="14" fillId="5" borderId="25" xfId="0" applyNumberFormat="1" applyFont="1" applyFill="1" applyBorder="1" applyAlignment="1">
      <alignment horizontal="center" vertical="center" shrinkToFit="1"/>
    </xf>
    <xf numFmtId="0" fontId="14" fillId="5" borderId="3" xfId="0" applyFont="1" applyFill="1" applyBorder="1" applyAlignment="1">
      <alignment horizontal="center" vertical="center" shrinkToFit="1"/>
    </xf>
    <xf numFmtId="0" fontId="12" fillId="5" borderId="8" xfId="0" applyFont="1" applyFill="1" applyBorder="1" applyAlignment="1">
      <alignment horizontal="center" vertical="center"/>
    </xf>
    <xf numFmtId="0" fontId="12" fillId="5" borderId="3" xfId="0" applyFont="1" applyFill="1" applyBorder="1" applyAlignment="1">
      <alignment horizontal="center" vertical="center"/>
    </xf>
    <xf numFmtId="0" fontId="22" fillId="5" borderId="3" xfId="0" applyFont="1" applyFill="1" applyBorder="1" applyAlignment="1">
      <alignment horizontal="center" vertical="center"/>
    </xf>
    <xf numFmtId="0" fontId="14" fillId="5" borderId="18" xfId="0" applyFont="1" applyFill="1" applyBorder="1" applyAlignment="1">
      <alignment horizontal="center" vertical="center"/>
    </xf>
    <xf numFmtId="0" fontId="12" fillId="5" borderId="12" xfId="0" applyFont="1" applyFill="1" applyBorder="1" applyAlignment="1">
      <alignment horizontal="center" vertical="center"/>
    </xf>
    <xf numFmtId="0" fontId="12" fillId="5" borderId="50" xfId="0" applyFont="1" applyFill="1" applyBorder="1" applyAlignment="1">
      <alignment horizontal="center" vertical="center"/>
    </xf>
    <xf numFmtId="181" fontId="12" fillId="5" borderId="5" xfId="0" applyNumberFormat="1" applyFont="1" applyFill="1" applyBorder="1" applyAlignment="1">
      <alignment horizontal="center" vertical="center"/>
    </xf>
    <xf numFmtId="181" fontId="12" fillId="5" borderId="25" xfId="0" applyNumberFormat="1" applyFont="1" applyFill="1" applyBorder="1" applyAlignment="1">
      <alignment horizontal="center" vertical="center"/>
    </xf>
    <xf numFmtId="181" fontId="22" fillId="5" borderId="25" xfId="0" applyNumberFormat="1" applyFont="1" applyFill="1" applyBorder="1" applyAlignment="1">
      <alignment horizontal="center" vertical="center"/>
    </xf>
    <xf numFmtId="181" fontId="14" fillId="5" borderId="16" xfId="0" applyNumberFormat="1" applyFont="1" applyFill="1" applyBorder="1" applyAlignment="1">
      <alignment horizontal="center" vertical="center"/>
    </xf>
    <xf numFmtId="0" fontId="15" fillId="0" borderId="0" xfId="0" applyFont="1"/>
    <xf numFmtId="0" fontId="17" fillId="0" borderId="0" xfId="0" applyFont="1"/>
    <xf numFmtId="181" fontId="12" fillId="5" borderId="24" xfId="0" applyNumberFormat="1" applyFont="1" applyFill="1" applyBorder="1" applyAlignment="1">
      <alignment horizontal="center" vertical="center" wrapText="1"/>
    </xf>
    <xf numFmtId="181" fontId="14" fillId="5" borderId="24" xfId="0" applyNumberFormat="1" applyFont="1" applyFill="1" applyBorder="1" applyAlignment="1">
      <alignment horizontal="center" vertical="center" wrapText="1"/>
    </xf>
    <xf numFmtId="185" fontId="11" fillId="0" borderId="0" xfId="0" applyNumberFormat="1" applyFont="1"/>
    <xf numFmtId="181" fontId="14" fillId="5" borderId="49" xfId="0" applyNumberFormat="1" applyFont="1" applyFill="1" applyBorder="1" applyAlignment="1">
      <alignment horizontal="center" vertical="center" wrapText="1"/>
    </xf>
    <xf numFmtId="0" fontId="14" fillId="5" borderId="50" xfId="0" applyFont="1" applyFill="1" applyBorder="1" applyAlignment="1">
      <alignment horizontal="center" vertical="center" wrapText="1"/>
    </xf>
    <xf numFmtId="0" fontId="14" fillId="5" borderId="3" xfId="0" applyFont="1" applyFill="1" applyBorder="1" applyAlignment="1">
      <alignment horizontal="center" vertical="center"/>
    </xf>
    <xf numFmtId="181" fontId="14" fillId="5" borderId="24" xfId="0" applyNumberFormat="1" applyFont="1" applyFill="1" applyBorder="1" applyAlignment="1">
      <alignment horizontal="center" vertical="center" shrinkToFit="1"/>
    </xf>
    <xf numFmtId="0" fontId="14" fillId="5" borderId="8" xfId="0" applyFont="1" applyFill="1" applyBorder="1" applyAlignment="1">
      <alignment horizontal="center" vertical="center" shrinkToFit="1"/>
    </xf>
    <xf numFmtId="181" fontId="14" fillId="5" borderId="54" xfId="0" applyNumberFormat="1" applyFont="1" applyFill="1" applyBorder="1" applyAlignment="1">
      <alignment horizontal="center" vertical="center" wrapText="1"/>
    </xf>
    <xf numFmtId="0" fontId="14" fillId="5" borderId="55" xfId="0" applyFont="1" applyFill="1" applyBorder="1" applyAlignment="1">
      <alignment horizontal="center" vertical="center" wrapText="1"/>
    </xf>
    <xf numFmtId="181" fontId="12" fillId="5" borderId="58" xfId="0" applyNumberFormat="1" applyFont="1" applyFill="1" applyBorder="1" applyAlignment="1">
      <alignment horizontal="center" vertical="center" shrinkToFit="1"/>
    </xf>
    <xf numFmtId="0" fontId="12" fillId="5" borderId="11" xfId="0" applyFont="1" applyFill="1" applyBorder="1" applyAlignment="1">
      <alignment horizontal="center" vertical="center" shrinkToFit="1"/>
    </xf>
    <xf numFmtId="181" fontId="22" fillId="5" borderId="24" xfId="0" applyNumberFormat="1" applyFont="1" applyFill="1" applyBorder="1" applyAlignment="1">
      <alignment horizontal="center" vertical="center" shrinkToFit="1"/>
    </xf>
    <xf numFmtId="0" fontId="22" fillId="5" borderId="8" xfId="0" applyFont="1" applyFill="1" applyBorder="1" applyAlignment="1">
      <alignment horizontal="center" vertical="center" shrinkToFit="1"/>
    </xf>
    <xf numFmtId="181" fontId="22" fillId="5" borderId="24" xfId="0" quotePrefix="1" applyNumberFormat="1" applyFont="1" applyFill="1" applyBorder="1" applyAlignment="1">
      <alignment horizontal="center" vertical="center"/>
    </xf>
    <xf numFmtId="181" fontId="22" fillId="5" borderId="24" xfId="0" applyNumberFormat="1" applyFont="1" applyFill="1" applyBorder="1" applyAlignment="1">
      <alignment horizontal="center" vertical="center"/>
    </xf>
    <xf numFmtId="0" fontId="22" fillId="5" borderId="8" xfId="0" applyFont="1" applyFill="1" applyBorder="1" applyAlignment="1">
      <alignment horizontal="center" vertical="center"/>
    </xf>
    <xf numFmtId="181" fontId="12" fillId="5" borderId="58" xfId="0" applyNumberFormat="1" applyFont="1" applyFill="1" applyBorder="1" applyAlignment="1">
      <alignment horizontal="center" vertical="center"/>
    </xf>
    <xf numFmtId="0" fontId="12" fillId="5" borderId="11" xfId="0" applyFont="1" applyFill="1" applyBorder="1" applyAlignment="1">
      <alignment horizontal="center" vertical="center"/>
    </xf>
    <xf numFmtId="181" fontId="14" fillId="5" borderId="5" xfId="0" applyNumberFormat="1" applyFont="1" applyFill="1" applyBorder="1" applyAlignment="1">
      <alignment horizontal="center" vertical="center" wrapText="1" shrinkToFit="1"/>
    </xf>
    <xf numFmtId="181" fontId="14" fillId="5" borderId="5" xfId="0" applyNumberFormat="1" applyFont="1" applyFill="1" applyBorder="1" applyAlignment="1">
      <alignment horizontal="center" vertical="center" shrinkToFit="1"/>
    </xf>
    <xf numFmtId="0" fontId="14" fillId="5" borderId="12" xfId="0" applyFont="1" applyFill="1" applyBorder="1" applyAlignment="1">
      <alignment horizontal="center" vertical="center" shrinkToFit="1"/>
    </xf>
    <xf numFmtId="187" fontId="12" fillId="0" borderId="0" xfId="0" applyNumberFormat="1" applyFont="1"/>
    <xf numFmtId="41" fontId="13" fillId="3" borderId="38" xfId="7" applyFont="1" applyFill="1" applyBorder="1" applyAlignment="1">
      <alignment horizontal="center" vertical="center"/>
    </xf>
    <xf numFmtId="41" fontId="13" fillId="3" borderId="13" xfId="7" applyFont="1" applyFill="1" applyBorder="1" applyAlignment="1">
      <alignment horizontal="center" vertical="center"/>
    </xf>
    <xf numFmtId="41" fontId="13" fillId="3" borderId="39" xfId="7" applyFont="1" applyFill="1" applyBorder="1" applyAlignment="1">
      <alignment horizontal="center" vertical="center"/>
    </xf>
    <xf numFmtId="0" fontId="4" fillId="2" borderId="41" xfId="0" applyFont="1" applyFill="1" applyBorder="1" applyAlignment="1">
      <alignment horizontal="center" vertical="center"/>
    </xf>
    <xf numFmtId="0" fontId="4" fillId="2" borderId="30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42" xfId="0" applyFont="1" applyFill="1" applyBorder="1" applyAlignment="1">
      <alignment horizontal="center" vertical="center"/>
    </xf>
    <xf numFmtId="0" fontId="4" fillId="2" borderId="43" xfId="0" applyFont="1" applyFill="1" applyBorder="1" applyAlignment="1">
      <alignment horizontal="center" vertical="center"/>
    </xf>
    <xf numFmtId="0" fontId="4" fillId="2" borderId="40" xfId="0" applyFont="1" applyFill="1" applyBorder="1" applyAlignment="1">
      <alignment horizontal="center" vertical="center"/>
    </xf>
    <xf numFmtId="0" fontId="4" fillId="2" borderId="44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4" fillId="2" borderId="31" xfId="0" applyFont="1" applyFill="1" applyBorder="1" applyAlignment="1">
      <alignment horizontal="center" vertical="center"/>
    </xf>
    <xf numFmtId="0" fontId="4" fillId="2" borderId="32" xfId="0" applyFont="1" applyFill="1" applyBorder="1" applyAlignment="1">
      <alignment horizontal="center" vertical="center"/>
    </xf>
    <xf numFmtId="0" fontId="4" fillId="2" borderId="29" xfId="0" applyFont="1" applyFill="1" applyBorder="1" applyAlignment="1">
      <alignment horizontal="center" vertical="center"/>
    </xf>
    <xf numFmtId="0" fontId="4" fillId="2" borderId="23" xfId="0" applyFont="1" applyFill="1" applyBorder="1" applyAlignment="1">
      <alignment horizontal="center" vertical="center"/>
    </xf>
    <xf numFmtId="41" fontId="13" fillId="4" borderId="38" xfId="7" applyFont="1" applyFill="1" applyBorder="1" applyAlignment="1">
      <alignment horizontal="center" vertical="center"/>
    </xf>
    <xf numFmtId="41" fontId="13" fillId="4" borderId="13" xfId="7" applyFont="1" applyFill="1" applyBorder="1" applyAlignment="1">
      <alignment horizontal="center" vertical="center"/>
    </xf>
    <xf numFmtId="41" fontId="13" fillId="4" borderId="39" xfId="7" applyFont="1" applyFill="1" applyBorder="1" applyAlignment="1">
      <alignment horizontal="center" vertical="center"/>
    </xf>
    <xf numFmtId="0" fontId="6" fillId="2" borderId="35" xfId="0" applyFont="1" applyFill="1" applyBorder="1" applyAlignment="1">
      <alignment horizontal="center" vertical="center"/>
    </xf>
    <xf numFmtId="0" fontId="6" fillId="2" borderId="36" xfId="0" applyFont="1" applyFill="1" applyBorder="1" applyAlignment="1">
      <alignment horizontal="center" vertical="center"/>
    </xf>
    <xf numFmtId="0" fontId="6" fillId="2" borderId="37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/>
    </xf>
    <xf numFmtId="0" fontId="5" fillId="5" borderId="28" xfId="0" applyFont="1" applyFill="1" applyBorder="1" applyAlignment="1">
      <alignment horizontal="center" vertical="center" wrapText="1"/>
    </xf>
    <xf numFmtId="0" fontId="5" fillId="5" borderId="59" xfId="0" applyFont="1" applyFill="1" applyBorder="1" applyAlignment="1">
      <alignment horizontal="center" vertical="center"/>
    </xf>
    <xf numFmtId="0" fontId="5" fillId="7" borderId="33" xfId="0" applyFont="1" applyFill="1" applyBorder="1" applyAlignment="1">
      <alignment horizontal="center" vertical="center" wrapText="1"/>
    </xf>
    <xf numFmtId="0" fontId="5" fillId="6" borderId="59" xfId="0" applyFont="1" applyFill="1" applyBorder="1" applyAlignment="1">
      <alignment horizontal="center" vertical="center"/>
    </xf>
    <xf numFmtId="0" fontId="5" fillId="7" borderId="34" xfId="0" applyFont="1" applyFill="1" applyBorder="1" applyAlignment="1">
      <alignment horizontal="center" vertical="center" wrapText="1"/>
    </xf>
    <xf numFmtId="0" fontId="4" fillId="3" borderId="60" xfId="0" applyFont="1" applyFill="1" applyBorder="1" applyAlignment="1">
      <alignment horizontal="center" vertical="center"/>
    </xf>
    <xf numFmtId="41" fontId="16" fillId="0" borderId="61" xfId="7" applyFont="1" applyBorder="1" applyAlignment="1">
      <alignment horizontal="center" vertical="center"/>
    </xf>
    <xf numFmtId="41" fontId="13" fillId="0" borderId="62" xfId="7" applyFont="1" applyBorder="1" applyAlignment="1">
      <alignment horizontal="center" vertical="center"/>
    </xf>
    <xf numFmtId="41" fontId="13" fillId="0" borderId="59" xfId="7" applyFont="1" applyBorder="1" applyAlignment="1">
      <alignment horizontal="center" vertical="center"/>
    </xf>
    <xf numFmtId="41" fontId="23" fillId="0" borderId="59" xfId="7" applyFont="1" applyBorder="1" applyAlignment="1">
      <alignment horizontal="center" vertical="center"/>
    </xf>
    <xf numFmtId="41" fontId="16" fillId="0" borderId="63" xfId="7" applyFont="1" applyBorder="1" applyAlignment="1">
      <alignment horizontal="center" vertical="center"/>
    </xf>
    <xf numFmtId="41" fontId="16" fillId="0" borderId="59" xfId="7" applyFont="1" applyBorder="1" applyAlignment="1">
      <alignment horizontal="center" vertical="center"/>
    </xf>
    <xf numFmtId="41" fontId="16" fillId="0" borderId="62" xfId="7" applyFont="1" applyBorder="1" applyAlignment="1">
      <alignment horizontal="center" vertical="center"/>
    </xf>
    <xf numFmtId="41" fontId="13" fillId="0" borderId="64" xfId="7" applyFont="1" applyBorder="1" applyAlignment="1">
      <alignment horizontal="center" vertical="center"/>
    </xf>
    <xf numFmtId="41" fontId="13" fillId="4" borderId="38" xfId="7" applyFont="1" applyFill="1" applyBorder="1" applyAlignment="1">
      <alignment vertical="center"/>
    </xf>
    <xf numFmtId="41" fontId="13" fillId="4" borderId="65" xfId="7" applyFont="1" applyFill="1" applyBorder="1" applyAlignment="1">
      <alignment vertical="center"/>
    </xf>
    <xf numFmtId="41" fontId="13" fillId="3" borderId="38" xfId="7" applyFont="1" applyFill="1" applyBorder="1" applyAlignment="1">
      <alignment vertical="center"/>
    </xf>
    <xf numFmtId="41" fontId="13" fillId="3" borderId="65" xfId="7" applyFont="1" applyFill="1" applyBorder="1" applyAlignment="1">
      <alignment vertical="center"/>
    </xf>
    <xf numFmtId="41" fontId="13" fillId="0" borderId="66" xfId="7" applyFont="1" applyBorder="1" applyAlignment="1">
      <alignment horizontal="center" vertical="center"/>
    </xf>
    <xf numFmtId="41" fontId="16" fillId="0" borderId="64" xfId="7" applyFont="1" applyBorder="1" applyAlignment="1">
      <alignment horizontal="center" vertical="center"/>
    </xf>
    <xf numFmtId="41" fontId="23" fillId="0" borderId="66" xfId="7" applyFont="1" applyBorder="1" applyAlignment="1">
      <alignment horizontal="center" vertical="center"/>
    </xf>
    <xf numFmtId="41" fontId="13" fillId="0" borderId="67" xfId="7" applyFont="1" applyBorder="1" applyAlignment="1">
      <alignment horizontal="center" vertical="center"/>
    </xf>
    <xf numFmtId="41" fontId="16" fillId="0" borderId="66" xfId="7" applyFont="1" applyBorder="1" applyAlignment="1">
      <alignment horizontal="center" vertical="center"/>
    </xf>
  </cellXfs>
  <cellStyles count="17">
    <cellStyle name="Comma [0]_laroux" xfId="1" xr:uid="{00000000-0005-0000-0000-000000000000}"/>
    <cellStyle name="Comma_laroux" xfId="2" xr:uid="{00000000-0005-0000-0000-000001000000}"/>
    <cellStyle name="Currency [0]_laroux" xfId="3" xr:uid="{00000000-0005-0000-0000-000002000000}"/>
    <cellStyle name="Currency_laroux" xfId="4" xr:uid="{00000000-0005-0000-0000-000003000000}"/>
    <cellStyle name="Normal_Certs Q2" xfId="5" xr:uid="{00000000-0005-0000-0000-000004000000}"/>
    <cellStyle name="백분율" xfId="16" builtinId="5"/>
    <cellStyle name="백분율 2" xfId="6" xr:uid="{00000000-0005-0000-0000-000006000000}"/>
    <cellStyle name="쉼표 [0]" xfId="7" builtinId="6"/>
    <cellStyle name="쉼표 [0] 5" xfId="8" xr:uid="{00000000-0005-0000-0000-000008000000}"/>
    <cellStyle name="콤마 [0]_급여지급" xfId="9" xr:uid="{00000000-0005-0000-0000-000009000000}"/>
    <cellStyle name="콤마_승인업체" xfId="10" xr:uid="{00000000-0005-0000-0000-00000A000000}"/>
    <cellStyle name="표준" xfId="0" builtinId="0"/>
    <cellStyle name="표준 11" xfId="11" xr:uid="{00000000-0005-0000-0000-00000C000000}"/>
    <cellStyle name="표준 2" xfId="12" xr:uid="{00000000-0005-0000-0000-00000D000000}"/>
    <cellStyle name="표준 3" xfId="13" xr:uid="{00000000-0005-0000-0000-00000E000000}"/>
    <cellStyle name="표준 4" xfId="14" xr:uid="{00000000-0005-0000-0000-00000F000000}"/>
    <cellStyle name="표준 5" xfId="15" xr:uid="{00000000-0005-0000-0000-000010000000}"/>
  </cellStyles>
  <dxfs count="0"/>
  <tableStyles count="0" defaultTableStyle="TableStyleMedium9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FF00"/>
  </sheetPr>
  <dimension ref="A1:I39"/>
  <sheetViews>
    <sheetView tabSelected="1" workbookViewId="0">
      <selection activeCell="N15" sqref="N15"/>
    </sheetView>
  </sheetViews>
  <sheetFormatPr defaultColWidth="8.88671875" defaultRowHeight="13.5" x14ac:dyDescent="0.15"/>
  <cols>
    <col min="1" max="2" width="5.77734375" style="1" customWidth="1"/>
    <col min="3" max="3" width="8.77734375" style="9" customWidth="1"/>
    <col min="4" max="5" width="3.77734375" style="9" customWidth="1"/>
    <col min="6" max="6" width="5.77734375" style="9" customWidth="1"/>
    <col min="7" max="7" width="5.77734375" style="1" customWidth="1"/>
    <col min="8" max="9" width="9.77734375" style="1" customWidth="1"/>
    <col min="10" max="16384" width="8.88671875" style="1"/>
  </cols>
  <sheetData>
    <row r="1" spans="1:9" s="2" customFormat="1" ht="21" customHeight="1" x14ac:dyDescent="0.15">
      <c r="A1" s="155" t="s">
        <v>3</v>
      </c>
      <c r="B1" s="156"/>
      <c r="C1" s="156"/>
      <c r="D1" s="156"/>
      <c r="E1" s="156"/>
      <c r="F1" s="156"/>
      <c r="G1" s="156"/>
      <c r="H1" s="156"/>
      <c r="I1" s="157"/>
    </row>
    <row r="2" spans="1:9" s="2" customFormat="1" ht="22.5" customHeight="1" x14ac:dyDescent="0.15">
      <c r="A2" s="145" t="s">
        <v>2</v>
      </c>
      <c r="B2" s="148" t="s">
        <v>1</v>
      </c>
      <c r="C2" s="139" t="s">
        <v>12</v>
      </c>
      <c r="D2" s="139" t="s">
        <v>15</v>
      </c>
      <c r="E2" s="140"/>
      <c r="F2" s="139" t="s">
        <v>16</v>
      </c>
      <c r="G2" s="143"/>
      <c r="H2" s="159" t="s">
        <v>22</v>
      </c>
      <c r="I2" s="160" t="s">
        <v>21</v>
      </c>
    </row>
    <row r="3" spans="1:9" s="2" customFormat="1" ht="18.75" customHeight="1" x14ac:dyDescent="0.15">
      <c r="A3" s="146"/>
      <c r="B3" s="158"/>
      <c r="C3" s="150"/>
      <c r="D3" s="141"/>
      <c r="E3" s="142"/>
      <c r="F3" s="141"/>
      <c r="G3" s="144"/>
      <c r="H3" s="161" t="s">
        <v>23</v>
      </c>
      <c r="I3" s="162" t="s">
        <v>20</v>
      </c>
    </row>
    <row r="4" spans="1:9" s="2" customFormat="1" ht="18.75" customHeight="1" x14ac:dyDescent="0.15">
      <c r="A4" s="147"/>
      <c r="B4" s="149"/>
      <c r="C4" s="151"/>
      <c r="D4" s="14" t="s">
        <v>13</v>
      </c>
      <c r="E4" s="14" t="s">
        <v>14</v>
      </c>
      <c r="F4" s="14" t="s">
        <v>18</v>
      </c>
      <c r="G4" s="16" t="s">
        <v>17</v>
      </c>
      <c r="H4" s="163"/>
      <c r="I4" s="164" t="s">
        <v>19</v>
      </c>
    </row>
    <row r="5" spans="1:9" s="111" customFormat="1" ht="23.1" customHeight="1" x14ac:dyDescent="0.15">
      <c r="A5" s="68">
        <v>1</v>
      </c>
      <c r="B5" s="69" t="s">
        <v>38</v>
      </c>
      <c r="C5" s="70" t="s">
        <v>61</v>
      </c>
      <c r="D5" s="71">
        <v>-4</v>
      </c>
      <c r="E5" s="71">
        <v>4</v>
      </c>
      <c r="F5" s="121" t="s">
        <v>59</v>
      </c>
      <c r="G5" s="122" t="s">
        <v>60</v>
      </c>
      <c r="H5" s="72">
        <v>3621</v>
      </c>
      <c r="I5" s="165">
        <v>4707</v>
      </c>
    </row>
    <row r="6" spans="1:9" customFormat="1" ht="23.1" customHeight="1" x14ac:dyDescent="0.15">
      <c r="A6" s="36">
        <v>2</v>
      </c>
      <c r="B6" s="37" t="s">
        <v>39</v>
      </c>
      <c r="C6" s="48" t="s">
        <v>64</v>
      </c>
      <c r="D6" s="38">
        <v>-7</v>
      </c>
      <c r="E6" s="38">
        <v>0</v>
      </c>
      <c r="F6" s="38" t="s">
        <v>62</v>
      </c>
      <c r="G6" s="39" t="s">
        <v>63</v>
      </c>
      <c r="H6" s="40">
        <v>1310</v>
      </c>
      <c r="I6" s="166">
        <v>1427</v>
      </c>
    </row>
    <row r="7" spans="1:9" customFormat="1" ht="23.1" customHeight="1" x14ac:dyDescent="0.15">
      <c r="A7" s="41">
        <v>3</v>
      </c>
      <c r="B7" s="42" t="s">
        <v>9</v>
      </c>
      <c r="C7" s="33" t="s">
        <v>65</v>
      </c>
      <c r="D7" s="95">
        <v>-9</v>
      </c>
      <c r="E7" s="95">
        <v>1</v>
      </c>
      <c r="F7" s="95" t="s">
        <v>67</v>
      </c>
      <c r="G7" s="47" t="s">
        <v>68</v>
      </c>
      <c r="H7" s="45">
        <v>890</v>
      </c>
      <c r="I7" s="167">
        <v>948</v>
      </c>
    </row>
    <row r="8" spans="1:9" s="112" customFormat="1" ht="23.1" customHeight="1" x14ac:dyDescent="0.15">
      <c r="A8" s="41">
        <v>4</v>
      </c>
      <c r="B8" s="42" t="s">
        <v>10</v>
      </c>
      <c r="C8" s="33" t="s">
        <v>69</v>
      </c>
      <c r="D8" s="43">
        <v>-6</v>
      </c>
      <c r="E8" s="43">
        <v>3</v>
      </c>
      <c r="F8" s="43" t="s">
        <v>66</v>
      </c>
      <c r="G8" s="44" t="s">
        <v>70</v>
      </c>
      <c r="H8" s="45">
        <v>1014</v>
      </c>
      <c r="I8" s="167">
        <v>1122</v>
      </c>
    </row>
    <row r="9" spans="1:9" s="111" customFormat="1" ht="23.1" customHeight="1" x14ac:dyDescent="0.15">
      <c r="A9" s="41">
        <v>5</v>
      </c>
      <c r="B9" s="42" t="s">
        <v>11</v>
      </c>
      <c r="C9" s="33" t="s">
        <v>72</v>
      </c>
      <c r="D9" s="95">
        <v>-6</v>
      </c>
      <c r="E9" s="95">
        <v>4</v>
      </c>
      <c r="F9" s="95" t="s">
        <v>66</v>
      </c>
      <c r="G9" s="47" t="s">
        <v>71</v>
      </c>
      <c r="H9" s="45">
        <v>1250</v>
      </c>
      <c r="I9" s="167">
        <v>1356</v>
      </c>
    </row>
    <row r="10" spans="1:9" customFormat="1" ht="23.1" customHeight="1" x14ac:dyDescent="0.15">
      <c r="A10" s="41">
        <v>6</v>
      </c>
      <c r="B10" s="42" t="s">
        <v>5</v>
      </c>
      <c r="C10" s="33" t="s">
        <v>73</v>
      </c>
      <c r="D10" s="95">
        <v>-5</v>
      </c>
      <c r="E10" s="95">
        <v>6</v>
      </c>
      <c r="F10" s="95" t="s">
        <v>66</v>
      </c>
      <c r="G10" s="47" t="s">
        <v>74</v>
      </c>
      <c r="H10" s="45">
        <v>1973</v>
      </c>
      <c r="I10" s="167">
        <v>2142</v>
      </c>
    </row>
    <row r="11" spans="1:9" customFormat="1" ht="23.1" customHeight="1" x14ac:dyDescent="0.15">
      <c r="A11" s="60">
        <v>7</v>
      </c>
      <c r="B11" s="61" t="s">
        <v>6</v>
      </c>
      <c r="C11" s="62" t="s">
        <v>78</v>
      </c>
      <c r="D11" s="66">
        <v>-1</v>
      </c>
      <c r="E11" s="66">
        <v>4</v>
      </c>
      <c r="F11" s="66" t="s">
        <v>66</v>
      </c>
      <c r="G11" s="64" t="s">
        <v>75</v>
      </c>
      <c r="H11" s="65">
        <v>6557</v>
      </c>
      <c r="I11" s="168">
        <v>7155</v>
      </c>
    </row>
    <row r="12" spans="1:9" customFormat="1" ht="23.1" customHeight="1" x14ac:dyDescent="0.15">
      <c r="A12" s="30">
        <v>8</v>
      </c>
      <c r="B12" s="24" t="s">
        <v>7</v>
      </c>
      <c r="C12" s="25" t="s">
        <v>77</v>
      </c>
      <c r="D12" s="67">
        <v>-4</v>
      </c>
      <c r="E12" s="67">
        <v>6</v>
      </c>
      <c r="F12" s="67" t="s">
        <v>66</v>
      </c>
      <c r="G12" s="27" t="s">
        <v>76</v>
      </c>
      <c r="H12" s="28">
        <v>3638</v>
      </c>
      <c r="I12" s="169">
        <v>4689</v>
      </c>
    </row>
    <row r="13" spans="1:9" customFormat="1" ht="23.1" customHeight="1" x14ac:dyDescent="0.15">
      <c r="A13" s="36">
        <v>9</v>
      </c>
      <c r="B13" s="37" t="s">
        <v>8</v>
      </c>
      <c r="C13" s="48" t="s">
        <v>80</v>
      </c>
      <c r="D13" s="73">
        <v>-1</v>
      </c>
      <c r="E13" s="73">
        <v>7</v>
      </c>
      <c r="F13" s="73" t="s">
        <v>66</v>
      </c>
      <c r="G13" s="39" t="s">
        <v>79</v>
      </c>
      <c r="H13" s="40">
        <v>1398</v>
      </c>
      <c r="I13" s="166">
        <v>1482</v>
      </c>
    </row>
    <row r="14" spans="1:9" customFormat="1" ht="23.1" customHeight="1" x14ac:dyDescent="0.15">
      <c r="A14" s="41">
        <v>10</v>
      </c>
      <c r="B14" s="42" t="s">
        <v>9</v>
      </c>
      <c r="C14" s="33" t="s">
        <v>81</v>
      </c>
      <c r="D14" s="95">
        <v>-4</v>
      </c>
      <c r="E14" s="95">
        <v>9</v>
      </c>
      <c r="F14" s="95" t="s">
        <v>66</v>
      </c>
      <c r="G14" s="47" t="s">
        <v>82</v>
      </c>
      <c r="H14" s="45">
        <v>1549</v>
      </c>
      <c r="I14" s="167">
        <v>1683</v>
      </c>
    </row>
    <row r="15" spans="1:9" s="112" customFormat="1" ht="23.1" customHeight="1" x14ac:dyDescent="0.15">
      <c r="A15" s="41">
        <v>11</v>
      </c>
      <c r="B15" s="42" t="s">
        <v>10</v>
      </c>
      <c r="C15" s="33" t="s">
        <v>84</v>
      </c>
      <c r="D15" s="95">
        <v>-2</v>
      </c>
      <c r="E15" s="95">
        <v>9</v>
      </c>
      <c r="F15" s="95" t="s">
        <v>66</v>
      </c>
      <c r="G15" s="47" t="s">
        <v>83</v>
      </c>
      <c r="H15" s="45">
        <v>1534</v>
      </c>
      <c r="I15" s="167">
        <v>1629</v>
      </c>
    </row>
    <row r="16" spans="1:9" s="111" customFormat="1" ht="23.1" customHeight="1" x14ac:dyDescent="0.15">
      <c r="A16" s="41">
        <v>12</v>
      </c>
      <c r="B16" s="42" t="s">
        <v>11</v>
      </c>
      <c r="C16" s="33" t="s">
        <v>61</v>
      </c>
      <c r="D16" s="95">
        <v>-1</v>
      </c>
      <c r="E16" s="95">
        <v>13</v>
      </c>
      <c r="F16" s="95" t="s">
        <v>66</v>
      </c>
      <c r="G16" s="47" t="s">
        <v>85</v>
      </c>
      <c r="H16" s="45">
        <v>2718</v>
      </c>
      <c r="I16" s="167">
        <v>2901</v>
      </c>
    </row>
    <row r="17" spans="1:9" customFormat="1" ht="23.1" customHeight="1" x14ac:dyDescent="0.15">
      <c r="A17" s="41">
        <v>13</v>
      </c>
      <c r="B17" s="42" t="s">
        <v>5</v>
      </c>
      <c r="C17" s="33" t="s">
        <v>88</v>
      </c>
      <c r="D17" s="95">
        <v>5</v>
      </c>
      <c r="E17" s="95">
        <v>10</v>
      </c>
      <c r="F17" s="95" t="s">
        <v>66</v>
      </c>
      <c r="G17" s="47" t="s">
        <v>86</v>
      </c>
      <c r="H17" s="45">
        <v>191</v>
      </c>
      <c r="I17" s="167">
        <v>229</v>
      </c>
    </row>
    <row r="18" spans="1:9" customFormat="1" ht="23.1" customHeight="1" x14ac:dyDescent="0.15">
      <c r="A18" s="60">
        <v>14</v>
      </c>
      <c r="B18" s="61" t="s">
        <v>6</v>
      </c>
      <c r="C18" s="62" t="s">
        <v>89</v>
      </c>
      <c r="D18" s="66">
        <v>4</v>
      </c>
      <c r="E18" s="66">
        <v>8</v>
      </c>
      <c r="F18" s="66" t="s">
        <v>66</v>
      </c>
      <c r="G18" s="64" t="s">
        <v>91</v>
      </c>
      <c r="H18" s="65">
        <v>926</v>
      </c>
      <c r="I18" s="168">
        <v>1102</v>
      </c>
    </row>
    <row r="19" spans="1:9" customFormat="1" ht="23.1" customHeight="1" x14ac:dyDescent="0.15">
      <c r="A19" s="30">
        <v>15</v>
      </c>
      <c r="B19" s="24" t="s">
        <v>7</v>
      </c>
      <c r="C19" s="25" t="s">
        <v>87</v>
      </c>
      <c r="D19" s="26">
        <v>-3</v>
      </c>
      <c r="E19" s="26">
        <v>4</v>
      </c>
      <c r="F19" s="26" t="s">
        <v>66</v>
      </c>
      <c r="G19" s="27" t="s">
        <v>90</v>
      </c>
      <c r="H19" s="28">
        <v>1516</v>
      </c>
      <c r="I19" s="169">
        <v>1965</v>
      </c>
    </row>
    <row r="20" spans="1:9" customFormat="1" ht="23.1" customHeight="1" x14ac:dyDescent="0.15">
      <c r="A20" s="36">
        <v>16</v>
      </c>
      <c r="B20" s="37" t="s">
        <v>8</v>
      </c>
      <c r="C20" s="48" t="s">
        <v>93</v>
      </c>
      <c r="D20" s="38">
        <v>-7</v>
      </c>
      <c r="E20" s="38">
        <v>-1</v>
      </c>
      <c r="F20" s="38" t="s">
        <v>66</v>
      </c>
      <c r="G20" s="39" t="s">
        <v>92</v>
      </c>
      <c r="H20" s="40">
        <v>1286</v>
      </c>
      <c r="I20" s="166">
        <v>1355</v>
      </c>
    </row>
    <row r="21" spans="1:9" customFormat="1" ht="23.1" customHeight="1" x14ac:dyDescent="0.15">
      <c r="A21" s="41">
        <v>17</v>
      </c>
      <c r="B21" s="42" t="s">
        <v>9</v>
      </c>
      <c r="C21" s="33" t="s">
        <v>94</v>
      </c>
      <c r="D21" s="95">
        <v>-7</v>
      </c>
      <c r="E21" s="95">
        <v>0</v>
      </c>
      <c r="F21" s="95" t="s">
        <v>66</v>
      </c>
      <c r="G21" s="47" t="s">
        <v>95</v>
      </c>
      <c r="H21" s="45">
        <v>1013</v>
      </c>
      <c r="I21" s="167">
        <v>1099</v>
      </c>
    </row>
    <row r="22" spans="1:9" s="112" customFormat="1" ht="23.1" customHeight="1" x14ac:dyDescent="0.15">
      <c r="A22" s="41">
        <v>18</v>
      </c>
      <c r="B22" s="42" t="s">
        <v>10</v>
      </c>
      <c r="C22" s="33" t="s">
        <v>107</v>
      </c>
      <c r="D22" s="95">
        <v>-5</v>
      </c>
      <c r="E22" s="95">
        <v>2</v>
      </c>
      <c r="F22" s="95" t="s">
        <v>66</v>
      </c>
      <c r="G22" s="47" t="s">
        <v>97</v>
      </c>
      <c r="H22" s="45">
        <v>1389</v>
      </c>
      <c r="I22" s="167">
        <v>1470</v>
      </c>
    </row>
    <row r="23" spans="1:9" s="111" customFormat="1" ht="23.1" customHeight="1" x14ac:dyDescent="0.15">
      <c r="A23" s="41">
        <v>19</v>
      </c>
      <c r="B23" s="42" t="s">
        <v>11</v>
      </c>
      <c r="C23" s="33" t="s">
        <v>96</v>
      </c>
      <c r="D23" s="95">
        <v>-6</v>
      </c>
      <c r="E23" s="95">
        <v>4</v>
      </c>
      <c r="F23" s="95" t="s">
        <v>66</v>
      </c>
      <c r="G23" s="47" t="s">
        <v>98</v>
      </c>
      <c r="H23" s="45">
        <v>1731</v>
      </c>
      <c r="I23" s="167">
        <v>1838</v>
      </c>
    </row>
    <row r="24" spans="1:9" customFormat="1" ht="23.1" customHeight="1" x14ac:dyDescent="0.15">
      <c r="A24" s="41">
        <v>20</v>
      </c>
      <c r="B24" s="42" t="s">
        <v>5</v>
      </c>
      <c r="C24" s="33" t="s">
        <v>105</v>
      </c>
      <c r="D24" s="95">
        <v>-8</v>
      </c>
      <c r="E24" s="95">
        <v>2</v>
      </c>
      <c r="F24" s="95" t="s">
        <v>66</v>
      </c>
      <c r="G24" s="47" t="s">
        <v>99</v>
      </c>
      <c r="H24" s="45">
        <v>1226</v>
      </c>
      <c r="I24" s="167">
        <v>1287</v>
      </c>
    </row>
    <row r="25" spans="1:9" customFormat="1" ht="23.1" customHeight="1" x14ac:dyDescent="0.15">
      <c r="A25" s="5">
        <v>21</v>
      </c>
      <c r="B25" s="6" t="s">
        <v>6</v>
      </c>
      <c r="C25" s="15" t="s">
        <v>104</v>
      </c>
      <c r="D25" s="19">
        <v>-10</v>
      </c>
      <c r="E25" s="19">
        <v>2</v>
      </c>
      <c r="F25" s="19" t="s">
        <v>66</v>
      </c>
      <c r="G25" s="20" t="s">
        <v>100</v>
      </c>
      <c r="H25" s="13">
        <v>1782</v>
      </c>
      <c r="I25" s="170">
        <v>2083</v>
      </c>
    </row>
    <row r="26" spans="1:9" customFormat="1" ht="23.1" customHeight="1" x14ac:dyDescent="0.15">
      <c r="A26" s="30">
        <v>22</v>
      </c>
      <c r="B26" s="24" t="s">
        <v>7</v>
      </c>
      <c r="C26" s="25" t="s">
        <v>106</v>
      </c>
      <c r="D26" s="26">
        <v>-3</v>
      </c>
      <c r="E26" s="26">
        <v>3</v>
      </c>
      <c r="F26" s="26" t="s">
        <v>66</v>
      </c>
      <c r="G26" s="27" t="s">
        <v>99</v>
      </c>
      <c r="H26" s="28">
        <v>2664</v>
      </c>
      <c r="I26" s="169">
        <v>3073</v>
      </c>
    </row>
    <row r="27" spans="1:9" customFormat="1" ht="23.1" customHeight="1" x14ac:dyDescent="0.15">
      <c r="A27" s="10">
        <v>23</v>
      </c>
      <c r="B27" s="11" t="s">
        <v>8</v>
      </c>
      <c r="C27" s="29" t="s">
        <v>103</v>
      </c>
      <c r="D27" s="21">
        <v>-7</v>
      </c>
      <c r="E27" s="21">
        <v>5</v>
      </c>
      <c r="F27" s="21" t="s">
        <v>66</v>
      </c>
      <c r="G27" s="22" t="s">
        <v>101</v>
      </c>
      <c r="H27" s="23">
        <v>7311</v>
      </c>
      <c r="I27" s="171">
        <v>8373</v>
      </c>
    </row>
    <row r="28" spans="1:9" s="111" customFormat="1" ht="23.1" customHeight="1" x14ac:dyDescent="0.15">
      <c r="A28" s="5">
        <v>24</v>
      </c>
      <c r="B28" s="6" t="s">
        <v>9</v>
      </c>
      <c r="C28" s="15" t="s">
        <v>110</v>
      </c>
      <c r="D28" s="19">
        <v>-17</v>
      </c>
      <c r="E28" s="19">
        <v>-7</v>
      </c>
      <c r="F28" s="19" t="s">
        <v>66</v>
      </c>
      <c r="G28" s="20" t="s">
        <v>108</v>
      </c>
      <c r="H28" s="13">
        <v>386</v>
      </c>
      <c r="I28" s="170">
        <v>399</v>
      </c>
    </row>
    <row r="29" spans="1:9" s="111" customFormat="1" ht="23.1" customHeight="1" x14ac:dyDescent="0.15">
      <c r="A29" s="41">
        <v>25</v>
      </c>
      <c r="B29" s="42" t="s">
        <v>10</v>
      </c>
      <c r="C29" s="33" t="s">
        <v>112</v>
      </c>
      <c r="D29" s="95">
        <v>-17</v>
      </c>
      <c r="E29" s="95">
        <v>-5</v>
      </c>
      <c r="F29" s="95" t="s">
        <v>66</v>
      </c>
      <c r="G29" s="47" t="s">
        <v>111</v>
      </c>
      <c r="H29" s="45">
        <v>253</v>
      </c>
      <c r="I29" s="167">
        <v>269</v>
      </c>
    </row>
    <row r="30" spans="1:9" s="111" customFormat="1" ht="23.1" customHeight="1" x14ac:dyDescent="0.15">
      <c r="A30" s="41">
        <v>26</v>
      </c>
      <c r="B30" s="42" t="s">
        <v>11</v>
      </c>
      <c r="C30" s="33" t="s">
        <v>113</v>
      </c>
      <c r="D30" s="95">
        <v>-9</v>
      </c>
      <c r="E30" s="95">
        <v>-3</v>
      </c>
      <c r="F30" s="95" t="s">
        <v>66</v>
      </c>
      <c r="G30" s="47" t="s">
        <v>102</v>
      </c>
      <c r="H30" s="45">
        <v>354</v>
      </c>
      <c r="I30" s="167">
        <v>371</v>
      </c>
    </row>
    <row r="31" spans="1:9" s="111" customFormat="1" ht="23.1" customHeight="1" x14ac:dyDescent="0.15">
      <c r="A31" s="41">
        <v>27</v>
      </c>
      <c r="B31" s="42" t="s">
        <v>5</v>
      </c>
      <c r="C31" s="33" t="s">
        <v>118</v>
      </c>
      <c r="D31" s="95">
        <v>-10</v>
      </c>
      <c r="E31" s="95">
        <v>-4</v>
      </c>
      <c r="F31" s="95" t="s">
        <v>66</v>
      </c>
      <c r="G31" s="47" t="s">
        <v>109</v>
      </c>
      <c r="H31" s="45">
        <v>1127</v>
      </c>
      <c r="I31" s="167">
        <v>1132</v>
      </c>
    </row>
    <row r="32" spans="1:9" customFormat="1" ht="23.1" customHeight="1" x14ac:dyDescent="0.15">
      <c r="A32" s="60">
        <v>28</v>
      </c>
      <c r="B32" s="61" t="s">
        <v>6</v>
      </c>
      <c r="C32" s="62" t="s">
        <v>117</v>
      </c>
      <c r="D32" s="66">
        <v>-11</v>
      </c>
      <c r="E32" s="66">
        <v>-1</v>
      </c>
      <c r="F32" s="66" t="s">
        <v>66</v>
      </c>
      <c r="G32" s="64" t="s">
        <v>115</v>
      </c>
      <c r="H32" s="65">
        <v>7524</v>
      </c>
      <c r="I32" s="168">
        <v>8048</v>
      </c>
    </row>
    <row r="33" spans="1:9" customFormat="1" ht="23.1" customHeight="1" x14ac:dyDescent="0.15">
      <c r="A33" s="30">
        <v>29</v>
      </c>
      <c r="B33" s="24" t="s">
        <v>7</v>
      </c>
      <c r="C33" s="25" t="s">
        <v>116</v>
      </c>
      <c r="D33" s="26">
        <v>-8</v>
      </c>
      <c r="E33" s="26">
        <v>5</v>
      </c>
      <c r="F33" s="26" t="s">
        <v>66</v>
      </c>
      <c r="G33" s="27" t="s">
        <v>114</v>
      </c>
      <c r="H33" s="28">
        <v>5116</v>
      </c>
      <c r="I33" s="169">
        <v>6313</v>
      </c>
    </row>
    <row r="34" spans="1:9" customFormat="1" ht="23.25" customHeight="1" x14ac:dyDescent="0.15">
      <c r="A34" s="36">
        <v>30</v>
      </c>
      <c r="B34" s="37" t="s">
        <v>8</v>
      </c>
      <c r="C34" s="48" t="s">
        <v>119</v>
      </c>
      <c r="D34" s="38">
        <v>-4</v>
      </c>
      <c r="E34" s="38">
        <v>4</v>
      </c>
      <c r="F34" s="38" t="s">
        <v>66</v>
      </c>
      <c r="G34" s="39" t="s">
        <v>120</v>
      </c>
      <c r="H34" s="40">
        <v>1155</v>
      </c>
      <c r="I34" s="166">
        <v>1243</v>
      </c>
    </row>
    <row r="35" spans="1:9" customFormat="1" ht="23.1" customHeight="1" thickBot="1" x14ac:dyDescent="0.2">
      <c r="A35" s="49">
        <v>31</v>
      </c>
      <c r="B35" s="50" t="s">
        <v>9</v>
      </c>
      <c r="C35" s="51" t="s">
        <v>122</v>
      </c>
      <c r="D35" s="52">
        <v>-3</v>
      </c>
      <c r="E35" s="52">
        <v>8</v>
      </c>
      <c r="F35" s="52" t="s">
        <v>66</v>
      </c>
      <c r="G35" s="53" t="s">
        <v>121</v>
      </c>
      <c r="H35" s="54">
        <v>1553</v>
      </c>
      <c r="I35" s="172">
        <v>1680</v>
      </c>
    </row>
    <row r="36" spans="1:9" s="3" customFormat="1" ht="21" customHeight="1" thickBot="1" x14ac:dyDescent="0.2">
      <c r="A36" s="152" t="s">
        <v>0</v>
      </c>
      <c r="B36" s="153"/>
      <c r="C36" s="153"/>
      <c r="D36" s="153"/>
      <c r="E36" s="153"/>
      <c r="F36" s="153"/>
      <c r="G36" s="154"/>
      <c r="H36" s="173">
        <f t="shared" ref="H36:I36" si="0">SUM(H5:H35)</f>
        <v>65955</v>
      </c>
      <c r="I36" s="174">
        <f t="shared" si="0"/>
        <v>74570</v>
      </c>
    </row>
    <row r="37" spans="1:9" s="3" customFormat="1" ht="21" customHeight="1" thickBot="1" x14ac:dyDescent="0.2">
      <c r="A37" s="136" t="s">
        <v>4</v>
      </c>
      <c r="B37" s="137"/>
      <c r="C37" s="137"/>
      <c r="D37" s="137"/>
      <c r="E37" s="137"/>
      <c r="F37" s="137"/>
      <c r="G37" s="138"/>
      <c r="H37" s="175">
        <f t="shared" ref="H37:I37" si="1">H36</f>
        <v>65955</v>
      </c>
      <c r="I37" s="176">
        <f t="shared" si="1"/>
        <v>74570</v>
      </c>
    </row>
    <row r="39" spans="1:9" x14ac:dyDescent="0.15">
      <c r="I39" s="1">
        <f>74570-2188</f>
        <v>72382</v>
      </c>
    </row>
  </sheetData>
  <mergeCells count="9">
    <mergeCell ref="B2:B4"/>
    <mergeCell ref="A1:I1"/>
    <mergeCell ref="A37:G37"/>
    <mergeCell ref="D2:E3"/>
    <mergeCell ref="F2:G3"/>
    <mergeCell ref="A2:A4"/>
    <mergeCell ref="C2:C4"/>
    <mergeCell ref="A36:G36"/>
    <mergeCell ref="H3:H4"/>
  </mergeCells>
  <phoneticPr fontId="3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</sheetPr>
  <dimension ref="A1:I48"/>
  <sheetViews>
    <sheetView workbookViewId="0">
      <pane xSplit="7" ySplit="4" topLeftCell="H17" activePane="bottomRight" state="frozen"/>
      <selection activeCell="L7" sqref="L7"/>
      <selection pane="topRight" activeCell="L7" sqref="L7"/>
      <selection pane="bottomLeft" activeCell="L7" sqref="L7"/>
      <selection pane="bottomRight" activeCell="L7" sqref="L7"/>
    </sheetView>
  </sheetViews>
  <sheetFormatPr defaultColWidth="8.88671875" defaultRowHeight="13.5" x14ac:dyDescent="0.15"/>
  <cols>
    <col min="1" max="2" width="5.77734375" style="1" customWidth="1"/>
    <col min="3" max="3" width="8.77734375" style="9" customWidth="1"/>
    <col min="4" max="5" width="3.77734375" style="9" customWidth="1"/>
    <col min="6" max="6" width="5.77734375" style="9" customWidth="1"/>
    <col min="7" max="7" width="5.77734375" style="1" customWidth="1"/>
    <col min="8" max="9" width="9.77734375" style="1" customWidth="1"/>
    <col min="10" max="16384" width="8.88671875" style="1"/>
  </cols>
  <sheetData>
    <row r="1" spans="1:9" s="2" customFormat="1" ht="21" customHeight="1" x14ac:dyDescent="0.15">
      <c r="A1" s="155" t="s">
        <v>24</v>
      </c>
      <c r="B1" s="156"/>
      <c r="C1" s="156"/>
      <c r="D1" s="156"/>
      <c r="E1" s="156"/>
      <c r="F1" s="156"/>
      <c r="G1" s="156"/>
      <c r="H1" s="156"/>
      <c r="I1" s="157"/>
    </row>
    <row r="2" spans="1:9" s="2" customFormat="1" ht="22.5" customHeight="1" x14ac:dyDescent="0.15">
      <c r="A2" s="145" t="s">
        <v>2</v>
      </c>
      <c r="B2" s="148" t="s">
        <v>1</v>
      </c>
      <c r="C2" s="139" t="s">
        <v>12</v>
      </c>
      <c r="D2" s="139" t="s">
        <v>15</v>
      </c>
      <c r="E2" s="140"/>
      <c r="F2" s="139" t="s">
        <v>16</v>
      </c>
      <c r="G2" s="143"/>
      <c r="H2" s="159" t="s">
        <v>22</v>
      </c>
      <c r="I2" s="160" t="s">
        <v>21</v>
      </c>
    </row>
    <row r="3" spans="1:9" s="2" customFormat="1" ht="18.75" customHeight="1" x14ac:dyDescent="0.15">
      <c r="A3" s="146"/>
      <c r="B3" s="158"/>
      <c r="C3" s="150"/>
      <c r="D3" s="141"/>
      <c r="E3" s="142"/>
      <c r="F3" s="141"/>
      <c r="G3" s="144"/>
      <c r="H3" s="161" t="s">
        <v>23</v>
      </c>
      <c r="I3" s="162" t="s">
        <v>20</v>
      </c>
    </row>
    <row r="4" spans="1:9" s="2" customFormat="1" ht="18.75" customHeight="1" x14ac:dyDescent="0.15">
      <c r="A4" s="147"/>
      <c r="B4" s="149"/>
      <c r="C4" s="151"/>
      <c r="D4" s="14" t="s">
        <v>13</v>
      </c>
      <c r="E4" s="14" t="s">
        <v>14</v>
      </c>
      <c r="F4" s="14" t="s">
        <v>18</v>
      </c>
      <c r="G4" s="16" t="s">
        <v>17</v>
      </c>
      <c r="H4" s="163"/>
      <c r="I4" s="164" t="s">
        <v>19</v>
      </c>
    </row>
    <row r="5" spans="1:9" s="111" customFormat="1" ht="23.1" customHeight="1" x14ac:dyDescent="0.15">
      <c r="A5" s="31">
        <v>1</v>
      </c>
      <c r="B5" s="32" t="s">
        <v>40</v>
      </c>
      <c r="C5" s="46" t="s">
        <v>103</v>
      </c>
      <c r="D5" s="74">
        <v>-3</v>
      </c>
      <c r="E5" s="74">
        <v>6</v>
      </c>
      <c r="F5" s="113" t="s">
        <v>125</v>
      </c>
      <c r="G5" s="34" t="s">
        <v>126</v>
      </c>
      <c r="H5" s="35">
        <v>1088</v>
      </c>
      <c r="I5" s="177">
        <v>1186</v>
      </c>
    </row>
    <row r="6" spans="1:9" customFormat="1" ht="23.1" customHeight="1" x14ac:dyDescent="0.15">
      <c r="A6" s="41">
        <v>2</v>
      </c>
      <c r="B6" s="42" t="s">
        <v>41</v>
      </c>
      <c r="C6" s="33" t="s">
        <v>123</v>
      </c>
      <c r="D6" s="95">
        <v>-5</v>
      </c>
      <c r="E6" s="95">
        <v>1</v>
      </c>
      <c r="F6" s="95" t="s">
        <v>124</v>
      </c>
      <c r="G6" s="47" t="s">
        <v>126</v>
      </c>
      <c r="H6" s="45">
        <v>1097</v>
      </c>
      <c r="I6" s="167">
        <v>1165</v>
      </c>
    </row>
    <row r="7" spans="1:9" customFormat="1" ht="23.1" customHeight="1" x14ac:dyDescent="0.15">
      <c r="A7" s="41">
        <v>3</v>
      </c>
      <c r="B7" s="42" t="s">
        <v>5</v>
      </c>
      <c r="C7" s="33" t="s">
        <v>133</v>
      </c>
      <c r="D7" s="95">
        <v>-4</v>
      </c>
      <c r="E7" s="95">
        <v>3</v>
      </c>
      <c r="F7" s="95" t="s">
        <v>125</v>
      </c>
      <c r="G7" s="47" t="s">
        <v>130</v>
      </c>
      <c r="H7" s="45">
        <v>1862</v>
      </c>
      <c r="I7" s="167">
        <v>1968</v>
      </c>
    </row>
    <row r="8" spans="1:9" s="112" customFormat="1" ht="23.1" customHeight="1" x14ac:dyDescent="0.15">
      <c r="A8" s="60">
        <v>4</v>
      </c>
      <c r="B8" s="61" t="s">
        <v>6</v>
      </c>
      <c r="C8" s="62" t="s">
        <v>132</v>
      </c>
      <c r="D8" s="75">
        <v>-5</v>
      </c>
      <c r="E8" s="75">
        <v>6</v>
      </c>
      <c r="F8" s="75" t="s">
        <v>127</v>
      </c>
      <c r="G8" s="76" t="s">
        <v>129</v>
      </c>
      <c r="H8" s="65">
        <v>10427</v>
      </c>
      <c r="I8" s="168">
        <v>11533</v>
      </c>
    </row>
    <row r="9" spans="1:9" s="111" customFormat="1" ht="23.1" customHeight="1" x14ac:dyDescent="0.15">
      <c r="A9" s="30">
        <v>5</v>
      </c>
      <c r="B9" s="24" t="s">
        <v>7</v>
      </c>
      <c r="C9" s="25" t="s">
        <v>131</v>
      </c>
      <c r="D9" s="26">
        <v>-3</v>
      </c>
      <c r="E9" s="26">
        <v>7</v>
      </c>
      <c r="F9" s="26" t="s">
        <v>66</v>
      </c>
      <c r="G9" s="27" t="s">
        <v>128</v>
      </c>
      <c r="H9" s="28">
        <v>5197</v>
      </c>
      <c r="I9" s="169">
        <v>6453</v>
      </c>
    </row>
    <row r="10" spans="1:9" customFormat="1" ht="23.1" customHeight="1" x14ac:dyDescent="0.15">
      <c r="A10" s="36">
        <v>6</v>
      </c>
      <c r="B10" s="37" t="s">
        <v>8</v>
      </c>
      <c r="C10" s="48" t="s">
        <v>135</v>
      </c>
      <c r="D10" s="38">
        <v>-2</v>
      </c>
      <c r="E10" s="38">
        <v>9</v>
      </c>
      <c r="F10" s="38" t="s">
        <v>66</v>
      </c>
      <c r="G10" s="39" t="s">
        <v>134</v>
      </c>
      <c r="H10" s="40">
        <v>1507</v>
      </c>
      <c r="I10" s="166">
        <v>1603</v>
      </c>
    </row>
    <row r="11" spans="1:9" customFormat="1" ht="23.1" customHeight="1" x14ac:dyDescent="0.15">
      <c r="A11" s="41">
        <v>7</v>
      </c>
      <c r="B11" s="42" t="s">
        <v>9</v>
      </c>
      <c r="C11" s="33" t="s">
        <v>136</v>
      </c>
      <c r="D11" s="95">
        <v>-1</v>
      </c>
      <c r="E11" s="95">
        <v>10</v>
      </c>
      <c r="F11" s="95" t="s">
        <v>66</v>
      </c>
      <c r="G11" s="47" t="s">
        <v>137</v>
      </c>
      <c r="H11" s="45">
        <v>1700</v>
      </c>
      <c r="I11" s="167">
        <v>1784</v>
      </c>
    </row>
    <row r="12" spans="1:9" customFormat="1" ht="23.1" customHeight="1" x14ac:dyDescent="0.15">
      <c r="A12" s="41">
        <v>8</v>
      </c>
      <c r="B12" s="42" t="s">
        <v>10</v>
      </c>
      <c r="C12" s="33" t="s">
        <v>61</v>
      </c>
      <c r="D12" s="96">
        <v>-1</v>
      </c>
      <c r="E12" s="96">
        <v>8</v>
      </c>
      <c r="F12" s="96" t="s">
        <v>66</v>
      </c>
      <c r="G12" s="47" t="s">
        <v>138</v>
      </c>
      <c r="H12" s="45">
        <v>1926</v>
      </c>
      <c r="I12" s="167">
        <v>1998</v>
      </c>
    </row>
    <row r="13" spans="1:9" customFormat="1" ht="23.1" customHeight="1" x14ac:dyDescent="0.15">
      <c r="A13" s="41">
        <v>9</v>
      </c>
      <c r="B13" s="42" t="s">
        <v>11</v>
      </c>
      <c r="C13" s="33" t="s">
        <v>139</v>
      </c>
      <c r="D13" s="96">
        <v>-3</v>
      </c>
      <c r="E13" s="96">
        <v>10</v>
      </c>
      <c r="F13" s="96" t="s">
        <v>66</v>
      </c>
      <c r="G13" s="47" t="s">
        <v>140</v>
      </c>
      <c r="H13" s="45">
        <v>1908</v>
      </c>
      <c r="I13" s="167">
        <v>2028</v>
      </c>
    </row>
    <row r="14" spans="1:9" customFormat="1" ht="23.1" customHeight="1" x14ac:dyDescent="0.15">
      <c r="A14" s="41">
        <v>10</v>
      </c>
      <c r="B14" s="42" t="s">
        <v>5</v>
      </c>
      <c r="C14" s="33" t="s">
        <v>145</v>
      </c>
      <c r="D14" s="95">
        <v>1</v>
      </c>
      <c r="E14" s="95">
        <v>6</v>
      </c>
      <c r="F14" s="95" t="s">
        <v>66</v>
      </c>
      <c r="G14" s="47" t="s">
        <v>142</v>
      </c>
      <c r="H14" s="45">
        <v>1950</v>
      </c>
      <c r="I14" s="167">
        <v>2026</v>
      </c>
    </row>
    <row r="15" spans="1:9" s="112" customFormat="1" ht="23.1" customHeight="1" x14ac:dyDescent="0.15">
      <c r="A15" s="60">
        <v>11</v>
      </c>
      <c r="B15" s="61" t="s">
        <v>6</v>
      </c>
      <c r="C15" s="62" t="s">
        <v>144</v>
      </c>
      <c r="D15" s="66">
        <v>-1</v>
      </c>
      <c r="E15" s="66">
        <v>9</v>
      </c>
      <c r="F15" s="66" t="s">
        <v>66</v>
      </c>
      <c r="G15" s="64" t="s">
        <v>142</v>
      </c>
      <c r="H15" s="65">
        <v>10565</v>
      </c>
      <c r="I15" s="168">
        <v>11635</v>
      </c>
    </row>
    <row r="16" spans="1:9" s="111" customFormat="1" ht="23.1" customHeight="1" x14ac:dyDescent="0.15">
      <c r="A16" s="30">
        <v>12</v>
      </c>
      <c r="B16" s="24" t="s">
        <v>7</v>
      </c>
      <c r="C16" s="25" t="s">
        <v>143</v>
      </c>
      <c r="D16" s="26">
        <v>-1</v>
      </c>
      <c r="E16" s="26">
        <v>8</v>
      </c>
      <c r="F16" s="26" t="s">
        <v>66</v>
      </c>
      <c r="G16" s="27" t="s">
        <v>141</v>
      </c>
      <c r="H16" s="28">
        <v>5864</v>
      </c>
      <c r="I16" s="169">
        <v>6843</v>
      </c>
    </row>
    <row r="17" spans="1:9" customFormat="1" ht="23.1" customHeight="1" x14ac:dyDescent="0.15">
      <c r="A17" s="36">
        <v>13</v>
      </c>
      <c r="B17" s="37" t="s">
        <v>8</v>
      </c>
      <c r="C17" s="48" t="s">
        <v>147</v>
      </c>
      <c r="D17" s="38">
        <v>3</v>
      </c>
      <c r="E17" s="38">
        <v>8</v>
      </c>
      <c r="F17" s="38" t="s">
        <v>66</v>
      </c>
      <c r="G17" s="39" t="s">
        <v>146</v>
      </c>
      <c r="H17" s="40">
        <v>1943</v>
      </c>
      <c r="I17" s="166">
        <v>2060</v>
      </c>
    </row>
    <row r="18" spans="1:9" customFormat="1" ht="23.1" customHeight="1" x14ac:dyDescent="0.15">
      <c r="A18" s="41">
        <v>14</v>
      </c>
      <c r="B18" s="42" t="s">
        <v>9</v>
      </c>
      <c r="C18" s="33" t="s">
        <v>149</v>
      </c>
      <c r="D18" s="95">
        <v>-2</v>
      </c>
      <c r="E18" s="95">
        <v>7</v>
      </c>
      <c r="F18" s="95" t="s">
        <v>66</v>
      </c>
      <c r="G18" s="47" t="s">
        <v>148</v>
      </c>
      <c r="H18" s="45">
        <v>1865</v>
      </c>
      <c r="I18" s="167">
        <v>1981</v>
      </c>
    </row>
    <row r="19" spans="1:9" customFormat="1" ht="23.1" customHeight="1" x14ac:dyDescent="0.15">
      <c r="A19" s="41">
        <v>15</v>
      </c>
      <c r="B19" s="42" t="s">
        <v>10</v>
      </c>
      <c r="C19" s="33" t="s">
        <v>150</v>
      </c>
      <c r="D19" s="95">
        <v>-1</v>
      </c>
      <c r="E19" s="95">
        <v>9</v>
      </c>
      <c r="F19" s="95" t="s">
        <v>66</v>
      </c>
      <c r="G19" s="47" t="s">
        <v>151</v>
      </c>
      <c r="H19" s="45">
        <v>1753</v>
      </c>
      <c r="I19" s="167">
        <v>1893</v>
      </c>
    </row>
    <row r="20" spans="1:9" customFormat="1" ht="23.1" customHeight="1" x14ac:dyDescent="0.15">
      <c r="A20" s="41">
        <v>16</v>
      </c>
      <c r="B20" s="42" t="s">
        <v>11</v>
      </c>
      <c r="C20" s="33" t="s">
        <v>153</v>
      </c>
      <c r="D20" s="95">
        <v>-1</v>
      </c>
      <c r="E20" s="95">
        <v>5</v>
      </c>
      <c r="F20" s="95" t="s">
        <v>66</v>
      </c>
      <c r="G20" s="47" t="s">
        <v>152</v>
      </c>
      <c r="H20" s="45">
        <v>2064</v>
      </c>
      <c r="I20" s="167">
        <v>2132</v>
      </c>
    </row>
    <row r="21" spans="1:9" customFormat="1" ht="23.1" customHeight="1" x14ac:dyDescent="0.15">
      <c r="A21" s="41">
        <v>17</v>
      </c>
      <c r="B21" s="42" t="s">
        <v>5</v>
      </c>
      <c r="C21" s="33" t="s">
        <v>72</v>
      </c>
      <c r="D21" s="95">
        <v>-1</v>
      </c>
      <c r="E21" s="95">
        <v>10</v>
      </c>
      <c r="F21" s="95" t="s">
        <v>66</v>
      </c>
      <c r="G21" s="47" t="s">
        <v>155</v>
      </c>
      <c r="H21" s="45">
        <v>3694</v>
      </c>
      <c r="I21" s="167">
        <v>3922</v>
      </c>
    </row>
    <row r="22" spans="1:9" s="112" customFormat="1" ht="23.1" customHeight="1" x14ac:dyDescent="0.15">
      <c r="A22" s="60">
        <v>18</v>
      </c>
      <c r="B22" s="61" t="s">
        <v>6</v>
      </c>
      <c r="C22" s="62" t="s">
        <v>154</v>
      </c>
      <c r="D22" s="66">
        <v>3</v>
      </c>
      <c r="E22" s="66">
        <v>8</v>
      </c>
      <c r="F22" s="66" t="s">
        <v>66</v>
      </c>
      <c r="G22" s="64" t="s">
        <v>155</v>
      </c>
      <c r="H22" s="65">
        <v>6820</v>
      </c>
      <c r="I22" s="168">
        <v>7532</v>
      </c>
    </row>
    <row r="23" spans="1:9" s="111" customFormat="1" ht="23.1" customHeight="1" x14ac:dyDescent="0.15">
      <c r="A23" s="30">
        <v>19</v>
      </c>
      <c r="B23" s="24" t="s">
        <v>7</v>
      </c>
      <c r="C23" s="25" t="s">
        <v>156</v>
      </c>
      <c r="D23" s="26">
        <v>0</v>
      </c>
      <c r="E23" s="26">
        <v>6</v>
      </c>
      <c r="F23" s="26" t="s">
        <v>66</v>
      </c>
      <c r="G23" s="27" t="s">
        <v>157</v>
      </c>
      <c r="H23" s="28">
        <v>4009</v>
      </c>
      <c r="I23" s="169">
        <v>4812</v>
      </c>
    </row>
    <row r="24" spans="1:9" customFormat="1" ht="23.1" customHeight="1" x14ac:dyDescent="0.15">
      <c r="A24" s="36">
        <v>20</v>
      </c>
      <c r="B24" s="37" t="s">
        <v>8</v>
      </c>
      <c r="C24" s="48" t="s">
        <v>158</v>
      </c>
      <c r="D24" s="38">
        <v>-3</v>
      </c>
      <c r="E24" s="38">
        <v>2</v>
      </c>
      <c r="F24" s="38" t="s">
        <v>66</v>
      </c>
      <c r="G24" s="39" t="s">
        <v>159</v>
      </c>
      <c r="H24" s="40">
        <v>2231</v>
      </c>
      <c r="I24" s="166">
        <v>2328</v>
      </c>
    </row>
    <row r="25" spans="1:9" customFormat="1" ht="23.1" customHeight="1" x14ac:dyDescent="0.15">
      <c r="A25" s="41">
        <v>21</v>
      </c>
      <c r="B25" s="42" t="s">
        <v>9</v>
      </c>
      <c r="C25" s="33" t="s">
        <v>160</v>
      </c>
      <c r="D25" s="95">
        <v>-5</v>
      </c>
      <c r="E25" s="95">
        <v>5</v>
      </c>
      <c r="F25" s="95" t="s">
        <v>66</v>
      </c>
      <c r="G25" s="47" t="s">
        <v>161</v>
      </c>
      <c r="H25" s="45">
        <v>1657</v>
      </c>
      <c r="I25" s="167">
        <v>1751</v>
      </c>
    </row>
    <row r="26" spans="1:9" customFormat="1" ht="23.1" customHeight="1" x14ac:dyDescent="0.15">
      <c r="A26" s="41">
        <v>22</v>
      </c>
      <c r="B26" s="42" t="s">
        <v>10</v>
      </c>
      <c r="C26" s="33" t="s">
        <v>165</v>
      </c>
      <c r="D26" s="95">
        <v>-4</v>
      </c>
      <c r="E26" s="95">
        <v>8</v>
      </c>
      <c r="F26" s="95" t="s">
        <v>66</v>
      </c>
      <c r="G26" s="47" t="s">
        <v>162</v>
      </c>
      <c r="H26" s="45">
        <v>2099</v>
      </c>
      <c r="I26" s="167">
        <v>2289</v>
      </c>
    </row>
    <row r="27" spans="1:9" customFormat="1" ht="23.1" customHeight="1" x14ac:dyDescent="0.15">
      <c r="A27" s="41">
        <v>23</v>
      </c>
      <c r="B27" s="42" t="s">
        <v>11</v>
      </c>
      <c r="C27" s="33" t="s">
        <v>164</v>
      </c>
      <c r="D27" s="95">
        <v>-2</v>
      </c>
      <c r="E27" s="95">
        <v>9</v>
      </c>
      <c r="F27" s="95" t="s">
        <v>66</v>
      </c>
      <c r="G27" s="47" t="s">
        <v>163</v>
      </c>
      <c r="H27" s="45">
        <v>3167</v>
      </c>
      <c r="I27" s="167">
        <v>3368</v>
      </c>
    </row>
    <row r="28" spans="1:9" s="111" customFormat="1" ht="23.1" customHeight="1" x14ac:dyDescent="0.15">
      <c r="A28" s="41">
        <v>24</v>
      </c>
      <c r="B28" s="42" t="s">
        <v>5</v>
      </c>
      <c r="C28" s="33" t="s">
        <v>170</v>
      </c>
      <c r="D28" s="95">
        <v>0</v>
      </c>
      <c r="E28" s="95">
        <v>9</v>
      </c>
      <c r="F28" s="95" t="s">
        <v>66</v>
      </c>
      <c r="G28" s="47" t="s">
        <v>166</v>
      </c>
      <c r="H28" s="45">
        <v>4398</v>
      </c>
      <c r="I28" s="167">
        <v>4659</v>
      </c>
    </row>
    <row r="29" spans="1:9" s="111" customFormat="1" ht="23.1" customHeight="1" x14ac:dyDescent="0.15">
      <c r="A29" s="60">
        <v>25</v>
      </c>
      <c r="B29" s="61" t="s">
        <v>6</v>
      </c>
      <c r="C29" s="62" t="s">
        <v>169</v>
      </c>
      <c r="D29" s="66">
        <v>-3</v>
      </c>
      <c r="E29" s="66">
        <v>6</v>
      </c>
      <c r="F29" s="66" t="s">
        <v>66</v>
      </c>
      <c r="G29" s="64" t="s">
        <v>167</v>
      </c>
      <c r="H29" s="65">
        <v>9546</v>
      </c>
      <c r="I29" s="168">
        <v>10402</v>
      </c>
    </row>
    <row r="30" spans="1:9" s="111" customFormat="1" ht="23.1" customHeight="1" x14ac:dyDescent="0.15">
      <c r="A30" s="30">
        <v>26</v>
      </c>
      <c r="B30" s="24" t="s">
        <v>7</v>
      </c>
      <c r="C30" s="25" t="s">
        <v>168</v>
      </c>
      <c r="D30" s="26">
        <v>-3</v>
      </c>
      <c r="E30" s="26">
        <v>9</v>
      </c>
      <c r="F30" s="26" t="s">
        <v>66</v>
      </c>
      <c r="G30" s="27" t="s">
        <v>166</v>
      </c>
      <c r="H30" s="28">
        <v>7749</v>
      </c>
      <c r="I30" s="169">
        <v>9225</v>
      </c>
    </row>
    <row r="31" spans="1:9" s="111" customFormat="1" ht="23.1" customHeight="1" x14ac:dyDescent="0.15">
      <c r="A31" s="36">
        <v>27</v>
      </c>
      <c r="B31" s="37" t="s">
        <v>8</v>
      </c>
      <c r="C31" s="48" t="s">
        <v>173</v>
      </c>
      <c r="D31" s="38">
        <v>-2</v>
      </c>
      <c r="E31" s="38">
        <v>12</v>
      </c>
      <c r="F31" s="38" t="s">
        <v>66</v>
      </c>
      <c r="G31" s="39" t="s">
        <v>174</v>
      </c>
      <c r="H31" s="40">
        <v>5650</v>
      </c>
      <c r="I31" s="166">
        <v>6045</v>
      </c>
    </row>
    <row r="32" spans="1:9" customFormat="1" ht="23.1" customHeight="1" x14ac:dyDescent="0.15">
      <c r="A32" s="41">
        <v>28</v>
      </c>
      <c r="B32" s="42" t="s">
        <v>9</v>
      </c>
      <c r="C32" s="33" t="s">
        <v>178</v>
      </c>
      <c r="D32" s="95">
        <v>-1</v>
      </c>
      <c r="E32" s="95">
        <v>9</v>
      </c>
      <c r="F32" s="95" t="s">
        <v>66</v>
      </c>
      <c r="G32" s="47" t="s">
        <v>175</v>
      </c>
      <c r="H32" s="45">
        <v>5617</v>
      </c>
      <c r="I32" s="167">
        <v>6027</v>
      </c>
    </row>
    <row r="33" spans="1:9" customFormat="1" ht="23.1" customHeight="1" x14ac:dyDescent="0.15">
      <c r="A33" s="41"/>
      <c r="B33" s="42"/>
      <c r="C33" s="33"/>
      <c r="D33" s="95"/>
      <c r="E33" s="95"/>
      <c r="F33" s="95"/>
      <c r="G33" s="47"/>
      <c r="H33" s="45">
        <v>0</v>
      </c>
      <c r="I33" s="167">
        <v>0</v>
      </c>
    </row>
    <row r="34" spans="1:9" customFormat="1" ht="23.25" customHeight="1" x14ac:dyDescent="0.15">
      <c r="A34" s="41"/>
      <c r="B34" s="42"/>
      <c r="C34" s="33"/>
      <c r="D34" s="95"/>
      <c r="E34" s="95"/>
      <c r="F34" s="95"/>
      <c r="G34" s="47"/>
      <c r="H34" s="45">
        <v>0</v>
      </c>
      <c r="I34" s="167">
        <v>0</v>
      </c>
    </row>
    <row r="35" spans="1:9" customFormat="1" ht="23.1" customHeight="1" thickBot="1" x14ac:dyDescent="0.2">
      <c r="A35" s="49"/>
      <c r="B35" s="50"/>
      <c r="C35" s="51"/>
      <c r="D35" s="52"/>
      <c r="E35" s="52"/>
      <c r="F35" s="52"/>
      <c r="G35" s="53"/>
      <c r="H35" s="54">
        <v>0</v>
      </c>
      <c r="I35" s="172">
        <v>0</v>
      </c>
    </row>
    <row r="36" spans="1:9" s="3" customFormat="1" ht="21" customHeight="1" thickBot="1" x14ac:dyDescent="0.2">
      <c r="A36" s="152" t="s">
        <v>0</v>
      </c>
      <c r="B36" s="153"/>
      <c r="C36" s="153"/>
      <c r="D36" s="153"/>
      <c r="E36" s="153"/>
      <c r="F36" s="153"/>
      <c r="G36" s="154"/>
      <c r="H36" s="173">
        <f t="shared" ref="H36:I36" si="0">SUM(H5:H35)</f>
        <v>109353</v>
      </c>
      <c r="I36" s="174">
        <f t="shared" si="0"/>
        <v>120648</v>
      </c>
    </row>
    <row r="37" spans="1:9" s="3" customFormat="1" ht="21" customHeight="1" thickBot="1" x14ac:dyDescent="0.2">
      <c r="A37" s="136" t="s">
        <v>4</v>
      </c>
      <c r="B37" s="137"/>
      <c r="C37" s="137"/>
      <c r="D37" s="137"/>
      <c r="E37" s="137"/>
      <c r="F37" s="137"/>
      <c r="G37" s="138"/>
      <c r="H37" s="175">
        <f>H36+'1월'!H37</f>
        <v>175308</v>
      </c>
      <c r="I37" s="176">
        <f>I36+'1월'!I37</f>
        <v>195218</v>
      </c>
    </row>
    <row r="39" spans="1:9" x14ac:dyDescent="0.15">
      <c r="H39" s="1">
        <f>31272/17416</f>
        <v>1.795590261828204</v>
      </c>
    </row>
    <row r="42" spans="1:9" x14ac:dyDescent="0.15">
      <c r="H42" s="91"/>
    </row>
    <row r="45" spans="1:9" x14ac:dyDescent="0.15">
      <c r="H45" s="91"/>
    </row>
    <row r="48" spans="1:9" x14ac:dyDescent="0.15">
      <c r="H48" s="91"/>
    </row>
  </sheetData>
  <mergeCells count="9">
    <mergeCell ref="A36:G36"/>
    <mergeCell ref="A37:G37"/>
    <mergeCell ref="A2:A4"/>
    <mergeCell ref="B2:B4"/>
    <mergeCell ref="C2:C4"/>
    <mergeCell ref="D2:E3"/>
    <mergeCell ref="F2:G3"/>
    <mergeCell ref="H3:H4"/>
    <mergeCell ref="A1:I1"/>
  </mergeCells>
  <phoneticPr fontId="3" type="noConversion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FFFF00"/>
  </sheetPr>
  <dimension ref="A1:I40"/>
  <sheetViews>
    <sheetView workbookViewId="0">
      <pane xSplit="7" ySplit="4" topLeftCell="H17" activePane="bottomRight" state="frozen"/>
      <selection activeCell="L7" sqref="L7"/>
      <selection pane="topRight" activeCell="L7" sqref="L7"/>
      <selection pane="bottomLeft" activeCell="L7" sqref="L7"/>
      <selection pane="bottomRight" activeCell="L7" sqref="L7"/>
    </sheetView>
  </sheetViews>
  <sheetFormatPr defaultColWidth="8.88671875" defaultRowHeight="13.5" x14ac:dyDescent="0.15"/>
  <cols>
    <col min="1" max="2" width="5.77734375" style="1" customWidth="1"/>
    <col min="3" max="3" width="8.77734375" style="9" customWidth="1"/>
    <col min="4" max="5" width="3.77734375" style="9" customWidth="1"/>
    <col min="6" max="6" width="5.77734375" style="9" customWidth="1"/>
    <col min="7" max="7" width="5.77734375" style="1" customWidth="1"/>
    <col min="8" max="9" width="9.77734375" style="1" customWidth="1"/>
    <col min="10" max="16384" width="8.88671875" style="1"/>
  </cols>
  <sheetData>
    <row r="1" spans="1:9" s="2" customFormat="1" ht="21" customHeight="1" x14ac:dyDescent="0.15">
      <c r="A1" s="155" t="s">
        <v>25</v>
      </c>
      <c r="B1" s="156"/>
      <c r="C1" s="156"/>
      <c r="D1" s="156"/>
      <c r="E1" s="156"/>
      <c r="F1" s="156"/>
      <c r="G1" s="156"/>
      <c r="H1" s="156"/>
      <c r="I1" s="157"/>
    </row>
    <row r="2" spans="1:9" s="2" customFormat="1" ht="22.5" customHeight="1" x14ac:dyDescent="0.15">
      <c r="A2" s="145" t="s">
        <v>2</v>
      </c>
      <c r="B2" s="148" t="s">
        <v>1</v>
      </c>
      <c r="C2" s="139" t="s">
        <v>12</v>
      </c>
      <c r="D2" s="139" t="s">
        <v>15</v>
      </c>
      <c r="E2" s="140"/>
      <c r="F2" s="139" t="s">
        <v>16</v>
      </c>
      <c r="G2" s="143"/>
      <c r="H2" s="159" t="s">
        <v>22</v>
      </c>
      <c r="I2" s="160" t="s">
        <v>21</v>
      </c>
    </row>
    <row r="3" spans="1:9" s="2" customFormat="1" ht="18.75" customHeight="1" x14ac:dyDescent="0.15">
      <c r="A3" s="146"/>
      <c r="B3" s="158"/>
      <c r="C3" s="150"/>
      <c r="D3" s="141"/>
      <c r="E3" s="142"/>
      <c r="F3" s="141"/>
      <c r="G3" s="144"/>
      <c r="H3" s="161" t="s">
        <v>23</v>
      </c>
      <c r="I3" s="162" t="s">
        <v>20</v>
      </c>
    </row>
    <row r="4" spans="1:9" s="2" customFormat="1" ht="18.75" customHeight="1" x14ac:dyDescent="0.15">
      <c r="A4" s="147"/>
      <c r="B4" s="149"/>
      <c r="C4" s="151"/>
      <c r="D4" s="14" t="s">
        <v>13</v>
      </c>
      <c r="E4" s="14" t="s">
        <v>14</v>
      </c>
      <c r="F4" s="14" t="s">
        <v>18</v>
      </c>
      <c r="G4" s="16" t="s">
        <v>17</v>
      </c>
      <c r="H4" s="163"/>
      <c r="I4" s="164" t="s">
        <v>19</v>
      </c>
    </row>
    <row r="5" spans="1:9" s="111" customFormat="1" ht="23.1" customHeight="1" x14ac:dyDescent="0.15">
      <c r="A5" s="7">
        <v>1</v>
      </c>
      <c r="B5" s="8" t="s">
        <v>42</v>
      </c>
      <c r="C5" s="90" t="s">
        <v>177</v>
      </c>
      <c r="D5" s="17">
        <v>3</v>
      </c>
      <c r="E5" s="17">
        <v>9</v>
      </c>
      <c r="F5" s="114" t="s">
        <v>171</v>
      </c>
      <c r="G5" s="18" t="s">
        <v>176</v>
      </c>
      <c r="H5" s="12">
        <v>5080</v>
      </c>
      <c r="I5" s="181">
        <v>6223</v>
      </c>
    </row>
    <row r="6" spans="1:9" customFormat="1" ht="23.1" customHeight="1" x14ac:dyDescent="0.15">
      <c r="A6" s="41">
        <v>2</v>
      </c>
      <c r="B6" s="42" t="s">
        <v>43</v>
      </c>
      <c r="C6" s="33" t="s">
        <v>179</v>
      </c>
      <c r="D6" s="95">
        <v>-2</v>
      </c>
      <c r="E6" s="95">
        <v>7</v>
      </c>
      <c r="F6" s="95" t="s">
        <v>172</v>
      </c>
      <c r="G6" s="47" t="s">
        <v>180</v>
      </c>
      <c r="H6" s="45">
        <v>460</v>
      </c>
      <c r="I6" s="167">
        <v>547</v>
      </c>
    </row>
    <row r="7" spans="1:9" customFormat="1" ht="23.1" customHeight="1" x14ac:dyDescent="0.15">
      <c r="A7" s="41">
        <v>3</v>
      </c>
      <c r="B7" s="42" t="s">
        <v>5</v>
      </c>
      <c r="C7" s="33" t="s">
        <v>184</v>
      </c>
      <c r="D7" s="95">
        <v>-2</v>
      </c>
      <c r="E7" s="95">
        <v>10</v>
      </c>
      <c r="F7" s="95" t="s">
        <v>66</v>
      </c>
      <c r="G7" s="47" t="s">
        <v>181</v>
      </c>
      <c r="H7" s="45">
        <v>480</v>
      </c>
      <c r="I7" s="167">
        <v>545</v>
      </c>
    </row>
    <row r="8" spans="1:9" s="112" customFormat="1" ht="23.1" customHeight="1" x14ac:dyDescent="0.15">
      <c r="A8" s="60">
        <v>4</v>
      </c>
      <c r="B8" s="61" t="s">
        <v>6</v>
      </c>
      <c r="C8" s="62" t="s">
        <v>183</v>
      </c>
      <c r="D8" s="75">
        <v>4</v>
      </c>
      <c r="E8" s="75">
        <v>14</v>
      </c>
      <c r="F8" s="75" t="s">
        <v>66</v>
      </c>
      <c r="G8" s="76" t="s">
        <v>182</v>
      </c>
      <c r="H8" s="65">
        <v>4802</v>
      </c>
      <c r="I8" s="168">
        <v>6063</v>
      </c>
    </row>
    <row r="9" spans="1:9" s="111" customFormat="1" ht="23.1" customHeight="1" x14ac:dyDescent="0.15">
      <c r="A9" s="30">
        <v>5</v>
      </c>
      <c r="B9" s="24" t="s">
        <v>7</v>
      </c>
      <c r="C9" s="25" t="s">
        <v>185</v>
      </c>
      <c r="D9" s="26">
        <v>3</v>
      </c>
      <c r="E9" s="26">
        <v>15</v>
      </c>
      <c r="F9" s="26" t="s">
        <v>66</v>
      </c>
      <c r="G9" s="27" t="s">
        <v>181</v>
      </c>
      <c r="H9" s="28">
        <v>4393</v>
      </c>
      <c r="I9" s="169">
        <v>5821</v>
      </c>
    </row>
    <row r="10" spans="1:9" customFormat="1" ht="23.1" customHeight="1" x14ac:dyDescent="0.15">
      <c r="A10" s="36">
        <v>6</v>
      </c>
      <c r="B10" s="37" t="s">
        <v>8</v>
      </c>
      <c r="C10" s="48" t="s">
        <v>186</v>
      </c>
      <c r="D10" s="38">
        <v>2</v>
      </c>
      <c r="E10" s="38">
        <v>17</v>
      </c>
      <c r="F10" s="38" t="s">
        <v>66</v>
      </c>
      <c r="G10" s="39" t="s">
        <v>187</v>
      </c>
      <c r="H10" s="40">
        <v>405</v>
      </c>
      <c r="I10" s="166">
        <v>461</v>
      </c>
    </row>
    <row r="11" spans="1:9" customFormat="1" ht="23.1" customHeight="1" x14ac:dyDescent="0.15">
      <c r="A11" s="41">
        <v>7</v>
      </c>
      <c r="B11" s="42" t="s">
        <v>9</v>
      </c>
      <c r="C11" s="33" t="s">
        <v>61</v>
      </c>
      <c r="D11" s="95">
        <v>6</v>
      </c>
      <c r="E11" s="95">
        <v>19</v>
      </c>
      <c r="F11" s="95" t="s">
        <v>66</v>
      </c>
      <c r="G11" s="47" t="s">
        <v>188</v>
      </c>
      <c r="H11" s="45">
        <v>380</v>
      </c>
      <c r="I11" s="167">
        <v>425</v>
      </c>
    </row>
    <row r="12" spans="1:9" customFormat="1" ht="23.1" customHeight="1" x14ac:dyDescent="0.15">
      <c r="A12" s="41">
        <v>8</v>
      </c>
      <c r="B12" s="42" t="s">
        <v>10</v>
      </c>
      <c r="C12" s="33" t="s">
        <v>189</v>
      </c>
      <c r="D12" s="96">
        <v>7</v>
      </c>
      <c r="E12" s="96">
        <v>18</v>
      </c>
      <c r="F12" s="96" t="s">
        <v>66</v>
      </c>
      <c r="G12" s="47" t="s">
        <v>190</v>
      </c>
      <c r="H12" s="45">
        <v>245</v>
      </c>
      <c r="I12" s="167">
        <v>292</v>
      </c>
    </row>
    <row r="13" spans="1:9" customFormat="1" ht="23.1" customHeight="1" x14ac:dyDescent="0.15">
      <c r="A13" s="41">
        <v>9</v>
      </c>
      <c r="B13" s="42" t="s">
        <v>11</v>
      </c>
      <c r="C13" s="33" t="s">
        <v>191</v>
      </c>
      <c r="D13" s="96">
        <v>7</v>
      </c>
      <c r="E13" s="96">
        <v>13</v>
      </c>
      <c r="F13" s="96" t="s">
        <v>66</v>
      </c>
      <c r="G13" s="47" t="s">
        <v>192</v>
      </c>
      <c r="H13" s="45">
        <v>214</v>
      </c>
      <c r="I13" s="167">
        <v>250</v>
      </c>
    </row>
    <row r="14" spans="1:9" customFormat="1" ht="23.1" customHeight="1" x14ac:dyDescent="0.15">
      <c r="A14" s="41">
        <v>10</v>
      </c>
      <c r="B14" s="42" t="s">
        <v>5</v>
      </c>
      <c r="C14" s="33" t="s">
        <v>197</v>
      </c>
      <c r="D14" s="95">
        <v>6</v>
      </c>
      <c r="E14" s="95">
        <v>22</v>
      </c>
      <c r="F14" s="95" t="s">
        <v>66</v>
      </c>
      <c r="G14" s="47" t="s">
        <v>195</v>
      </c>
      <c r="H14" s="45">
        <v>940</v>
      </c>
      <c r="I14" s="167">
        <v>1043</v>
      </c>
    </row>
    <row r="15" spans="1:9" s="112" customFormat="1" ht="23.1" customHeight="1" x14ac:dyDescent="0.15">
      <c r="A15" s="60">
        <v>11</v>
      </c>
      <c r="B15" s="61" t="s">
        <v>6</v>
      </c>
      <c r="C15" s="62" t="s">
        <v>196</v>
      </c>
      <c r="D15" s="66">
        <v>10</v>
      </c>
      <c r="E15" s="66">
        <v>23</v>
      </c>
      <c r="F15" s="66" t="s">
        <v>66</v>
      </c>
      <c r="G15" s="64" t="s">
        <v>194</v>
      </c>
      <c r="H15" s="65">
        <v>8912</v>
      </c>
      <c r="I15" s="168">
        <v>10580</v>
      </c>
    </row>
    <row r="16" spans="1:9" s="111" customFormat="1" ht="23.1" customHeight="1" x14ac:dyDescent="0.15">
      <c r="A16" s="30">
        <v>12</v>
      </c>
      <c r="B16" s="24" t="s">
        <v>7</v>
      </c>
      <c r="C16" s="25" t="s">
        <v>198</v>
      </c>
      <c r="D16" s="26">
        <v>1</v>
      </c>
      <c r="E16" s="26">
        <v>13</v>
      </c>
      <c r="F16" s="26" t="s">
        <v>66</v>
      </c>
      <c r="G16" s="27" t="s">
        <v>193</v>
      </c>
      <c r="H16" s="28">
        <v>207</v>
      </c>
      <c r="I16" s="169">
        <v>317</v>
      </c>
    </row>
    <row r="17" spans="1:9" customFormat="1" ht="23.1" customHeight="1" x14ac:dyDescent="0.15">
      <c r="A17" s="36">
        <v>13</v>
      </c>
      <c r="B17" s="37" t="s">
        <v>8</v>
      </c>
      <c r="C17" s="48" t="s">
        <v>199</v>
      </c>
      <c r="D17" s="38">
        <v>-2</v>
      </c>
      <c r="E17" s="38">
        <v>8</v>
      </c>
      <c r="F17" s="38" t="s">
        <v>66</v>
      </c>
      <c r="G17" s="39" t="s">
        <v>200</v>
      </c>
      <c r="H17" s="40">
        <v>351</v>
      </c>
      <c r="I17" s="166">
        <v>386</v>
      </c>
    </row>
    <row r="18" spans="1:9" customFormat="1" ht="23.1" customHeight="1" x14ac:dyDescent="0.15">
      <c r="A18" s="41">
        <v>14</v>
      </c>
      <c r="B18" s="42" t="s">
        <v>9</v>
      </c>
      <c r="C18" s="33" t="s">
        <v>202</v>
      </c>
      <c r="D18" s="95">
        <v>3</v>
      </c>
      <c r="E18" s="95">
        <v>15</v>
      </c>
      <c r="F18" s="95" t="s">
        <v>66</v>
      </c>
      <c r="G18" s="47" t="s">
        <v>201</v>
      </c>
      <c r="H18" s="45">
        <v>464</v>
      </c>
      <c r="I18" s="167">
        <v>515</v>
      </c>
    </row>
    <row r="19" spans="1:9" customFormat="1" ht="23.1" customHeight="1" x14ac:dyDescent="0.15">
      <c r="A19" s="41">
        <v>15</v>
      </c>
      <c r="B19" s="42" t="s">
        <v>10</v>
      </c>
      <c r="C19" s="33" t="s">
        <v>203</v>
      </c>
      <c r="D19" s="95">
        <v>4</v>
      </c>
      <c r="E19" s="95">
        <v>14</v>
      </c>
      <c r="F19" s="95" t="s">
        <v>66</v>
      </c>
      <c r="G19" s="47" t="s">
        <v>204</v>
      </c>
      <c r="H19" s="45">
        <v>412</v>
      </c>
      <c r="I19" s="167">
        <v>445</v>
      </c>
    </row>
    <row r="20" spans="1:9" customFormat="1" ht="23.1" customHeight="1" x14ac:dyDescent="0.15">
      <c r="A20" s="41">
        <v>16</v>
      </c>
      <c r="B20" s="42" t="s">
        <v>11</v>
      </c>
      <c r="C20" s="33" t="s">
        <v>205</v>
      </c>
      <c r="D20" s="95">
        <v>0</v>
      </c>
      <c r="E20" s="95">
        <v>9</v>
      </c>
      <c r="F20" s="95" t="s">
        <v>66</v>
      </c>
      <c r="G20" s="47" t="s">
        <v>206</v>
      </c>
      <c r="H20" s="45">
        <v>473</v>
      </c>
      <c r="I20" s="167">
        <v>524</v>
      </c>
    </row>
    <row r="21" spans="1:9" customFormat="1" ht="23.1" customHeight="1" x14ac:dyDescent="0.15">
      <c r="A21" s="41">
        <v>17</v>
      </c>
      <c r="B21" s="42" t="s">
        <v>5</v>
      </c>
      <c r="C21" s="33" t="s">
        <v>211</v>
      </c>
      <c r="D21" s="95">
        <v>1</v>
      </c>
      <c r="E21" s="95">
        <v>13</v>
      </c>
      <c r="F21" s="95" t="s">
        <v>66</v>
      </c>
      <c r="G21" s="47" t="s">
        <v>209</v>
      </c>
      <c r="H21" s="45">
        <v>820</v>
      </c>
      <c r="I21" s="167">
        <v>935</v>
      </c>
    </row>
    <row r="22" spans="1:9" s="112" customFormat="1" ht="23.1" customHeight="1" x14ac:dyDescent="0.15">
      <c r="A22" s="60">
        <v>18</v>
      </c>
      <c r="B22" s="61" t="s">
        <v>6</v>
      </c>
      <c r="C22" s="62" t="s">
        <v>210</v>
      </c>
      <c r="D22" s="66">
        <v>3</v>
      </c>
      <c r="E22" s="66">
        <v>14</v>
      </c>
      <c r="F22" s="66" t="s">
        <v>66</v>
      </c>
      <c r="G22" s="64" t="s">
        <v>207</v>
      </c>
      <c r="H22" s="65">
        <v>8781</v>
      </c>
      <c r="I22" s="168">
        <v>10402</v>
      </c>
    </row>
    <row r="23" spans="1:9" s="111" customFormat="1" ht="23.1" customHeight="1" x14ac:dyDescent="0.15">
      <c r="A23" s="30">
        <v>19</v>
      </c>
      <c r="B23" s="24" t="s">
        <v>7</v>
      </c>
      <c r="C23" s="25" t="s">
        <v>61</v>
      </c>
      <c r="D23" s="26">
        <v>2</v>
      </c>
      <c r="E23" s="26">
        <v>15</v>
      </c>
      <c r="F23" s="26" t="s">
        <v>66</v>
      </c>
      <c r="G23" s="27" t="s">
        <v>208</v>
      </c>
      <c r="H23" s="28">
        <v>6701</v>
      </c>
      <c r="I23" s="169">
        <v>8255</v>
      </c>
    </row>
    <row r="24" spans="1:9" customFormat="1" ht="23.1" customHeight="1" x14ac:dyDescent="0.15">
      <c r="A24" s="36">
        <v>20</v>
      </c>
      <c r="B24" s="37" t="s">
        <v>8</v>
      </c>
      <c r="C24" s="48" t="s">
        <v>103</v>
      </c>
      <c r="D24" s="38">
        <v>3</v>
      </c>
      <c r="E24" s="38">
        <v>17</v>
      </c>
      <c r="F24" s="38" t="s">
        <v>66</v>
      </c>
      <c r="G24" s="39" t="s">
        <v>212</v>
      </c>
      <c r="H24" s="40">
        <v>641</v>
      </c>
      <c r="I24" s="166">
        <v>677</v>
      </c>
    </row>
    <row r="25" spans="1:9" customFormat="1" ht="23.1" customHeight="1" x14ac:dyDescent="0.15">
      <c r="A25" s="41">
        <v>21</v>
      </c>
      <c r="B25" s="42" t="s">
        <v>9</v>
      </c>
      <c r="C25" s="33" t="s">
        <v>213</v>
      </c>
      <c r="D25" s="95">
        <v>5</v>
      </c>
      <c r="E25" s="95">
        <v>22</v>
      </c>
      <c r="F25" s="95" t="s">
        <v>66</v>
      </c>
      <c r="G25" s="47" t="s">
        <v>214</v>
      </c>
      <c r="H25" s="45">
        <v>667</v>
      </c>
      <c r="I25" s="167">
        <v>715</v>
      </c>
    </row>
    <row r="26" spans="1:9" customFormat="1" ht="23.1" customHeight="1" x14ac:dyDescent="0.15">
      <c r="A26" s="41">
        <v>22</v>
      </c>
      <c r="B26" s="42" t="s">
        <v>10</v>
      </c>
      <c r="C26" s="33" t="s">
        <v>215</v>
      </c>
      <c r="D26" s="95">
        <v>9</v>
      </c>
      <c r="E26" s="95">
        <v>25</v>
      </c>
      <c r="F26" s="95" t="s">
        <v>66</v>
      </c>
      <c r="G26" s="47" t="s">
        <v>216</v>
      </c>
      <c r="H26" s="45">
        <v>781</v>
      </c>
      <c r="I26" s="167">
        <v>860</v>
      </c>
    </row>
    <row r="27" spans="1:9" customFormat="1" ht="23.1" customHeight="1" x14ac:dyDescent="0.15">
      <c r="A27" s="41">
        <v>23</v>
      </c>
      <c r="B27" s="42" t="s">
        <v>11</v>
      </c>
      <c r="C27" s="33" t="s">
        <v>217</v>
      </c>
      <c r="D27" s="95">
        <v>12</v>
      </c>
      <c r="E27" s="95">
        <v>23</v>
      </c>
      <c r="F27" s="95" t="s">
        <v>66</v>
      </c>
      <c r="G27" s="47" t="s">
        <v>218</v>
      </c>
      <c r="H27" s="45">
        <v>659</v>
      </c>
      <c r="I27" s="167">
        <v>761</v>
      </c>
    </row>
    <row r="28" spans="1:9" s="111" customFormat="1" ht="23.1" customHeight="1" x14ac:dyDescent="0.15">
      <c r="A28" s="41">
        <v>24</v>
      </c>
      <c r="B28" s="42" t="s">
        <v>5</v>
      </c>
      <c r="C28" s="33" t="s">
        <v>219</v>
      </c>
      <c r="D28" s="95">
        <v>8</v>
      </c>
      <c r="E28" s="95">
        <v>18</v>
      </c>
      <c r="F28" s="95" t="s">
        <v>66</v>
      </c>
      <c r="G28" s="47" t="s">
        <v>220</v>
      </c>
      <c r="H28" s="45">
        <v>1399</v>
      </c>
      <c r="I28" s="167">
        <v>1572</v>
      </c>
    </row>
    <row r="29" spans="1:9" s="111" customFormat="1" ht="23.1" customHeight="1" x14ac:dyDescent="0.15">
      <c r="A29" s="60">
        <v>25</v>
      </c>
      <c r="B29" s="61" t="s">
        <v>6</v>
      </c>
      <c r="C29" s="62" t="s">
        <v>222</v>
      </c>
      <c r="D29" s="66">
        <v>8</v>
      </c>
      <c r="E29" s="66">
        <v>19</v>
      </c>
      <c r="F29" s="66" t="s">
        <v>66</v>
      </c>
      <c r="G29" s="64" t="s">
        <v>223</v>
      </c>
      <c r="H29" s="65">
        <v>11386</v>
      </c>
      <c r="I29" s="168">
        <v>12994</v>
      </c>
    </row>
    <row r="30" spans="1:9" s="111" customFormat="1" ht="23.1" customHeight="1" x14ac:dyDescent="0.15">
      <c r="A30" s="30">
        <v>26</v>
      </c>
      <c r="B30" s="24" t="s">
        <v>7</v>
      </c>
      <c r="C30" s="25" t="s">
        <v>221</v>
      </c>
      <c r="D30" s="26">
        <v>5</v>
      </c>
      <c r="E30" s="26">
        <v>14</v>
      </c>
      <c r="F30" s="26" t="s">
        <v>66</v>
      </c>
      <c r="G30" s="27" t="s">
        <v>223</v>
      </c>
      <c r="H30" s="28">
        <v>9095</v>
      </c>
      <c r="I30" s="169">
        <v>11184</v>
      </c>
    </row>
    <row r="31" spans="1:9" s="111" customFormat="1" ht="23.1" customHeight="1" x14ac:dyDescent="0.15">
      <c r="A31" s="36">
        <v>27</v>
      </c>
      <c r="B31" s="37" t="s">
        <v>8</v>
      </c>
      <c r="C31" s="48" t="s">
        <v>224</v>
      </c>
      <c r="D31" s="38">
        <v>2</v>
      </c>
      <c r="E31" s="38">
        <v>15</v>
      </c>
      <c r="F31" s="38" t="s">
        <v>66</v>
      </c>
      <c r="G31" s="39" t="s">
        <v>225</v>
      </c>
      <c r="H31" s="40">
        <v>1021</v>
      </c>
      <c r="I31" s="166">
        <v>1154</v>
      </c>
    </row>
    <row r="32" spans="1:9" customFormat="1" ht="23.1" customHeight="1" x14ac:dyDescent="0.15">
      <c r="A32" s="41">
        <v>28</v>
      </c>
      <c r="B32" s="42" t="s">
        <v>9</v>
      </c>
      <c r="C32" s="33" t="s">
        <v>226</v>
      </c>
      <c r="D32" s="95">
        <v>3</v>
      </c>
      <c r="E32" s="95">
        <v>16</v>
      </c>
      <c r="F32" s="95" t="s">
        <v>66</v>
      </c>
      <c r="G32" s="47" t="s">
        <v>227</v>
      </c>
      <c r="H32" s="45">
        <v>847</v>
      </c>
      <c r="I32" s="167">
        <v>898</v>
      </c>
    </row>
    <row r="33" spans="1:9" customFormat="1" ht="23.1" customHeight="1" x14ac:dyDescent="0.15">
      <c r="A33" s="41">
        <v>29</v>
      </c>
      <c r="B33" s="42" t="s">
        <v>10</v>
      </c>
      <c r="C33" s="33" t="s">
        <v>229</v>
      </c>
      <c r="D33" s="95">
        <v>5</v>
      </c>
      <c r="E33" s="95">
        <v>20</v>
      </c>
      <c r="F33" s="95" t="s">
        <v>66</v>
      </c>
      <c r="G33" s="47" t="s">
        <v>228</v>
      </c>
      <c r="H33" s="45">
        <v>1169</v>
      </c>
      <c r="I33" s="167">
        <v>1278</v>
      </c>
    </row>
    <row r="34" spans="1:9" customFormat="1" ht="23.25" customHeight="1" x14ac:dyDescent="0.15">
      <c r="A34" s="41">
        <v>30</v>
      </c>
      <c r="B34" s="42" t="s">
        <v>11</v>
      </c>
      <c r="C34" s="33" t="s">
        <v>232</v>
      </c>
      <c r="D34" s="95">
        <v>6</v>
      </c>
      <c r="E34" s="95">
        <v>21</v>
      </c>
      <c r="F34" s="95" t="s">
        <v>66</v>
      </c>
      <c r="G34" s="47" t="s">
        <v>233</v>
      </c>
      <c r="H34" s="45">
        <v>1733</v>
      </c>
      <c r="I34" s="167">
        <v>1853</v>
      </c>
    </row>
    <row r="35" spans="1:9" customFormat="1" ht="23.1" customHeight="1" thickBot="1" x14ac:dyDescent="0.2">
      <c r="A35" s="49">
        <v>31</v>
      </c>
      <c r="B35" s="50" t="s">
        <v>5</v>
      </c>
      <c r="C35" s="51" t="s">
        <v>84</v>
      </c>
      <c r="D35" s="52">
        <v>8</v>
      </c>
      <c r="E35" s="52">
        <v>24</v>
      </c>
      <c r="F35" s="52" t="s">
        <v>66</v>
      </c>
      <c r="G35" s="53" t="s">
        <v>234</v>
      </c>
      <c r="H35" s="54">
        <v>3867</v>
      </c>
      <c r="I35" s="172">
        <v>4027</v>
      </c>
    </row>
    <row r="36" spans="1:9" s="3" customFormat="1" ht="21" customHeight="1" thickBot="1" x14ac:dyDescent="0.2">
      <c r="A36" s="152" t="s">
        <v>0</v>
      </c>
      <c r="B36" s="153"/>
      <c r="C36" s="153"/>
      <c r="D36" s="153"/>
      <c r="E36" s="153"/>
      <c r="F36" s="153"/>
      <c r="G36" s="154"/>
      <c r="H36" s="173">
        <f t="shared" ref="H36:I36" si="0">SUM(H5:H35)</f>
        <v>77785</v>
      </c>
      <c r="I36" s="174">
        <f t="shared" si="0"/>
        <v>92002</v>
      </c>
    </row>
    <row r="37" spans="1:9" s="3" customFormat="1" ht="21" customHeight="1" thickBot="1" x14ac:dyDescent="0.2">
      <c r="A37" s="136" t="s">
        <v>4</v>
      </c>
      <c r="B37" s="137"/>
      <c r="C37" s="137"/>
      <c r="D37" s="137"/>
      <c r="E37" s="137"/>
      <c r="F37" s="137"/>
      <c r="G37" s="138"/>
      <c r="H37" s="175">
        <f>H36+'2월'!H37</f>
        <v>253093</v>
      </c>
      <c r="I37" s="176">
        <f>I36+'2월'!I37</f>
        <v>287220</v>
      </c>
    </row>
    <row r="40" spans="1:9" x14ac:dyDescent="0.15">
      <c r="H40" s="4"/>
      <c r="I40" s="91">
        <f>28867/50427</f>
        <v>0.57245126618676501</v>
      </c>
    </row>
  </sheetData>
  <mergeCells count="9">
    <mergeCell ref="H3:H4"/>
    <mergeCell ref="A1:I1"/>
    <mergeCell ref="A37:G37"/>
    <mergeCell ref="B2:B4"/>
    <mergeCell ref="C2:C4"/>
    <mergeCell ref="D2:E3"/>
    <mergeCell ref="F2:G3"/>
    <mergeCell ref="A2:A4"/>
    <mergeCell ref="A36:G36"/>
  </mergeCells>
  <phoneticPr fontId="3" type="noConversion"/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FFFF00"/>
  </sheetPr>
  <dimension ref="A1:I43"/>
  <sheetViews>
    <sheetView workbookViewId="0">
      <pane xSplit="7" ySplit="4" topLeftCell="H29" activePane="bottomRight" state="frozen"/>
      <selection activeCell="L7" sqref="L7"/>
      <selection pane="topRight" activeCell="L7" sqref="L7"/>
      <selection pane="bottomLeft" activeCell="L7" sqref="L7"/>
      <selection pane="bottomRight" activeCell="L7" sqref="L7"/>
    </sheetView>
  </sheetViews>
  <sheetFormatPr defaultColWidth="8.88671875" defaultRowHeight="13.5" x14ac:dyDescent="0.15"/>
  <cols>
    <col min="1" max="2" width="5.77734375" style="1" customWidth="1"/>
    <col min="3" max="3" width="8.77734375" style="9" customWidth="1"/>
    <col min="4" max="5" width="3.77734375" style="9" customWidth="1"/>
    <col min="6" max="6" width="5.77734375" style="9" customWidth="1"/>
    <col min="7" max="7" width="5.77734375" style="1" customWidth="1"/>
    <col min="8" max="9" width="9.77734375" style="1" customWidth="1"/>
    <col min="10" max="16384" width="8.88671875" style="1"/>
  </cols>
  <sheetData>
    <row r="1" spans="1:9" s="2" customFormat="1" ht="21" customHeight="1" x14ac:dyDescent="0.15">
      <c r="A1" s="155" t="s">
        <v>26</v>
      </c>
      <c r="B1" s="156"/>
      <c r="C1" s="156"/>
      <c r="D1" s="156"/>
      <c r="E1" s="156"/>
      <c r="F1" s="156"/>
      <c r="G1" s="156"/>
      <c r="H1" s="156"/>
      <c r="I1" s="157"/>
    </row>
    <row r="2" spans="1:9" s="2" customFormat="1" ht="22.5" customHeight="1" x14ac:dyDescent="0.15">
      <c r="A2" s="145" t="s">
        <v>2</v>
      </c>
      <c r="B2" s="148" t="s">
        <v>1</v>
      </c>
      <c r="C2" s="139" t="s">
        <v>12</v>
      </c>
      <c r="D2" s="139" t="s">
        <v>15</v>
      </c>
      <c r="E2" s="140"/>
      <c r="F2" s="139" t="s">
        <v>16</v>
      </c>
      <c r="G2" s="143"/>
      <c r="H2" s="159" t="s">
        <v>22</v>
      </c>
      <c r="I2" s="160" t="s">
        <v>21</v>
      </c>
    </row>
    <row r="3" spans="1:9" s="2" customFormat="1" ht="18.75" customHeight="1" x14ac:dyDescent="0.15">
      <c r="A3" s="146"/>
      <c r="B3" s="158"/>
      <c r="C3" s="150"/>
      <c r="D3" s="141"/>
      <c r="E3" s="142"/>
      <c r="F3" s="141"/>
      <c r="G3" s="144"/>
      <c r="H3" s="161" t="s">
        <v>23</v>
      </c>
      <c r="I3" s="162" t="s">
        <v>20</v>
      </c>
    </row>
    <row r="4" spans="1:9" s="2" customFormat="1" ht="18.75" customHeight="1" x14ac:dyDescent="0.15">
      <c r="A4" s="147"/>
      <c r="B4" s="149"/>
      <c r="C4" s="151"/>
      <c r="D4" s="14" t="s">
        <v>13</v>
      </c>
      <c r="E4" s="14" t="s">
        <v>14</v>
      </c>
      <c r="F4" s="14" t="s">
        <v>18</v>
      </c>
      <c r="G4" s="16" t="s">
        <v>17</v>
      </c>
      <c r="H4" s="163"/>
      <c r="I4" s="164" t="s">
        <v>19</v>
      </c>
    </row>
    <row r="5" spans="1:9" s="111" customFormat="1" ht="23.1" customHeight="1" x14ac:dyDescent="0.15">
      <c r="A5" s="55">
        <v>1</v>
      </c>
      <c r="B5" s="56" t="s">
        <v>44</v>
      </c>
      <c r="C5" s="57" t="s">
        <v>231</v>
      </c>
      <c r="D5" s="58">
        <v>9</v>
      </c>
      <c r="E5" s="58">
        <v>26</v>
      </c>
      <c r="F5" s="125" t="s">
        <v>235</v>
      </c>
      <c r="G5" s="126" t="s">
        <v>234</v>
      </c>
      <c r="H5" s="59">
        <v>12607</v>
      </c>
      <c r="I5" s="179">
        <v>15226</v>
      </c>
    </row>
    <row r="6" spans="1:9" customFormat="1" ht="23.1" customHeight="1" x14ac:dyDescent="0.15">
      <c r="A6" s="30">
        <v>2</v>
      </c>
      <c r="B6" s="24" t="s">
        <v>45</v>
      </c>
      <c r="C6" s="25" t="s">
        <v>230</v>
      </c>
      <c r="D6" s="26">
        <v>12</v>
      </c>
      <c r="E6" s="26">
        <v>25</v>
      </c>
      <c r="F6" s="88" t="s">
        <v>236</v>
      </c>
      <c r="G6" s="89" t="s">
        <v>237</v>
      </c>
      <c r="H6" s="28">
        <v>9585</v>
      </c>
      <c r="I6" s="169">
        <v>12085</v>
      </c>
    </row>
    <row r="7" spans="1:9" customFormat="1" ht="23.1" customHeight="1" x14ac:dyDescent="0.15">
      <c r="A7" s="36">
        <v>3</v>
      </c>
      <c r="B7" s="37" t="s">
        <v>8</v>
      </c>
      <c r="C7" s="48" t="s">
        <v>238</v>
      </c>
      <c r="D7" s="38">
        <v>11</v>
      </c>
      <c r="E7" s="38">
        <v>26</v>
      </c>
      <c r="F7" s="77" t="s">
        <v>239</v>
      </c>
      <c r="G7" s="78" t="s">
        <v>240</v>
      </c>
      <c r="H7" s="40">
        <v>2623</v>
      </c>
      <c r="I7" s="166">
        <v>3003</v>
      </c>
    </row>
    <row r="8" spans="1:9" s="112" customFormat="1" ht="23.1" customHeight="1" x14ac:dyDescent="0.15">
      <c r="A8" s="41">
        <v>4</v>
      </c>
      <c r="B8" s="42" t="s">
        <v>9</v>
      </c>
      <c r="C8" s="33" t="s">
        <v>244</v>
      </c>
      <c r="D8" s="43">
        <v>13</v>
      </c>
      <c r="E8" s="43">
        <v>22</v>
      </c>
      <c r="F8" s="43" t="s">
        <v>239</v>
      </c>
      <c r="G8" s="44" t="s">
        <v>243</v>
      </c>
      <c r="H8" s="45">
        <v>1160</v>
      </c>
      <c r="I8" s="167">
        <v>1292</v>
      </c>
    </row>
    <row r="9" spans="1:9" s="111" customFormat="1" ht="23.1" customHeight="1" x14ac:dyDescent="0.15">
      <c r="A9" s="41">
        <v>5</v>
      </c>
      <c r="B9" s="42" t="s">
        <v>10</v>
      </c>
      <c r="C9" s="33" t="s">
        <v>246</v>
      </c>
      <c r="D9" s="95">
        <v>9</v>
      </c>
      <c r="E9" s="95">
        <v>15</v>
      </c>
      <c r="F9" s="43" t="s">
        <v>66</v>
      </c>
      <c r="G9" s="44" t="s">
        <v>245</v>
      </c>
      <c r="H9" s="45">
        <v>242</v>
      </c>
      <c r="I9" s="167">
        <v>243</v>
      </c>
    </row>
    <row r="10" spans="1:9" customFormat="1" ht="23.1" customHeight="1" x14ac:dyDescent="0.15">
      <c r="A10" s="41">
        <v>6</v>
      </c>
      <c r="B10" s="42" t="s">
        <v>11</v>
      </c>
      <c r="C10" s="33" t="s">
        <v>248</v>
      </c>
      <c r="D10" s="95">
        <v>7</v>
      </c>
      <c r="E10" s="95">
        <v>10</v>
      </c>
      <c r="F10" s="43" t="s">
        <v>66</v>
      </c>
      <c r="G10" s="44" t="s">
        <v>247</v>
      </c>
      <c r="H10" s="45">
        <v>754</v>
      </c>
      <c r="I10" s="167">
        <v>785</v>
      </c>
    </row>
    <row r="11" spans="1:9" customFormat="1" ht="23.1" customHeight="1" x14ac:dyDescent="0.15">
      <c r="A11" s="41">
        <v>7</v>
      </c>
      <c r="B11" s="42" t="s">
        <v>5</v>
      </c>
      <c r="C11" s="33" t="s">
        <v>253</v>
      </c>
      <c r="D11" s="95">
        <v>5</v>
      </c>
      <c r="E11" s="95">
        <v>16</v>
      </c>
      <c r="F11" s="43" t="s">
        <v>66</v>
      </c>
      <c r="G11" s="44" t="s">
        <v>251</v>
      </c>
      <c r="H11" s="45">
        <v>3960</v>
      </c>
      <c r="I11" s="167">
        <v>4172</v>
      </c>
    </row>
    <row r="12" spans="1:9" customFormat="1" ht="23.1" customHeight="1" x14ac:dyDescent="0.15">
      <c r="A12" s="60">
        <v>8</v>
      </c>
      <c r="B12" s="61" t="s">
        <v>6</v>
      </c>
      <c r="C12" s="62" t="s">
        <v>252</v>
      </c>
      <c r="D12" s="63">
        <v>3</v>
      </c>
      <c r="E12" s="63">
        <v>15</v>
      </c>
      <c r="F12" s="75" t="s">
        <v>242</v>
      </c>
      <c r="G12" s="76" t="s">
        <v>250</v>
      </c>
      <c r="H12" s="65">
        <v>8945</v>
      </c>
      <c r="I12" s="168">
        <v>10546</v>
      </c>
    </row>
    <row r="13" spans="1:9" customFormat="1" ht="23.1" customHeight="1" x14ac:dyDescent="0.15">
      <c r="A13" s="30">
        <v>9</v>
      </c>
      <c r="B13" s="24" t="s">
        <v>7</v>
      </c>
      <c r="C13" s="25" t="s">
        <v>252</v>
      </c>
      <c r="D13" s="67">
        <v>4</v>
      </c>
      <c r="E13" s="67">
        <v>18</v>
      </c>
      <c r="F13" s="88" t="s">
        <v>235</v>
      </c>
      <c r="G13" s="89" t="s">
        <v>249</v>
      </c>
      <c r="H13" s="28">
        <v>6783</v>
      </c>
      <c r="I13" s="169">
        <v>8821</v>
      </c>
    </row>
    <row r="14" spans="1:9" customFormat="1" ht="23.1" customHeight="1" x14ac:dyDescent="0.15">
      <c r="A14" s="36">
        <v>10</v>
      </c>
      <c r="B14" s="37" t="s">
        <v>8</v>
      </c>
      <c r="C14" s="48" t="s">
        <v>254</v>
      </c>
      <c r="D14" s="38">
        <v>6</v>
      </c>
      <c r="E14" s="38">
        <v>19</v>
      </c>
      <c r="F14" s="77" t="s">
        <v>239</v>
      </c>
      <c r="G14" s="78" t="s">
        <v>255</v>
      </c>
      <c r="H14" s="40">
        <v>1864</v>
      </c>
      <c r="I14" s="166">
        <v>2002</v>
      </c>
    </row>
    <row r="15" spans="1:9" s="112" customFormat="1" ht="23.1" customHeight="1" x14ac:dyDescent="0.15">
      <c r="A15" s="41">
        <v>11</v>
      </c>
      <c r="B15" s="42" t="s">
        <v>9</v>
      </c>
      <c r="C15" s="33" t="s">
        <v>257</v>
      </c>
      <c r="D15" s="95">
        <v>9</v>
      </c>
      <c r="E15" s="95">
        <v>17</v>
      </c>
      <c r="F15" s="43" t="s">
        <v>239</v>
      </c>
      <c r="G15" s="44" t="s">
        <v>256</v>
      </c>
      <c r="H15" s="45">
        <v>374</v>
      </c>
      <c r="I15" s="167">
        <v>385</v>
      </c>
    </row>
    <row r="16" spans="1:9" s="111" customFormat="1" ht="23.1" customHeight="1" x14ac:dyDescent="0.15">
      <c r="A16" s="41">
        <v>12</v>
      </c>
      <c r="B16" s="42" t="s">
        <v>10</v>
      </c>
      <c r="C16" s="33" t="s">
        <v>265</v>
      </c>
      <c r="D16" s="95">
        <v>5</v>
      </c>
      <c r="E16" s="95">
        <v>15</v>
      </c>
      <c r="F16" s="43" t="s">
        <v>66</v>
      </c>
      <c r="G16" s="44" t="s">
        <v>260</v>
      </c>
      <c r="H16" s="45">
        <v>1537</v>
      </c>
      <c r="I16" s="167">
        <v>1606</v>
      </c>
    </row>
    <row r="17" spans="1:9" customFormat="1" ht="23.1" customHeight="1" x14ac:dyDescent="0.15">
      <c r="A17" s="41">
        <v>13</v>
      </c>
      <c r="B17" s="42" t="s">
        <v>11</v>
      </c>
      <c r="C17" s="33" t="s">
        <v>264</v>
      </c>
      <c r="D17" s="95">
        <v>5</v>
      </c>
      <c r="E17" s="95">
        <v>17</v>
      </c>
      <c r="F17" s="43" t="s">
        <v>66</v>
      </c>
      <c r="G17" s="44" t="s">
        <v>260</v>
      </c>
      <c r="H17" s="45">
        <v>2419</v>
      </c>
      <c r="I17" s="167">
        <v>2487</v>
      </c>
    </row>
    <row r="18" spans="1:9" customFormat="1" ht="23.1" customHeight="1" x14ac:dyDescent="0.15">
      <c r="A18" s="41">
        <v>14</v>
      </c>
      <c r="B18" s="42" t="s">
        <v>5</v>
      </c>
      <c r="C18" s="33" t="s">
        <v>263</v>
      </c>
      <c r="D18" s="95">
        <v>12</v>
      </c>
      <c r="E18" s="95">
        <v>21</v>
      </c>
      <c r="F18" s="43" t="s">
        <v>66</v>
      </c>
      <c r="G18" s="44" t="s">
        <v>258</v>
      </c>
      <c r="H18" s="45">
        <v>3639</v>
      </c>
      <c r="I18" s="167">
        <v>3943</v>
      </c>
    </row>
    <row r="19" spans="1:9" customFormat="1" ht="23.1" customHeight="1" x14ac:dyDescent="0.15">
      <c r="A19" s="60">
        <v>15</v>
      </c>
      <c r="B19" s="61" t="s">
        <v>6</v>
      </c>
      <c r="C19" s="62" t="s">
        <v>262</v>
      </c>
      <c r="D19" s="66">
        <v>9</v>
      </c>
      <c r="E19" s="66">
        <v>17</v>
      </c>
      <c r="F19" s="75" t="s">
        <v>241</v>
      </c>
      <c r="G19" s="76" t="s">
        <v>259</v>
      </c>
      <c r="H19" s="65">
        <v>3877</v>
      </c>
      <c r="I19" s="168">
        <v>4784</v>
      </c>
    </row>
    <row r="20" spans="1:9" customFormat="1" ht="23.1" customHeight="1" x14ac:dyDescent="0.15">
      <c r="A20" s="30">
        <v>16</v>
      </c>
      <c r="B20" s="24" t="s">
        <v>7</v>
      </c>
      <c r="C20" s="25" t="s">
        <v>261</v>
      </c>
      <c r="D20" s="26">
        <v>8</v>
      </c>
      <c r="E20" s="26">
        <v>16</v>
      </c>
      <c r="F20" s="88" t="s">
        <v>241</v>
      </c>
      <c r="G20" s="89" t="s">
        <v>258</v>
      </c>
      <c r="H20" s="28">
        <v>4794</v>
      </c>
      <c r="I20" s="169">
        <v>6342</v>
      </c>
    </row>
    <row r="21" spans="1:9" customFormat="1" ht="23.1" customHeight="1" x14ac:dyDescent="0.15">
      <c r="A21" s="36">
        <v>17</v>
      </c>
      <c r="B21" s="37" t="s">
        <v>8</v>
      </c>
      <c r="C21" s="48" t="s">
        <v>267</v>
      </c>
      <c r="D21" s="38">
        <v>7</v>
      </c>
      <c r="E21" s="38">
        <v>18</v>
      </c>
      <c r="F21" s="77" t="s">
        <v>239</v>
      </c>
      <c r="G21" s="78" t="s">
        <v>266</v>
      </c>
      <c r="H21" s="40">
        <v>3304</v>
      </c>
      <c r="I21" s="166">
        <v>3467</v>
      </c>
    </row>
    <row r="22" spans="1:9" s="112" customFormat="1" ht="23.1" customHeight="1" x14ac:dyDescent="0.15">
      <c r="A22" s="41">
        <v>18</v>
      </c>
      <c r="B22" s="42" t="s">
        <v>9</v>
      </c>
      <c r="C22" s="33" t="s">
        <v>145</v>
      </c>
      <c r="D22" s="95">
        <v>11</v>
      </c>
      <c r="E22" s="95">
        <v>18</v>
      </c>
      <c r="F22" s="43" t="s">
        <v>239</v>
      </c>
      <c r="G22" s="44" t="s">
        <v>268</v>
      </c>
      <c r="H22" s="45">
        <v>854</v>
      </c>
      <c r="I22" s="167">
        <v>900</v>
      </c>
    </row>
    <row r="23" spans="1:9" s="111" customFormat="1" ht="23.1" customHeight="1" x14ac:dyDescent="0.15">
      <c r="A23" s="41">
        <v>19</v>
      </c>
      <c r="B23" s="42" t="s">
        <v>10</v>
      </c>
      <c r="C23" s="33" t="s">
        <v>269</v>
      </c>
      <c r="D23" s="95">
        <v>12</v>
      </c>
      <c r="E23" s="95">
        <v>28</v>
      </c>
      <c r="F23" s="43" t="s">
        <v>66</v>
      </c>
      <c r="G23" s="44" t="s">
        <v>270</v>
      </c>
      <c r="H23" s="45">
        <v>3413</v>
      </c>
      <c r="I23" s="167">
        <v>3689</v>
      </c>
    </row>
    <row r="24" spans="1:9" customFormat="1" ht="23.1" customHeight="1" x14ac:dyDescent="0.15">
      <c r="A24" s="41">
        <v>20</v>
      </c>
      <c r="B24" s="42" t="s">
        <v>11</v>
      </c>
      <c r="C24" s="33" t="s">
        <v>272</v>
      </c>
      <c r="D24" s="95">
        <v>15</v>
      </c>
      <c r="E24" s="95">
        <v>19</v>
      </c>
      <c r="F24" s="43" t="s">
        <v>66</v>
      </c>
      <c r="G24" s="44" t="s">
        <v>271</v>
      </c>
      <c r="H24" s="45">
        <v>3377</v>
      </c>
      <c r="I24" s="167">
        <v>3471</v>
      </c>
    </row>
    <row r="25" spans="1:9" customFormat="1" ht="23.1" customHeight="1" x14ac:dyDescent="0.15">
      <c r="A25" s="41">
        <v>21</v>
      </c>
      <c r="B25" s="42" t="s">
        <v>5</v>
      </c>
      <c r="C25" s="33" t="s">
        <v>277</v>
      </c>
      <c r="D25" s="95">
        <v>11</v>
      </c>
      <c r="E25" s="95">
        <v>23</v>
      </c>
      <c r="F25" s="43" t="s">
        <v>66</v>
      </c>
      <c r="G25" s="44" t="s">
        <v>273</v>
      </c>
      <c r="H25" s="45">
        <v>6395</v>
      </c>
      <c r="I25" s="167">
        <v>6683</v>
      </c>
    </row>
    <row r="26" spans="1:9" customFormat="1" ht="23.1" customHeight="1" x14ac:dyDescent="0.15">
      <c r="A26" s="60">
        <v>22</v>
      </c>
      <c r="B26" s="61" t="s">
        <v>6</v>
      </c>
      <c r="C26" s="62" t="s">
        <v>276</v>
      </c>
      <c r="D26" s="66">
        <v>12</v>
      </c>
      <c r="E26" s="66">
        <v>23</v>
      </c>
      <c r="F26" s="75" t="s">
        <v>241</v>
      </c>
      <c r="G26" s="76" t="s">
        <v>274</v>
      </c>
      <c r="H26" s="65">
        <v>14494</v>
      </c>
      <c r="I26" s="168">
        <v>16264</v>
      </c>
    </row>
    <row r="27" spans="1:9" customFormat="1" ht="23.1" customHeight="1" x14ac:dyDescent="0.15">
      <c r="A27" s="30">
        <v>23</v>
      </c>
      <c r="B27" s="24" t="s">
        <v>7</v>
      </c>
      <c r="C27" s="25" t="s">
        <v>275</v>
      </c>
      <c r="D27" s="26">
        <v>11</v>
      </c>
      <c r="E27" s="26">
        <v>22</v>
      </c>
      <c r="F27" s="88" t="s">
        <v>241</v>
      </c>
      <c r="G27" s="89" t="s">
        <v>273</v>
      </c>
      <c r="H27" s="28">
        <v>8696</v>
      </c>
      <c r="I27" s="169">
        <v>10861</v>
      </c>
    </row>
    <row r="28" spans="1:9" s="111" customFormat="1" ht="23.1" customHeight="1" x14ac:dyDescent="0.15">
      <c r="A28" s="36">
        <v>24</v>
      </c>
      <c r="B28" s="37" t="s">
        <v>8</v>
      </c>
      <c r="C28" s="48" t="s">
        <v>278</v>
      </c>
      <c r="D28" s="38">
        <v>12</v>
      </c>
      <c r="E28" s="38">
        <v>21</v>
      </c>
      <c r="F28" s="77" t="s">
        <v>239</v>
      </c>
      <c r="G28" s="78" t="s">
        <v>279</v>
      </c>
      <c r="H28" s="40">
        <v>3593</v>
      </c>
      <c r="I28" s="166">
        <v>3832</v>
      </c>
    </row>
    <row r="29" spans="1:9" s="111" customFormat="1" ht="23.1" customHeight="1" x14ac:dyDescent="0.15">
      <c r="A29" s="41">
        <v>25</v>
      </c>
      <c r="B29" s="42" t="s">
        <v>9</v>
      </c>
      <c r="C29" s="33" t="s">
        <v>281</v>
      </c>
      <c r="D29" s="95">
        <v>9</v>
      </c>
      <c r="E29" s="95">
        <v>13</v>
      </c>
      <c r="F29" s="43" t="s">
        <v>239</v>
      </c>
      <c r="G29" s="44" t="s">
        <v>280</v>
      </c>
      <c r="H29" s="45">
        <v>2353</v>
      </c>
      <c r="I29" s="167">
        <v>2384</v>
      </c>
    </row>
    <row r="30" spans="1:9" s="111" customFormat="1" ht="23.1" customHeight="1" x14ac:dyDescent="0.15">
      <c r="A30" s="41">
        <v>26</v>
      </c>
      <c r="B30" s="42" t="s">
        <v>10</v>
      </c>
      <c r="C30" s="33" t="s">
        <v>282</v>
      </c>
      <c r="D30" s="95">
        <v>7</v>
      </c>
      <c r="E30" s="95">
        <v>14</v>
      </c>
      <c r="F30" s="43" t="s">
        <v>66</v>
      </c>
      <c r="G30" s="44" t="s">
        <v>283</v>
      </c>
      <c r="H30" s="45">
        <v>3482</v>
      </c>
      <c r="I30" s="167">
        <v>3560</v>
      </c>
    </row>
    <row r="31" spans="1:9" s="111" customFormat="1" ht="23.1" customHeight="1" x14ac:dyDescent="0.15">
      <c r="A31" s="41">
        <v>27</v>
      </c>
      <c r="B31" s="42" t="s">
        <v>11</v>
      </c>
      <c r="C31" s="33" t="s">
        <v>284</v>
      </c>
      <c r="D31" s="95">
        <v>5</v>
      </c>
      <c r="E31" s="95">
        <v>20</v>
      </c>
      <c r="F31" s="43" t="s">
        <v>66</v>
      </c>
      <c r="G31" s="44" t="s">
        <v>285</v>
      </c>
      <c r="H31" s="45">
        <v>5251</v>
      </c>
      <c r="I31" s="167">
        <v>5389</v>
      </c>
    </row>
    <row r="32" spans="1:9" customFormat="1" ht="23.1" customHeight="1" x14ac:dyDescent="0.15">
      <c r="A32" s="41">
        <v>28</v>
      </c>
      <c r="B32" s="42" t="s">
        <v>5</v>
      </c>
      <c r="C32" s="33" t="s">
        <v>286</v>
      </c>
      <c r="D32" s="95">
        <v>9</v>
      </c>
      <c r="E32" s="95">
        <v>21</v>
      </c>
      <c r="F32" s="43" t="s">
        <v>66</v>
      </c>
      <c r="G32" s="44" t="s">
        <v>287</v>
      </c>
      <c r="H32" s="45">
        <v>7818</v>
      </c>
      <c r="I32" s="167">
        <v>8177</v>
      </c>
    </row>
    <row r="33" spans="1:9" customFormat="1" ht="23.1" customHeight="1" x14ac:dyDescent="0.15">
      <c r="A33" s="60">
        <v>29</v>
      </c>
      <c r="B33" s="61" t="s">
        <v>6</v>
      </c>
      <c r="C33" s="62" t="s">
        <v>288</v>
      </c>
      <c r="D33" s="66">
        <v>10</v>
      </c>
      <c r="E33" s="66">
        <v>16</v>
      </c>
      <c r="F33" s="75" t="s">
        <v>241</v>
      </c>
      <c r="G33" s="76" t="s">
        <v>287</v>
      </c>
      <c r="H33" s="65">
        <v>3767</v>
      </c>
      <c r="I33" s="168">
        <v>4117</v>
      </c>
    </row>
    <row r="34" spans="1:9" customFormat="1" ht="23.25" customHeight="1" x14ac:dyDescent="0.15">
      <c r="A34" s="30">
        <v>30</v>
      </c>
      <c r="B34" s="24" t="s">
        <v>7</v>
      </c>
      <c r="C34" s="25" t="s">
        <v>290</v>
      </c>
      <c r="D34" s="26">
        <v>8</v>
      </c>
      <c r="E34" s="26">
        <v>18</v>
      </c>
      <c r="F34" s="88" t="s">
        <v>241</v>
      </c>
      <c r="G34" s="89" t="s">
        <v>289</v>
      </c>
      <c r="H34" s="28">
        <v>14181</v>
      </c>
      <c r="I34" s="169">
        <v>15912</v>
      </c>
    </row>
    <row r="35" spans="1:9" customFormat="1" ht="23.1" customHeight="1" thickBot="1" x14ac:dyDescent="0.2">
      <c r="A35" s="83"/>
      <c r="B35" s="84"/>
      <c r="C35" s="85"/>
      <c r="D35" s="86"/>
      <c r="E35" s="86"/>
      <c r="F35" s="123"/>
      <c r="G35" s="124"/>
      <c r="H35" s="87">
        <v>0</v>
      </c>
      <c r="I35" s="180">
        <v>0</v>
      </c>
    </row>
    <row r="36" spans="1:9" s="3" customFormat="1" ht="21" customHeight="1" thickBot="1" x14ac:dyDescent="0.2">
      <c r="A36" s="152" t="s">
        <v>0</v>
      </c>
      <c r="B36" s="153"/>
      <c r="C36" s="153"/>
      <c r="D36" s="153"/>
      <c r="E36" s="153"/>
      <c r="F36" s="153"/>
      <c r="G36" s="154"/>
      <c r="H36" s="173">
        <f t="shared" ref="H36:I36" si="0">SUM(H5:H35)</f>
        <v>146141</v>
      </c>
      <c r="I36" s="174">
        <f t="shared" si="0"/>
        <v>166428</v>
      </c>
    </row>
    <row r="37" spans="1:9" s="3" customFormat="1" ht="21" customHeight="1" thickBot="1" x14ac:dyDescent="0.2">
      <c r="A37" s="136" t="s">
        <v>4</v>
      </c>
      <c r="B37" s="137"/>
      <c r="C37" s="137"/>
      <c r="D37" s="137"/>
      <c r="E37" s="137"/>
      <c r="F37" s="137"/>
      <c r="G37" s="138"/>
      <c r="H37" s="175">
        <f>H36+'3월'!H37</f>
        <v>399234</v>
      </c>
      <c r="I37" s="176">
        <f>I36+'3월'!I37</f>
        <v>453648</v>
      </c>
    </row>
    <row r="39" spans="1:9" x14ac:dyDescent="0.15">
      <c r="H39" s="115">
        <f>43383/57100</f>
        <v>0.75977232924693516</v>
      </c>
      <c r="I39" s="4">
        <f>I36-3228</f>
        <v>163200</v>
      </c>
    </row>
    <row r="40" spans="1:9" x14ac:dyDescent="0.15">
      <c r="H40" s="4"/>
    </row>
    <row r="41" spans="1:9" x14ac:dyDescent="0.15">
      <c r="H41" s="4"/>
    </row>
    <row r="42" spans="1:9" x14ac:dyDescent="0.15">
      <c r="H42" s="4"/>
    </row>
    <row r="43" spans="1:9" x14ac:dyDescent="0.15">
      <c r="H43" s="4"/>
    </row>
  </sheetData>
  <mergeCells count="9">
    <mergeCell ref="H3:H4"/>
    <mergeCell ref="A1:I1"/>
    <mergeCell ref="A37:G37"/>
    <mergeCell ref="B2:B4"/>
    <mergeCell ref="C2:C4"/>
    <mergeCell ref="D2:E3"/>
    <mergeCell ref="F2:G3"/>
    <mergeCell ref="A2:A4"/>
    <mergeCell ref="A36:G36"/>
  </mergeCells>
  <phoneticPr fontId="3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FFFF00"/>
  </sheetPr>
  <dimension ref="A1:I39"/>
  <sheetViews>
    <sheetView workbookViewId="0">
      <pane xSplit="7" ySplit="4" topLeftCell="K17" activePane="bottomRight" state="frozen"/>
      <selection activeCell="L7" sqref="L7"/>
      <selection pane="topRight" activeCell="L7" sqref="L7"/>
      <selection pane="bottomLeft" activeCell="L7" sqref="L7"/>
      <selection pane="bottomRight" activeCell="L7" sqref="L7"/>
    </sheetView>
  </sheetViews>
  <sheetFormatPr defaultColWidth="8.88671875" defaultRowHeight="13.5" x14ac:dyDescent="0.15"/>
  <cols>
    <col min="1" max="2" width="5.77734375" style="1" customWidth="1"/>
    <col min="3" max="3" width="8.77734375" style="9" customWidth="1"/>
    <col min="4" max="5" width="3.77734375" style="9" customWidth="1"/>
    <col min="6" max="6" width="5.77734375" style="9" customWidth="1"/>
    <col min="7" max="7" width="5.77734375" style="1" customWidth="1"/>
    <col min="8" max="9" width="9.77734375" style="1" customWidth="1"/>
    <col min="10" max="16384" width="8.88671875" style="1"/>
  </cols>
  <sheetData>
    <row r="1" spans="1:9" s="2" customFormat="1" ht="21" customHeight="1" x14ac:dyDescent="0.15">
      <c r="A1" s="155" t="s">
        <v>29</v>
      </c>
      <c r="B1" s="156"/>
      <c r="C1" s="156"/>
      <c r="D1" s="156"/>
      <c r="E1" s="156"/>
      <c r="F1" s="156"/>
      <c r="G1" s="156"/>
      <c r="H1" s="156"/>
      <c r="I1" s="157"/>
    </row>
    <row r="2" spans="1:9" s="2" customFormat="1" ht="22.5" customHeight="1" x14ac:dyDescent="0.15">
      <c r="A2" s="145" t="s">
        <v>2</v>
      </c>
      <c r="B2" s="148" t="s">
        <v>1</v>
      </c>
      <c r="C2" s="139" t="s">
        <v>12</v>
      </c>
      <c r="D2" s="139" t="s">
        <v>15</v>
      </c>
      <c r="E2" s="140"/>
      <c r="F2" s="139" t="s">
        <v>16</v>
      </c>
      <c r="G2" s="143"/>
      <c r="H2" s="159" t="s">
        <v>22</v>
      </c>
      <c r="I2" s="160" t="s">
        <v>21</v>
      </c>
    </row>
    <row r="3" spans="1:9" s="2" customFormat="1" ht="18.75" customHeight="1" x14ac:dyDescent="0.15">
      <c r="A3" s="146"/>
      <c r="B3" s="158"/>
      <c r="C3" s="150"/>
      <c r="D3" s="141"/>
      <c r="E3" s="142"/>
      <c r="F3" s="141"/>
      <c r="G3" s="144"/>
      <c r="H3" s="161" t="s">
        <v>23</v>
      </c>
      <c r="I3" s="162" t="s">
        <v>20</v>
      </c>
    </row>
    <row r="4" spans="1:9" s="2" customFormat="1" ht="18.75" customHeight="1" x14ac:dyDescent="0.15">
      <c r="A4" s="147"/>
      <c r="B4" s="149"/>
      <c r="C4" s="151"/>
      <c r="D4" s="14" t="s">
        <v>13</v>
      </c>
      <c r="E4" s="14" t="s">
        <v>14</v>
      </c>
      <c r="F4" s="14" t="s">
        <v>18</v>
      </c>
      <c r="G4" s="16" t="s">
        <v>17</v>
      </c>
      <c r="H4" s="163"/>
      <c r="I4" s="164" t="s">
        <v>19</v>
      </c>
    </row>
    <row r="5" spans="1:9" s="111" customFormat="1" ht="23.1" customHeight="1" x14ac:dyDescent="0.15">
      <c r="A5" s="7">
        <v>1</v>
      </c>
      <c r="B5" s="8" t="s">
        <v>46</v>
      </c>
      <c r="C5" s="90" t="s">
        <v>295</v>
      </c>
      <c r="D5" s="17">
        <v>10</v>
      </c>
      <c r="E5" s="17">
        <v>21</v>
      </c>
      <c r="F5" s="119" t="s">
        <v>291</v>
      </c>
      <c r="G5" s="120" t="s">
        <v>292</v>
      </c>
      <c r="H5" s="12">
        <v>16729</v>
      </c>
      <c r="I5" s="181">
        <v>17890</v>
      </c>
    </row>
    <row r="6" spans="1:9" customFormat="1" ht="23.1" customHeight="1" x14ac:dyDescent="0.15">
      <c r="A6" s="41">
        <v>2</v>
      </c>
      <c r="B6" s="42" t="s">
        <v>47</v>
      </c>
      <c r="C6" s="33" t="s">
        <v>296</v>
      </c>
      <c r="D6" s="95">
        <v>9</v>
      </c>
      <c r="E6" s="95">
        <v>24</v>
      </c>
      <c r="F6" s="43" t="s">
        <v>293</v>
      </c>
      <c r="G6" s="44" t="s">
        <v>297</v>
      </c>
      <c r="H6" s="45">
        <v>4834</v>
      </c>
      <c r="I6" s="167">
        <v>4998</v>
      </c>
    </row>
    <row r="7" spans="1:9" customFormat="1" ht="23.1" customHeight="1" x14ac:dyDescent="0.15">
      <c r="A7" s="41">
        <v>3</v>
      </c>
      <c r="B7" s="42" t="s">
        <v>10</v>
      </c>
      <c r="C7" s="33" t="s">
        <v>298</v>
      </c>
      <c r="D7" s="95">
        <v>12</v>
      </c>
      <c r="E7" s="95">
        <v>26</v>
      </c>
      <c r="F7" s="43" t="s">
        <v>294</v>
      </c>
      <c r="G7" s="44" t="s">
        <v>301</v>
      </c>
      <c r="H7" s="45">
        <v>6240</v>
      </c>
      <c r="I7" s="167">
        <v>6390</v>
      </c>
    </row>
    <row r="8" spans="1:9" s="112" customFormat="1" ht="23.1" customHeight="1" x14ac:dyDescent="0.15">
      <c r="A8" s="41">
        <v>4</v>
      </c>
      <c r="B8" s="42" t="s">
        <v>11</v>
      </c>
      <c r="C8" s="33" t="s">
        <v>310</v>
      </c>
      <c r="D8" s="43">
        <v>16</v>
      </c>
      <c r="E8" s="43">
        <v>26</v>
      </c>
      <c r="F8" s="43" t="s">
        <v>291</v>
      </c>
      <c r="G8" s="44" t="s">
        <v>307</v>
      </c>
      <c r="H8" s="45">
        <v>9738</v>
      </c>
      <c r="I8" s="167">
        <v>10019</v>
      </c>
    </row>
    <row r="9" spans="1:9" s="111" customFormat="1" ht="23.1" customHeight="1" x14ac:dyDescent="0.15">
      <c r="A9" s="5">
        <v>5</v>
      </c>
      <c r="B9" s="6" t="s">
        <v>5</v>
      </c>
      <c r="C9" s="15" t="s">
        <v>309</v>
      </c>
      <c r="D9" s="19">
        <v>16</v>
      </c>
      <c r="E9" s="19">
        <v>22</v>
      </c>
      <c r="F9" s="99" t="s">
        <v>299</v>
      </c>
      <c r="G9" s="100" t="s">
        <v>306</v>
      </c>
      <c r="H9" s="13">
        <v>855</v>
      </c>
      <c r="I9" s="170">
        <v>949</v>
      </c>
    </row>
    <row r="10" spans="1:9" customFormat="1" ht="23.1" customHeight="1" x14ac:dyDescent="0.15">
      <c r="A10" s="60">
        <v>6</v>
      </c>
      <c r="B10" s="61" t="s">
        <v>6</v>
      </c>
      <c r="C10" s="62" t="s">
        <v>311</v>
      </c>
      <c r="D10" s="66">
        <v>12</v>
      </c>
      <c r="E10" s="66">
        <v>16</v>
      </c>
      <c r="F10" s="75" t="s">
        <v>304</v>
      </c>
      <c r="G10" s="76" t="s">
        <v>305</v>
      </c>
      <c r="H10" s="65">
        <v>908</v>
      </c>
      <c r="I10" s="168">
        <v>1231</v>
      </c>
    </row>
    <row r="11" spans="1:9" customFormat="1" ht="23.1" customHeight="1" x14ac:dyDescent="0.15">
      <c r="A11" s="30">
        <v>7</v>
      </c>
      <c r="B11" s="24" t="s">
        <v>7</v>
      </c>
      <c r="C11" s="25" t="s">
        <v>308</v>
      </c>
      <c r="D11" s="26">
        <v>11</v>
      </c>
      <c r="E11" s="26">
        <v>19</v>
      </c>
      <c r="F11" s="88" t="s">
        <v>300</v>
      </c>
      <c r="G11" s="89" t="s">
        <v>303</v>
      </c>
      <c r="H11" s="28">
        <v>5522</v>
      </c>
      <c r="I11" s="169">
        <v>6674</v>
      </c>
    </row>
    <row r="12" spans="1:9" customFormat="1" ht="23.1" customHeight="1" x14ac:dyDescent="0.15">
      <c r="A12" s="36">
        <v>8</v>
      </c>
      <c r="B12" s="37" t="s">
        <v>8</v>
      </c>
      <c r="C12" s="48" t="s">
        <v>312</v>
      </c>
      <c r="D12" s="73">
        <v>8</v>
      </c>
      <c r="E12" s="73">
        <v>22</v>
      </c>
      <c r="F12" s="77" t="s">
        <v>302</v>
      </c>
      <c r="G12" s="78" t="s">
        <v>313</v>
      </c>
      <c r="H12" s="40">
        <v>3498</v>
      </c>
      <c r="I12" s="166">
        <v>3718</v>
      </c>
    </row>
    <row r="13" spans="1:9" customFormat="1" ht="23.1" customHeight="1" x14ac:dyDescent="0.15">
      <c r="A13" s="41">
        <v>9</v>
      </c>
      <c r="B13" s="42" t="s">
        <v>9</v>
      </c>
      <c r="C13" s="33" t="s">
        <v>314</v>
      </c>
      <c r="D13" s="96">
        <v>10</v>
      </c>
      <c r="E13" s="96">
        <v>24</v>
      </c>
      <c r="F13" s="43" t="s">
        <v>315</v>
      </c>
      <c r="G13" s="44" t="s">
        <v>316</v>
      </c>
      <c r="H13" s="45">
        <v>2397</v>
      </c>
      <c r="I13" s="167">
        <v>2591</v>
      </c>
    </row>
    <row r="14" spans="1:9" customFormat="1" ht="23.1" customHeight="1" x14ac:dyDescent="0.15">
      <c r="A14" s="41">
        <v>10</v>
      </c>
      <c r="B14" s="42" t="s">
        <v>10</v>
      </c>
      <c r="C14" s="33" t="s">
        <v>321</v>
      </c>
      <c r="D14" s="95">
        <v>11</v>
      </c>
      <c r="E14" s="95">
        <v>26</v>
      </c>
      <c r="F14" s="43" t="s">
        <v>317</v>
      </c>
      <c r="G14" s="44" t="s">
        <v>323</v>
      </c>
      <c r="H14" s="45">
        <v>2999</v>
      </c>
      <c r="I14" s="167">
        <v>3149</v>
      </c>
    </row>
    <row r="15" spans="1:9" s="112" customFormat="1" ht="23.1" customHeight="1" x14ac:dyDescent="0.15">
      <c r="A15" s="41">
        <v>11</v>
      </c>
      <c r="B15" s="42" t="s">
        <v>11</v>
      </c>
      <c r="C15" s="33" t="s">
        <v>324</v>
      </c>
      <c r="D15" s="95">
        <v>13</v>
      </c>
      <c r="E15" s="95">
        <v>27</v>
      </c>
      <c r="F15" s="43" t="s">
        <v>318</v>
      </c>
      <c r="G15" s="44" t="s">
        <v>322</v>
      </c>
      <c r="H15" s="45">
        <v>4489</v>
      </c>
      <c r="I15" s="167">
        <v>4613</v>
      </c>
    </row>
    <row r="16" spans="1:9" s="111" customFormat="1" ht="23.1" customHeight="1" x14ac:dyDescent="0.15">
      <c r="A16" s="41">
        <v>12</v>
      </c>
      <c r="B16" s="42" t="s">
        <v>5</v>
      </c>
      <c r="C16" s="33" t="s">
        <v>330</v>
      </c>
      <c r="D16" s="95">
        <v>13</v>
      </c>
      <c r="E16" s="95">
        <v>25</v>
      </c>
      <c r="F16" s="43" t="s">
        <v>319</v>
      </c>
      <c r="G16" s="44" t="s">
        <v>327</v>
      </c>
      <c r="H16" s="45">
        <v>11157</v>
      </c>
      <c r="I16" s="167">
        <v>11433</v>
      </c>
    </row>
    <row r="17" spans="1:9" customFormat="1" ht="23.1" customHeight="1" x14ac:dyDescent="0.15">
      <c r="A17" s="60">
        <v>13</v>
      </c>
      <c r="B17" s="61" t="s">
        <v>6</v>
      </c>
      <c r="C17" s="62" t="s">
        <v>329</v>
      </c>
      <c r="D17" s="66">
        <v>13</v>
      </c>
      <c r="E17" s="66">
        <v>24</v>
      </c>
      <c r="F17" s="75" t="s">
        <v>320</v>
      </c>
      <c r="G17" s="76" t="s">
        <v>326</v>
      </c>
      <c r="H17" s="65">
        <v>14273</v>
      </c>
      <c r="I17" s="168">
        <v>15951</v>
      </c>
    </row>
    <row r="18" spans="1:9" customFormat="1" ht="23.1" customHeight="1" x14ac:dyDescent="0.15">
      <c r="A18" s="30">
        <v>14</v>
      </c>
      <c r="B18" s="24" t="s">
        <v>7</v>
      </c>
      <c r="C18" s="25" t="s">
        <v>328</v>
      </c>
      <c r="D18" s="26">
        <v>13</v>
      </c>
      <c r="E18" s="26">
        <v>24</v>
      </c>
      <c r="F18" s="88" t="s">
        <v>320</v>
      </c>
      <c r="G18" s="89" t="s">
        <v>325</v>
      </c>
      <c r="H18" s="28">
        <v>9809</v>
      </c>
      <c r="I18" s="169">
        <v>11856</v>
      </c>
    </row>
    <row r="19" spans="1:9" customFormat="1" ht="23.1" customHeight="1" x14ac:dyDescent="0.15">
      <c r="A19" s="36">
        <v>15</v>
      </c>
      <c r="B19" s="37" t="s">
        <v>8</v>
      </c>
      <c r="C19" s="48" t="s">
        <v>335</v>
      </c>
      <c r="D19" s="38">
        <v>13</v>
      </c>
      <c r="E19" s="38">
        <v>28</v>
      </c>
      <c r="F19" s="77" t="s">
        <v>331</v>
      </c>
      <c r="G19" s="78" t="s">
        <v>334</v>
      </c>
      <c r="H19" s="40">
        <v>3380</v>
      </c>
      <c r="I19" s="166">
        <v>3380</v>
      </c>
    </row>
    <row r="20" spans="1:9" customFormat="1" ht="23.1" customHeight="1" x14ac:dyDescent="0.15">
      <c r="A20" s="41">
        <v>16</v>
      </c>
      <c r="B20" s="42" t="s">
        <v>9</v>
      </c>
      <c r="C20" s="33" t="s">
        <v>336</v>
      </c>
      <c r="D20" s="95">
        <v>17</v>
      </c>
      <c r="E20" s="95">
        <v>31</v>
      </c>
      <c r="F20" s="43" t="s">
        <v>332</v>
      </c>
      <c r="G20" s="44" t="s">
        <v>337</v>
      </c>
      <c r="H20" s="45">
        <v>3719</v>
      </c>
      <c r="I20" s="167">
        <v>3936</v>
      </c>
    </row>
    <row r="21" spans="1:9" customFormat="1" ht="23.1" customHeight="1" x14ac:dyDescent="0.15">
      <c r="A21" s="41">
        <v>17</v>
      </c>
      <c r="B21" s="42" t="s">
        <v>10</v>
      </c>
      <c r="C21" s="33" t="s">
        <v>339</v>
      </c>
      <c r="D21" s="95">
        <v>19</v>
      </c>
      <c r="E21" s="95">
        <v>29</v>
      </c>
      <c r="F21" s="43" t="s">
        <v>333</v>
      </c>
      <c r="G21" s="44" t="s">
        <v>338</v>
      </c>
      <c r="H21" s="45">
        <v>3457</v>
      </c>
      <c r="I21" s="167">
        <v>3597</v>
      </c>
    </row>
    <row r="22" spans="1:9" s="112" customFormat="1" ht="23.1" customHeight="1" x14ac:dyDescent="0.15">
      <c r="A22" s="41">
        <v>18</v>
      </c>
      <c r="B22" s="42" t="s">
        <v>11</v>
      </c>
      <c r="C22" s="33" t="s">
        <v>341</v>
      </c>
      <c r="D22" s="95">
        <v>19</v>
      </c>
      <c r="E22" s="95">
        <v>28</v>
      </c>
      <c r="F22" s="43" t="s">
        <v>332</v>
      </c>
      <c r="G22" s="44" t="s">
        <v>340</v>
      </c>
      <c r="H22" s="45">
        <v>3467</v>
      </c>
      <c r="I22" s="167">
        <v>3575</v>
      </c>
    </row>
    <row r="23" spans="1:9" s="111" customFormat="1" ht="23.1" customHeight="1" x14ac:dyDescent="0.15">
      <c r="A23" s="41">
        <v>19</v>
      </c>
      <c r="B23" s="42" t="s">
        <v>5</v>
      </c>
      <c r="C23" s="33" t="s">
        <v>349</v>
      </c>
      <c r="D23" s="95">
        <v>17</v>
      </c>
      <c r="E23" s="95">
        <v>28</v>
      </c>
      <c r="F23" s="43" t="s">
        <v>343</v>
      </c>
      <c r="G23" s="44" t="s">
        <v>344</v>
      </c>
      <c r="H23" s="45">
        <v>7912</v>
      </c>
      <c r="I23" s="167">
        <v>8338</v>
      </c>
    </row>
    <row r="24" spans="1:9" customFormat="1" ht="23.1" customHeight="1" x14ac:dyDescent="0.15">
      <c r="A24" s="60">
        <v>20</v>
      </c>
      <c r="B24" s="61" t="s">
        <v>6</v>
      </c>
      <c r="C24" s="62" t="s">
        <v>348</v>
      </c>
      <c r="D24" s="66">
        <v>17</v>
      </c>
      <c r="E24" s="66">
        <v>27</v>
      </c>
      <c r="F24" s="75" t="s">
        <v>345</v>
      </c>
      <c r="G24" s="76" t="s">
        <v>346</v>
      </c>
      <c r="H24" s="65">
        <v>14233</v>
      </c>
      <c r="I24" s="168">
        <v>15884</v>
      </c>
    </row>
    <row r="25" spans="1:9" customFormat="1" ht="23.1" customHeight="1" x14ac:dyDescent="0.15">
      <c r="A25" s="30">
        <v>21</v>
      </c>
      <c r="B25" s="24" t="s">
        <v>7</v>
      </c>
      <c r="C25" s="25" t="s">
        <v>342</v>
      </c>
      <c r="D25" s="26">
        <v>15</v>
      </c>
      <c r="E25" s="26">
        <v>22</v>
      </c>
      <c r="F25" s="88" t="s">
        <v>347</v>
      </c>
      <c r="G25" s="89" t="s">
        <v>344</v>
      </c>
      <c r="H25" s="28">
        <v>7174</v>
      </c>
      <c r="I25" s="169">
        <v>8977</v>
      </c>
    </row>
    <row r="26" spans="1:9" customFormat="1" ht="23.1" customHeight="1" x14ac:dyDescent="0.15">
      <c r="A26" s="36">
        <v>22</v>
      </c>
      <c r="B26" s="37" t="s">
        <v>8</v>
      </c>
      <c r="C26" s="48" t="s">
        <v>350</v>
      </c>
      <c r="D26" s="38">
        <v>16</v>
      </c>
      <c r="E26" s="38">
        <v>27</v>
      </c>
      <c r="F26" s="77" t="s">
        <v>351</v>
      </c>
      <c r="G26" s="78" t="s">
        <v>355</v>
      </c>
      <c r="H26" s="40">
        <v>3065</v>
      </c>
      <c r="I26" s="166">
        <v>3209</v>
      </c>
    </row>
    <row r="27" spans="1:9" customFormat="1" ht="23.1" customHeight="1" x14ac:dyDescent="0.15">
      <c r="A27" s="41">
        <v>23</v>
      </c>
      <c r="B27" s="42" t="s">
        <v>9</v>
      </c>
      <c r="C27" s="33" t="s">
        <v>362</v>
      </c>
      <c r="D27" s="95">
        <v>14</v>
      </c>
      <c r="E27" s="95">
        <v>27</v>
      </c>
      <c r="F27" s="43" t="s">
        <v>352</v>
      </c>
      <c r="G27" s="44" t="s">
        <v>359</v>
      </c>
      <c r="H27" s="45">
        <v>2704</v>
      </c>
      <c r="I27" s="167">
        <v>2889</v>
      </c>
    </row>
    <row r="28" spans="1:9" s="111" customFormat="1" ht="23.1" customHeight="1" x14ac:dyDescent="0.15">
      <c r="A28" s="41">
        <v>24</v>
      </c>
      <c r="B28" s="42" t="s">
        <v>10</v>
      </c>
      <c r="C28" s="33" t="s">
        <v>361</v>
      </c>
      <c r="D28" s="95">
        <v>15</v>
      </c>
      <c r="E28" s="95">
        <v>26</v>
      </c>
      <c r="F28" s="43" t="s">
        <v>353</v>
      </c>
      <c r="G28" s="44" t="s">
        <v>360</v>
      </c>
      <c r="H28" s="45">
        <v>3544</v>
      </c>
      <c r="I28" s="167">
        <v>3729</v>
      </c>
    </row>
    <row r="29" spans="1:9" s="111" customFormat="1" ht="23.1" customHeight="1" x14ac:dyDescent="0.15">
      <c r="A29" s="41">
        <v>25</v>
      </c>
      <c r="B29" s="42" t="s">
        <v>11</v>
      </c>
      <c r="C29" s="33" t="s">
        <v>363</v>
      </c>
      <c r="D29" s="95">
        <v>16</v>
      </c>
      <c r="E29" s="95">
        <v>27</v>
      </c>
      <c r="F29" s="43" t="s">
        <v>354</v>
      </c>
      <c r="G29" s="44" t="s">
        <v>364</v>
      </c>
      <c r="H29" s="45">
        <v>5183</v>
      </c>
      <c r="I29" s="167">
        <v>5368</v>
      </c>
    </row>
    <row r="30" spans="1:9" s="111" customFormat="1" ht="23.1" customHeight="1" x14ac:dyDescent="0.15">
      <c r="A30" s="41">
        <v>26</v>
      </c>
      <c r="B30" s="42" t="s">
        <v>5</v>
      </c>
      <c r="C30" s="33" t="s">
        <v>367</v>
      </c>
      <c r="D30" s="95">
        <v>16</v>
      </c>
      <c r="E30" s="95">
        <v>27</v>
      </c>
      <c r="F30" s="43" t="s">
        <v>356</v>
      </c>
      <c r="G30" s="44" t="s">
        <v>370</v>
      </c>
      <c r="H30" s="45">
        <v>3801</v>
      </c>
      <c r="I30" s="167">
        <v>4188</v>
      </c>
    </row>
    <row r="31" spans="1:9" s="111" customFormat="1" ht="23.1" customHeight="1" x14ac:dyDescent="0.15">
      <c r="A31" s="5">
        <v>27</v>
      </c>
      <c r="B31" s="6" t="s">
        <v>6</v>
      </c>
      <c r="C31" s="15" t="s">
        <v>366</v>
      </c>
      <c r="D31" s="19">
        <v>19</v>
      </c>
      <c r="E31" s="19">
        <v>21</v>
      </c>
      <c r="F31" s="99" t="s">
        <v>357</v>
      </c>
      <c r="G31" s="100" t="s">
        <v>369</v>
      </c>
      <c r="H31" s="13">
        <v>3346</v>
      </c>
      <c r="I31" s="170">
        <v>3840</v>
      </c>
    </row>
    <row r="32" spans="1:9" customFormat="1" ht="23.1" customHeight="1" x14ac:dyDescent="0.15">
      <c r="A32" s="30">
        <v>28</v>
      </c>
      <c r="B32" s="24" t="s">
        <v>7</v>
      </c>
      <c r="C32" s="25" t="s">
        <v>365</v>
      </c>
      <c r="D32" s="26">
        <v>18</v>
      </c>
      <c r="E32" s="26">
        <v>20</v>
      </c>
      <c r="F32" s="88" t="s">
        <v>358</v>
      </c>
      <c r="G32" s="89" t="s">
        <v>368</v>
      </c>
      <c r="H32" s="28">
        <v>477</v>
      </c>
      <c r="I32" s="169">
        <v>532</v>
      </c>
    </row>
    <row r="33" spans="1:9" customFormat="1" ht="23.1" customHeight="1" x14ac:dyDescent="0.15">
      <c r="A33" s="10">
        <v>29</v>
      </c>
      <c r="B33" s="11" t="s">
        <v>8</v>
      </c>
      <c r="C33" s="29" t="s">
        <v>371</v>
      </c>
      <c r="D33" s="21">
        <v>19</v>
      </c>
      <c r="E33" s="21">
        <v>29</v>
      </c>
      <c r="F33" s="133" t="s">
        <v>235</v>
      </c>
      <c r="G33" s="134" t="s">
        <v>372</v>
      </c>
      <c r="H33" s="23">
        <v>8229</v>
      </c>
      <c r="I33" s="171">
        <v>10394</v>
      </c>
    </row>
    <row r="34" spans="1:9" customFormat="1" ht="23.25" customHeight="1" x14ac:dyDescent="0.15">
      <c r="A34" s="41">
        <v>30</v>
      </c>
      <c r="B34" s="42" t="s">
        <v>9</v>
      </c>
      <c r="C34" s="33" t="s">
        <v>374</v>
      </c>
      <c r="D34" s="95">
        <v>21</v>
      </c>
      <c r="E34" s="95">
        <v>29</v>
      </c>
      <c r="F34" s="43" t="s">
        <v>373</v>
      </c>
      <c r="G34" s="44" t="s">
        <v>375</v>
      </c>
      <c r="H34" s="45">
        <v>2342</v>
      </c>
      <c r="I34" s="167">
        <v>2462</v>
      </c>
    </row>
    <row r="35" spans="1:9" customFormat="1" ht="23.1" customHeight="1" thickBot="1" x14ac:dyDescent="0.2">
      <c r="A35" s="49">
        <v>31</v>
      </c>
      <c r="B35" s="50" t="s">
        <v>10</v>
      </c>
      <c r="C35" s="51" t="s">
        <v>376</v>
      </c>
      <c r="D35" s="52">
        <v>19</v>
      </c>
      <c r="E35" s="52">
        <v>28</v>
      </c>
      <c r="F35" s="97" t="s">
        <v>373</v>
      </c>
      <c r="G35" s="98" t="s">
        <v>377</v>
      </c>
      <c r="H35" s="54">
        <v>2363</v>
      </c>
      <c r="I35" s="172">
        <v>2523</v>
      </c>
    </row>
    <row r="36" spans="1:9" s="3" customFormat="1" ht="21" customHeight="1" thickBot="1" x14ac:dyDescent="0.2">
      <c r="A36" s="152" t="s">
        <v>27</v>
      </c>
      <c r="B36" s="153"/>
      <c r="C36" s="153"/>
      <c r="D36" s="153"/>
      <c r="E36" s="153"/>
      <c r="F36" s="153"/>
      <c r="G36" s="154"/>
      <c r="H36" s="173">
        <f t="shared" ref="H36:I36" si="0">SUM(H5:H35)</f>
        <v>171844</v>
      </c>
      <c r="I36" s="174">
        <f t="shared" si="0"/>
        <v>188283</v>
      </c>
    </row>
    <row r="37" spans="1:9" s="3" customFormat="1" ht="21" customHeight="1" thickBot="1" x14ac:dyDescent="0.2">
      <c r="A37" s="136" t="s">
        <v>28</v>
      </c>
      <c r="B37" s="137"/>
      <c r="C37" s="137"/>
      <c r="D37" s="137"/>
      <c r="E37" s="137"/>
      <c r="F37" s="137"/>
      <c r="G37" s="138"/>
      <c r="H37" s="175">
        <f>H36+'4월'!H37</f>
        <v>571078</v>
      </c>
      <c r="I37" s="176">
        <f>I36+'4월'!I37</f>
        <v>641931</v>
      </c>
    </row>
    <row r="39" spans="1:9" x14ac:dyDescent="0.15">
      <c r="I39" s="1">
        <f>50240/35103</f>
        <v>1.4312167051249181</v>
      </c>
    </row>
  </sheetData>
  <mergeCells count="9">
    <mergeCell ref="H3:H4"/>
    <mergeCell ref="A1:I1"/>
    <mergeCell ref="A37:G37"/>
    <mergeCell ref="B2:B4"/>
    <mergeCell ref="C2:C4"/>
    <mergeCell ref="D2:E3"/>
    <mergeCell ref="F2:G3"/>
    <mergeCell ref="A2:A4"/>
    <mergeCell ref="A36:G36"/>
  </mergeCells>
  <phoneticPr fontId="3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FFFF00"/>
  </sheetPr>
  <dimension ref="A1:I48"/>
  <sheetViews>
    <sheetView workbookViewId="0">
      <pane xSplit="7" ySplit="4" topLeftCell="K17" activePane="bottomRight" state="frozen"/>
      <selection activeCell="L7" sqref="L7"/>
      <selection pane="topRight" activeCell="L7" sqref="L7"/>
      <selection pane="bottomLeft" activeCell="L7" sqref="L7"/>
      <selection pane="bottomRight" activeCell="L7" sqref="L7"/>
    </sheetView>
  </sheetViews>
  <sheetFormatPr defaultColWidth="8.88671875" defaultRowHeight="13.5" x14ac:dyDescent="0.15"/>
  <cols>
    <col min="1" max="2" width="5.77734375" style="1" customWidth="1"/>
    <col min="3" max="3" width="8.77734375" style="9" customWidth="1"/>
    <col min="4" max="5" width="3.77734375" style="9" customWidth="1"/>
    <col min="6" max="6" width="5.77734375" style="9" customWidth="1"/>
    <col min="7" max="7" width="5.77734375" style="1" customWidth="1"/>
    <col min="8" max="9" width="9.77734375" style="1" customWidth="1"/>
    <col min="10" max="16384" width="8.88671875" style="1"/>
  </cols>
  <sheetData>
    <row r="1" spans="1:9" s="2" customFormat="1" ht="21" customHeight="1" x14ac:dyDescent="0.15">
      <c r="A1" s="155" t="s">
        <v>30</v>
      </c>
      <c r="B1" s="156"/>
      <c r="C1" s="156"/>
      <c r="D1" s="156"/>
      <c r="E1" s="156"/>
      <c r="F1" s="156"/>
      <c r="G1" s="156"/>
      <c r="H1" s="156"/>
      <c r="I1" s="157"/>
    </row>
    <row r="2" spans="1:9" s="2" customFormat="1" ht="22.5" customHeight="1" x14ac:dyDescent="0.15">
      <c r="A2" s="145" t="s">
        <v>2</v>
      </c>
      <c r="B2" s="148" t="s">
        <v>1</v>
      </c>
      <c r="C2" s="139" t="s">
        <v>12</v>
      </c>
      <c r="D2" s="139" t="s">
        <v>15</v>
      </c>
      <c r="E2" s="140"/>
      <c r="F2" s="139" t="s">
        <v>16</v>
      </c>
      <c r="G2" s="143"/>
      <c r="H2" s="159" t="s">
        <v>22</v>
      </c>
      <c r="I2" s="160" t="s">
        <v>21</v>
      </c>
    </row>
    <row r="3" spans="1:9" s="2" customFormat="1" ht="18.75" customHeight="1" x14ac:dyDescent="0.15">
      <c r="A3" s="146"/>
      <c r="B3" s="158"/>
      <c r="C3" s="150"/>
      <c r="D3" s="141"/>
      <c r="E3" s="142"/>
      <c r="F3" s="141"/>
      <c r="G3" s="144"/>
      <c r="H3" s="161" t="s">
        <v>23</v>
      </c>
      <c r="I3" s="162" t="s">
        <v>20</v>
      </c>
    </row>
    <row r="4" spans="1:9" s="2" customFormat="1" ht="18.75" customHeight="1" x14ac:dyDescent="0.15">
      <c r="A4" s="147"/>
      <c r="B4" s="149"/>
      <c r="C4" s="151"/>
      <c r="D4" s="14" t="s">
        <v>13</v>
      </c>
      <c r="E4" s="14" t="s">
        <v>14</v>
      </c>
      <c r="F4" s="14" t="s">
        <v>18</v>
      </c>
      <c r="G4" s="16" t="s">
        <v>17</v>
      </c>
      <c r="H4" s="163"/>
      <c r="I4" s="164" t="s">
        <v>19</v>
      </c>
    </row>
    <row r="5" spans="1:9" s="111" customFormat="1" ht="23.1" customHeight="1" x14ac:dyDescent="0.15">
      <c r="A5" s="31">
        <v>1</v>
      </c>
      <c r="B5" s="32" t="s">
        <v>48</v>
      </c>
      <c r="C5" s="46" t="s">
        <v>391</v>
      </c>
      <c r="D5" s="74">
        <v>20</v>
      </c>
      <c r="E5" s="74">
        <v>26</v>
      </c>
      <c r="F5" s="113" t="s">
        <v>378</v>
      </c>
      <c r="G5" s="101" t="s">
        <v>379</v>
      </c>
      <c r="H5" s="35">
        <v>3416</v>
      </c>
      <c r="I5" s="177">
        <v>3630</v>
      </c>
    </row>
    <row r="6" spans="1:9" customFormat="1" ht="23.1" customHeight="1" x14ac:dyDescent="0.15">
      <c r="A6" s="41">
        <v>2</v>
      </c>
      <c r="B6" s="42" t="s">
        <v>49</v>
      </c>
      <c r="C6" s="33" t="s">
        <v>392</v>
      </c>
      <c r="D6" s="95">
        <v>18</v>
      </c>
      <c r="E6" s="95">
        <v>25</v>
      </c>
      <c r="F6" s="95" t="s">
        <v>380</v>
      </c>
      <c r="G6" s="102" t="s">
        <v>381</v>
      </c>
      <c r="H6" s="45">
        <v>6669</v>
      </c>
      <c r="I6" s="167">
        <v>7046</v>
      </c>
    </row>
    <row r="7" spans="1:9" customFormat="1" ht="23.1" customHeight="1" x14ac:dyDescent="0.15">
      <c r="A7" s="60">
        <v>3</v>
      </c>
      <c r="B7" s="61" t="s">
        <v>6</v>
      </c>
      <c r="C7" s="62" t="s">
        <v>393</v>
      </c>
      <c r="D7" s="66">
        <v>17</v>
      </c>
      <c r="E7" s="66">
        <v>28</v>
      </c>
      <c r="F7" s="66" t="s">
        <v>382</v>
      </c>
      <c r="G7" s="103" t="s">
        <v>383</v>
      </c>
      <c r="H7" s="65">
        <v>22515</v>
      </c>
      <c r="I7" s="168">
        <v>23868</v>
      </c>
    </row>
    <row r="8" spans="1:9" s="112" customFormat="1" ht="23.1" customHeight="1" x14ac:dyDescent="0.15">
      <c r="A8" s="30">
        <v>4</v>
      </c>
      <c r="B8" s="24" t="s">
        <v>7</v>
      </c>
      <c r="C8" s="25" t="s">
        <v>394</v>
      </c>
      <c r="D8" s="88">
        <v>17</v>
      </c>
      <c r="E8" s="88">
        <v>28</v>
      </c>
      <c r="F8" s="88" t="s">
        <v>384</v>
      </c>
      <c r="G8" s="89" t="s">
        <v>381</v>
      </c>
      <c r="H8" s="28">
        <v>21194</v>
      </c>
      <c r="I8" s="169">
        <v>22761</v>
      </c>
    </row>
    <row r="9" spans="1:9" s="111" customFormat="1" ht="23.1" customHeight="1" x14ac:dyDescent="0.15">
      <c r="A9" s="36">
        <v>5</v>
      </c>
      <c r="B9" s="37" t="s">
        <v>8</v>
      </c>
      <c r="C9" s="48" t="s">
        <v>395</v>
      </c>
      <c r="D9" s="38">
        <v>18</v>
      </c>
      <c r="E9" s="38">
        <v>26</v>
      </c>
      <c r="F9" s="38" t="s">
        <v>385</v>
      </c>
      <c r="G9" s="105" t="s">
        <v>234</v>
      </c>
      <c r="H9" s="40">
        <v>16205</v>
      </c>
      <c r="I9" s="166">
        <v>17132</v>
      </c>
    </row>
    <row r="10" spans="1:9" customFormat="1" ht="23.1" customHeight="1" x14ac:dyDescent="0.15">
      <c r="A10" s="5">
        <v>6</v>
      </c>
      <c r="B10" s="6" t="s">
        <v>9</v>
      </c>
      <c r="C10" s="15" t="s">
        <v>410</v>
      </c>
      <c r="D10" s="19">
        <v>17</v>
      </c>
      <c r="E10" s="19">
        <v>25</v>
      </c>
      <c r="F10" s="19" t="s">
        <v>384</v>
      </c>
      <c r="G10" s="118" t="s">
        <v>386</v>
      </c>
      <c r="H10" s="13">
        <v>11432</v>
      </c>
      <c r="I10" s="170">
        <v>13029</v>
      </c>
    </row>
    <row r="11" spans="1:9" customFormat="1" ht="23.1" customHeight="1" x14ac:dyDescent="0.15">
      <c r="A11" s="41">
        <v>7</v>
      </c>
      <c r="B11" s="42" t="s">
        <v>10</v>
      </c>
      <c r="C11" s="33" t="s">
        <v>397</v>
      </c>
      <c r="D11" s="95">
        <v>19</v>
      </c>
      <c r="E11" s="95">
        <v>26</v>
      </c>
      <c r="F11" s="95" t="s">
        <v>385</v>
      </c>
      <c r="G11" s="102" t="s">
        <v>387</v>
      </c>
      <c r="H11" s="45">
        <v>3350</v>
      </c>
      <c r="I11" s="167">
        <v>3483</v>
      </c>
    </row>
    <row r="12" spans="1:9" customFormat="1" ht="23.1" customHeight="1" x14ac:dyDescent="0.15">
      <c r="A12" s="41">
        <v>8</v>
      </c>
      <c r="B12" s="42" t="s">
        <v>11</v>
      </c>
      <c r="C12" s="33" t="s">
        <v>401</v>
      </c>
      <c r="D12" s="96">
        <v>18</v>
      </c>
      <c r="E12" s="96">
        <v>24</v>
      </c>
      <c r="F12" s="96" t="s">
        <v>385</v>
      </c>
      <c r="G12" s="102" t="s">
        <v>379</v>
      </c>
      <c r="H12" s="45">
        <v>1422</v>
      </c>
      <c r="I12" s="167">
        <v>1477</v>
      </c>
    </row>
    <row r="13" spans="1:9" customFormat="1" ht="23.1" customHeight="1" x14ac:dyDescent="0.15">
      <c r="A13" s="41">
        <v>9</v>
      </c>
      <c r="B13" s="42" t="s">
        <v>5</v>
      </c>
      <c r="C13" s="33" t="s">
        <v>396</v>
      </c>
      <c r="D13" s="96">
        <v>18</v>
      </c>
      <c r="E13" s="96">
        <v>28</v>
      </c>
      <c r="F13" s="96" t="s">
        <v>388</v>
      </c>
      <c r="G13" s="102" t="s">
        <v>381</v>
      </c>
      <c r="H13" s="45">
        <v>2911</v>
      </c>
      <c r="I13" s="167">
        <v>3212</v>
      </c>
    </row>
    <row r="14" spans="1:9" customFormat="1" ht="23.1" customHeight="1" x14ac:dyDescent="0.15">
      <c r="A14" s="60">
        <v>10</v>
      </c>
      <c r="B14" s="61" t="s">
        <v>6</v>
      </c>
      <c r="C14" s="62" t="s">
        <v>402</v>
      </c>
      <c r="D14" s="66">
        <v>20</v>
      </c>
      <c r="E14" s="66">
        <v>29</v>
      </c>
      <c r="F14" s="66" t="s">
        <v>382</v>
      </c>
      <c r="G14" s="103" t="s">
        <v>389</v>
      </c>
      <c r="H14" s="65">
        <v>5165</v>
      </c>
      <c r="I14" s="168">
        <v>6291</v>
      </c>
    </row>
    <row r="15" spans="1:9" s="112" customFormat="1" ht="23.1" customHeight="1" x14ac:dyDescent="0.15">
      <c r="A15" s="30">
        <v>11</v>
      </c>
      <c r="B15" s="24" t="s">
        <v>7</v>
      </c>
      <c r="C15" s="25" t="s">
        <v>403</v>
      </c>
      <c r="D15" s="26">
        <v>18</v>
      </c>
      <c r="E15" s="26">
        <v>27</v>
      </c>
      <c r="F15" s="26" t="s">
        <v>384</v>
      </c>
      <c r="G15" s="104" t="s">
        <v>390</v>
      </c>
      <c r="H15" s="28">
        <v>4444</v>
      </c>
      <c r="I15" s="169">
        <v>5635</v>
      </c>
    </row>
    <row r="16" spans="1:9" s="111" customFormat="1" ht="23.1" customHeight="1" x14ac:dyDescent="0.15">
      <c r="A16" s="36">
        <v>12</v>
      </c>
      <c r="B16" s="37" t="s">
        <v>8</v>
      </c>
      <c r="C16" s="48" t="s">
        <v>409</v>
      </c>
      <c r="D16" s="38">
        <v>18</v>
      </c>
      <c r="E16" s="38">
        <v>28</v>
      </c>
      <c r="F16" s="38" t="s">
        <v>398</v>
      </c>
      <c r="G16" s="105" t="s">
        <v>404</v>
      </c>
      <c r="H16" s="40">
        <v>1575</v>
      </c>
      <c r="I16" s="166">
        <v>1659</v>
      </c>
    </row>
    <row r="17" spans="1:9" customFormat="1" ht="23.1" customHeight="1" x14ac:dyDescent="0.15">
      <c r="A17" s="41">
        <v>13</v>
      </c>
      <c r="B17" s="42" t="s">
        <v>9</v>
      </c>
      <c r="C17" s="33" t="s">
        <v>408</v>
      </c>
      <c r="D17" s="95">
        <v>19</v>
      </c>
      <c r="E17" s="95">
        <v>26</v>
      </c>
      <c r="F17" s="95" t="s">
        <v>398</v>
      </c>
      <c r="G17" s="102" t="s">
        <v>405</v>
      </c>
      <c r="H17" s="45">
        <v>1303</v>
      </c>
      <c r="I17" s="167">
        <v>1406</v>
      </c>
    </row>
    <row r="18" spans="1:9" customFormat="1" ht="23.1" customHeight="1" x14ac:dyDescent="0.15">
      <c r="A18" s="41">
        <v>14</v>
      </c>
      <c r="B18" s="42" t="s">
        <v>10</v>
      </c>
      <c r="C18" s="33" t="s">
        <v>407</v>
      </c>
      <c r="D18" s="95">
        <v>18</v>
      </c>
      <c r="E18" s="95">
        <v>25</v>
      </c>
      <c r="F18" s="95" t="s">
        <v>398</v>
      </c>
      <c r="G18" s="102" t="s">
        <v>406</v>
      </c>
      <c r="H18" s="45">
        <v>1403</v>
      </c>
      <c r="I18" s="167">
        <v>1484</v>
      </c>
    </row>
    <row r="19" spans="1:9" customFormat="1" ht="23.1" customHeight="1" x14ac:dyDescent="0.15">
      <c r="A19" s="41">
        <v>15</v>
      </c>
      <c r="B19" s="42" t="s">
        <v>11</v>
      </c>
      <c r="C19" s="33" t="s">
        <v>418</v>
      </c>
      <c r="D19" s="95">
        <v>18</v>
      </c>
      <c r="E19" s="95">
        <v>28</v>
      </c>
      <c r="F19" s="95" t="s">
        <v>399</v>
      </c>
      <c r="G19" s="102" t="s">
        <v>414</v>
      </c>
      <c r="H19" s="45">
        <v>1523</v>
      </c>
      <c r="I19" s="167">
        <v>1631</v>
      </c>
    </row>
    <row r="20" spans="1:9" customFormat="1" ht="23.1" customHeight="1" x14ac:dyDescent="0.15">
      <c r="A20" s="41">
        <v>16</v>
      </c>
      <c r="B20" s="42" t="s">
        <v>5</v>
      </c>
      <c r="C20" s="33" t="s">
        <v>417</v>
      </c>
      <c r="D20" s="95">
        <v>19</v>
      </c>
      <c r="E20" s="95">
        <v>29</v>
      </c>
      <c r="F20" s="95" t="s">
        <v>400</v>
      </c>
      <c r="G20" s="102" t="s">
        <v>413</v>
      </c>
      <c r="H20" s="45">
        <v>2572</v>
      </c>
      <c r="I20" s="167">
        <v>2878</v>
      </c>
    </row>
    <row r="21" spans="1:9" customFormat="1" ht="23.1" customHeight="1" x14ac:dyDescent="0.15">
      <c r="A21" s="60">
        <v>17</v>
      </c>
      <c r="B21" s="61" t="s">
        <v>6</v>
      </c>
      <c r="C21" s="62" t="s">
        <v>416</v>
      </c>
      <c r="D21" s="66">
        <v>19</v>
      </c>
      <c r="E21" s="66">
        <v>30</v>
      </c>
      <c r="F21" s="66" t="s">
        <v>235</v>
      </c>
      <c r="G21" s="103" t="s">
        <v>413</v>
      </c>
      <c r="H21" s="65">
        <v>8974</v>
      </c>
      <c r="I21" s="168">
        <v>10217</v>
      </c>
    </row>
    <row r="22" spans="1:9" s="112" customFormat="1" ht="23.1" customHeight="1" x14ac:dyDescent="0.15">
      <c r="A22" s="30">
        <v>18</v>
      </c>
      <c r="B22" s="24" t="s">
        <v>7</v>
      </c>
      <c r="C22" s="25" t="s">
        <v>415</v>
      </c>
      <c r="D22" s="26">
        <v>21</v>
      </c>
      <c r="E22" s="26">
        <v>33</v>
      </c>
      <c r="F22" s="26" t="s">
        <v>411</v>
      </c>
      <c r="G22" s="104" t="s">
        <v>412</v>
      </c>
      <c r="H22" s="28">
        <v>4616</v>
      </c>
      <c r="I22" s="169">
        <v>5676</v>
      </c>
    </row>
    <row r="23" spans="1:9" s="111" customFormat="1" ht="23.1" customHeight="1" x14ac:dyDescent="0.15">
      <c r="A23" s="36">
        <v>19</v>
      </c>
      <c r="B23" s="37" t="s">
        <v>8</v>
      </c>
      <c r="C23" s="48" t="s">
        <v>427</v>
      </c>
      <c r="D23" s="38">
        <v>23</v>
      </c>
      <c r="E23" s="38">
        <v>34</v>
      </c>
      <c r="F23" s="38" t="s">
        <v>419</v>
      </c>
      <c r="G23" s="105" t="s">
        <v>420</v>
      </c>
      <c r="H23" s="40">
        <v>902</v>
      </c>
      <c r="I23" s="166">
        <v>949</v>
      </c>
    </row>
    <row r="24" spans="1:9" customFormat="1" ht="23.1" customHeight="1" x14ac:dyDescent="0.15">
      <c r="A24" s="41">
        <v>20</v>
      </c>
      <c r="B24" s="42" t="s">
        <v>9</v>
      </c>
      <c r="C24" s="33" t="s">
        <v>428</v>
      </c>
      <c r="D24" s="95">
        <v>21</v>
      </c>
      <c r="E24" s="95">
        <v>26</v>
      </c>
      <c r="F24" s="95" t="s">
        <v>419</v>
      </c>
      <c r="G24" s="102" t="s">
        <v>429</v>
      </c>
      <c r="H24" s="45">
        <v>980</v>
      </c>
      <c r="I24" s="167">
        <v>1044</v>
      </c>
    </row>
    <row r="25" spans="1:9" customFormat="1" ht="23.1" customHeight="1" x14ac:dyDescent="0.15">
      <c r="A25" s="41">
        <v>21</v>
      </c>
      <c r="B25" s="42" t="s">
        <v>10</v>
      </c>
      <c r="C25" s="33" t="s">
        <v>430</v>
      </c>
      <c r="D25" s="95">
        <v>19</v>
      </c>
      <c r="E25" s="95">
        <v>22</v>
      </c>
      <c r="F25" s="95" t="s">
        <v>421</v>
      </c>
      <c r="G25" s="102" t="s">
        <v>431</v>
      </c>
      <c r="H25" s="45">
        <v>551</v>
      </c>
      <c r="I25" s="167">
        <v>564</v>
      </c>
    </row>
    <row r="26" spans="1:9" customFormat="1" ht="23.1" customHeight="1" x14ac:dyDescent="0.15">
      <c r="A26" s="41">
        <v>22</v>
      </c>
      <c r="B26" s="42" t="s">
        <v>11</v>
      </c>
      <c r="C26" s="33" t="s">
        <v>432</v>
      </c>
      <c r="D26" s="95">
        <v>19</v>
      </c>
      <c r="E26" s="95">
        <v>26</v>
      </c>
      <c r="F26" s="95" t="s">
        <v>419</v>
      </c>
      <c r="G26" s="102" t="s">
        <v>433</v>
      </c>
      <c r="H26" s="45">
        <v>1379</v>
      </c>
      <c r="I26" s="167">
        <v>1505</v>
      </c>
    </row>
    <row r="27" spans="1:9" customFormat="1" ht="23.1" customHeight="1" x14ac:dyDescent="0.15">
      <c r="A27" s="41">
        <v>23</v>
      </c>
      <c r="B27" s="42" t="s">
        <v>5</v>
      </c>
      <c r="C27" s="33" t="s">
        <v>438</v>
      </c>
      <c r="D27" s="95">
        <v>20</v>
      </c>
      <c r="E27" s="95">
        <v>30</v>
      </c>
      <c r="F27" s="95" t="s">
        <v>422</v>
      </c>
      <c r="G27" s="102" t="s">
        <v>439</v>
      </c>
      <c r="H27" s="45">
        <v>2028</v>
      </c>
      <c r="I27" s="167">
        <v>2318</v>
      </c>
    </row>
    <row r="28" spans="1:9" s="111" customFormat="1" ht="23.1" customHeight="1" x14ac:dyDescent="0.15">
      <c r="A28" s="60">
        <v>24</v>
      </c>
      <c r="B28" s="61" t="s">
        <v>6</v>
      </c>
      <c r="C28" s="62" t="s">
        <v>437</v>
      </c>
      <c r="D28" s="66">
        <v>22</v>
      </c>
      <c r="E28" s="66">
        <v>31</v>
      </c>
      <c r="F28" s="66" t="s">
        <v>423</v>
      </c>
      <c r="G28" s="103" t="s">
        <v>436</v>
      </c>
      <c r="H28" s="65">
        <v>9388</v>
      </c>
      <c r="I28" s="168">
        <v>10708</v>
      </c>
    </row>
    <row r="29" spans="1:9" s="111" customFormat="1" ht="23.1" customHeight="1" x14ac:dyDescent="0.15">
      <c r="A29" s="30">
        <v>25</v>
      </c>
      <c r="B29" s="24" t="s">
        <v>7</v>
      </c>
      <c r="C29" s="25" t="s">
        <v>434</v>
      </c>
      <c r="D29" s="26">
        <v>23</v>
      </c>
      <c r="E29" s="26">
        <v>33</v>
      </c>
      <c r="F29" s="26" t="s">
        <v>424</v>
      </c>
      <c r="G29" s="104" t="s">
        <v>435</v>
      </c>
      <c r="H29" s="28">
        <v>4652</v>
      </c>
      <c r="I29" s="169">
        <v>5821</v>
      </c>
    </row>
    <row r="30" spans="1:9" s="111" customFormat="1" ht="23.1" customHeight="1" x14ac:dyDescent="0.15">
      <c r="A30" s="36">
        <v>26</v>
      </c>
      <c r="B30" s="37" t="s">
        <v>8</v>
      </c>
      <c r="C30" s="48" t="s">
        <v>441</v>
      </c>
      <c r="D30" s="38">
        <v>22</v>
      </c>
      <c r="E30" s="38">
        <v>28</v>
      </c>
      <c r="F30" s="38" t="s">
        <v>422</v>
      </c>
      <c r="G30" s="105" t="s">
        <v>440</v>
      </c>
      <c r="H30" s="40">
        <v>73</v>
      </c>
      <c r="I30" s="166">
        <v>76</v>
      </c>
    </row>
    <row r="31" spans="1:9" s="111" customFormat="1" ht="23.1" customHeight="1" x14ac:dyDescent="0.15">
      <c r="A31" s="41">
        <v>27</v>
      </c>
      <c r="B31" s="42" t="s">
        <v>9</v>
      </c>
      <c r="C31" s="33" t="s">
        <v>443</v>
      </c>
      <c r="D31" s="95">
        <v>21</v>
      </c>
      <c r="E31" s="95">
        <v>29</v>
      </c>
      <c r="F31" s="95" t="s">
        <v>419</v>
      </c>
      <c r="G31" s="102" t="s">
        <v>442</v>
      </c>
      <c r="H31" s="45">
        <v>910</v>
      </c>
      <c r="I31" s="167">
        <v>985</v>
      </c>
    </row>
    <row r="32" spans="1:9" customFormat="1" ht="23.1" customHeight="1" x14ac:dyDescent="0.15">
      <c r="A32" s="41">
        <v>28</v>
      </c>
      <c r="B32" s="42" t="s">
        <v>10</v>
      </c>
      <c r="C32" s="33" t="s">
        <v>446</v>
      </c>
      <c r="D32" s="95">
        <v>24</v>
      </c>
      <c r="E32" s="95">
        <v>30</v>
      </c>
      <c r="F32" s="95" t="s">
        <v>425</v>
      </c>
      <c r="G32" s="102" t="s">
        <v>447</v>
      </c>
      <c r="H32" s="45">
        <v>852</v>
      </c>
      <c r="I32" s="167">
        <v>877</v>
      </c>
    </row>
    <row r="33" spans="1:9" customFormat="1" ht="23.1" customHeight="1" x14ac:dyDescent="0.15">
      <c r="A33" s="41">
        <v>29</v>
      </c>
      <c r="B33" s="42" t="s">
        <v>11</v>
      </c>
      <c r="C33" s="33" t="s">
        <v>445</v>
      </c>
      <c r="D33" s="95">
        <v>23</v>
      </c>
      <c r="E33" s="95">
        <v>26</v>
      </c>
      <c r="F33" s="95" t="s">
        <v>426</v>
      </c>
      <c r="G33" s="102" t="s">
        <v>444</v>
      </c>
      <c r="H33" s="45">
        <v>104</v>
      </c>
      <c r="I33" s="167">
        <v>109</v>
      </c>
    </row>
    <row r="34" spans="1:9" customFormat="1" ht="23.25" customHeight="1" x14ac:dyDescent="0.15">
      <c r="A34" s="41">
        <v>30</v>
      </c>
      <c r="B34" s="42" t="s">
        <v>5</v>
      </c>
      <c r="C34" s="33" t="s">
        <v>451</v>
      </c>
      <c r="D34" s="95">
        <v>23</v>
      </c>
      <c r="E34" s="95">
        <v>29</v>
      </c>
      <c r="F34" s="95" t="s">
        <v>422</v>
      </c>
      <c r="G34" s="102" t="s">
        <v>452</v>
      </c>
      <c r="H34" s="45">
        <v>1383</v>
      </c>
      <c r="I34" s="167">
        <v>1485</v>
      </c>
    </row>
    <row r="35" spans="1:9" customFormat="1" ht="23.1" customHeight="1" thickBot="1" x14ac:dyDescent="0.2">
      <c r="A35" s="49"/>
      <c r="B35" s="50"/>
      <c r="C35" s="51"/>
      <c r="D35" s="52"/>
      <c r="E35" s="52"/>
      <c r="F35" s="52"/>
      <c r="G35" s="106"/>
      <c r="H35" s="54">
        <v>0</v>
      </c>
      <c r="I35" s="172">
        <v>0</v>
      </c>
    </row>
    <row r="36" spans="1:9" s="3" customFormat="1" ht="21" customHeight="1" thickBot="1" x14ac:dyDescent="0.2">
      <c r="A36" s="152" t="s">
        <v>27</v>
      </c>
      <c r="B36" s="153"/>
      <c r="C36" s="153"/>
      <c r="D36" s="153"/>
      <c r="E36" s="153"/>
      <c r="F36" s="153"/>
      <c r="G36" s="154"/>
      <c r="H36" s="173">
        <f t="shared" ref="H36:I36" si="0">SUM(H5:H35)</f>
        <v>143891</v>
      </c>
      <c r="I36" s="174">
        <f t="shared" si="0"/>
        <v>158956</v>
      </c>
    </row>
    <row r="37" spans="1:9" s="3" customFormat="1" ht="21" customHeight="1" thickBot="1" x14ac:dyDescent="0.2">
      <c r="A37" s="136" t="s">
        <v>28</v>
      </c>
      <c r="B37" s="137"/>
      <c r="C37" s="137"/>
      <c r="D37" s="137"/>
      <c r="E37" s="137"/>
      <c r="F37" s="137"/>
      <c r="G37" s="138"/>
      <c r="H37" s="175">
        <f>H36+'5월'!H37</f>
        <v>714969</v>
      </c>
      <c r="I37" s="176">
        <f>I36+'5월'!I37</f>
        <v>800887</v>
      </c>
    </row>
    <row r="39" spans="1:9" x14ac:dyDescent="0.15">
      <c r="I39" s="1">
        <f>27139/28219</f>
        <v>0.9617279138169319</v>
      </c>
    </row>
    <row r="41" spans="1:9" x14ac:dyDescent="0.15">
      <c r="H41" s="92"/>
      <c r="I41" s="92">
        <f>79</f>
        <v>79</v>
      </c>
    </row>
    <row r="42" spans="1:9" x14ac:dyDescent="0.15">
      <c r="H42" s="92"/>
      <c r="I42" s="92"/>
    </row>
    <row r="43" spans="1:9" x14ac:dyDescent="0.15">
      <c r="H43" s="92"/>
      <c r="I43" s="92"/>
    </row>
    <row r="44" spans="1:9" x14ac:dyDescent="0.15">
      <c r="H44" s="92"/>
      <c r="I44" s="92"/>
    </row>
    <row r="45" spans="1:9" x14ac:dyDescent="0.15">
      <c r="H45" s="92"/>
      <c r="I45" s="92"/>
    </row>
    <row r="46" spans="1:9" x14ac:dyDescent="0.15">
      <c r="H46" s="92"/>
      <c r="I46" s="92"/>
    </row>
    <row r="47" spans="1:9" x14ac:dyDescent="0.15">
      <c r="H47" s="92"/>
      <c r="I47" s="92"/>
    </row>
    <row r="48" spans="1:9" x14ac:dyDescent="0.15">
      <c r="H48" s="92"/>
      <c r="I48" s="92"/>
    </row>
  </sheetData>
  <mergeCells count="9">
    <mergeCell ref="H3:H4"/>
    <mergeCell ref="A1:I1"/>
    <mergeCell ref="A37:G37"/>
    <mergeCell ref="B2:B4"/>
    <mergeCell ref="C2:C4"/>
    <mergeCell ref="D2:E3"/>
    <mergeCell ref="F2:G3"/>
    <mergeCell ref="A2:A4"/>
    <mergeCell ref="A36:G36"/>
  </mergeCells>
  <phoneticPr fontId="3" type="noConversion"/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FFFF00"/>
  </sheetPr>
  <dimension ref="A1:I40"/>
  <sheetViews>
    <sheetView workbookViewId="0">
      <pane xSplit="7" ySplit="4" topLeftCell="H17" activePane="bottomRight" state="frozen"/>
      <selection activeCell="L7" sqref="L7"/>
      <selection pane="topRight" activeCell="L7" sqref="L7"/>
      <selection pane="bottomLeft" activeCell="L7" sqref="L7"/>
      <selection pane="bottomRight" activeCell="L7" sqref="L7"/>
    </sheetView>
  </sheetViews>
  <sheetFormatPr defaultColWidth="8.88671875" defaultRowHeight="13.5" x14ac:dyDescent="0.15"/>
  <cols>
    <col min="1" max="2" width="5.77734375" style="1" customWidth="1"/>
    <col min="3" max="3" width="8.77734375" style="9" customWidth="1"/>
    <col min="4" max="5" width="3.77734375" style="9" customWidth="1"/>
    <col min="6" max="6" width="5.77734375" style="9" customWidth="1"/>
    <col min="7" max="7" width="5.77734375" style="1" customWidth="1"/>
    <col min="8" max="9" width="9.77734375" style="1" customWidth="1"/>
    <col min="10" max="16384" width="8.88671875" style="1"/>
  </cols>
  <sheetData>
    <row r="1" spans="1:9" s="2" customFormat="1" ht="21" customHeight="1" x14ac:dyDescent="0.15">
      <c r="A1" s="155" t="s">
        <v>31</v>
      </c>
      <c r="B1" s="156"/>
      <c r="C1" s="156"/>
      <c r="D1" s="156"/>
      <c r="E1" s="156"/>
      <c r="F1" s="156"/>
      <c r="G1" s="156"/>
      <c r="H1" s="156"/>
      <c r="I1" s="157"/>
    </row>
    <row r="2" spans="1:9" s="2" customFormat="1" ht="22.5" customHeight="1" x14ac:dyDescent="0.15">
      <c r="A2" s="145" t="s">
        <v>2</v>
      </c>
      <c r="B2" s="148" t="s">
        <v>1</v>
      </c>
      <c r="C2" s="139" t="s">
        <v>12</v>
      </c>
      <c r="D2" s="139" t="s">
        <v>15</v>
      </c>
      <c r="E2" s="140"/>
      <c r="F2" s="139" t="s">
        <v>16</v>
      </c>
      <c r="G2" s="143"/>
      <c r="H2" s="159" t="s">
        <v>22</v>
      </c>
      <c r="I2" s="160" t="s">
        <v>21</v>
      </c>
    </row>
    <row r="3" spans="1:9" s="2" customFormat="1" ht="18.75" customHeight="1" x14ac:dyDescent="0.15">
      <c r="A3" s="146"/>
      <c r="B3" s="158"/>
      <c r="C3" s="150"/>
      <c r="D3" s="141"/>
      <c r="E3" s="142"/>
      <c r="F3" s="141"/>
      <c r="G3" s="144"/>
      <c r="H3" s="161" t="s">
        <v>23</v>
      </c>
      <c r="I3" s="162" t="s">
        <v>20</v>
      </c>
    </row>
    <row r="4" spans="1:9" s="2" customFormat="1" ht="18.75" customHeight="1" x14ac:dyDescent="0.15">
      <c r="A4" s="147"/>
      <c r="B4" s="149"/>
      <c r="C4" s="151"/>
      <c r="D4" s="14" t="s">
        <v>13</v>
      </c>
      <c r="E4" s="14" t="s">
        <v>14</v>
      </c>
      <c r="F4" s="14" t="s">
        <v>18</v>
      </c>
      <c r="G4" s="16" t="s">
        <v>17</v>
      </c>
      <c r="H4" s="163"/>
      <c r="I4" s="164" t="s">
        <v>19</v>
      </c>
    </row>
    <row r="5" spans="1:9" s="111" customFormat="1" ht="23.1" customHeight="1" x14ac:dyDescent="0.15">
      <c r="A5" s="55">
        <v>1</v>
      </c>
      <c r="B5" s="56" t="s">
        <v>50</v>
      </c>
      <c r="C5" s="57" t="s">
        <v>448</v>
      </c>
      <c r="D5" s="127">
        <v>23</v>
      </c>
      <c r="E5" s="127">
        <v>33</v>
      </c>
      <c r="F5" s="128" t="s">
        <v>449</v>
      </c>
      <c r="G5" s="129" t="s">
        <v>453</v>
      </c>
      <c r="H5" s="59">
        <v>4958</v>
      </c>
      <c r="I5" s="179">
        <v>5676</v>
      </c>
    </row>
    <row r="6" spans="1:9" customFormat="1" ht="23.1" customHeight="1" x14ac:dyDescent="0.15">
      <c r="A6" s="30">
        <v>2</v>
      </c>
      <c r="B6" s="24" t="s">
        <v>51</v>
      </c>
      <c r="C6" s="25" t="s">
        <v>457</v>
      </c>
      <c r="D6" s="110">
        <v>24</v>
      </c>
      <c r="E6" s="110">
        <v>31</v>
      </c>
      <c r="F6" s="110" t="s">
        <v>450</v>
      </c>
      <c r="G6" s="104" t="s">
        <v>454</v>
      </c>
      <c r="H6" s="28">
        <v>3187</v>
      </c>
      <c r="I6" s="169">
        <v>4004</v>
      </c>
    </row>
    <row r="7" spans="1:9" customFormat="1" ht="23.1" customHeight="1" x14ac:dyDescent="0.15">
      <c r="A7" s="36">
        <v>3</v>
      </c>
      <c r="B7" s="37" t="s">
        <v>8</v>
      </c>
      <c r="C7" s="48" t="s">
        <v>458</v>
      </c>
      <c r="D7" s="107">
        <v>24</v>
      </c>
      <c r="E7" s="107">
        <v>35</v>
      </c>
      <c r="F7" s="107" t="s">
        <v>455</v>
      </c>
      <c r="G7" s="105" t="s">
        <v>456</v>
      </c>
      <c r="H7" s="40">
        <v>489</v>
      </c>
      <c r="I7" s="166">
        <v>549</v>
      </c>
    </row>
    <row r="8" spans="1:9" s="112" customFormat="1" ht="23.1" customHeight="1" x14ac:dyDescent="0.15">
      <c r="A8" s="41">
        <v>4</v>
      </c>
      <c r="B8" s="42" t="s">
        <v>9</v>
      </c>
      <c r="C8" s="33" t="s">
        <v>461</v>
      </c>
      <c r="D8" s="43">
        <v>25</v>
      </c>
      <c r="E8" s="43">
        <v>29</v>
      </c>
      <c r="F8" s="43" t="s">
        <v>460</v>
      </c>
      <c r="G8" s="44" t="s">
        <v>459</v>
      </c>
      <c r="H8" s="45">
        <v>562</v>
      </c>
      <c r="I8" s="167">
        <v>572</v>
      </c>
    </row>
    <row r="9" spans="1:9" s="111" customFormat="1" ht="23.1" customHeight="1" x14ac:dyDescent="0.15">
      <c r="A9" s="41">
        <v>5</v>
      </c>
      <c r="B9" s="42" t="s">
        <v>10</v>
      </c>
      <c r="C9" s="33" t="s">
        <v>463</v>
      </c>
      <c r="D9" s="108">
        <v>22</v>
      </c>
      <c r="E9" s="108">
        <v>27</v>
      </c>
      <c r="F9" s="108" t="s">
        <v>66</v>
      </c>
      <c r="G9" s="102" t="s">
        <v>465</v>
      </c>
      <c r="H9" s="45">
        <v>727</v>
      </c>
      <c r="I9" s="167">
        <v>886</v>
      </c>
    </row>
    <row r="10" spans="1:9" customFormat="1" ht="23.1" customHeight="1" x14ac:dyDescent="0.15">
      <c r="A10" s="41">
        <v>6</v>
      </c>
      <c r="B10" s="42" t="s">
        <v>11</v>
      </c>
      <c r="C10" s="33" t="s">
        <v>462</v>
      </c>
      <c r="D10" s="108">
        <v>22</v>
      </c>
      <c r="E10" s="108">
        <v>32</v>
      </c>
      <c r="F10" s="108" t="s">
        <v>66</v>
      </c>
      <c r="G10" s="102" t="s">
        <v>464</v>
      </c>
      <c r="H10" s="45">
        <v>776</v>
      </c>
      <c r="I10" s="167">
        <v>871</v>
      </c>
    </row>
    <row r="11" spans="1:9" customFormat="1" ht="23.1" customHeight="1" x14ac:dyDescent="0.15">
      <c r="A11" s="41">
        <v>7</v>
      </c>
      <c r="B11" s="42" t="s">
        <v>5</v>
      </c>
      <c r="C11" s="33" t="s">
        <v>468</v>
      </c>
      <c r="D11" s="108">
        <v>23</v>
      </c>
      <c r="E11" s="108">
        <v>31</v>
      </c>
      <c r="F11" s="108" t="s">
        <v>66</v>
      </c>
      <c r="G11" s="102" t="s">
        <v>466</v>
      </c>
      <c r="H11" s="45">
        <v>1781</v>
      </c>
      <c r="I11" s="167">
        <v>2063</v>
      </c>
    </row>
    <row r="12" spans="1:9" customFormat="1" ht="23.1" customHeight="1" x14ac:dyDescent="0.15">
      <c r="A12" s="60">
        <v>8</v>
      </c>
      <c r="B12" s="61" t="s">
        <v>6</v>
      </c>
      <c r="C12" s="62" t="s">
        <v>470</v>
      </c>
      <c r="D12" s="75">
        <v>22</v>
      </c>
      <c r="E12" s="75">
        <v>30</v>
      </c>
      <c r="F12" s="75" t="s">
        <v>467</v>
      </c>
      <c r="G12" s="103" t="s">
        <v>466</v>
      </c>
      <c r="H12" s="65">
        <v>14094</v>
      </c>
      <c r="I12" s="168">
        <v>15064</v>
      </c>
    </row>
    <row r="13" spans="1:9" customFormat="1" ht="23.1" customHeight="1" x14ac:dyDescent="0.15">
      <c r="A13" s="30">
        <v>9</v>
      </c>
      <c r="B13" s="24" t="s">
        <v>7</v>
      </c>
      <c r="C13" s="25" t="s">
        <v>472</v>
      </c>
      <c r="D13" s="88">
        <v>22</v>
      </c>
      <c r="E13" s="88">
        <v>27</v>
      </c>
      <c r="F13" s="88" t="s">
        <v>469</v>
      </c>
      <c r="G13" s="104" t="s">
        <v>471</v>
      </c>
      <c r="H13" s="28">
        <v>6631</v>
      </c>
      <c r="I13" s="169">
        <v>7132</v>
      </c>
    </row>
    <row r="14" spans="1:9" customFormat="1" ht="23.1" customHeight="1" x14ac:dyDescent="0.15">
      <c r="A14" s="36">
        <v>10</v>
      </c>
      <c r="B14" s="37" t="s">
        <v>8</v>
      </c>
      <c r="C14" s="48" t="s">
        <v>474</v>
      </c>
      <c r="D14" s="107">
        <v>23</v>
      </c>
      <c r="E14" s="107">
        <v>31</v>
      </c>
      <c r="F14" s="107" t="s">
        <v>59</v>
      </c>
      <c r="G14" s="105" t="s">
        <v>473</v>
      </c>
      <c r="H14" s="40">
        <v>411</v>
      </c>
      <c r="I14" s="166">
        <v>458</v>
      </c>
    </row>
    <row r="15" spans="1:9" s="112" customFormat="1" ht="23.1" customHeight="1" x14ac:dyDescent="0.15">
      <c r="A15" s="41">
        <v>11</v>
      </c>
      <c r="B15" s="42" t="s">
        <v>9</v>
      </c>
      <c r="C15" s="33" t="s">
        <v>476</v>
      </c>
      <c r="D15" s="108">
        <v>22</v>
      </c>
      <c r="E15" s="108">
        <v>26</v>
      </c>
      <c r="F15" s="43" t="s">
        <v>59</v>
      </c>
      <c r="G15" s="102" t="s">
        <v>475</v>
      </c>
      <c r="H15" s="45">
        <v>52</v>
      </c>
      <c r="I15" s="167">
        <v>52</v>
      </c>
    </row>
    <row r="16" spans="1:9" s="111" customFormat="1" ht="23.1" customHeight="1" x14ac:dyDescent="0.15">
      <c r="A16" s="41">
        <v>12</v>
      </c>
      <c r="B16" s="42" t="s">
        <v>10</v>
      </c>
      <c r="C16" s="33" t="s">
        <v>479</v>
      </c>
      <c r="D16" s="108">
        <v>22</v>
      </c>
      <c r="E16" s="108">
        <v>29</v>
      </c>
      <c r="F16" s="108" t="s">
        <v>66</v>
      </c>
      <c r="G16" s="102" t="s">
        <v>480</v>
      </c>
      <c r="H16" s="45">
        <v>706</v>
      </c>
      <c r="I16" s="167">
        <v>811</v>
      </c>
    </row>
    <row r="17" spans="1:9" customFormat="1" ht="23.1" customHeight="1" x14ac:dyDescent="0.15">
      <c r="A17" s="41">
        <v>13</v>
      </c>
      <c r="B17" s="42" t="s">
        <v>11</v>
      </c>
      <c r="C17" s="33" t="s">
        <v>477</v>
      </c>
      <c r="D17" s="108">
        <v>25</v>
      </c>
      <c r="E17" s="108">
        <v>27</v>
      </c>
      <c r="F17" s="108" t="s">
        <v>66</v>
      </c>
      <c r="G17" s="102" t="s">
        <v>478</v>
      </c>
      <c r="H17" s="45">
        <v>120</v>
      </c>
      <c r="I17" s="167">
        <v>120</v>
      </c>
    </row>
    <row r="18" spans="1:9" customFormat="1" ht="23.1" customHeight="1" x14ac:dyDescent="0.15">
      <c r="A18" s="41">
        <v>14</v>
      </c>
      <c r="B18" s="42" t="s">
        <v>5</v>
      </c>
      <c r="C18" s="33" t="s">
        <v>482</v>
      </c>
      <c r="D18" s="108">
        <v>24</v>
      </c>
      <c r="E18" s="108">
        <v>25</v>
      </c>
      <c r="F18" s="108" t="s">
        <v>66</v>
      </c>
      <c r="G18" s="102" t="s">
        <v>481</v>
      </c>
      <c r="H18" s="45">
        <v>220</v>
      </c>
      <c r="I18" s="167">
        <v>224</v>
      </c>
    </row>
    <row r="19" spans="1:9" customFormat="1" ht="23.1" customHeight="1" x14ac:dyDescent="0.15">
      <c r="A19" s="60">
        <v>15</v>
      </c>
      <c r="B19" s="61" t="s">
        <v>6</v>
      </c>
      <c r="C19" s="62" t="s">
        <v>483</v>
      </c>
      <c r="D19" s="109">
        <v>24</v>
      </c>
      <c r="E19" s="109">
        <v>26</v>
      </c>
      <c r="F19" s="109" t="s">
        <v>485</v>
      </c>
      <c r="G19" s="103" t="s">
        <v>486</v>
      </c>
      <c r="H19" s="65">
        <v>612</v>
      </c>
      <c r="I19" s="168">
        <v>862</v>
      </c>
    </row>
    <row r="20" spans="1:9" customFormat="1" ht="23.1" customHeight="1" x14ac:dyDescent="0.15">
      <c r="A20" s="30">
        <v>16</v>
      </c>
      <c r="B20" s="24" t="s">
        <v>7</v>
      </c>
      <c r="C20" s="25" t="s">
        <v>472</v>
      </c>
      <c r="D20" s="110">
        <v>24</v>
      </c>
      <c r="E20" s="110">
        <v>25</v>
      </c>
      <c r="F20" s="110" t="s">
        <v>235</v>
      </c>
      <c r="G20" s="104" t="s">
        <v>484</v>
      </c>
      <c r="H20" s="28">
        <v>1840</v>
      </c>
      <c r="I20" s="169">
        <v>2366</v>
      </c>
    </row>
    <row r="21" spans="1:9" customFormat="1" ht="23.1" customHeight="1" x14ac:dyDescent="0.15">
      <c r="A21" s="36">
        <v>17</v>
      </c>
      <c r="B21" s="37" t="s">
        <v>8</v>
      </c>
      <c r="C21" s="48" t="s">
        <v>487</v>
      </c>
      <c r="D21" s="107">
        <v>24</v>
      </c>
      <c r="E21" s="107">
        <v>28</v>
      </c>
      <c r="F21" s="107" t="s">
        <v>59</v>
      </c>
      <c r="G21" s="105" t="s">
        <v>488</v>
      </c>
      <c r="H21" s="40">
        <v>608</v>
      </c>
      <c r="I21" s="166">
        <v>608</v>
      </c>
    </row>
    <row r="22" spans="1:9" s="112" customFormat="1" ht="23.1" customHeight="1" x14ac:dyDescent="0.15">
      <c r="A22" s="41">
        <v>18</v>
      </c>
      <c r="B22" s="42" t="s">
        <v>9</v>
      </c>
      <c r="C22" s="33" t="s">
        <v>490</v>
      </c>
      <c r="D22" s="108">
        <v>24</v>
      </c>
      <c r="E22" s="108">
        <v>28</v>
      </c>
      <c r="F22" s="43" t="s">
        <v>59</v>
      </c>
      <c r="G22" s="102" t="s">
        <v>489</v>
      </c>
      <c r="H22" s="45">
        <v>123</v>
      </c>
      <c r="I22" s="167">
        <v>128</v>
      </c>
    </row>
    <row r="23" spans="1:9" s="111" customFormat="1" ht="23.1" customHeight="1" x14ac:dyDescent="0.15">
      <c r="A23" s="41">
        <v>19</v>
      </c>
      <c r="B23" s="42" t="s">
        <v>10</v>
      </c>
      <c r="C23" s="33" t="s">
        <v>448</v>
      </c>
      <c r="D23" s="108">
        <v>23</v>
      </c>
      <c r="E23" s="108">
        <v>32</v>
      </c>
      <c r="F23" s="108" t="s">
        <v>66</v>
      </c>
      <c r="G23" s="102" t="s">
        <v>491</v>
      </c>
      <c r="H23" s="45">
        <v>1055</v>
      </c>
      <c r="I23" s="167">
        <v>1069</v>
      </c>
    </row>
    <row r="24" spans="1:9" customFormat="1" ht="23.1" customHeight="1" x14ac:dyDescent="0.15">
      <c r="A24" s="41">
        <v>20</v>
      </c>
      <c r="B24" s="42" t="s">
        <v>11</v>
      </c>
      <c r="C24" s="33" t="s">
        <v>492</v>
      </c>
      <c r="D24" s="108">
        <v>24</v>
      </c>
      <c r="E24" s="108">
        <v>33</v>
      </c>
      <c r="F24" s="108" t="s">
        <v>66</v>
      </c>
      <c r="G24" s="102" t="s">
        <v>493</v>
      </c>
      <c r="H24" s="45">
        <v>1279</v>
      </c>
      <c r="I24" s="167">
        <v>1326</v>
      </c>
    </row>
    <row r="25" spans="1:9" customFormat="1" ht="23.1" customHeight="1" x14ac:dyDescent="0.15">
      <c r="A25" s="41">
        <v>21</v>
      </c>
      <c r="B25" s="42" t="s">
        <v>5</v>
      </c>
      <c r="C25" s="33" t="s">
        <v>494</v>
      </c>
      <c r="D25" s="108">
        <v>25</v>
      </c>
      <c r="E25" s="108">
        <v>34</v>
      </c>
      <c r="F25" s="108" t="s">
        <v>66</v>
      </c>
      <c r="G25" s="102" t="s">
        <v>500</v>
      </c>
      <c r="H25" s="45">
        <v>1896</v>
      </c>
      <c r="I25" s="167">
        <v>1985</v>
      </c>
    </row>
    <row r="26" spans="1:9" customFormat="1" ht="23.1" customHeight="1" x14ac:dyDescent="0.15">
      <c r="A26" s="60">
        <v>22</v>
      </c>
      <c r="B26" s="61" t="s">
        <v>6</v>
      </c>
      <c r="C26" s="62" t="s">
        <v>496</v>
      </c>
      <c r="D26" s="109">
        <v>25</v>
      </c>
      <c r="E26" s="109">
        <v>33</v>
      </c>
      <c r="F26" s="109" t="s">
        <v>498</v>
      </c>
      <c r="G26" s="103" t="s">
        <v>499</v>
      </c>
      <c r="H26" s="65">
        <v>2963</v>
      </c>
      <c r="I26" s="168">
        <v>3286</v>
      </c>
    </row>
    <row r="27" spans="1:9" customFormat="1" ht="23.1" customHeight="1" x14ac:dyDescent="0.15">
      <c r="A27" s="30">
        <v>23</v>
      </c>
      <c r="B27" s="24" t="s">
        <v>7</v>
      </c>
      <c r="C27" s="25" t="s">
        <v>495</v>
      </c>
      <c r="D27" s="110">
        <v>25</v>
      </c>
      <c r="E27" s="110">
        <v>26</v>
      </c>
      <c r="F27" s="110" t="s">
        <v>235</v>
      </c>
      <c r="G27" s="104" t="s">
        <v>497</v>
      </c>
      <c r="H27" s="28">
        <v>325</v>
      </c>
      <c r="I27" s="169">
        <v>450</v>
      </c>
    </row>
    <row r="28" spans="1:9" s="111" customFormat="1" ht="23.1" customHeight="1" x14ac:dyDescent="0.15">
      <c r="A28" s="36">
        <v>24</v>
      </c>
      <c r="B28" s="37" t="s">
        <v>8</v>
      </c>
      <c r="C28" s="48" t="s">
        <v>501</v>
      </c>
      <c r="D28" s="107">
        <v>25</v>
      </c>
      <c r="E28" s="107">
        <v>30</v>
      </c>
      <c r="F28" s="107" t="s">
        <v>59</v>
      </c>
      <c r="G28" s="105" t="s">
        <v>502</v>
      </c>
      <c r="H28" s="40">
        <v>1301</v>
      </c>
      <c r="I28" s="166">
        <v>1417</v>
      </c>
    </row>
    <row r="29" spans="1:9" s="111" customFormat="1" ht="23.1" customHeight="1" x14ac:dyDescent="0.15">
      <c r="A29" s="41">
        <v>25</v>
      </c>
      <c r="B29" s="42" t="s">
        <v>9</v>
      </c>
      <c r="C29" s="33" t="s">
        <v>308</v>
      </c>
      <c r="D29" s="108">
        <v>26</v>
      </c>
      <c r="E29" s="108">
        <v>31</v>
      </c>
      <c r="F29" s="43" t="s">
        <v>59</v>
      </c>
      <c r="G29" s="102" t="s">
        <v>502</v>
      </c>
      <c r="H29" s="45">
        <v>1140</v>
      </c>
      <c r="I29" s="167">
        <v>1161</v>
      </c>
    </row>
    <row r="30" spans="1:9" s="111" customFormat="1" ht="23.1" customHeight="1" x14ac:dyDescent="0.15">
      <c r="A30" s="41">
        <v>26</v>
      </c>
      <c r="B30" s="42" t="s">
        <v>10</v>
      </c>
      <c r="C30" s="33" t="s">
        <v>503</v>
      </c>
      <c r="D30" s="108">
        <v>25</v>
      </c>
      <c r="E30" s="108">
        <v>31</v>
      </c>
      <c r="F30" s="108" t="s">
        <v>66</v>
      </c>
      <c r="G30" s="102" t="s">
        <v>504</v>
      </c>
      <c r="H30" s="45">
        <v>1553</v>
      </c>
      <c r="I30" s="167">
        <v>1564</v>
      </c>
    </row>
    <row r="31" spans="1:9" s="111" customFormat="1" ht="23.1" customHeight="1" x14ac:dyDescent="0.15">
      <c r="A31" s="41">
        <v>27</v>
      </c>
      <c r="B31" s="42" t="s">
        <v>11</v>
      </c>
      <c r="C31" s="33" t="s">
        <v>503</v>
      </c>
      <c r="D31" s="108">
        <v>24</v>
      </c>
      <c r="E31" s="108">
        <v>32</v>
      </c>
      <c r="F31" s="108" t="s">
        <v>66</v>
      </c>
      <c r="G31" s="102" t="s">
        <v>505</v>
      </c>
      <c r="H31" s="45">
        <v>2233</v>
      </c>
      <c r="I31" s="167">
        <v>2405</v>
      </c>
    </row>
    <row r="32" spans="1:9" customFormat="1" ht="23.1" customHeight="1" x14ac:dyDescent="0.15">
      <c r="A32" s="41">
        <v>28</v>
      </c>
      <c r="B32" s="42" t="s">
        <v>5</v>
      </c>
      <c r="C32" s="33" t="s">
        <v>508</v>
      </c>
      <c r="D32" s="108">
        <v>25</v>
      </c>
      <c r="E32" s="108">
        <v>34</v>
      </c>
      <c r="F32" s="108" t="s">
        <v>66</v>
      </c>
      <c r="G32" s="102" t="s">
        <v>510</v>
      </c>
      <c r="H32" s="45">
        <v>2824</v>
      </c>
      <c r="I32" s="167">
        <v>2824</v>
      </c>
    </row>
    <row r="33" spans="1:9" customFormat="1" ht="23.1" customHeight="1" x14ac:dyDescent="0.15">
      <c r="A33" s="60">
        <v>29</v>
      </c>
      <c r="B33" s="61" t="s">
        <v>6</v>
      </c>
      <c r="C33" s="62" t="s">
        <v>507</v>
      </c>
      <c r="D33" s="109">
        <v>26</v>
      </c>
      <c r="E33" s="109">
        <v>33</v>
      </c>
      <c r="F33" s="109" t="s">
        <v>512</v>
      </c>
      <c r="G33" s="103" t="s">
        <v>510</v>
      </c>
      <c r="H33" s="65">
        <v>5526</v>
      </c>
      <c r="I33" s="168">
        <v>6414</v>
      </c>
    </row>
    <row r="34" spans="1:9" customFormat="1" ht="23.25" customHeight="1" x14ac:dyDescent="0.15">
      <c r="A34" s="30">
        <v>30</v>
      </c>
      <c r="B34" s="24" t="s">
        <v>7</v>
      </c>
      <c r="C34" s="25" t="s">
        <v>506</v>
      </c>
      <c r="D34" s="110">
        <v>25</v>
      </c>
      <c r="E34" s="110">
        <v>35</v>
      </c>
      <c r="F34" s="110" t="s">
        <v>235</v>
      </c>
      <c r="G34" s="104" t="s">
        <v>511</v>
      </c>
      <c r="H34" s="28">
        <v>4072</v>
      </c>
      <c r="I34" s="169">
        <v>4911</v>
      </c>
    </row>
    <row r="35" spans="1:9" customFormat="1" ht="23.1" customHeight="1" thickBot="1" x14ac:dyDescent="0.2">
      <c r="A35" s="83">
        <v>31</v>
      </c>
      <c r="B35" s="84" t="s">
        <v>8</v>
      </c>
      <c r="C35" s="85" t="s">
        <v>513</v>
      </c>
      <c r="D35" s="130">
        <v>26</v>
      </c>
      <c r="E35" s="130">
        <v>33</v>
      </c>
      <c r="F35" s="130" t="s">
        <v>509</v>
      </c>
      <c r="G35" s="131" t="s">
        <v>510</v>
      </c>
      <c r="H35" s="87">
        <v>4122</v>
      </c>
      <c r="I35" s="180">
        <v>4563</v>
      </c>
    </row>
    <row r="36" spans="1:9" s="3" customFormat="1" ht="21" customHeight="1" thickBot="1" x14ac:dyDescent="0.2">
      <c r="A36" s="152" t="s">
        <v>27</v>
      </c>
      <c r="B36" s="153"/>
      <c r="C36" s="153"/>
      <c r="D36" s="153"/>
      <c r="E36" s="153"/>
      <c r="F36" s="153"/>
      <c r="G36" s="154"/>
      <c r="H36" s="173">
        <f t="shared" ref="H36:I36" si="0">SUM(H5:H35)</f>
        <v>68186</v>
      </c>
      <c r="I36" s="174">
        <f t="shared" si="0"/>
        <v>75821</v>
      </c>
    </row>
    <row r="37" spans="1:9" s="3" customFormat="1" ht="21" customHeight="1" thickBot="1" x14ac:dyDescent="0.2">
      <c r="A37" s="136" t="s">
        <v>28</v>
      </c>
      <c r="B37" s="137"/>
      <c r="C37" s="137"/>
      <c r="D37" s="137"/>
      <c r="E37" s="137"/>
      <c r="F37" s="137"/>
      <c r="G37" s="138"/>
      <c r="H37" s="175">
        <f>H36+'6월'!H37</f>
        <v>783155</v>
      </c>
      <c r="I37" s="176">
        <f>I36+'6월'!I37</f>
        <v>876708</v>
      </c>
    </row>
    <row r="40" spans="1:9" x14ac:dyDescent="0.15">
      <c r="I40" s="1">
        <f>21309/16975</f>
        <v>1.2553166421207658</v>
      </c>
    </row>
  </sheetData>
  <mergeCells count="9">
    <mergeCell ref="H3:H4"/>
    <mergeCell ref="A1:I1"/>
    <mergeCell ref="A37:G37"/>
    <mergeCell ref="B2:B4"/>
    <mergeCell ref="C2:C4"/>
    <mergeCell ref="D2:E3"/>
    <mergeCell ref="F2:G3"/>
    <mergeCell ref="A2:A4"/>
    <mergeCell ref="A36:G36"/>
  </mergeCells>
  <phoneticPr fontId="3" type="noConversion"/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rgb="FFFFFF00"/>
  </sheetPr>
  <dimension ref="A1:I37"/>
  <sheetViews>
    <sheetView workbookViewId="0">
      <pane xSplit="7" ySplit="4" topLeftCell="H17" activePane="bottomRight" state="frozen"/>
      <selection activeCell="L7" sqref="L7"/>
      <selection pane="topRight" activeCell="L7" sqref="L7"/>
      <selection pane="bottomLeft" activeCell="L7" sqref="L7"/>
      <selection pane="bottomRight" activeCell="L7" sqref="L7"/>
    </sheetView>
  </sheetViews>
  <sheetFormatPr defaultColWidth="8.88671875" defaultRowHeight="13.5" x14ac:dyDescent="0.15"/>
  <cols>
    <col min="1" max="2" width="5.77734375" style="1" customWidth="1"/>
    <col min="3" max="3" width="8.77734375" style="9" customWidth="1"/>
    <col min="4" max="5" width="3.77734375" style="9" customWidth="1"/>
    <col min="6" max="6" width="5.77734375" style="9" customWidth="1"/>
    <col min="7" max="7" width="5.77734375" style="1" customWidth="1"/>
    <col min="8" max="9" width="9.77734375" style="1" customWidth="1"/>
    <col min="10" max="16384" width="8.88671875" style="1"/>
  </cols>
  <sheetData>
    <row r="1" spans="1:9" s="2" customFormat="1" ht="21" customHeight="1" x14ac:dyDescent="0.15">
      <c r="A1" s="155" t="s">
        <v>32</v>
      </c>
      <c r="B1" s="156"/>
      <c r="C1" s="156"/>
      <c r="D1" s="156"/>
      <c r="E1" s="156"/>
      <c r="F1" s="156"/>
      <c r="G1" s="156"/>
      <c r="H1" s="156"/>
      <c r="I1" s="157"/>
    </row>
    <row r="2" spans="1:9" s="2" customFormat="1" ht="22.5" customHeight="1" x14ac:dyDescent="0.15">
      <c r="A2" s="145" t="s">
        <v>2</v>
      </c>
      <c r="B2" s="148" t="s">
        <v>1</v>
      </c>
      <c r="C2" s="139" t="s">
        <v>12</v>
      </c>
      <c r="D2" s="139" t="s">
        <v>15</v>
      </c>
      <c r="E2" s="140"/>
      <c r="F2" s="139" t="s">
        <v>16</v>
      </c>
      <c r="G2" s="143"/>
      <c r="H2" s="159" t="s">
        <v>37</v>
      </c>
      <c r="I2" s="160" t="s">
        <v>21</v>
      </c>
    </row>
    <row r="3" spans="1:9" s="2" customFormat="1" ht="18.75" customHeight="1" x14ac:dyDescent="0.15">
      <c r="A3" s="146"/>
      <c r="B3" s="158"/>
      <c r="C3" s="150"/>
      <c r="D3" s="141"/>
      <c r="E3" s="142"/>
      <c r="F3" s="141"/>
      <c r="G3" s="144"/>
      <c r="H3" s="161" t="s">
        <v>23</v>
      </c>
      <c r="I3" s="162" t="s">
        <v>20</v>
      </c>
    </row>
    <row r="4" spans="1:9" s="2" customFormat="1" ht="18.75" customHeight="1" x14ac:dyDescent="0.15">
      <c r="A4" s="147"/>
      <c r="B4" s="149"/>
      <c r="C4" s="151"/>
      <c r="D4" s="14" t="s">
        <v>13</v>
      </c>
      <c r="E4" s="14" t="s">
        <v>14</v>
      </c>
      <c r="F4" s="14" t="s">
        <v>18</v>
      </c>
      <c r="G4" s="16" t="s">
        <v>17</v>
      </c>
      <c r="H4" s="163"/>
      <c r="I4" s="164" t="s">
        <v>19</v>
      </c>
    </row>
    <row r="5" spans="1:9" s="111" customFormat="1" ht="23.1" customHeight="1" x14ac:dyDescent="0.15">
      <c r="A5" s="31">
        <v>1</v>
      </c>
      <c r="B5" s="32" t="s">
        <v>52</v>
      </c>
      <c r="C5" s="46" t="s">
        <v>517</v>
      </c>
      <c r="D5" s="74">
        <v>26</v>
      </c>
      <c r="E5" s="74">
        <v>34</v>
      </c>
      <c r="F5" s="113" t="s">
        <v>514</v>
      </c>
      <c r="G5" s="34" t="s">
        <v>518</v>
      </c>
      <c r="H5" s="35">
        <v>3147</v>
      </c>
      <c r="I5" s="177">
        <v>3471</v>
      </c>
    </row>
    <row r="6" spans="1:9" customFormat="1" ht="23.1" customHeight="1" x14ac:dyDescent="0.15">
      <c r="A6" s="41">
        <v>2</v>
      </c>
      <c r="B6" s="42" t="s">
        <v>53</v>
      </c>
      <c r="C6" s="33" t="s">
        <v>520</v>
      </c>
      <c r="D6" s="95">
        <v>27</v>
      </c>
      <c r="E6" s="95">
        <v>34</v>
      </c>
      <c r="F6" s="95" t="s">
        <v>515</v>
      </c>
      <c r="G6" s="47" t="s">
        <v>519</v>
      </c>
      <c r="H6" s="45">
        <v>3129</v>
      </c>
      <c r="I6" s="167">
        <v>3536</v>
      </c>
    </row>
    <row r="7" spans="1:9" customFormat="1" ht="23.1" customHeight="1" x14ac:dyDescent="0.15">
      <c r="A7" s="41">
        <v>3</v>
      </c>
      <c r="B7" s="42" t="s">
        <v>11</v>
      </c>
      <c r="C7" s="33" t="s">
        <v>507</v>
      </c>
      <c r="D7" s="95">
        <v>26</v>
      </c>
      <c r="E7" s="95">
        <v>34</v>
      </c>
      <c r="F7" s="95" t="s">
        <v>515</v>
      </c>
      <c r="G7" s="47" t="s">
        <v>521</v>
      </c>
      <c r="H7" s="45">
        <v>2789</v>
      </c>
      <c r="I7" s="167">
        <v>3026</v>
      </c>
    </row>
    <row r="8" spans="1:9" s="112" customFormat="1" ht="23.1" customHeight="1" x14ac:dyDescent="0.15">
      <c r="A8" s="41">
        <v>4</v>
      </c>
      <c r="B8" s="42" t="s">
        <v>5</v>
      </c>
      <c r="C8" s="33" t="s">
        <v>527</v>
      </c>
      <c r="D8" s="43">
        <v>27</v>
      </c>
      <c r="E8" s="43">
        <v>34</v>
      </c>
      <c r="F8" s="43" t="s">
        <v>516</v>
      </c>
      <c r="G8" s="44" t="s">
        <v>524</v>
      </c>
      <c r="H8" s="45">
        <v>2638</v>
      </c>
      <c r="I8" s="167">
        <v>2968</v>
      </c>
    </row>
    <row r="9" spans="1:9" s="111" customFormat="1" ht="23.1" customHeight="1" x14ac:dyDescent="0.15">
      <c r="A9" s="60">
        <v>5</v>
      </c>
      <c r="B9" s="61" t="s">
        <v>6</v>
      </c>
      <c r="C9" s="62" t="s">
        <v>507</v>
      </c>
      <c r="D9" s="66">
        <v>26</v>
      </c>
      <c r="E9" s="66">
        <v>35</v>
      </c>
      <c r="F9" s="66" t="s">
        <v>523</v>
      </c>
      <c r="G9" s="64" t="s">
        <v>525</v>
      </c>
      <c r="H9" s="65">
        <v>3377</v>
      </c>
      <c r="I9" s="168">
        <v>4013</v>
      </c>
    </row>
    <row r="10" spans="1:9" customFormat="1" ht="23.1" customHeight="1" x14ac:dyDescent="0.15">
      <c r="A10" s="30">
        <v>6</v>
      </c>
      <c r="B10" s="24" t="s">
        <v>7</v>
      </c>
      <c r="C10" s="25" t="s">
        <v>526</v>
      </c>
      <c r="D10" s="26">
        <v>27</v>
      </c>
      <c r="E10" s="26">
        <v>33</v>
      </c>
      <c r="F10" s="26" t="s">
        <v>522</v>
      </c>
      <c r="G10" s="27" t="s">
        <v>524</v>
      </c>
      <c r="H10" s="28">
        <v>1785</v>
      </c>
      <c r="I10" s="169">
        <v>2435</v>
      </c>
    </row>
    <row r="11" spans="1:9" customFormat="1" ht="23.1" customHeight="1" x14ac:dyDescent="0.15">
      <c r="A11" s="36">
        <v>7</v>
      </c>
      <c r="B11" s="37" t="s">
        <v>8</v>
      </c>
      <c r="C11" s="33" t="s">
        <v>507</v>
      </c>
      <c r="D11" s="38">
        <v>27</v>
      </c>
      <c r="E11" s="38">
        <v>35</v>
      </c>
      <c r="F11" s="38" t="s">
        <v>66</v>
      </c>
      <c r="G11" s="39" t="s">
        <v>528</v>
      </c>
      <c r="H11" s="40">
        <v>1065</v>
      </c>
      <c r="I11" s="166">
        <v>1202</v>
      </c>
    </row>
    <row r="12" spans="1:9" customFormat="1" ht="23.1" customHeight="1" x14ac:dyDescent="0.15">
      <c r="A12" s="41">
        <v>8</v>
      </c>
      <c r="B12" s="42" t="s">
        <v>9</v>
      </c>
      <c r="C12" s="33" t="s">
        <v>530</v>
      </c>
      <c r="D12" s="96">
        <v>26</v>
      </c>
      <c r="E12" s="96">
        <v>36</v>
      </c>
      <c r="F12" s="96" t="s">
        <v>66</v>
      </c>
      <c r="G12" s="47" t="s">
        <v>529</v>
      </c>
      <c r="H12" s="45">
        <v>1241</v>
      </c>
      <c r="I12" s="167">
        <v>1404</v>
      </c>
    </row>
    <row r="13" spans="1:9" customFormat="1" ht="23.1" customHeight="1" x14ac:dyDescent="0.15">
      <c r="A13" s="41">
        <v>9</v>
      </c>
      <c r="B13" s="42" t="s">
        <v>10</v>
      </c>
      <c r="C13" s="33" t="s">
        <v>513</v>
      </c>
      <c r="D13" s="96">
        <v>25</v>
      </c>
      <c r="E13" s="96">
        <v>32</v>
      </c>
      <c r="F13" s="96" t="s">
        <v>66</v>
      </c>
      <c r="G13" s="47" t="s">
        <v>531</v>
      </c>
      <c r="H13" s="45">
        <v>1238</v>
      </c>
      <c r="I13" s="167">
        <v>1319</v>
      </c>
    </row>
    <row r="14" spans="1:9" customFormat="1" ht="23.1" customHeight="1" x14ac:dyDescent="0.15">
      <c r="A14" s="41">
        <v>10</v>
      </c>
      <c r="B14" s="42" t="s">
        <v>11</v>
      </c>
      <c r="C14" s="33" t="s">
        <v>533</v>
      </c>
      <c r="D14" s="95">
        <v>21</v>
      </c>
      <c r="E14" s="95">
        <v>25</v>
      </c>
      <c r="F14" s="95" t="s">
        <v>66</v>
      </c>
      <c r="G14" s="47" t="s">
        <v>532</v>
      </c>
      <c r="H14" s="45">
        <v>1</v>
      </c>
      <c r="I14" s="167">
        <v>1</v>
      </c>
    </row>
    <row r="15" spans="1:9" s="112" customFormat="1" ht="23.1" customHeight="1" x14ac:dyDescent="0.15">
      <c r="A15" s="41">
        <v>11</v>
      </c>
      <c r="B15" s="42" t="s">
        <v>5</v>
      </c>
      <c r="C15" s="33" t="s">
        <v>534</v>
      </c>
      <c r="D15" s="95">
        <v>22</v>
      </c>
      <c r="E15" s="95">
        <v>25</v>
      </c>
      <c r="F15" s="95" t="s">
        <v>66</v>
      </c>
      <c r="G15" s="47" t="s">
        <v>535</v>
      </c>
      <c r="H15" s="45">
        <v>620</v>
      </c>
      <c r="I15" s="167">
        <v>719</v>
      </c>
    </row>
    <row r="16" spans="1:9" s="111" customFormat="1" ht="23.1" customHeight="1" x14ac:dyDescent="0.15">
      <c r="A16" s="60">
        <v>12</v>
      </c>
      <c r="B16" s="61" t="s">
        <v>6</v>
      </c>
      <c r="C16" s="62" t="s">
        <v>537</v>
      </c>
      <c r="D16" s="66">
        <v>23</v>
      </c>
      <c r="E16" s="66">
        <v>24</v>
      </c>
      <c r="F16" s="66" t="s">
        <v>538</v>
      </c>
      <c r="G16" s="64" t="s">
        <v>540</v>
      </c>
      <c r="H16" s="65">
        <v>5345</v>
      </c>
      <c r="I16" s="168">
        <v>7126</v>
      </c>
    </row>
    <row r="17" spans="1:9" customFormat="1" ht="23.1" customHeight="1" x14ac:dyDescent="0.15">
      <c r="A17" s="30">
        <v>13</v>
      </c>
      <c r="B17" s="24" t="s">
        <v>7</v>
      </c>
      <c r="C17" s="25" t="s">
        <v>536</v>
      </c>
      <c r="D17" s="26">
        <v>23</v>
      </c>
      <c r="E17" s="26">
        <v>31</v>
      </c>
      <c r="F17" s="26" t="s">
        <v>235</v>
      </c>
      <c r="G17" s="27" t="s">
        <v>539</v>
      </c>
      <c r="H17" s="28">
        <v>7487</v>
      </c>
      <c r="I17" s="169">
        <v>9584</v>
      </c>
    </row>
    <row r="18" spans="1:9" customFormat="1" ht="23.1" customHeight="1" x14ac:dyDescent="0.15">
      <c r="A18" s="36">
        <v>14</v>
      </c>
      <c r="B18" s="37" t="s">
        <v>8</v>
      </c>
      <c r="C18" s="48" t="s">
        <v>547</v>
      </c>
      <c r="D18" s="38">
        <v>25</v>
      </c>
      <c r="E18" s="38">
        <v>32</v>
      </c>
      <c r="F18" s="38" t="s">
        <v>542</v>
      </c>
      <c r="G18" s="39" t="s">
        <v>546</v>
      </c>
      <c r="H18" s="40">
        <v>5654</v>
      </c>
      <c r="I18" s="166">
        <v>6539</v>
      </c>
    </row>
    <row r="19" spans="1:9" customFormat="1" ht="23.1" customHeight="1" x14ac:dyDescent="0.15">
      <c r="A19" s="5">
        <v>15</v>
      </c>
      <c r="B19" s="6" t="s">
        <v>9</v>
      </c>
      <c r="C19" s="15" t="s">
        <v>541</v>
      </c>
      <c r="D19" s="19">
        <v>25</v>
      </c>
      <c r="E19" s="19">
        <v>33</v>
      </c>
      <c r="F19" s="19" t="s">
        <v>544</v>
      </c>
      <c r="G19" s="20" t="s">
        <v>545</v>
      </c>
      <c r="H19" s="13">
        <v>5795</v>
      </c>
      <c r="I19" s="170">
        <v>7493</v>
      </c>
    </row>
    <row r="20" spans="1:9" customFormat="1" ht="23.1" customHeight="1" x14ac:dyDescent="0.15">
      <c r="A20" s="41">
        <v>16</v>
      </c>
      <c r="B20" s="42" t="s">
        <v>10</v>
      </c>
      <c r="C20" s="33" t="s">
        <v>427</v>
      </c>
      <c r="D20" s="95">
        <v>25</v>
      </c>
      <c r="E20" s="95">
        <v>32</v>
      </c>
      <c r="F20" s="95" t="s">
        <v>542</v>
      </c>
      <c r="G20" s="47" t="s">
        <v>548</v>
      </c>
      <c r="H20" s="45">
        <v>1395</v>
      </c>
      <c r="I20" s="167">
        <v>1608</v>
      </c>
    </row>
    <row r="21" spans="1:9" customFormat="1" ht="23.1" customHeight="1" x14ac:dyDescent="0.15">
      <c r="A21" s="41">
        <v>17</v>
      </c>
      <c r="B21" s="42" t="s">
        <v>11</v>
      </c>
      <c r="C21" s="33" t="s">
        <v>549</v>
      </c>
      <c r="D21" s="95">
        <v>25</v>
      </c>
      <c r="E21" s="95">
        <v>32</v>
      </c>
      <c r="F21" s="95" t="s">
        <v>543</v>
      </c>
      <c r="G21" s="47" t="s">
        <v>550</v>
      </c>
      <c r="H21" s="45">
        <v>1350</v>
      </c>
      <c r="I21" s="167">
        <v>1512</v>
      </c>
    </row>
    <row r="22" spans="1:9" s="112" customFormat="1" ht="23.1" customHeight="1" x14ac:dyDescent="0.15">
      <c r="A22" s="41">
        <v>18</v>
      </c>
      <c r="B22" s="42" t="s">
        <v>5</v>
      </c>
      <c r="C22" s="33" t="s">
        <v>554</v>
      </c>
      <c r="D22" s="95">
        <v>26</v>
      </c>
      <c r="E22" s="95">
        <v>33</v>
      </c>
      <c r="F22" s="95" t="s">
        <v>543</v>
      </c>
      <c r="G22" s="47" t="s">
        <v>551</v>
      </c>
      <c r="H22" s="45">
        <v>1477</v>
      </c>
      <c r="I22" s="167">
        <v>1800</v>
      </c>
    </row>
    <row r="23" spans="1:9" s="111" customFormat="1" ht="23.1" customHeight="1" x14ac:dyDescent="0.15">
      <c r="A23" s="60">
        <v>19</v>
      </c>
      <c r="B23" s="61" t="s">
        <v>6</v>
      </c>
      <c r="C23" s="62" t="s">
        <v>415</v>
      </c>
      <c r="D23" s="66">
        <v>26</v>
      </c>
      <c r="E23" s="66">
        <v>34</v>
      </c>
      <c r="F23" s="66" t="s">
        <v>235</v>
      </c>
      <c r="G23" s="64" t="s">
        <v>553</v>
      </c>
      <c r="H23" s="65">
        <v>11132</v>
      </c>
      <c r="I23" s="168">
        <v>12585</v>
      </c>
    </row>
    <row r="24" spans="1:9" customFormat="1" ht="23.1" customHeight="1" x14ac:dyDescent="0.15">
      <c r="A24" s="30">
        <v>20</v>
      </c>
      <c r="B24" s="24" t="s">
        <v>7</v>
      </c>
      <c r="C24" s="25" t="s">
        <v>457</v>
      </c>
      <c r="D24" s="26">
        <v>26</v>
      </c>
      <c r="E24" s="26">
        <v>32</v>
      </c>
      <c r="F24" s="26" t="s">
        <v>552</v>
      </c>
      <c r="G24" s="27" t="s">
        <v>555</v>
      </c>
      <c r="H24" s="28">
        <v>3923</v>
      </c>
      <c r="I24" s="169">
        <v>5235</v>
      </c>
    </row>
    <row r="25" spans="1:9" customFormat="1" ht="23.1" customHeight="1" x14ac:dyDescent="0.15">
      <c r="A25" s="36">
        <v>21</v>
      </c>
      <c r="B25" s="37" t="s">
        <v>8</v>
      </c>
      <c r="C25" s="48" t="s">
        <v>556</v>
      </c>
      <c r="D25" s="38">
        <v>26</v>
      </c>
      <c r="E25" s="38">
        <v>34</v>
      </c>
      <c r="F25" s="38" t="s">
        <v>557</v>
      </c>
      <c r="G25" s="39" t="s">
        <v>558</v>
      </c>
      <c r="H25" s="40">
        <v>1048</v>
      </c>
      <c r="I25" s="166">
        <v>1183</v>
      </c>
    </row>
    <row r="26" spans="1:9" customFormat="1" ht="23.1" customHeight="1" x14ac:dyDescent="0.15">
      <c r="A26" s="41">
        <v>22</v>
      </c>
      <c r="B26" s="42" t="s">
        <v>9</v>
      </c>
      <c r="C26" s="33" t="s">
        <v>559</v>
      </c>
      <c r="D26" s="95">
        <v>26</v>
      </c>
      <c r="E26" s="95">
        <v>32</v>
      </c>
      <c r="F26" s="95" t="s">
        <v>560</v>
      </c>
      <c r="G26" s="47" t="s">
        <v>561</v>
      </c>
      <c r="H26" s="45">
        <v>197</v>
      </c>
      <c r="I26" s="167">
        <v>233</v>
      </c>
    </row>
    <row r="27" spans="1:9" customFormat="1" ht="23.1" customHeight="1" x14ac:dyDescent="0.15">
      <c r="A27" s="41">
        <v>23</v>
      </c>
      <c r="B27" s="42" t="s">
        <v>10</v>
      </c>
      <c r="C27" s="33" t="s">
        <v>562</v>
      </c>
      <c r="D27" s="95">
        <v>23</v>
      </c>
      <c r="E27" s="95">
        <v>27</v>
      </c>
      <c r="F27" s="95" t="s">
        <v>564</v>
      </c>
      <c r="G27" s="47" t="s">
        <v>563</v>
      </c>
      <c r="H27" s="45">
        <v>29</v>
      </c>
      <c r="I27" s="167">
        <v>30</v>
      </c>
    </row>
    <row r="28" spans="1:9" s="111" customFormat="1" ht="23.1" customHeight="1" x14ac:dyDescent="0.15">
      <c r="A28" s="41">
        <v>24</v>
      </c>
      <c r="B28" s="42" t="s">
        <v>11</v>
      </c>
      <c r="C28" s="33" t="s">
        <v>565</v>
      </c>
      <c r="D28" s="95">
        <v>22</v>
      </c>
      <c r="E28" s="95">
        <v>28</v>
      </c>
      <c r="F28" s="95" t="s">
        <v>566</v>
      </c>
      <c r="G28" s="47" t="s">
        <v>567</v>
      </c>
      <c r="H28" s="45">
        <v>314</v>
      </c>
      <c r="I28" s="167">
        <v>390</v>
      </c>
    </row>
    <row r="29" spans="1:9" s="111" customFormat="1" ht="23.1" customHeight="1" x14ac:dyDescent="0.15">
      <c r="A29" s="41">
        <v>25</v>
      </c>
      <c r="B29" s="42" t="s">
        <v>5</v>
      </c>
      <c r="C29" s="33" t="s">
        <v>570</v>
      </c>
      <c r="D29" s="95">
        <v>24</v>
      </c>
      <c r="E29" s="95">
        <v>30</v>
      </c>
      <c r="F29" s="95" t="s">
        <v>571</v>
      </c>
      <c r="G29" s="47" t="s">
        <v>575</v>
      </c>
      <c r="H29" s="45">
        <v>2115</v>
      </c>
      <c r="I29" s="167">
        <v>2473</v>
      </c>
    </row>
    <row r="30" spans="1:9" s="111" customFormat="1" ht="23.1" customHeight="1" x14ac:dyDescent="0.15">
      <c r="A30" s="60">
        <v>26</v>
      </c>
      <c r="B30" s="61" t="s">
        <v>6</v>
      </c>
      <c r="C30" s="62" t="s">
        <v>569</v>
      </c>
      <c r="D30" s="66">
        <v>23</v>
      </c>
      <c r="E30" s="66">
        <v>30</v>
      </c>
      <c r="F30" s="66" t="s">
        <v>235</v>
      </c>
      <c r="G30" s="64" t="s">
        <v>574</v>
      </c>
      <c r="H30" s="65">
        <v>7509</v>
      </c>
      <c r="I30" s="168">
        <v>9649</v>
      </c>
    </row>
    <row r="31" spans="1:9" s="111" customFormat="1" ht="23.1" customHeight="1" x14ac:dyDescent="0.15">
      <c r="A31" s="30">
        <v>27</v>
      </c>
      <c r="B31" s="24" t="s">
        <v>7</v>
      </c>
      <c r="C31" s="25" t="s">
        <v>568</v>
      </c>
      <c r="D31" s="26">
        <v>23</v>
      </c>
      <c r="E31" s="26">
        <v>30</v>
      </c>
      <c r="F31" s="26" t="s">
        <v>572</v>
      </c>
      <c r="G31" s="27" t="s">
        <v>573</v>
      </c>
      <c r="H31" s="28">
        <v>5195</v>
      </c>
      <c r="I31" s="169">
        <v>7344</v>
      </c>
    </row>
    <row r="32" spans="1:9" customFormat="1" ht="23.1" customHeight="1" x14ac:dyDescent="0.15">
      <c r="A32" s="36">
        <v>28</v>
      </c>
      <c r="B32" s="37" t="s">
        <v>8</v>
      </c>
      <c r="C32" s="48" t="s">
        <v>581</v>
      </c>
      <c r="D32" s="38">
        <v>21</v>
      </c>
      <c r="E32" s="38">
        <v>26</v>
      </c>
      <c r="F32" s="38" t="s">
        <v>576</v>
      </c>
      <c r="G32" s="39" t="s">
        <v>577</v>
      </c>
      <c r="H32" s="40">
        <v>46</v>
      </c>
      <c r="I32" s="166">
        <v>60</v>
      </c>
    </row>
    <row r="33" spans="1:9" customFormat="1" ht="23.1" customHeight="1" x14ac:dyDescent="0.15">
      <c r="A33" s="41">
        <v>29</v>
      </c>
      <c r="B33" s="42" t="s">
        <v>9</v>
      </c>
      <c r="C33" s="33" t="s">
        <v>583</v>
      </c>
      <c r="D33" s="95">
        <v>23</v>
      </c>
      <c r="E33" s="95">
        <v>26</v>
      </c>
      <c r="F33" s="95" t="s">
        <v>578</v>
      </c>
      <c r="G33" s="47" t="s">
        <v>582</v>
      </c>
      <c r="H33" s="45">
        <v>20</v>
      </c>
      <c r="I33" s="167">
        <v>26</v>
      </c>
    </row>
    <row r="34" spans="1:9" customFormat="1" ht="23.25" customHeight="1" x14ac:dyDescent="0.15">
      <c r="A34" s="41">
        <v>30</v>
      </c>
      <c r="B34" s="42" t="s">
        <v>10</v>
      </c>
      <c r="C34" s="33" t="s">
        <v>585</v>
      </c>
      <c r="D34" s="95">
        <v>22</v>
      </c>
      <c r="E34" s="95">
        <v>25</v>
      </c>
      <c r="F34" s="95" t="s">
        <v>579</v>
      </c>
      <c r="G34" s="47" t="s">
        <v>584</v>
      </c>
      <c r="H34" s="45">
        <v>206</v>
      </c>
      <c r="I34" s="167">
        <v>246</v>
      </c>
    </row>
    <row r="35" spans="1:9" customFormat="1" ht="23.1" customHeight="1" thickBot="1" x14ac:dyDescent="0.2">
      <c r="A35" s="49">
        <v>31</v>
      </c>
      <c r="B35" s="50" t="s">
        <v>11</v>
      </c>
      <c r="C35" s="51" t="s">
        <v>586</v>
      </c>
      <c r="D35" s="52">
        <v>21</v>
      </c>
      <c r="E35" s="52">
        <v>29</v>
      </c>
      <c r="F35" s="52" t="s">
        <v>580</v>
      </c>
      <c r="G35" s="53" t="s">
        <v>587</v>
      </c>
      <c r="H35" s="54">
        <v>1227</v>
      </c>
      <c r="I35" s="172">
        <v>1448</v>
      </c>
    </row>
    <row r="36" spans="1:9" s="3" customFormat="1" ht="21" customHeight="1" thickBot="1" x14ac:dyDescent="0.2">
      <c r="A36" s="152" t="s">
        <v>27</v>
      </c>
      <c r="B36" s="153"/>
      <c r="C36" s="153"/>
      <c r="D36" s="153"/>
      <c r="E36" s="153"/>
      <c r="F36" s="153"/>
      <c r="G36" s="154"/>
      <c r="H36" s="173">
        <f t="shared" ref="H36:I36" si="0">SUM(H5:H35)</f>
        <v>82494</v>
      </c>
      <c r="I36" s="174">
        <f t="shared" si="0"/>
        <v>100658</v>
      </c>
    </row>
    <row r="37" spans="1:9" s="3" customFormat="1" ht="21" customHeight="1" thickBot="1" x14ac:dyDescent="0.2">
      <c r="A37" s="136" t="s">
        <v>28</v>
      </c>
      <c r="B37" s="137"/>
      <c r="C37" s="137"/>
      <c r="D37" s="137"/>
      <c r="E37" s="137"/>
      <c r="F37" s="137"/>
      <c r="G37" s="138"/>
      <c r="H37" s="175">
        <f>H36+'7월'!H37</f>
        <v>865649</v>
      </c>
      <c r="I37" s="176">
        <f>I36+'7월'!I37</f>
        <v>977366</v>
      </c>
    </row>
  </sheetData>
  <mergeCells count="9">
    <mergeCell ref="H3:H4"/>
    <mergeCell ref="A1:I1"/>
    <mergeCell ref="A37:G37"/>
    <mergeCell ref="B2:B4"/>
    <mergeCell ref="C2:C4"/>
    <mergeCell ref="D2:E3"/>
    <mergeCell ref="F2:G3"/>
    <mergeCell ref="A2:A4"/>
    <mergeCell ref="A36:G36"/>
  </mergeCells>
  <phoneticPr fontId="3" type="noConversion"/>
  <pageMargins left="0.7" right="0.7" top="0.75" bottom="0.75" header="0.3" footer="0.3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rgb="FFFFFF00"/>
  </sheetPr>
  <dimension ref="A1:I39"/>
  <sheetViews>
    <sheetView workbookViewId="0">
      <pane xSplit="7" ySplit="4" topLeftCell="H5" activePane="bottomRight" state="frozen"/>
      <selection activeCell="L7" sqref="L7"/>
      <selection pane="topRight" activeCell="L7" sqref="L7"/>
      <selection pane="bottomLeft" activeCell="L7" sqref="L7"/>
      <selection pane="bottomRight" activeCell="L7" sqref="L7"/>
    </sheetView>
  </sheetViews>
  <sheetFormatPr defaultColWidth="8.88671875" defaultRowHeight="13.5" x14ac:dyDescent="0.15"/>
  <cols>
    <col min="1" max="2" width="5.77734375" style="1" customWidth="1"/>
    <col min="3" max="3" width="8.77734375" style="9" customWidth="1"/>
    <col min="4" max="5" width="3.77734375" style="9" customWidth="1"/>
    <col min="6" max="6" width="5.77734375" style="9" customWidth="1"/>
    <col min="7" max="7" width="5.77734375" style="1" customWidth="1"/>
    <col min="8" max="9" width="9.77734375" style="1" customWidth="1"/>
    <col min="10" max="16384" width="8.88671875" style="1"/>
  </cols>
  <sheetData>
    <row r="1" spans="1:9" s="2" customFormat="1" ht="21" customHeight="1" x14ac:dyDescent="0.15">
      <c r="A1" s="155" t="s">
        <v>33</v>
      </c>
      <c r="B1" s="156"/>
      <c r="C1" s="156"/>
      <c r="D1" s="156"/>
      <c r="E1" s="156"/>
      <c r="F1" s="156"/>
      <c r="G1" s="156"/>
      <c r="H1" s="156"/>
      <c r="I1" s="157"/>
    </row>
    <row r="2" spans="1:9" s="2" customFormat="1" ht="22.5" customHeight="1" x14ac:dyDescent="0.15">
      <c r="A2" s="145" t="s">
        <v>2</v>
      </c>
      <c r="B2" s="148" t="s">
        <v>1</v>
      </c>
      <c r="C2" s="139" t="s">
        <v>12</v>
      </c>
      <c r="D2" s="139" t="s">
        <v>15</v>
      </c>
      <c r="E2" s="140"/>
      <c r="F2" s="139" t="s">
        <v>16</v>
      </c>
      <c r="G2" s="143"/>
      <c r="H2" s="159" t="s">
        <v>22</v>
      </c>
      <c r="I2" s="160" t="s">
        <v>21</v>
      </c>
    </row>
    <row r="3" spans="1:9" s="2" customFormat="1" ht="18.75" customHeight="1" x14ac:dyDescent="0.15">
      <c r="A3" s="146"/>
      <c r="B3" s="158"/>
      <c r="C3" s="150"/>
      <c r="D3" s="141"/>
      <c r="E3" s="142"/>
      <c r="F3" s="141"/>
      <c r="G3" s="144"/>
      <c r="H3" s="161" t="s">
        <v>23</v>
      </c>
      <c r="I3" s="162" t="s">
        <v>20</v>
      </c>
    </row>
    <row r="4" spans="1:9" s="2" customFormat="1" ht="18.75" customHeight="1" x14ac:dyDescent="0.15">
      <c r="A4" s="147"/>
      <c r="B4" s="149"/>
      <c r="C4" s="151"/>
      <c r="D4" s="14" t="s">
        <v>13</v>
      </c>
      <c r="E4" s="14" t="s">
        <v>14</v>
      </c>
      <c r="F4" s="14" t="s">
        <v>18</v>
      </c>
      <c r="G4" s="16" t="s">
        <v>17</v>
      </c>
      <c r="H4" s="163"/>
      <c r="I4" s="164" t="s">
        <v>19</v>
      </c>
    </row>
    <row r="5" spans="1:9" s="111" customFormat="1" ht="23.1" customHeight="1" x14ac:dyDescent="0.15">
      <c r="A5" s="31">
        <v>1</v>
      </c>
      <c r="B5" s="32" t="s">
        <v>54</v>
      </c>
      <c r="C5" s="46" t="s">
        <v>593</v>
      </c>
      <c r="D5" s="74">
        <v>20</v>
      </c>
      <c r="E5" s="74">
        <v>30</v>
      </c>
      <c r="F5" s="113" t="s">
        <v>588</v>
      </c>
      <c r="G5" s="34" t="s">
        <v>589</v>
      </c>
      <c r="H5" s="35">
        <v>2254</v>
      </c>
      <c r="I5" s="177">
        <v>2785</v>
      </c>
    </row>
    <row r="6" spans="1:9" customFormat="1" ht="23.1" customHeight="1" x14ac:dyDescent="0.15">
      <c r="A6" s="60">
        <v>2</v>
      </c>
      <c r="B6" s="61" t="s">
        <v>55</v>
      </c>
      <c r="C6" s="62" t="s">
        <v>596</v>
      </c>
      <c r="D6" s="66">
        <v>20</v>
      </c>
      <c r="E6" s="66">
        <v>31</v>
      </c>
      <c r="F6" s="66" t="s">
        <v>590</v>
      </c>
      <c r="G6" s="64" t="s">
        <v>594</v>
      </c>
      <c r="H6" s="65">
        <v>19780</v>
      </c>
      <c r="I6" s="168">
        <v>21567</v>
      </c>
    </row>
    <row r="7" spans="1:9" customFormat="1" ht="23.1" customHeight="1" x14ac:dyDescent="0.15">
      <c r="A7" s="30">
        <v>3</v>
      </c>
      <c r="B7" s="24" t="s">
        <v>7</v>
      </c>
      <c r="C7" s="25" t="s">
        <v>597</v>
      </c>
      <c r="D7" s="26">
        <v>23</v>
      </c>
      <c r="E7" s="26">
        <v>29</v>
      </c>
      <c r="F7" s="26" t="s">
        <v>591</v>
      </c>
      <c r="G7" s="27" t="s">
        <v>595</v>
      </c>
      <c r="H7" s="28">
        <v>13532</v>
      </c>
      <c r="I7" s="169">
        <v>15001</v>
      </c>
    </row>
    <row r="8" spans="1:9" s="112" customFormat="1" ht="23.1" customHeight="1" x14ac:dyDescent="0.15">
      <c r="A8" s="36">
        <v>4</v>
      </c>
      <c r="B8" s="37" t="s">
        <v>8</v>
      </c>
      <c r="C8" s="48" t="s">
        <v>598</v>
      </c>
      <c r="D8" s="77">
        <v>24</v>
      </c>
      <c r="E8" s="77">
        <v>30</v>
      </c>
      <c r="F8" s="77" t="s">
        <v>588</v>
      </c>
      <c r="G8" s="78" t="s">
        <v>599</v>
      </c>
      <c r="H8" s="40">
        <v>2268</v>
      </c>
      <c r="I8" s="166">
        <v>2528</v>
      </c>
    </row>
    <row r="9" spans="1:9" s="111" customFormat="1" ht="23.1" customHeight="1" x14ac:dyDescent="0.15">
      <c r="A9" s="41">
        <v>5</v>
      </c>
      <c r="B9" s="42" t="s">
        <v>9</v>
      </c>
      <c r="C9" s="33" t="s">
        <v>374</v>
      </c>
      <c r="D9" s="95">
        <v>25</v>
      </c>
      <c r="E9" s="95">
        <v>33</v>
      </c>
      <c r="F9" s="95" t="s">
        <v>592</v>
      </c>
      <c r="G9" s="47" t="s">
        <v>600</v>
      </c>
      <c r="H9" s="45">
        <v>1111</v>
      </c>
      <c r="I9" s="167">
        <v>1230</v>
      </c>
    </row>
    <row r="10" spans="1:9" customFormat="1" ht="23.1" customHeight="1" x14ac:dyDescent="0.15">
      <c r="A10" s="41">
        <v>6</v>
      </c>
      <c r="B10" s="42" t="s">
        <v>10</v>
      </c>
      <c r="C10" s="33" t="s">
        <v>601</v>
      </c>
      <c r="D10" s="95">
        <v>24</v>
      </c>
      <c r="E10" s="95">
        <v>32</v>
      </c>
      <c r="F10" s="95" t="s">
        <v>588</v>
      </c>
      <c r="G10" s="47" t="s">
        <v>600</v>
      </c>
      <c r="H10" s="45">
        <v>1667</v>
      </c>
      <c r="I10" s="167">
        <v>1780</v>
      </c>
    </row>
    <row r="11" spans="1:9" customFormat="1" ht="23.1" customHeight="1" x14ac:dyDescent="0.15">
      <c r="A11" s="41">
        <v>7</v>
      </c>
      <c r="B11" s="42" t="s">
        <v>11</v>
      </c>
      <c r="C11" s="33" t="s">
        <v>618</v>
      </c>
      <c r="D11" s="95">
        <v>21</v>
      </c>
      <c r="E11" s="95">
        <v>32</v>
      </c>
      <c r="F11" s="95" t="s">
        <v>592</v>
      </c>
      <c r="G11" s="47" t="s">
        <v>612</v>
      </c>
      <c r="H11" s="45">
        <v>2647</v>
      </c>
      <c r="I11" s="167">
        <v>2759</v>
      </c>
    </row>
    <row r="12" spans="1:9" customFormat="1" ht="23.1" customHeight="1" x14ac:dyDescent="0.15">
      <c r="A12" s="41">
        <v>8</v>
      </c>
      <c r="B12" s="42" t="s">
        <v>5</v>
      </c>
      <c r="C12" s="33" t="s">
        <v>618</v>
      </c>
      <c r="D12" s="96">
        <v>20</v>
      </c>
      <c r="E12" s="96">
        <v>31</v>
      </c>
      <c r="F12" s="96" t="s">
        <v>588</v>
      </c>
      <c r="G12" s="47" t="s">
        <v>611</v>
      </c>
      <c r="H12" s="45">
        <v>2311</v>
      </c>
      <c r="I12" s="167">
        <v>2765</v>
      </c>
    </row>
    <row r="13" spans="1:9" customFormat="1" ht="23.1" customHeight="1" x14ac:dyDescent="0.15">
      <c r="A13" s="60">
        <v>9</v>
      </c>
      <c r="B13" s="61" t="s">
        <v>6</v>
      </c>
      <c r="C13" s="62" t="s">
        <v>617</v>
      </c>
      <c r="D13" s="63">
        <v>21</v>
      </c>
      <c r="E13" s="63">
        <v>31</v>
      </c>
      <c r="F13" s="63" t="s">
        <v>590</v>
      </c>
      <c r="G13" s="64" t="s">
        <v>610</v>
      </c>
      <c r="H13" s="65">
        <v>13629</v>
      </c>
      <c r="I13" s="168">
        <v>15586</v>
      </c>
    </row>
    <row r="14" spans="1:9" customFormat="1" ht="23.1" customHeight="1" x14ac:dyDescent="0.15">
      <c r="A14" s="30">
        <v>10</v>
      </c>
      <c r="B14" s="24" t="s">
        <v>7</v>
      </c>
      <c r="C14" s="25" t="s">
        <v>616</v>
      </c>
      <c r="D14" s="26">
        <v>22</v>
      </c>
      <c r="E14" s="26">
        <v>30</v>
      </c>
      <c r="F14" s="26" t="s">
        <v>591</v>
      </c>
      <c r="G14" s="27" t="s">
        <v>609</v>
      </c>
      <c r="H14" s="28">
        <v>9284</v>
      </c>
      <c r="I14" s="169">
        <v>11230</v>
      </c>
    </row>
    <row r="15" spans="1:9" s="112" customFormat="1" ht="23.1" customHeight="1" x14ac:dyDescent="0.15">
      <c r="A15" s="36">
        <v>11</v>
      </c>
      <c r="B15" s="37" t="s">
        <v>8</v>
      </c>
      <c r="C15" s="48" t="s">
        <v>615</v>
      </c>
      <c r="D15" s="38">
        <v>23</v>
      </c>
      <c r="E15" s="38">
        <v>30</v>
      </c>
      <c r="F15" s="38" t="s">
        <v>605</v>
      </c>
      <c r="G15" s="39" t="s">
        <v>608</v>
      </c>
      <c r="H15" s="40">
        <v>1693</v>
      </c>
      <c r="I15" s="166">
        <v>1831</v>
      </c>
    </row>
    <row r="16" spans="1:9" s="111" customFormat="1" ht="23.1" customHeight="1" x14ac:dyDescent="0.15">
      <c r="A16" s="41">
        <v>12</v>
      </c>
      <c r="B16" s="42" t="s">
        <v>9</v>
      </c>
      <c r="C16" s="33" t="s">
        <v>614</v>
      </c>
      <c r="D16" s="95">
        <v>22</v>
      </c>
      <c r="E16" s="95">
        <v>30</v>
      </c>
      <c r="F16" s="95" t="s">
        <v>606</v>
      </c>
      <c r="G16" s="47" t="s">
        <v>604</v>
      </c>
      <c r="H16" s="45">
        <v>1320</v>
      </c>
      <c r="I16" s="167">
        <v>1416</v>
      </c>
    </row>
    <row r="17" spans="1:9" customFormat="1" ht="23.1" customHeight="1" x14ac:dyDescent="0.15">
      <c r="A17" s="41">
        <v>13</v>
      </c>
      <c r="B17" s="42" t="s">
        <v>10</v>
      </c>
      <c r="C17" s="33" t="s">
        <v>602</v>
      </c>
      <c r="D17" s="95">
        <v>20</v>
      </c>
      <c r="E17" s="95">
        <v>25</v>
      </c>
      <c r="F17" s="95" t="s">
        <v>606</v>
      </c>
      <c r="G17" s="47" t="s">
        <v>603</v>
      </c>
      <c r="H17" s="45">
        <v>1505</v>
      </c>
      <c r="I17" s="167">
        <v>1517</v>
      </c>
    </row>
    <row r="18" spans="1:9" customFormat="1" ht="23.1" customHeight="1" x14ac:dyDescent="0.15">
      <c r="A18" s="41">
        <v>14</v>
      </c>
      <c r="B18" s="42" t="s">
        <v>11</v>
      </c>
      <c r="C18" s="33" t="s">
        <v>613</v>
      </c>
      <c r="D18" s="95">
        <v>19</v>
      </c>
      <c r="E18" s="95">
        <v>27</v>
      </c>
      <c r="F18" s="95" t="s">
        <v>607</v>
      </c>
      <c r="G18" s="47" t="s">
        <v>604</v>
      </c>
      <c r="H18" s="45">
        <v>2379</v>
      </c>
      <c r="I18" s="167">
        <v>2543</v>
      </c>
    </row>
    <row r="19" spans="1:9" customFormat="1" ht="23.1" customHeight="1" x14ac:dyDescent="0.15">
      <c r="A19" s="41">
        <v>15</v>
      </c>
      <c r="B19" s="42" t="s">
        <v>5</v>
      </c>
      <c r="C19" s="33" t="s">
        <v>622</v>
      </c>
      <c r="D19" s="95">
        <v>20</v>
      </c>
      <c r="E19" s="95">
        <v>24</v>
      </c>
      <c r="F19" s="95" t="s">
        <v>619</v>
      </c>
      <c r="G19" s="47" t="s">
        <v>620</v>
      </c>
      <c r="H19" s="45">
        <v>2117</v>
      </c>
      <c r="I19" s="167">
        <v>2146</v>
      </c>
    </row>
    <row r="20" spans="1:9" customFormat="1" ht="23.1" customHeight="1" x14ac:dyDescent="0.15">
      <c r="A20" s="60">
        <v>16</v>
      </c>
      <c r="B20" s="61" t="s">
        <v>6</v>
      </c>
      <c r="C20" s="62" t="s">
        <v>621</v>
      </c>
      <c r="D20" s="66">
        <v>22</v>
      </c>
      <c r="E20" s="66">
        <v>27</v>
      </c>
      <c r="F20" s="66" t="s">
        <v>235</v>
      </c>
      <c r="G20" s="64" t="s">
        <v>628</v>
      </c>
      <c r="H20" s="65">
        <v>6036</v>
      </c>
      <c r="I20" s="168">
        <v>6852</v>
      </c>
    </row>
    <row r="21" spans="1:9" customFormat="1" ht="23.1" customHeight="1" x14ac:dyDescent="0.15">
      <c r="A21" s="30">
        <v>17</v>
      </c>
      <c r="B21" s="24" t="s">
        <v>7</v>
      </c>
      <c r="C21" s="25" t="s">
        <v>629</v>
      </c>
      <c r="D21" s="26">
        <v>22</v>
      </c>
      <c r="E21" s="26">
        <v>28</v>
      </c>
      <c r="F21" s="26" t="s">
        <v>626</v>
      </c>
      <c r="G21" s="27" t="s">
        <v>627</v>
      </c>
      <c r="H21" s="28">
        <v>4474</v>
      </c>
      <c r="I21" s="169">
        <v>6287</v>
      </c>
    </row>
    <row r="22" spans="1:9" s="112" customFormat="1" ht="23.1" customHeight="1" x14ac:dyDescent="0.15">
      <c r="A22" s="36">
        <v>18</v>
      </c>
      <c r="B22" s="37" t="s">
        <v>8</v>
      </c>
      <c r="C22" s="48" t="s">
        <v>631</v>
      </c>
      <c r="D22" s="38">
        <v>22</v>
      </c>
      <c r="E22" s="38">
        <v>29</v>
      </c>
      <c r="F22" s="38" t="s">
        <v>623</v>
      </c>
      <c r="G22" s="39" t="s">
        <v>630</v>
      </c>
      <c r="H22" s="40">
        <v>2724</v>
      </c>
      <c r="I22" s="166">
        <v>2894</v>
      </c>
    </row>
    <row r="23" spans="1:9" s="111" customFormat="1" ht="23.1" customHeight="1" x14ac:dyDescent="0.15">
      <c r="A23" s="41">
        <v>19</v>
      </c>
      <c r="B23" s="42" t="s">
        <v>9</v>
      </c>
      <c r="C23" s="33" t="s">
        <v>632</v>
      </c>
      <c r="D23" s="95">
        <v>22</v>
      </c>
      <c r="E23" s="95">
        <v>27</v>
      </c>
      <c r="F23" s="95" t="s">
        <v>624</v>
      </c>
      <c r="G23" s="47" t="s">
        <v>633</v>
      </c>
      <c r="H23" s="45">
        <v>1302</v>
      </c>
      <c r="I23" s="167">
        <v>1459</v>
      </c>
    </row>
    <row r="24" spans="1:9" customFormat="1" ht="23.1" customHeight="1" x14ac:dyDescent="0.15">
      <c r="A24" s="41">
        <v>20</v>
      </c>
      <c r="B24" s="42" t="s">
        <v>10</v>
      </c>
      <c r="C24" s="33" t="s">
        <v>634</v>
      </c>
      <c r="D24" s="95">
        <v>19</v>
      </c>
      <c r="E24" s="95">
        <v>24</v>
      </c>
      <c r="F24" s="95" t="s">
        <v>625</v>
      </c>
      <c r="G24" s="47" t="s">
        <v>635</v>
      </c>
      <c r="H24" s="45">
        <v>497</v>
      </c>
      <c r="I24" s="167">
        <v>497</v>
      </c>
    </row>
    <row r="25" spans="1:9" customFormat="1" ht="23.1" customHeight="1" x14ac:dyDescent="0.15">
      <c r="A25" s="41">
        <v>21</v>
      </c>
      <c r="B25" s="42" t="s">
        <v>11</v>
      </c>
      <c r="C25" s="33" t="s">
        <v>637</v>
      </c>
      <c r="D25" s="95">
        <v>18</v>
      </c>
      <c r="E25" s="95">
        <v>24</v>
      </c>
      <c r="F25" s="95" t="s">
        <v>623</v>
      </c>
      <c r="G25" s="47" t="s">
        <v>636</v>
      </c>
      <c r="H25" s="45">
        <v>3326</v>
      </c>
      <c r="I25" s="167">
        <v>3495</v>
      </c>
    </row>
    <row r="26" spans="1:9" customFormat="1" ht="23.1" customHeight="1" x14ac:dyDescent="0.15">
      <c r="A26" s="41">
        <v>22</v>
      </c>
      <c r="B26" s="42" t="s">
        <v>5</v>
      </c>
      <c r="C26" s="33" t="s">
        <v>645</v>
      </c>
      <c r="D26" s="95">
        <v>15</v>
      </c>
      <c r="E26" s="95">
        <v>27</v>
      </c>
      <c r="F26" s="95" t="s">
        <v>623</v>
      </c>
      <c r="G26" s="47" t="s">
        <v>642</v>
      </c>
      <c r="H26" s="45">
        <v>6027</v>
      </c>
      <c r="I26" s="167">
        <v>6381</v>
      </c>
    </row>
    <row r="27" spans="1:9" customFormat="1" ht="23.1" customHeight="1" x14ac:dyDescent="0.15">
      <c r="A27" s="60">
        <v>23</v>
      </c>
      <c r="B27" s="61" t="s">
        <v>6</v>
      </c>
      <c r="C27" s="62" t="s">
        <v>644</v>
      </c>
      <c r="D27" s="66">
        <v>16</v>
      </c>
      <c r="E27" s="66">
        <v>28</v>
      </c>
      <c r="F27" s="66" t="s">
        <v>640</v>
      </c>
      <c r="G27" s="64" t="s">
        <v>641</v>
      </c>
      <c r="H27" s="65">
        <v>16895</v>
      </c>
      <c r="I27" s="168">
        <v>18758</v>
      </c>
    </row>
    <row r="28" spans="1:9" s="111" customFormat="1" ht="23.1" customHeight="1" x14ac:dyDescent="0.15">
      <c r="A28" s="30">
        <v>24</v>
      </c>
      <c r="B28" s="24" t="s">
        <v>7</v>
      </c>
      <c r="C28" s="25" t="s">
        <v>643</v>
      </c>
      <c r="D28" s="26">
        <v>18</v>
      </c>
      <c r="E28" s="26">
        <v>26</v>
      </c>
      <c r="F28" s="26" t="s">
        <v>638</v>
      </c>
      <c r="G28" s="27" t="s">
        <v>639</v>
      </c>
      <c r="H28" s="28">
        <v>9041</v>
      </c>
      <c r="I28" s="169">
        <v>10935</v>
      </c>
    </row>
    <row r="29" spans="1:9" s="111" customFormat="1" ht="23.1" customHeight="1" x14ac:dyDescent="0.15">
      <c r="A29" s="36">
        <v>25</v>
      </c>
      <c r="B29" s="37" t="s">
        <v>8</v>
      </c>
      <c r="C29" s="48" t="s">
        <v>649</v>
      </c>
      <c r="D29" s="38">
        <v>18</v>
      </c>
      <c r="E29" s="38">
        <v>26</v>
      </c>
      <c r="F29" s="38" t="s">
        <v>646</v>
      </c>
      <c r="G29" s="39" t="s">
        <v>648</v>
      </c>
      <c r="H29" s="40">
        <v>2097</v>
      </c>
      <c r="I29" s="166">
        <v>2275</v>
      </c>
    </row>
    <row r="30" spans="1:9" s="111" customFormat="1" ht="23.1" customHeight="1" x14ac:dyDescent="0.15">
      <c r="A30" s="41">
        <v>26</v>
      </c>
      <c r="B30" s="42" t="s">
        <v>9</v>
      </c>
      <c r="C30" s="33" t="s">
        <v>650</v>
      </c>
      <c r="D30" s="95">
        <v>19</v>
      </c>
      <c r="E30" s="95">
        <v>21</v>
      </c>
      <c r="F30" s="95" t="s">
        <v>647</v>
      </c>
      <c r="G30" s="47" t="s">
        <v>651</v>
      </c>
      <c r="H30" s="45">
        <v>1072</v>
      </c>
      <c r="I30" s="167">
        <v>1072</v>
      </c>
    </row>
    <row r="31" spans="1:9" s="111" customFormat="1" ht="23.1" customHeight="1" x14ac:dyDescent="0.15">
      <c r="A31" s="41">
        <v>27</v>
      </c>
      <c r="B31" s="42" t="s">
        <v>10</v>
      </c>
      <c r="C31" s="33" t="s">
        <v>663</v>
      </c>
      <c r="D31" s="95">
        <v>20</v>
      </c>
      <c r="E31" s="95">
        <v>24</v>
      </c>
      <c r="F31" s="95" t="s">
        <v>661</v>
      </c>
      <c r="G31" s="47" t="s">
        <v>662</v>
      </c>
      <c r="H31" s="45">
        <v>1199</v>
      </c>
      <c r="I31" s="167">
        <v>1267</v>
      </c>
    </row>
    <row r="32" spans="1:9" customFormat="1" ht="23.1" customHeight="1" x14ac:dyDescent="0.15">
      <c r="A32" s="5">
        <v>28</v>
      </c>
      <c r="B32" s="6" t="s">
        <v>11</v>
      </c>
      <c r="C32" s="15" t="s">
        <v>668</v>
      </c>
      <c r="D32" s="19">
        <v>20</v>
      </c>
      <c r="E32" s="19">
        <v>27</v>
      </c>
      <c r="F32" s="19" t="s">
        <v>658</v>
      </c>
      <c r="G32" s="20" t="s">
        <v>660</v>
      </c>
      <c r="H32" s="13">
        <v>11977</v>
      </c>
      <c r="I32" s="170">
        <v>13032</v>
      </c>
    </row>
    <row r="33" spans="1:9" customFormat="1" ht="23.1" customHeight="1" x14ac:dyDescent="0.15">
      <c r="A33" s="5">
        <v>29</v>
      </c>
      <c r="B33" s="6" t="s">
        <v>5</v>
      </c>
      <c r="C33" s="15" t="s">
        <v>667</v>
      </c>
      <c r="D33" s="19">
        <v>17</v>
      </c>
      <c r="E33" s="19">
        <v>27</v>
      </c>
      <c r="F33" s="19" t="s">
        <v>654</v>
      </c>
      <c r="G33" s="20" t="s">
        <v>659</v>
      </c>
      <c r="H33" s="13">
        <v>12912</v>
      </c>
      <c r="I33" s="170">
        <v>13741</v>
      </c>
    </row>
    <row r="34" spans="1:9" customFormat="1" ht="23.25" customHeight="1" x14ac:dyDescent="0.15">
      <c r="A34" s="5">
        <v>30</v>
      </c>
      <c r="B34" s="6" t="s">
        <v>6</v>
      </c>
      <c r="C34" s="15" t="s">
        <v>666</v>
      </c>
      <c r="D34" s="19">
        <v>17</v>
      </c>
      <c r="E34" s="19">
        <v>22</v>
      </c>
      <c r="F34" s="19" t="s">
        <v>656</v>
      </c>
      <c r="G34" s="20" t="s">
        <v>657</v>
      </c>
      <c r="H34" s="13">
        <v>11438</v>
      </c>
      <c r="I34" s="170">
        <v>12315</v>
      </c>
    </row>
    <row r="35" spans="1:9" customFormat="1" ht="23.1" customHeight="1" thickBot="1" x14ac:dyDescent="0.2">
      <c r="A35" s="49"/>
      <c r="B35" s="50"/>
      <c r="C35" s="51"/>
      <c r="D35" s="52"/>
      <c r="E35" s="52"/>
      <c r="F35" s="52"/>
      <c r="G35" s="53"/>
      <c r="H35" s="54">
        <v>0</v>
      </c>
      <c r="I35" s="172">
        <v>0</v>
      </c>
    </row>
    <row r="36" spans="1:9" s="3" customFormat="1" ht="21" customHeight="1" thickBot="1" x14ac:dyDescent="0.2">
      <c r="A36" s="152" t="s">
        <v>27</v>
      </c>
      <c r="B36" s="153"/>
      <c r="C36" s="153"/>
      <c r="D36" s="153"/>
      <c r="E36" s="153"/>
      <c r="F36" s="153"/>
      <c r="G36" s="154"/>
      <c r="H36" s="173">
        <f t="shared" ref="H36:I36" si="0">SUM(H5:H35)</f>
        <v>168514</v>
      </c>
      <c r="I36" s="174">
        <f t="shared" si="0"/>
        <v>187944</v>
      </c>
    </row>
    <row r="37" spans="1:9" s="3" customFormat="1" ht="21" customHeight="1" thickBot="1" x14ac:dyDescent="0.2">
      <c r="A37" s="136" t="s">
        <v>28</v>
      </c>
      <c r="B37" s="137"/>
      <c r="C37" s="137"/>
      <c r="D37" s="137"/>
      <c r="E37" s="137"/>
      <c r="F37" s="137"/>
      <c r="G37" s="138"/>
      <c r="H37" s="175">
        <f>H36+'8월'!H37</f>
        <v>1034163</v>
      </c>
      <c r="I37" s="176">
        <f>I36+'8월'!I37</f>
        <v>1165310</v>
      </c>
    </row>
    <row r="39" spans="1:9" x14ac:dyDescent="0.15">
      <c r="H39" s="1">
        <f>63105/53910</f>
        <v>1.1705620478575403</v>
      </c>
    </row>
  </sheetData>
  <mergeCells count="9">
    <mergeCell ref="H3:H4"/>
    <mergeCell ref="A1:I1"/>
    <mergeCell ref="A37:G37"/>
    <mergeCell ref="B2:B4"/>
    <mergeCell ref="C2:C4"/>
    <mergeCell ref="D2:E3"/>
    <mergeCell ref="F2:G3"/>
    <mergeCell ref="A2:A4"/>
    <mergeCell ref="A36:G36"/>
  </mergeCells>
  <phoneticPr fontId="3" type="noConversion"/>
  <pageMargins left="0.7" right="0.7" top="0.75" bottom="0.75" header="0.3" footer="0.3"/>
  <pageSetup paperSize="9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rgb="FFFFFF00"/>
  </sheetPr>
  <dimension ref="A1:I41"/>
  <sheetViews>
    <sheetView workbookViewId="0">
      <pane xSplit="7" ySplit="4" topLeftCell="H17" activePane="bottomRight" state="frozen"/>
      <selection activeCell="L7" sqref="L7"/>
      <selection pane="topRight" activeCell="L7" sqref="L7"/>
      <selection pane="bottomLeft" activeCell="L7" sqref="L7"/>
      <selection pane="bottomRight" activeCell="L7" sqref="L7"/>
    </sheetView>
  </sheetViews>
  <sheetFormatPr defaultColWidth="8.88671875" defaultRowHeight="13.5" x14ac:dyDescent="0.15"/>
  <cols>
    <col min="1" max="2" width="5.77734375" style="1" customWidth="1"/>
    <col min="3" max="3" width="8.77734375" style="9" customWidth="1"/>
    <col min="4" max="5" width="3.77734375" style="9" customWidth="1"/>
    <col min="6" max="6" width="5.77734375" style="9" customWidth="1"/>
    <col min="7" max="7" width="5.77734375" style="1" customWidth="1"/>
    <col min="8" max="9" width="9.77734375" style="1" customWidth="1"/>
    <col min="10" max="16384" width="8.88671875" style="1"/>
  </cols>
  <sheetData>
    <row r="1" spans="1:9" s="2" customFormat="1" ht="21" customHeight="1" x14ac:dyDescent="0.15">
      <c r="A1" s="155" t="s">
        <v>34</v>
      </c>
      <c r="B1" s="156"/>
      <c r="C1" s="156"/>
      <c r="D1" s="156"/>
      <c r="E1" s="156"/>
      <c r="F1" s="156"/>
      <c r="G1" s="156"/>
      <c r="H1" s="156"/>
      <c r="I1" s="157"/>
    </row>
    <row r="2" spans="1:9" s="2" customFormat="1" ht="22.5" customHeight="1" x14ac:dyDescent="0.15">
      <c r="A2" s="145" t="s">
        <v>2</v>
      </c>
      <c r="B2" s="148" t="s">
        <v>1</v>
      </c>
      <c r="C2" s="139" t="s">
        <v>12</v>
      </c>
      <c r="D2" s="139" t="s">
        <v>15</v>
      </c>
      <c r="E2" s="140"/>
      <c r="F2" s="139" t="s">
        <v>16</v>
      </c>
      <c r="G2" s="143"/>
      <c r="H2" s="159" t="s">
        <v>22</v>
      </c>
      <c r="I2" s="160" t="s">
        <v>21</v>
      </c>
    </row>
    <row r="3" spans="1:9" s="2" customFormat="1" ht="18.75" customHeight="1" x14ac:dyDescent="0.15">
      <c r="A3" s="146"/>
      <c r="B3" s="158"/>
      <c r="C3" s="150"/>
      <c r="D3" s="141"/>
      <c r="E3" s="142"/>
      <c r="F3" s="141"/>
      <c r="G3" s="144"/>
      <c r="H3" s="161" t="s">
        <v>23</v>
      </c>
      <c r="I3" s="162" t="s">
        <v>20</v>
      </c>
    </row>
    <row r="4" spans="1:9" s="2" customFormat="1" ht="18.75" customHeight="1" x14ac:dyDescent="0.15">
      <c r="A4" s="147"/>
      <c r="B4" s="149"/>
      <c r="C4" s="151"/>
      <c r="D4" s="14" t="s">
        <v>13</v>
      </c>
      <c r="E4" s="14" t="s">
        <v>14</v>
      </c>
      <c r="F4" s="14" t="s">
        <v>18</v>
      </c>
      <c r="G4" s="16" t="s">
        <v>17</v>
      </c>
      <c r="H4" s="163"/>
      <c r="I4" s="164" t="s">
        <v>19</v>
      </c>
    </row>
    <row r="5" spans="1:9" s="111" customFormat="1" ht="23.1" customHeight="1" x14ac:dyDescent="0.15">
      <c r="A5" s="68">
        <v>1</v>
      </c>
      <c r="B5" s="69" t="s">
        <v>38</v>
      </c>
      <c r="C5" s="70" t="s">
        <v>665</v>
      </c>
      <c r="D5" s="71">
        <v>14</v>
      </c>
      <c r="E5" s="71">
        <v>24</v>
      </c>
      <c r="F5" s="121" t="s">
        <v>654</v>
      </c>
      <c r="G5" s="122" t="s">
        <v>655</v>
      </c>
      <c r="H5" s="72">
        <v>18725</v>
      </c>
      <c r="I5" s="165">
        <v>20086</v>
      </c>
    </row>
    <row r="6" spans="1:9" customFormat="1" ht="23.1" customHeight="1" x14ac:dyDescent="0.15">
      <c r="A6" s="10">
        <v>2</v>
      </c>
      <c r="B6" s="11" t="s">
        <v>56</v>
      </c>
      <c r="C6" s="29" t="s">
        <v>664</v>
      </c>
      <c r="D6" s="21">
        <v>13</v>
      </c>
      <c r="E6" s="21">
        <v>25</v>
      </c>
      <c r="F6" s="21" t="s">
        <v>652</v>
      </c>
      <c r="G6" s="22" t="s">
        <v>653</v>
      </c>
      <c r="H6" s="23">
        <v>22285</v>
      </c>
      <c r="I6" s="171">
        <v>23822</v>
      </c>
    </row>
    <row r="7" spans="1:9" customFormat="1" ht="23.1" customHeight="1" x14ac:dyDescent="0.15">
      <c r="A7" s="5">
        <v>3</v>
      </c>
      <c r="B7" s="6" t="s">
        <v>9</v>
      </c>
      <c r="C7" s="15" t="s">
        <v>669</v>
      </c>
      <c r="D7" s="19">
        <v>14</v>
      </c>
      <c r="E7" s="19">
        <v>23</v>
      </c>
      <c r="F7" s="19" t="s">
        <v>652</v>
      </c>
      <c r="G7" s="20" t="s">
        <v>660</v>
      </c>
      <c r="H7" s="13">
        <v>9567</v>
      </c>
      <c r="I7" s="170">
        <v>11245</v>
      </c>
    </row>
    <row r="8" spans="1:9" s="112" customFormat="1" ht="23.1" customHeight="1" x14ac:dyDescent="0.15">
      <c r="A8" s="41">
        <v>4</v>
      </c>
      <c r="B8" s="42" t="s">
        <v>10</v>
      </c>
      <c r="C8" s="33" t="s">
        <v>670</v>
      </c>
      <c r="D8" s="43">
        <v>14</v>
      </c>
      <c r="E8" s="43">
        <v>23</v>
      </c>
      <c r="F8" s="43" t="s">
        <v>671</v>
      </c>
      <c r="G8" s="44" t="s">
        <v>672</v>
      </c>
      <c r="H8" s="45">
        <v>2342</v>
      </c>
      <c r="I8" s="167">
        <v>2428</v>
      </c>
    </row>
    <row r="9" spans="1:9" s="111" customFormat="1" ht="23.1" customHeight="1" x14ac:dyDescent="0.15">
      <c r="A9" s="41">
        <v>5</v>
      </c>
      <c r="B9" s="42" t="s">
        <v>11</v>
      </c>
      <c r="C9" s="33" t="s">
        <v>673</v>
      </c>
      <c r="D9" s="95">
        <v>10</v>
      </c>
      <c r="E9" s="95">
        <v>19</v>
      </c>
      <c r="F9" s="43" t="s">
        <v>674</v>
      </c>
      <c r="G9" s="44" t="s">
        <v>675</v>
      </c>
      <c r="H9" s="45">
        <v>3639</v>
      </c>
      <c r="I9" s="167">
        <v>3724</v>
      </c>
    </row>
    <row r="10" spans="1:9" customFormat="1" ht="23.1" customHeight="1" x14ac:dyDescent="0.15">
      <c r="A10" s="41">
        <v>6</v>
      </c>
      <c r="B10" s="42" t="s">
        <v>5</v>
      </c>
      <c r="C10" s="33" t="s">
        <v>680</v>
      </c>
      <c r="D10" s="95">
        <v>10</v>
      </c>
      <c r="E10" s="95">
        <v>22</v>
      </c>
      <c r="F10" s="43" t="s">
        <v>681</v>
      </c>
      <c r="G10" s="44" t="s">
        <v>682</v>
      </c>
      <c r="H10" s="45">
        <v>6528</v>
      </c>
      <c r="I10" s="167">
        <v>6802</v>
      </c>
    </row>
    <row r="11" spans="1:9" customFormat="1" ht="23.1" customHeight="1" x14ac:dyDescent="0.15">
      <c r="A11" s="60">
        <v>7</v>
      </c>
      <c r="B11" s="61" t="s">
        <v>6</v>
      </c>
      <c r="C11" s="62" t="s">
        <v>678</v>
      </c>
      <c r="D11" s="66">
        <v>12</v>
      </c>
      <c r="E11" s="66">
        <v>21</v>
      </c>
      <c r="F11" s="66" t="s">
        <v>679</v>
      </c>
      <c r="G11" s="64" t="s">
        <v>683</v>
      </c>
      <c r="H11" s="65">
        <v>10769</v>
      </c>
      <c r="I11" s="168">
        <v>12061</v>
      </c>
    </row>
    <row r="12" spans="1:9" customFormat="1" ht="23.1" customHeight="1" x14ac:dyDescent="0.15">
      <c r="A12" s="30">
        <v>8</v>
      </c>
      <c r="B12" s="24" t="s">
        <v>7</v>
      </c>
      <c r="C12" s="25" t="s">
        <v>676</v>
      </c>
      <c r="D12" s="67">
        <v>15</v>
      </c>
      <c r="E12" s="67">
        <v>20</v>
      </c>
      <c r="F12" s="67" t="s">
        <v>677</v>
      </c>
      <c r="G12" s="27" t="s">
        <v>684</v>
      </c>
      <c r="H12" s="28">
        <v>15705</v>
      </c>
      <c r="I12" s="169">
        <v>17256</v>
      </c>
    </row>
    <row r="13" spans="1:9" customFormat="1" ht="23.1" customHeight="1" x14ac:dyDescent="0.15">
      <c r="A13" s="10">
        <v>9</v>
      </c>
      <c r="B13" s="11" t="s">
        <v>8</v>
      </c>
      <c r="C13" s="29" t="s">
        <v>685</v>
      </c>
      <c r="D13" s="132">
        <v>14</v>
      </c>
      <c r="E13" s="132">
        <v>22</v>
      </c>
      <c r="F13" s="132" t="s">
        <v>235</v>
      </c>
      <c r="G13" s="22" t="s">
        <v>686</v>
      </c>
      <c r="H13" s="23">
        <v>8774</v>
      </c>
      <c r="I13" s="171">
        <v>10315</v>
      </c>
    </row>
    <row r="14" spans="1:9" customFormat="1" ht="23.1" customHeight="1" x14ac:dyDescent="0.15">
      <c r="A14" s="41">
        <v>10</v>
      </c>
      <c r="B14" s="42" t="s">
        <v>9</v>
      </c>
      <c r="C14" s="33" t="s">
        <v>689</v>
      </c>
      <c r="D14" s="95">
        <v>12</v>
      </c>
      <c r="E14" s="95">
        <v>24</v>
      </c>
      <c r="F14" s="95" t="s">
        <v>687</v>
      </c>
      <c r="G14" s="47" t="s">
        <v>688</v>
      </c>
      <c r="H14" s="45">
        <v>2213</v>
      </c>
      <c r="I14" s="167">
        <v>2356</v>
      </c>
    </row>
    <row r="15" spans="1:9" s="112" customFormat="1" ht="23.1" customHeight="1" x14ac:dyDescent="0.15">
      <c r="A15" s="41">
        <v>11</v>
      </c>
      <c r="B15" s="42" t="s">
        <v>10</v>
      </c>
      <c r="C15" s="33" t="s">
        <v>690</v>
      </c>
      <c r="D15" s="95">
        <v>13</v>
      </c>
      <c r="E15" s="95">
        <v>24</v>
      </c>
      <c r="F15" s="43" t="s">
        <v>691</v>
      </c>
      <c r="G15" s="44" t="s">
        <v>692</v>
      </c>
      <c r="H15" s="45">
        <v>3905</v>
      </c>
      <c r="I15" s="167">
        <v>4064</v>
      </c>
    </row>
    <row r="16" spans="1:9" s="111" customFormat="1" ht="23.1" customHeight="1" x14ac:dyDescent="0.15">
      <c r="A16" s="41">
        <v>12</v>
      </c>
      <c r="B16" s="42" t="s">
        <v>11</v>
      </c>
      <c r="C16" s="33" t="s">
        <v>693</v>
      </c>
      <c r="D16" s="95">
        <v>12</v>
      </c>
      <c r="E16" s="95">
        <v>24</v>
      </c>
      <c r="F16" s="43" t="s">
        <v>694</v>
      </c>
      <c r="G16" s="44" t="s">
        <v>695</v>
      </c>
      <c r="H16" s="45">
        <v>4980</v>
      </c>
      <c r="I16" s="167">
        <v>5103</v>
      </c>
    </row>
    <row r="17" spans="1:9" customFormat="1" ht="23.1" customHeight="1" x14ac:dyDescent="0.15">
      <c r="A17" s="41">
        <v>13</v>
      </c>
      <c r="B17" s="42" t="s">
        <v>5</v>
      </c>
      <c r="C17" s="33" t="s">
        <v>704</v>
      </c>
      <c r="D17" s="95">
        <v>14</v>
      </c>
      <c r="E17" s="95">
        <v>22</v>
      </c>
      <c r="F17" s="43" t="s">
        <v>700</v>
      </c>
      <c r="G17" s="44" t="s">
        <v>701</v>
      </c>
      <c r="H17" s="45">
        <v>7923</v>
      </c>
      <c r="I17" s="167">
        <v>8224</v>
      </c>
    </row>
    <row r="18" spans="1:9" customFormat="1" ht="23.1" customHeight="1" x14ac:dyDescent="0.15">
      <c r="A18" s="60">
        <v>14</v>
      </c>
      <c r="B18" s="61" t="s">
        <v>6</v>
      </c>
      <c r="C18" s="62" t="s">
        <v>703</v>
      </c>
      <c r="D18" s="66">
        <v>13</v>
      </c>
      <c r="E18" s="66">
        <v>18</v>
      </c>
      <c r="F18" s="66" t="s">
        <v>698</v>
      </c>
      <c r="G18" s="64" t="s">
        <v>699</v>
      </c>
      <c r="H18" s="65">
        <v>6151</v>
      </c>
      <c r="I18" s="168">
        <v>6893</v>
      </c>
    </row>
    <row r="19" spans="1:9" customFormat="1" ht="23.1" customHeight="1" x14ac:dyDescent="0.15">
      <c r="A19" s="30">
        <v>15</v>
      </c>
      <c r="B19" s="24" t="s">
        <v>7</v>
      </c>
      <c r="C19" s="25" t="s">
        <v>702</v>
      </c>
      <c r="D19" s="26">
        <v>11</v>
      </c>
      <c r="E19" s="26">
        <v>21</v>
      </c>
      <c r="F19" s="67" t="s">
        <v>696</v>
      </c>
      <c r="G19" s="27" t="s">
        <v>697</v>
      </c>
      <c r="H19" s="28">
        <v>12029</v>
      </c>
      <c r="I19" s="169">
        <v>13757</v>
      </c>
    </row>
    <row r="20" spans="1:9" customFormat="1" ht="23.1" customHeight="1" x14ac:dyDescent="0.15">
      <c r="A20" s="36">
        <v>16</v>
      </c>
      <c r="B20" s="37" t="s">
        <v>8</v>
      </c>
      <c r="C20" s="48" t="s">
        <v>705</v>
      </c>
      <c r="D20" s="38">
        <v>11</v>
      </c>
      <c r="E20" s="38">
        <v>20</v>
      </c>
      <c r="F20" s="73" t="s">
        <v>706</v>
      </c>
      <c r="G20" s="39" t="s">
        <v>707</v>
      </c>
      <c r="H20" s="40">
        <v>5471</v>
      </c>
      <c r="I20" s="166">
        <v>5628</v>
      </c>
    </row>
    <row r="21" spans="1:9" customFormat="1" ht="23.1" customHeight="1" x14ac:dyDescent="0.15">
      <c r="A21" s="41">
        <v>17</v>
      </c>
      <c r="B21" s="42" t="s">
        <v>9</v>
      </c>
      <c r="C21" s="33" t="s">
        <v>708</v>
      </c>
      <c r="D21" s="95">
        <v>8</v>
      </c>
      <c r="E21" s="95">
        <v>21</v>
      </c>
      <c r="F21" s="95" t="s">
        <v>709</v>
      </c>
      <c r="G21" s="47" t="s">
        <v>710</v>
      </c>
      <c r="H21" s="45">
        <v>5210</v>
      </c>
      <c r="I21" s="167">
        <v>5316</v>
      </c>
    </row>
    <row r="22" spans="1:9" s="112" customFormat="1" ht="23.1" customHeight="1" x14ac:dyDescent="0.15">
      <c r="A22" s="41">
        <v>18</v>
      </c>
      <c r="B22" s="42" t="s">
        <v>10</v>
      </c>
      <c r="C22" s="33" t="s">
        <v>711</v>
      </c>
      <c r="D22" s="95">
        <v>9</v>
      </c>
      <c r="E22" s="95">
        <v>22</v>
      </c>
      <c r="F22" s="95" t="s">
        <v>712</v>
      </c>
      <c r="G22" s="47" t="s">
        <v>713</v>
      </c>
      <c r="H22" s="45">
        <v>6280</v>
      </c>
      <c r="I22" s="167">
        <v>6501</v>
      </c>
    </row>
    <row r="23" spans="1:9" s="111" customFormat="1" ht="23.1" customHeight="1" x14ac:dyDescent="0.15">
      <c r="A23" s="41">
        <v>19</v>
      </c>
      <c r="B23" s="42" t="s">
        <v>11</v>
      </c>
      <c r="C23" s="33" t="s">
        <v>717</v>
      </c>
      <c r="D23" s="95">
        <v>15</v>
      </c>
      <c r="E23" s="95">
        <v>19</v>
      </c>
      <c r="F23" s="95" t="s">
        <v>718</v>
      </c>
      <c r="G23" s="47" t="s">
        <v>719</v>
      </c>
      <c r="H23" s="45">
        <v>3633</v>
      </c>
      <c r="I23" s="167">
        <v>3687</v>
      </c>
    </row>
    <row r="24" spans="1:9" customFormat="1" ht="23.1" customHeight="1" x14ac:dyDescent="0.15">
      <c r="A24" s="41">
        <v>20</v>
      </c>
      <c r="B24" s="42" t="s">
        <v>5</v>
      </c>
      <c r="C24" s="33" t="s">
        <v>716</v>
      </c>
      <c r="D24" s="95">
        <v>7</v>
      </c>
      <c r="E24" s="95">
        <v>15</v>
      </c>
      <c r="F24" s="95" t="s">
        <v>718</v>
      </c>
      <c r="G24" s="47" t="s">
        <v>723</v>
      </c>
      <c r="H24" s="45">
        <v>9059</v>
      </c>
      <c r="I24" s="167">
        <v>9379</v>
      </c>
    </row>
    <row r="25" spans="1:9" customFormat="1" ht="23.1" customHeight="1" x14ac:dyDescent="0.15">
      <c r="A25" s="60">
        <v>21</v>
      </c>
      <c r="B25" s="61" t="s">
        <v>6</v>
      </c>
      <c r="C25" s="62" t="s">
        <v>715</v>
      </c>
      <c r="D25" s="66">
        <v>6</v>
      </c>
      <c r="E25" s="66">
        <v>17</v>
      </c>
      <c r="F25" s="66" t="s">
        <v>235</v>
      </c>
      <c r="G25" s="64" t="s">
        <v>722</v>
      </c>
      <c r="H25" s="65">
        <v>16291</v>
      </c>
      <c r="I25" s="168">
        <v>17351</v>
      </c>
    </row>
    <row r="26" spans="1:9" customFormat="1" ht="23.1" customHeight="1" x14ac:dyDescent="0.15">
      <c r="A26" s="30">
        <v>22</v>
      </c>
      <c r="B26" s="24" t="s">
        <v>7</v>
      </c>
      <c r="C26" s="25" t="s">
        <v>714</v>
      </c>
      <c r="D26" s="26">
        <v>5</v>
      </c>
      <c r="E26" s="26">
        <v>19</v>
      </c>
      <c r="F26" s="26" t="s">
        <v>720</v>
      </c>
      <c r="G26" s="27" t="s">
        <v>721</v>
      </c>
      <c r="H26" s="28">
        <v>9773</v>
      </c>
      <c r="I26" s="169">
        <v>11212</v>
      </c>
    </row>
    <row r="27" spans="1:9" customFormat="1" ht="23.1" customHeight="1" x14ac:dyDescent="0.15">
      <c r="A27" s="36">
        <v>23</v>
      </c>
      <c r="B27" s="37" t="s">
        <v>8</v>
      </c>
      <c r="C27" s="48" t="s">
        <v>726</v>
      </c>
      <c r="D27" s="38">
        <v>11</v>
      </c>
      <c r="E27" s="38">
        <v>21</v>
      </c>
      <c r="F27" s="38" t="s">
        <v>724</v>
      </c>
      <c r="G27" s="39" t="s">
        <v>725</v>
      </c>
      <c r="H27" s="40">
        <v>3023</v>
      </c>
      <c r="I27" s="166">
        <v>3170</v>
      </c>
    </row>
    <row r="28" spans="1:9" s="111" customFormat="1" ht="23.1" customHeight="1" x14ac:dyDescent="0.15">
      <c r="A28" s="41">
        <v>24</v>
      </c>
      <c r="B28" s="42" t="s">
        <v>9</v>
      </c>
      <c r="C28" s="33" t="s">
        <v>565</v>
      </c>
      <c r="D28" s="95">
        <v>11</v>
      </c>
      <c r="E28" s="95">
        <v>19</v>
      </c>
      <c r="F28" s="95" t="s">
        <v>727</v>
      </c>
      <c r="G28" s="47" t="s">
        <v>728</v>
      </c>
      <c r="H28" s="45">
        <v>3562</v>
      </c>
      <c r="I28" s="167">
        <v>3679</v>
      </c>
    </row>
    <row r="29" spans="1:9" s="111" customFormat="1" ht="23.1" customHeight="1" x14ac:dyDescent="0.15">
      <c r="A29" s="41">
        <v>25</v>
      </c>
      <c r="B29" s="42" t="s">
        <v>10</v>
      </c>
      <c r="C29" s="33" t="s">
        <v>732</v>
      </c>
      <c r="D29" s="95">
        <v>13</v>
      </c>
      <c r="E29" s="95">
        <v>22</v>
      </c>
      <c r="F29" s="95" t="s">
        <v>730</v>
      </c>
      <c r="G29" s="47" t="s">
        <v>731</v>
      </c>
      <c r="H29" s="45">
        <v>4900</v>
      </c>
      <c r="I29" s="167">
        <v>5031</v>
      </c>
    </row>
    <row r="30" spans="1:9" s="111" customFormat="1" ht="23.1" customHeight="1" x14ac:dyDescent="0.15">
      <c r="A30" s="41">
        <v>26</v>
      </c>
      <c r="B30" s="42" t="s">
        <v>11</v>
      </c>
      <c r="C30" s="33" t="s">
        <v>729</v>
      </c>
      <c r="D30" s="95">
        <v>15</v>
      </c>
      <c r="E30" s="95">
        <v>21</v>
      </c>
      <c r="F30" s="95" t="s">
        <v>733</v>
      </c>
      <c r="G30" s="47" t="s">
        <v>734</v>
      </c>
      <c r="H30" s="45">
        <v>6251</v>
      </c>
      <c r="I30" s="167">
        <v>6364</v>
      </c>
    </row>
    <row r="31" spans="1:9" s="111" customFormat="1" ht="23.1" customHeight="1" x14ac:dyDescent="0.15">
      <c r="A31" s="41">
        <v>27</v>
      </c>
      <c r="B31" s="42" t="s">
        <v>5</v>
      </c>
      <c r="C31" s="33" t="s">
        <v>741</v>
      </c>
      <c r="D31" s="95">
        <v>13</v>
      </c>
      <c r="E31" s="95">
        <v>20</v>
      </c>
      <c r="F31" s="95" t="s">
        <v>737</v>
      </c>
      <c r="G31" s="47" t="s">
        <v>738</v>
      </c>
      <c r="H31" s="45">
        <v>7749</v>
      </c>
      <c r="I31" s="167">
        <v>8120</v>
      </c>
    </row>
    <row r="32" spans="1:9" customFormat="1" ht="23.1" customHeight="1" x14ac:dyDescent="0.15">
      <c r="A32" s="60">
        <v>28</v>
      </c>
      <c r="B32" s="61" t="s">
        <v>6</v>
      </c>
      <c r="C32" s="62" t="s">
        <v>740</v>
      </c>
      <c r="D32" s="66">
        <v>9</v>
      </c>
      <c r="E32" s="66">
        <v>21</v>
      </c>
      <c r="F32" s="66" t="s">
        <v>735</v>
      </c>
      <c r="G32" s="64" t="s">
        <v>736</v>
      </c>
      <c r="H32" s="65">
        <v>15091</v>
      </c>
      <c r="I32" s="168">
        <v>16516</v>
      </c>
    </row>
    <row r="33" spans="1:9" customFormat="1" ht="23.1" customHeight="1" x14ac:dyDescent="0.15">
      <c r="A33" s="30">
        <v>29</v>
      </c>
      <c r="B33" s="24" t="s">
        <v>7</v>
      </c>
      <c r="C33" s="25" t="s">
        <v>739</v>
      </c>
      <c r="D33" s="26">
        <v>10</v>
      </c>
      <c r="E33" s="26">
        <v>22</v>
      </c>
      <c r="F33" s="26" t="s">
        <v>735</v>
      </c>
      <c r="G33" s="27" t="s">
        <v>736</v>
      </c>
      <c r="H33" s="28">
        <v>10424</v>
      </c>
      <c r="I33" s="169">
        <v>12221</v>
      </c>
    </row>
    <row r="34" spans="1:9" customFormat="1" ht="23.25" customHeight="1" x14ac:dyDescent="0.15">
      <c r="A34" s="36">
        <v>30</v>
      </c>
      <c r="B34" s="37" t="s">
        <v>8</v>
      </c>
      <c r="C34" s="48" t="s">
        <v>742</v>
      </c>
      <c r="D34" s="38">
        <v>10</v>
      </c>
      <c r="E34" s="38">
        <v>22</v>
      </c>
      <c r="F34" s="38" t="s">
        <v>743</v>
      </c>
      <c r="G34" s="39" t="s">
        <v>744</v>
      </c>
      <c r="H34" s="40">
        <v>3370</v>
      </c>
      <c r="I34" s="166">
        <v>3543</v>
      </c>
    </row>
    <row r="35" spans="1:9" customFormat="1" ht="23.1" customHeight="1" thickBot="1" x14ac:dyDescent="0.2">
      <c r="A35" s="49">
        <v>31</v>
      </c>
      <c r="B35" s="50" t="s">
        <v>9</v>
      </c>
      <c r="C35" s="51" t="s">
        <v>745</v>
      </c>
      <c r="D35" s="52">
        <v>13</v>
      </c>
      <c r="E35" s="52">
        <v>21</v>
      </c>
      <c r="F35" s="52" t="s">
        <v>746</v>
      </c>
      <c r="G35" s="53" t="s">
        <v>747</v>
      </c>
      <c r="H35" s="54">
        <v>2565</v>
      </c>
      <c r="I35" s="172">
        <v>2721</v>
      </c>
    </row>
    <row r="36" spans="1:9" s="3" customFormat="1" ht="21" customHeight="1" thickBot="1" x14ac:dyDescent="0.2">
      <c r="A36" s="152" t="s">
        <v>27</v>
      </c>
      <c r="B36" s="153"/>
      <c r="C36" s="153"/>
      <c r="D36" s="153"/>
      <c r="E36" s="153"/>
      <c r="F36" s="153"/>
      <c r="G36" s="154"/>
      <c r="H36" s="173">
        <f t="shared" ref="H36:I36" si="0">SUM(H5:H35)</f>
        <v>248187</v>
      </c>
      <c r="I36" s="174">
        <f t="shared" si="0"/>
        <v>268575</v>
      </c>
    </row>
    <row r="37" spans="1:9" s="3" customFormat="1" ht="21" customHeight="1" thickBot="1" x14ac:dyDescent="0.2">
      <c r="A37" s="136" t="s">
        <v>28</v>
      </c>
      <c r="B37" s="137"/>
      <c r="C37" s="137"/>
      <c r="D37" s="137"/>
      <c r="E37" s="137"/>
      <c r="F37" s="137"/>
      <c r="G37" s="138"/>
      <c r="H37" s="175">
        <f>H36+'9월'!H37</f>
        <v>1282350</v>
      </c>
      <c r="I37" s="176">
        <f>I36+'9월'!I37</f>
        <v>1433885</v>
      </c>
    </row>
    <row r="39" spans="1:9" x14ac:dyDescent="0.15">
      <c r="D39" s="135">
        <f>AVERAGE(D5:D35)</f>
        <v>11.516129032258064</v>
      </c>
      <c r="E39" s="135">
        <f>AVERAGE(E5:E35)</f>
        <v>21.096774193548388</v>
      </c>
      <c r="H39" s="1">
        <f>18629/23543</f>
        <v>0.79127553837658748</v>
      </c>
    </row>
    <row r="41" spans="1:9" x14ac:dyDescent="0.15">
      <c r="H41" s="4"/>
    </row>
  </sheetData>
  <mergeCells count="9">
    <mergeCell ref="H3:H4"/>
    <mergeCell ref="A1:I1"/>
    <mergeCell ref="A37:G37"/>
    <mergeCell ref="B2:B4"/>
    <mergeCell ref="C2:C4"/>
    <mergeCell ref="D2:E3"/>
    <mergeCell ref="F2:G3"/>
    <mergeCell ref="A2:A4"/>
    <mergeCell ref="A36:G36"/>
  </mergeCells>
  <phoneticPr fontId="3" type="noConversion"/>
  <pageMargins left="0.7" right="0.7" top="0.75" bottom="0.75" header="0.3" footer="0.3"/>
  <pageSetup paperSize="9"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rgb="FFFFFF00"/>
  </sheetPr>
  <dimension ref="A1:I49"/>
  <sheetViews>
    <sheetView workbookViewId="0">
      <pane xSplit="7" ySplit="4" topLeftCell="H16" activePane="bottomRight" state="frozen"/>
      <selection activeCell="L7" sqref="L7"/>
      <selection pane="topRight" activeCell="L7" sqref="L7"/>
      <selection pane="bottomLeft" activeCell="L7" sqref="L7"/>
      <selection pane="bottomRight" activeCell="L7" sqref="L7"/>
    </sheetView>
  </sheetViews>
  <sheetFormatPr defaultColWidth="8.88671875" defaultRowHeight="13.5" x14ac:dyDescent="0.15"/>
  <cols>
    <col min="1" max="2" width="5.77734375" style="1" customWidth="1"/>
    <col min="3" max="3" width="8.77734375" style="9" customWidth="1"/>
    <col min="4" max="5" width="3.77734375" style="9" customWidth="1"/>
    <col min="6" max="6" width="5.77734375" style="9" customWidth="1"/>
    <col min="7" max="7" width="5.77734375" style="1" customWidth="1"/>
    <col min="8" max="9" width="9.77734375" style="1" customWidth="1"/>
    <col min="10" max="16384" width="8.88671875" style="1"/>
  </cols>
  <sheetData>
    <row r="1" spans="1:9" s="2" customFormat="1" ht="21" customHeight="1" x14ac:dyDescent="0.15">
      <c r="A1" s="155" t="s">
        <v>35</v>
      </c>
      <c r="B1" s="156"/>
      <c r="C1" s="156"/>
      <c r="D1" s="156"/>
      <c r="E1" s="156"/>
      <c r="F1" s="156"/>
      <c r="G1" s="156"/>
      <c r="H1" s="156"/>
      <c r="I1" s="157"/>
    </row>
    <row r="2" spans="1:9" s="2" customFormat="1" ht="22.5" customHeight="1" x14ac:dyDescent="0.15">
      <c r="A2" s="145" t="s">
        <v>2</v>
      </c>
      <c r="B2" s="148" t="s">
        <v>1</v>
      </c>
      <c r="C2" s="139" t="s">
        <v>12</v>
      </c>
      <c r="D2" s="139" t="s">
        <v>15</v>
      </c>
      <c r="E2" s="140"/>
      <c r="F2" s="139" t="s">
        <v>16</v>
      </c>
      <c r="G2" s="143"/>
      <c r="H2" s="159" t="s">
        <v>22</v>
      </c>
      <c r="I2" s="160" t="s">
        <v>21</v>
      </c>
    </row>
    <row r="3" spans="1:9" s="2" customFormat="1" ht="18.75" customHeight="1" x14ac:dyDescent="0.15">
      <c r="A3" s="146"/>
      <c r="B3" s="158"/>
      <c r="C3" s="150"/>
      <c r="D3" s="141"/>
      <c r="E3" s="142"/>
      <c r="F3" s="141"/>
      <c r="G3" s="144"/>
      <c r="H3" s="161" t="s">
        <v>23</v>
      </c>
      <c r="I3" s="162" t="s">
        <v>20</v>
      </c>
    </row>
    <row r="4" spans="1:9" s="2" customFormat="1" ht="18.75" customHeight="1" x14ac:dyDescent="0.15">
      <c r="A4" s="147"/>
      <c r="B4" s="149"/>
      <c r="C4" s="151"/>
      <c r="D4" s="14" t="s">
        <v>13</v>
      </c>
      <c r="E4" s="14" t="s">
        <v>14</v>
      </c>
      <c r="F4" s="14" t="s">
        <v>18</v>
      </c>
      <c r="G4" s="16" t="s">
        <v>17</v>
      </c>
      <c r="H4" s="163"/>
      <c r="I4" s="164" t="s">
        <v>19</v>
      </c>
    </row>
    <row r="5" spans="1:9" ht="23.1" customHeight="1" x14ac:dyDescent="0.15">
      <c r="A5" s="31">
        <v>1</v>
      </c>
      <c r="B5" s="32" t="s">
        <v>57</v>
      </c>
      <c r="C5" s="46" t="s">
        <v>750</v>
      </c>
      <c r="D5" s="74">
        <v>17</v>
      </c>
      <c r="E5" s="74">
        <v>21</v>
      </c>
      <c r="F5" s="74" t="s">
        <v>748</v>
      </c>
      <c r="G5" s="34" t="s">
        <v>751</v>
      </c>
      <c r="H5" s="35">
        <v>4134</v>
      </c>
      <c r="I5" s="177">
        <v>4284</v>
      </c>
    </row>
    <row r="6" spans="1:9" ht="23.1" customHeight="1" x14ac:dyDescent="0.15">
      <c r="A6" s="41">
        <v>2</v>
      </c>
      <c r="B6" s="42" t="s">
        <v>48</v>
      </c>
      <c r="C6" s="33" t="s">
        <v>753</v>
      </c>
      <c r="D6" s="95">
        <v>19</v>
      </c>
      <c r="E6" s="95">
        <v>26</v>
      </c>
      <c r="F6" s="95" t="s">
        <v>748</v>
      </c>
      <c r="G6" s="47" t="s">
        <v>752</v>
      </c>
      <c r="H6" s="45">
        <v>4330</v>
      </c>
      <c r="I6" s="167">
        <v>4595</v>
      </c>
    </row>
    <row r="7" spans="1:9" ht="23.1" customHeight="1" x14ac:dyDescent="0.15">
      <c r="A7" s="41">
        <v>3</v>
      </c>
      <c r="B7" s="42" t="s">
        <v>5</v>
      </c>
      <c r="C7" s="33" t="s">
        <v>754</v>
      </c>
      <c r="D7" s="95">
        <v>18</v>
      </c>
      <c r="E7" s="95">
        <v>22</v>
      </c>
      <c r="F7" s="95" t="s">
        <v>749</v>
      </c>
      <c r="G7" s="47" t="s">
        <v>757</v>
      </c>
      <c r="H7" s="45">
        <v>3894</v>
      </c>
      <c r="I7" s="167">
        <v>4125</v>
      </c>
    </row>
    <row r="8" spans="1:9" ht="23.1" customHeight="1" x14ac:dyDescent="0.15">
      <c r="A8" s="60">
        <v>4</v>
      </c>
      <c r="B8" s="61" t="s">
        <v>6</v>
      </c>
      <c r="C8" s="62" t="s">
        <v>761</v>
      </c>
      <c r="D8" s="75">
        <v>14</v>
      </c>
      <c r="E8" s="75">
        <v>21</v>
      </c>
      <c r="F8" s="75" t="s">
        <v>755</v>
      </c>
      <c r="G8" s="76" t="s">
        <v>756</v>
      </c>
      <c r="H8" s="65">
        <v>14841</v>
      </c>
      <c r="I8" s="168">
        <v>16473</v>
      </c>
    </row>
    <row r="9" spans="1:9" ht="23.1" customHeight="1" x14ac:dyDescent="0.15">
      <c r="A9" s="30">
        <v>5</v>
      </c>
      <c r="B9" s="24" t="s">
        <v>7</v>
      </c>
      <c r="C9" s="25" t="s">
        <v>760</v>
      </c>
      <c r="D9" s="26">
        <v>15</v>
      </c>
      <c r="E9" s="26">
        <v>20</v>
      </c>
      <c r="F9" s="26" t="s">
        <v>755</v>
      </c>
      <c r="G9" s="27" t="s">
        <v>759</v>
      </c>
      <c r="H9" s="28">
        <v>489</v>
      </c>
      <c r="I9" s="169">
        <v>722</v>
      </c>
    </row>
    <row r="10" spans="1:9" ht="23.1" customHeight="1" x14ac:dyDescent="0.15">
      <c r="A10" s="36">
        <v>6</v>
      </c>
      <c r="B10" s="37" t="s">
        <v>8</v>
      </c>
      <c r="C10" s="48" t="s">
        <v>257</v>
      </c>
      <c r="D10" s="38">
        <v>7</v>
      </c>
      <c r="E10" s="38">
        <v>19</v>
      </c>
      <c r="F10" s="38" t="s">
        <v>758</v>
      </c>
      <c r="G10" s="39" t="s">
        <v>762</v>
      </c>
      <c r="H10" s="40">
        <v>496</v>
      </c>
      <c r="I10" s="166">
        <v>510</v>
      </c>
    </row>
    <row r="11" spans="1:9" ht="23.1" customHeight="1" x14ac:dyDescent="0.15">
      <c r="A11" s="41">
        <v>7</v>
      </c>
      <c r="B11" s="42" t="s">
        <v>9</v>
      </c>
      <c r="C11" s="33" t="s">
        <v>763</v>
      </c>
      <c r="D11" s="95">
        <v>4</v>
      </c>
      <c r="E11" s="95">
        <v>10</v>
      </c>
      <c r="F11" s="95" t="s">
        <v>764</v>
      </c>
      <c r="G11" s="47" t="s">
        <v>765</v>
      </c>
      <c r="H11" s="45">
        <v>1155</v>
      </c>
      <c r="I11" s="167">
        <v>1190</v>
      </c>
    </row>
    <row r="12" spans="1:9" ht="23.1" customHeight="1" x14ac:dyDescent="0.15">
      <c r="A12" s="41">
        <v>8</v>
      </c>
      <c r="B12" s="42" t="s">
        <v>10</v>
      </c>
      <c r="C12" s="33" t="s">
        <v>766</v>
      </c>
      <c r="D12" s="96">
        <v>2</v>
      </c>
      <c r="E12" s="96">
        <v>16</v>
      </c>
      <c r="F12" s="96" t="s">
        <v>767</v>
      </c>
      <c r="G12" s="47" t="s">
        <v>768</v>
      </c>
      <c r="H12" s="45">
        <v>1552</v>
      </c>
      <c r="I12" s="167">
        <v>1648</v>
      </c>
    </row>
    <row r="13" spans="1:9" ht="23.1" customHeight="1" x14ac:dyDescent="0.15">
      <c r="A13" s="41">
        <v>9</v>
      </c>
      <c r="B13" s="42" t="s">
        <v>11</v>
      </c>
      <c r="C13" s="33" t="s">
        <v>771</v>
      </c>
      <c r="D13" s="96">
        <v>6</v>
      </c>
      <c r="E13" s="96">
        <v>18</v>
      </c>
      <c r="F13" s="96" t="s">
        <v>767</v>
      </c>
      <c r="G13" s="47" t="s">
        <v>772</v>
      </c>
      <c r="H13" s="45">
        <v>1847</v>
      </c>
      <c r="I13" s="167">
        <v>1911</v>
      </c>
    </row>
    <row r="14" spans="1:9" ht="23.1" customHeight="1" x14ac:dyDescent="0.15">
      <c r="A14" s="41">
        <v>10</v>
      </c>
      <c r="B14" s="42" t="s">
        <v>5</v>
      </c>
      <c r="C14" s="33" t="s">
        <v>769</v>
      </c>
      <c r="D14" s="95">
        <v>1</v>
      </c>
      <c r="E14" s="95">
        <v>9</v>
      </c>
      <c r="F14" s="95" t="s">
        <v>770</v>
      </c>
      <c r="G14" s="47" t="s">
        <v>773</v>
      </c>
      <c r="H14" s="45">
        <v>3105</v>
      </c>
      <c r="I14" s="167">
        <v>3247</v>
      </c>
    </row>
    <row r="15" spans="1:9" ht="23.1" customHeight="1" x14ac:dyDescent="0.15">
      <c r="A15" s="60">
        <v>11</v>
      </c>
      <c r="B15" s="61" t="s">
        <v>6</v>
      </c>
      <c r="C15" s="62" t="s">
        <v>779</v>
      </c>
      <c r="D15" s="66">
        <v>-2</v>
      </c>
      <c r="E15" s="66">
        <v>7</v>
      </c>
      <c r="F15" s="66" t="s">
        <v>776</v>
      </c>
      <c r="G15" s="64" t="s">
        <v>777</v>
      </c>
      <c r="H15" s="65">
        <v>6125</v>
      </c>
      <c r="I15" s="168">
        <v>6658</v>
      </c>
    </row>
    <row r="16" spans="1:9" ht="23.1" customHeight="1" x14ac:dyDescent="0.15">
      <c r="A16" s="30">
        <v>12</v>
      </c>
      <c r="B16" s="24" t="s">
        <v>7</v>
      </c>
      <c r="C16" s="25" t="s">
        <v>774</v>
      </c>
      <c r="D16" s="26">
        <v>-2</v>
      </c>
      <c r="E16" s="26">
        <v>6</v>
      </c>
      <c r="F16" s="26" t="s">
        <v>775</v>
      </c>
      <c r="G16" s="27" t="s">
        <v>778</v>
      </c>
      <c r="H16" s="28">
        <v>2788</v>
      </c>
      <c r="I16" s="169">
        <v>3470</v>
      </c>
    </row>
    <row r="17" spans="1:9" ht="23.1" customHeight="1" x14ac:dyDescent="0.15">
      <c r="A17" s="36">
        <v>13</v>
      </c>
      <c r="B17" s="37" t="s">
        <v>8</v>
      </c>
      <c r="C17" s="48" t="s">
        <v>782</v>
      </c>
      <c r="D17" s="38">
        <v>-2</v>
      </c>
      <c r="E17" s="38">
        <v>7</v>
      </c>
      <c r="F17" s="38" t="s">
        <v>780</v>
      </c>
      <c r="G17" s="39" t="s">
        <v>781</v>
      </c>
      <c r="H17" s="40">
        <v>1599</v>
      </c>
      <c r="I17" s="166">
        <v>1668</v>
      </c>
    </row>
    <row r="18" spans="1:9" ht="23.1" customHeight="1" x14ac:dyDescent="0.15">
      <c r="A18" s="41">
        <v>14</v>
      </c>
      <c r="B18" s="42" t="s">
        <v>9</v>
      </c>
      <c r="C18" s="33" t="s">
        <v>783</v>
      </c>
      <c r="D18" s="95">
        <v>-1</v>
      </c>
      <c r="E18" s="95">
        <v>11</v>
      </c>
      <c r="F18" s="95" t="s">
        <v>784</v>
      </c>
      <c r="G18" s="47" t="s">
        <v>785</v>
      </c>
      <c r="H18" s="45">
        <v>875</v>
      </c>
      <c r="I18" s="167">
        <v>909</v>
      </c>
    </row>
    <row r="19" spans="1:9" ht="23.1" customHeight="1" x14ac:dyDescent="0.15">
      <c r="A19" s="41">
        <v>15</v>
      </c>
      <c r="B19" s="42" t="s">
        <v>10</v>
      </c>
      <c r="C19" s="33" t="s">
        <v>786</v>
      </c>
      <c r="D19" s="95">
        <v>2</v>
      </c>
      <c r="E19" s="95">
        <v>13</v>
      </c>
      <c r="F19" s="95" t="s">
        <v>787</v>
      </c>
      <c r="G19" s="47" t="s">
        <v>788</v>
      </c>
      <c r="H19" s="45">
        <v>1275</v>
      </c>
      <c r="I19" s="167">
        <v>1366</v>
      </c>
    </row>
    <row r="20" spans="1:9" ht="23.1" customHeight="1" x14ac:dyDescent="0.15">
      <c r="A20" s="41">
        <v>16</v>
      </c>
      <c r="B20" s="42" t="s">
        <v>11</v>
      </c>
      <c r="C20" s="33" t="s">
        <v>789</v>
      </c>
      <c r="D20" s="95">
        <v>6</v>
      </c>
      <c r="E20" s="95">
        <v>7</v>
      </c>
      <c r="F20" s="95" t="s">
        <v>790</v>
      </c>
      <c r="G20" s="47" t="s">
        <v>791</v>
      </c>
      <c r="H20" s="45">
        <v>253</v>
      </c>
      <c r="I20" s="167">
        <v>270</v>
      </c>
    </row>
    <row r="21" spans="1:9" ht="23.1" customHeight="1" x14ac:dyDescent="0.15">
      <c r="A21" s="41">
        <v>17</v>
      </c>
      <c r="B21" s="42" t="s">
        <v>5</v>
      </c>
      <c r="C21" s="33" t="s">
        <v>797</v>
      </c>
      <c r="D21" s="95">
        <v>-2</v>
      </c>
      <c r="E21" s="95">
        <v>6</v>
      </c>
      <c r="F21" s="95" t="s">
        <v>798</v>
      </c>
      <c r="G21" s="47" t="s">
        <v>799</v>
      </c>
      <c r="H21" s="45">
        <v>1072</v>
      </c>
      <c r="I21" s="167">
        <v>1127</v>
      </c>
    </row>
    <row r="22" spans="1:9" ht="23.1" customHeight="1" x14ac:dyDescent="0.15">
      <c r="A22" s="60">
        <v>18</v>
      </c>
      <c r="B22" s="61" t="s">
        <v>6</v>
      </c>
      <c r="C22" s="62" t="s">
        <v>795</v>
      </c>
      <c r="D22" s="66">
        <v>-4</v>
      </c>
      <c r="E22" s="66">
        <v>6</v>
      </c>
      <c r="F22" s="66" t="s">
        <v>793</v>
      </c>
      <c r="G22" s="64" t="s">
        <v>796</v>
      </c>
      <c r="H22" s="65">
        <v>3592</v>
      </c>
      <c r="I22" s="168">
        <v>4068</v>
      </c>
    </row>
    <row r="23" spans="1:9" ht="23.1" customHeight="1" x14ac:dyDescent="0.15">
      <c r="A23" s="30">
        <v>19</v>
      </c>
      <c r="B23" s="24" t="s">
        <v>7</v>
      </c>
      <c r="C23" s="25" t="s">
        <v>792</v>
      </c>
      <c r="D23" s="26">
        <v>0</v>
      </c>
      <c r="E23" s="26">
        <v>13</v>
      </c>
      <c r="F23" s="26" t="s">
        <v>793</v>
      </c>
      <c r="G23" s="27" t="s">
        <v>794</v>
      </c>
      <c r="H23" s="28">
        <v>3462</v>
      </c>
      <c r="I23" s="169">
        <v>4599</v>
      </c>
    </row>
    <row r="24" spans="1:9" ht="23.1" customHeight="1" x14ac:dyDescent="0.15">
      <c r="A24" s="36">
        <v>20</v>
      </c>
      <c r="B24" s="37" t="s">
        <v>8</v>
      </c>
      <c r="C24" s="48" t="s">
        <v>800</v>
      </c>
      <c r="D24" s="38">
        <v>2</v>
      </c>
      <c r="E24" s="38">
        <v>13</v>
      </c>
      <c r="F24" s="38" t="s">
        <v>66</v>
      </c>
      <c r="G24" s="39" t="s">
        <v>801</v>
      </c>
      <c r="H24" s="40">
        <v>826</v>
      </c>
      <c r="I24" s="166">
        <v>919</v>
      </c>
    </row>
    <row r="25" spans="1:9" ht="23.1" customHeight="1" x14ac:dyDescent="0.15">
      <c r="A25" s="41">
        <v>21</v>
      </c>
      <c r="B25" s="42" t="s">
        <v>9</v>
      </c>
      <c r="C25" s="33" t="s">
        <v>805</v>
      </c>
      <c r="D25" s="95">
        <v>1</v>
      </c>
      <c r="E25" s="95">
        <v>15</v>
      </c>
      <c r="F25" s="95" t="s">
        <v>66</v>
      </c>
      <c r="G25" s="47" t="s">
        <v>803</v>
      </c>
      <c r="H25" s="45">
        <v>954</v>
      </c>
      <c r="I25" s="167">
        <v>1057</v>
      </c>
    </row>
    <row r="26" spans="1:9" ht="23.1" customHeight="1" x14ac:dyDescent="0.15">
      <c r="A26" s="41">
        <v>22</v>
      </c>
      <c r="B26" s="42" t="s">
        <v>10</v>
      </c>
      <c r="C26" s="33" t="s">
        <v>804</v>
      </c>
      <c r="D26" s="95">
        <v>3</v>
      </c>
      <c r="E26" s="95">
        <v>15</v>
      </c>
      <c r="F26" s="95" t="s">
        <v>66</v>
      </c>
      <c r="G26" s="47" t="s">
        <v>802</v>
      </c>
      <c r="H26" s="45">
        <v>1041</v>
      </c>
      <c r="I26" s="167">
        <v>1127</v>
      </c>
    </row>
    <row r="27" spans="1:9" ht="23.1" customHeight="1" x14ac:dyDescent="0.15">
      <c r="A27" s="41">
        <v>23</v>
      </c>
      <c r="B27" s="42" t="s">
        <v>11</v>
      </c>
      <c r="C27" s="33" t="s">
        <v>72</v>
      </c>
      <c r="D27" s="95">
        <v>2</v>
      </c>
      <c r="E27" s="95">
        <v>15</v>
      </c>
      <c r="F27" s="95" t="s">
        <v>66</v>
      </c>
      <c r="G27" s="47" t="s">
        <v>806</v>
      </c>
      <c r="H27" s="45">
        <v>1054</v>
      </c>
      <c r="I27" s="167">
        <v>1119</v>
      </c>
    </row>
    <row r="28" spans="1:9" ht="23.1" customHeight="1" x14ac:dyDescent="0.15">
      <c r="A28" s="41">
        <v>24</v>
      </c>
      <c r="B28" s="42" t="s">
        <v>5</v>
      </c>
      <c r="C28" s="33" t="s">
        <v>809</v>
      </c>
      <c r="D28" s="95">
        <v>-4</v>
      </c>
      <c r="E28" s="95">
        <v>2</v>
      </c>
      <c r="F28" s="95" t="s">
        <v>66</v>
      </c>
      <c r="G28" s="47" t="s">
        <v>810</v>
      </c>
      <c r="H28" s="45">
        <v>816</v>
      </c>
      <c r="I28" s="167">
        <v>819</v>
      </c>
    </row>
    <row r="29" spans="1:9" ht="23.1" customHeight="1" x14ac:dyDescent="0.15">
      <c r="A29" s="60">
        <v>25</v>
      </c>
      <c r="B29" s="61" t="s">
        <v>6</v>
      </c>
      <c r="C29" s="62" t="s">
        <v>808</v>
      </c>
      <c r="D29" s="66">
        <v>-6</v>
      </c>
      <c r="E29" s="66">
        <v>4</v>
      </c>
      <c r="F29" s="66" t="s">
        <v>66</v>
      </c>
      <c r="G29" s="64" t="s">
        <v>811</v>
      </c>
      <c r="H29" s="65">
        <v>3939</v>
      </c>
      <c r="I29" s="168">
        <v>4335</v>
      </c>
    </row>
    <row r="30" spans="1:9" ht="23.1" customHeight="1" x14ac:dyDescent="0.15">
      <c r="A30" s="30">
        <v>26</v>
      </c>
      <c r="B30" s="24" t="s">
        <v>7</v>
      </c>
      <c r="C30" s="25" t="s">
        <v>807</v>
      </c>
      <c r="D30" s="26">
        <v>0</v>
      </c>
      <c r="E30" s="26">
        <v>7</v>
      </c>
      <c r="F30" s="26" t="s">
        <v>66</v>
      </c>
      <c r="G30" s="27" t="s">
        <v>810</v>
      </c>
      <c r="H30" s="28">
        <v>2809</v>
      </c>
      <c r="I30" s="169">
        <v>3492</v>
      </c>
    </row>
    <row r="31" spans="1:9" ht="23.1" customHeight="1" x14ac:dyDescent="0.15">
      <c r="A31" s="36">
        <v>27</v>
      </c>
      <c r="B31" s="37" t="s">
        <v>8</v>
      </c>
      <c r="C31" s="48" t="s">
        <v>814</v>
      </c>
      <c r="D31" s="38">
        <v>4</v>
      </c>
      <c r="E31" s="38">
        <v>9</v>
      </c>
      <c r="F31" s="38" t="s">
        <v>812</v>
      </c>
      <c r="G31" s="39" t="s">
        <v>813</v>
      </c>
      <c r="H31" s="40">
        <v>210</v>
      </c>
      <c r="I31" s="166">
        <v>232</v>
      </c>
    </row>
    <row r="32" spans="1:9" ht="23.1" customHeight="1" x14ac:dyDescent="0.15">
      <c r="A32" s="41">
        <v>28</v>
      </c>
      <c r="B32" s="42" t="s">
        <v>9</v>
      </c>
      <c r="C32" s="33" t="s">
        <v>815</v>
      </c>
      <c r="D32" s="95">
        <v>-1</v>
      </c>
      <c r="E32" s="95">
        <v>5</v>
      </c>
      <c r="F32" s="95" t="s">
        <v>66</v>
      </c>
      <c r="G32" s="47" t="s">
        <v>816</v>
      </c>
      <c r="H32" s="45">
        <v>698</v>
      </c>
      <c r="I32" s="167">
        <v>709</v>
      </c>
    </row>
    <row r="33" spans="1:9" ht="23.1" customHeight="1" x14ac:dyDescent="0.15">
      <c r="A33" s="41">
        <v>29</v>
      </c>
      <c r="B33" s="42" t="s">
        <v>10</v>
      </c>
      <c r="C33" s="33" t="s">
        <v>817</v>
      </c>
      <c r="D33" s="95">
        <v>-4</v>
      </c>
      <c r="E33" s="95">
        <v>3</v>
      </c>
      <c r="F33" s="95" t="s">
        <v>66</v>
      </c>
      <c r="G33" s="47" t="s">
        <v>818</v>
      </c>
      <c r="H33" s="45">
        <v>410</v>
      </c>
      <c r="I33" s="167">
        <v>424</v>
      </c>
    </row>
    <row r="34" spans="1:9" ht="23.25" customHeight="1" x14ac:dyDescent="0.15">
      <c r="A34" s="41">
        <v>30</v>
      </c>
      <c r="B34" s="42" t="s">
        <v>11</v>
      </c>
      <c r="C34" s="33" t="s">
        <v>819</v>
      </c>
      <c r="D34" s="95">
        <v>-7</v>
      </c>
      <c r="E34" s="95">
        <v>0</v>
      </c>
      <c r="F34" s="95" t="s">
        <v>66</v>
      </c>
      <c r="G34" s="47" t="s">
        <v>820</v>
      </c>
      <c r="H34" s="45">
        <v>2170</v>
      </c>
      <c r="I34" s="167">
        <v>2181</v>
      </c>
    </row>
    <row r="35" spans="1:9" ht="23.1" customHeight="1" thickBot="1" x14ac:dyDescent="0.2">
      <c r="A35" s="49"/>
      <c r="B35" s="50"/>
      <c r="C35" s="51"/>
      <c r="D35" s="52"/>
      <c r="E35" s="52"/>
      <c r="F35" s="52"/>
      <c r="G35" s="53"/>
      <c r="H35" s="54">
        <v>0</v>
      </c>
      <c r="I35" s="172">
        <v>0</v>
      </c>
    </row>
    <row r="36" spans="1:9" s="3" customFormat="1" ht="21" customHeight="1" thickBot="1" x14ac:dyDescent="0.2">
      <c r="A36" s="152" t="s">
        <v>27</v>
      </c>
      <c r="B36" s="153"/>
      <c r="C36" s="153"/>
      <c r="D36" s="153"/>
      <c r="E36" s="153"/>
      <c r="F36" s="153"/>
      <c r="G36" s="154"/>
      <c r="H36" s="173">
        <f t="shared" ref="H36:I36" si="0">SUM(H5:H35)</f>
        <v>71811</v>
      </c>
      <c r="I36" s="174">
        <f t="shared" si="0"/>
        <v>79254</v>
      </c>
    </row>
    <row r="37" spans="1:9" s="3" customFormat="1" ht="21" customHeight="1" thickBot="1" x14ac:dyDescent="0.2">
      <c r="A37" s="136" t="s">
        <v>28</v>
      </c>
      <c r="B37" s="137"/>
      <c r="C37" s="137"/>
      <c r="D37" s="137"/>
      <c r="E37" s="137"/>
      <c r="F37" s="137"/>
      <c r="G37" s="138"/>
      <c r="H37" s="175">
        <f>H36+'10월'!H37</f>
        <v>1354161</v>
      </c>
      <c r="I37" s="176">
        <f>I36+'10월'!I37</f>
        <v>1513139</v>
      </c>
    </row>
    <row r="39" spans="1:9" x14ac:dyDescent="0.15">
      <c r="H39" s="1">
        <f>8713/4168</f>
        <v>2.090451055662188</v>
      </c>
      <c r="I39" s="91"/>
    </row>
    <row r="40" spans="1:9" x14ac:dyDescent="0.15">
      <c r="I40" s="94"/>
    </row>
    <row r="41" spans="1:9" x14ac:dyDescent="0.15">
      <c r="I41" s="4"/>
    </row>
    <row r="42" spans="1:9" x14ac:dyDescent="0.15">
      <c r="I42" s="4"/>
    </row>
    <row r="43" spans="1:9" x14ac:dyDescent="0.15">
      <c r="I43" s="4"/>
    </row>
    <row r="44" spans="1:9" x14ac:dyDescent="0.15">
      <c r="I44" s="4"/>
    </row>
    <row r="45" spans="1:9" x14ac:dyDescent="0.15">
      <c r="I45" s="4"/>
    </row>
    <row r="46" spans="1:9" x14ac:dyDescent="0.15">
      <c r="I46" s="4"/>
    </row>
    <row r="47" spans="1:9" x14ac:dyDescent="0.15">
      <c r="I47" s="4"/>
    </row>
    <row r="48" spans="1:9" x14ac:dyDescent="0.15">
      <c r="I48" s="4"/>
    </row>
    <row r="49" spans="9:9" x14ac:dyDescent="0.15">
      <c r="I49" s="4"/>
    </row>
  </sheetData>
  <mergeCells count="9">
    <mergeCell ref="H3:H4"/>
    <mergeCell ref="A1:I1"/>
    <mergeCell ref="A37:G37"/>
    <mergeCell ref="B2:B4"/>
    <mergeCell ref="C2:C4"/>
    <mergeCell ref="D2:E3"/>
    <mergeCell ref="F2:G3"/>
    <mergeCell ref="A2:A4"/>
    <mergeCell ref="A36:G36"/>
  </mergeCells>
  <phoneticPr fontId="3" type="noConversion"/>
  <pageMargins left="0.7" right="0.7" top="0.75" bottom="0.75" header="0.3" footer="0.3"/>
  <pageSetup paperSize="9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rgb="FFFFFF00"/>
  </sheetPr>
  <dimension ref="A1:I42"/>
  <sheetViews>
    <sheetView workbookViewId="0">
      <pane xSplit="7" ySplit="4" topLeftCell="H16" activePane="bottomRight" state="frozen"/>
      <selection activeCell="L7" sqref="L7"/>
      <selection pane="topRight" activeCell="L7" sqref="L7"/>
      <selection pane="bottomLeft" activeCell="L7" sqref="L7"/>
      <selection pane="bottomRight" activeCell="L7" sqref="L7"/>
    </sheetView>
  </sheetViews>
  <sheetFormatPr defaultColWidth="8.88671875" defaultRowHeight="13.5" x14ac:dyDescent="0.15"/>
  <cols>
    <col min="1" max="2" width="5.77734375" style="1" customWidth="1"/>
    <col min="3" max="3" width="8.77734375" style="9" customWidth="1"/>
    <col min="4" max="5" width="3.77734375" style="9" customWidth="1"/>
    <col min="6" max="6" width="5.77734375" style="9" customWidth="1"/>
    <col min="7" max="7" width="5.77734375" style="1" customWidth="1"/>
    <col min="8" max="9" width="9.77734375" style="1" customWidth="1"/>
    <col min="10" max="16384" width="8.88671875" style="1"/>
  </cols>
  <sheetData>
    <row r="1" spans="1:9" s="2" customFormat="1" ht="21" customHeight="1" x14ac:dyDescent="0.15">
      <c r="A1" s="155" t="s">
        <v>36</v>
      </c>
      <c r="B1" s="156"/>
      <c r="C1" s="156"/>
      <c r="D1" s="156"/>
      <c r="E1" s="156"/>
      <c r="F1" s="156"/>
      <c r="G1" s="156"/>
      <c r="H1" s="156"/>
      <c r="I1" s="157"/>
    </row>
    <row r="2" spans="1:9" s="2" customFormat="1" ht="22.5" customHeight="1" x14ac:dyDescent="0.15">
      <c r="A2" s="145" t="s">
        <v>2</v>
      </c>
      <c r="B2" s="148" t="s">
        <v>1</v>
      </c>
      <c r="C2" s="139" t="s">
        <v>12</v>
      </c>
      <c r="D2" s="139" t="s">
        <v>15</v>
      </c>
      <c r="E2" s="140"/>
      <c r="F2" s="139" t="s">
        <v>16</v>
      </c>
      <c r="G2" s="143"/>
      <c r="H2" s="159" t="s">
        <v>22</v>
      </c>
      <c r="I2" s="160" t="s">
        <v>21</v>
      </c>
    </row>
    <row r="3" spans="1:9" s="2" customFormat="1" ht="18.75" customHeight="1" x14ac:dyDescent="0.15">
      <c r="A3" s="146"/>
      <c r="B3" s="158"/>
      <c r="C3" s="150"/>
      <c r="D3" s="141"/>
      <c r="E3" s="142"/>
      <c r="F3" s="141"/>
      <c r="G3" s="144"/>
      <c r="H3" s="161" t="s">
        <v>23</v>
      </c>
      <c r="I3" s="162" t="s">
        <v>20</v>
      </c>
    </row>
    <row r="4" spans="1:9" s="2" customFormat="1" ht="18.75" customHeight="1" x14ac:dyDescent="0.15">
      <c r="A4" s="147"/>
      <c r="B4" s="149"/>
      <c r="C4" s="151"/>
      <c r="D4" s="14" t="s">
        <v>13</v>
      </c>
      <c r="E4" s="14" t="s">
        <v>14</v>
      </c>
      <c r="F4" s="14" t="s">
        <v>18</v>
      </c>
      <c r="G4" s="16" t="s">
        <v>17</v>
      </c>
      <c r="H4" s="163"/>
      <c r="I4" s="164" t="s">
        <v>19</v>
      </c>
    </row>
    <row r="5" spans="1:9" ht="23.1" customHeight="1" x14ac:dyDescent="0.15">
      <c r="A5" s="31">
        <v>1</v>
      </c>
      <c r="B5" s="32" t="s">
        <v>58</v>
      </c>
      <c r="C5" s="46" t="s">
        <v>823</v>
      </c>
      <c r="D5" s="74">
        <v>-7</v>
      </c>
      <c r="E5" s="74">
        <v>1</v>
      </c>
      <c r="F5" s="113" t="s">
        <v>824</v>
      </c>
      <c r="G5" s="34" t="s">
        <v>828</v>
      </c>
      <c r="H5" s="35">
        <v>232</v>
      </c>
      <c r="I5" s="177">
        <v>256</v>
      </c>
    </row>
    <row r="6" spans="1:9" ht="23.1" customHeight="1" x14ac:dyDescent="0.15">
      <c r="A6" s="60">
        <v>2</v>
      </c>
      <c r="B6" s="61" t="s">
        <v>44</v>
      </c>
      <c r="C6" s="62" t="s">
        <v>822</v>
      </c>
      <c r="D6" s="66">
        <v>-4</v>
      </c>
      <c r="E6" s="66">
        <v>8</v>
      </c>
      <c r="F6" s="66" t="s">
        <v>824</v>
      </c>
      <c r="G6" s="64" t="s">
        <v>827</v>
      </c>
      <c r="H6" s="65">
        <v>1897</v>
      </c>
      <c r="I6" s="168">
        <v>2509</v>
      </c>
    </row>
    <row r="7" spans="1:9" ht="23.1" customHeight="1" x14ac:dyDescent="0.15">
      <c r="A7" s="30">
        <v>3</v>
      </c>
      <c r="B7" s="24" t="s">
        <v>7</v>
      </c>
      <c r="C7" s="25" t="s">
        <v>821</v>
      </c>
      <c r="D7" s="26">
        <v>-3</v>
      </c>
      <c r="E7" s="26">
        <v>6</v>
      </c>
      <c r="F7" s="26" t="s">
        <v>825</v>
      </c>
      <c r="G7" s="27" t="s">
        <v>826</v>
      </c>
      <c r="H7" s="28">
        <v>1426</v>
      </c>
      <c r="I7" s="169">
        <v>2404</v>
      </c>
    </row>
    <row r="8" spans="1:9" ht="23.1" customHeight="1" x14ac:dyDescent="0.15">
      <c r="A8" s="36">
        <v>4</v>
      </c>
      <c r="B8" s="37" t="s">
        <v>8</v>
      </c>
      <c r="C8" s="48" t="s">
        <v>831</v>
      </c>
      <c r="D8" s="77">
        <v>-3</v>
      </c>
      <c r="E8" s="77">
        <v>9</v>
      </c>
      <c r="F8" s="77" t="s">
        <v>829</v>
      </c>
      <c r="G8" s="78" t="s">
        <v>830</v>
      </c>
      <c r="H8" s="40">
        <v>267</v>
      </c>
      <c r="I8" s="166">
        <v>309</v>
      </c>
    </row>
    <row r="9" spans="1:9" ht="23.1" customHeight="1" x14ac:dyDescent="0.15">
      <c r="A9" s="41">
        <v>5</v>
      </c>
      <c r="B9" s="42" t="s">
        <v>9</v>
      </c>
      <c r="C9" s="33" t="s">
        <v>832</v>
      </c>
      <c r="D9" s="95">
        <v>4</v>
      </c>
      <c r="E9" s="95">
        <v>13</v>
      </c>
      <c r="F9" s="95" t="s">
        <v>833</v>
      </c>
      <c r="G9" s="47" t="s">
        <v>834</v>
      </c>
      <c r="H9" s="45">
        <v>400</v>
      </c>
      <c r="I9" s="167">
        <v>454</v>
      </c>
    </row>
    <row r="10" spans="1:9" ht="23.1" customHeight="1" x14ac:dyDescent="0.15">
      <c r="A10" s="41">
        <v>6</v>
      </c>
      <c r="B10" s="42" t="s">
        <v>10</v>
      </c>
      <c r="C10" s="33" t="s">
        <v>835</v>
      </c>
      <c r="D10" s="95">
        <v>4</v>
      </c>
      <c r="E10" s="95">
        <v>9</v>
      </c>
      <c r="F10" s="95" t="s">
        <v>837</v>
      </c>
      <c r="G10" s="47" t="s">
        <v>840</v>
      </c>
      <c r="H10" s="45">
        <v>302</v>
      </c>
      <c r="I10" s="167">
        <v>317</v>
      </c>
    </row>
    <row r="11" spans="1:9" ht="23.1" customHeight="1" x14ac:dyDescent="0.15">
      <c r="A11" s="41">
        <v>7</v>
      </c>
      <c r="B11" s="42" t="s">
        <v>11</v>
      </c>
      <c r="C11" s="33" t="s">
        <v>836</v>
      </c>
      <c r="D11" s="95">
        <v>1</v>
      </c>
      <c r="E11" s="95">
        <v>11</v>
      </c>
      <c r="F11" s="95" t="s">
        <v>838</v>
      </c>
      <c r="G11" s="47" t="s">
        <v>840</v>
      </c>
      <c r="H11" s="45">
        <v>646</v>
      </c>
      <c r="I11" s="167">
        <v>694</v>
      </c>
    </row>
    <row r="12" spans="1:9" ht="23.1" customHeight="1" x14ac:dyDescent="0.15">
      <c r="A12" s="41">
        <v>8</v>
      </c>
      <c r="B12" s="42" t="s">
        <v>5</v>
      </c>
      <c r="C12" s="33" t="s">
        <v>845</v>
      </c>
      <c r="D12" s="96">
        <v>5</v>
      </c>
      <c r="E12" s="96">
        <v>17</v>
      </c>
      <c r="F12" s="96" t="s">
        <v>839</v>
      </c>
      <c r="G12" s="47" t="s">
        <v>846</v>
      </c>
      <c r="H12" s="45">
        <v>1078</v>
      </c>
      <c r="I12" s="167">
        <v>1290</v>
      </c>
    </row>
    <row r="13" spans="1:9" ht="23.1" customHeight="1" x14ac:dyDescent="0.15">
      <c r="A13" s="60">
        <v>9</v>
      </c>
      <c r="B13" s="61" t="s">
        <v>6</v>
      </c>
      <c r="C13" s="62" t="s">
        <v>844</v>
      </c>
      <c r="D13" s="63">
        <v>12</v>
      </c>
      <c r="E13" s="63">
        <v>16</v>
      </c>
      <c r="F13" s="63" t="s">
        <v>841</v>
      </c>
      <c r="G13" s="64" t="s">
        <v>843</v>
      </c>
      <c r="H13" s="65">
        <v>6682</v>
      </c>
      <c r="I13" s="168">
        <v>8390</v>
      </c>
    </row>
    <row r="14" spans="1:9" ht="23.1" customHeight="1" x14ac:dyDescent="0.15">
      <c r="A14" s="30">
        <v>10</v>
      </c>
      <c r="B14" s="24" t="s">
        <v>7</v>
      </c>
      <c r="C14" s="25" t="s">
        <v>847</v>
      </c>
      <c r="D14" s="26">
        <v>7</v>
      </c>
      <c r="E14" s="26">
        <v>16</v>
      </c>
      <c r="F14" s="26" t="s">
        <v>842</v>
      </c>
      <c r="G14" s="27" t="s">
        <v>848</v>
      </c>
      <c r="H14" s="28">
        <v>5032</v>
      </c>
      <c r="I14" s="169">
        <v>7001</v>
      </c>
    </row>
    <row r="15" spans="1:9" ht="23.1" customHeight="1" x14ac:dyDescent="0.15">
      <c r="A15" s="36">
        <v>11</v>
      </c>
      <c r="B15" s="37" t="s">
        <v>8</v>
      </c>
      <c r="C15" s="48" t="s">
        <v>849</v>
      </c>
      <c r="D15" s="38">
        <v>5</v>
      </c>
      <c r="E15" s="38">
        <v>12</v>
      </c>
      <c r="F15" s="38" t="s">
        <v>850</v>
      </c>
      <c r="G15" s="39" t="s">
        <v>851</v>
      </c>
      <c r="H15" s="40">
        <v>37</v>
      </c>
      <c r="I15" s="166">
        <v>43</v>
      </c>
    </row>
    <row r="16" spans="1:9" ht="23.1" customHeight="1" x14ac:dyDescent="0.15">
      <c r="A16" s="41">
        <v>12</v>
      </c>
      <c r="B16" s="42" t="s">
        <v>9</v>
      </c>
      <c r="C16" s="33" t="s">
        <v>854</v>
      </c>
      <c r="D16" s="95">
        <v>4</v>
      </c>
      <c r="E16" s="95">
        <v>9</v>
      </c>
      <c r="F16" s="95" t="s">
        <v>66</v>
      </c>
      <c r="G16" s="47" t="s">
        <v>852</v>
      </c>
      <c r="H16" s="45">
        <v>385</v>
      </c>
      <c r="I16" s="167">
        <v>437</v>
      </c>
    </row>
    <row r="17" spans="1:9" ht="23.1" customHeight="1" x14ac:dyDescent="0.15">
      <c r="A17" s="41">
        <v>13</v>
      </c>
      <c r="B17" s="42" t="s">
        <v>10</v>
      </c>
      <c r="C17" s="33" t="s">
        <v>853</v>
      </c>
      <c r="D17" s="95">
        <v>3</v>
      </c>
      <c r="E17" s="95">
        <v>10</v>
      </c>
      <c r="F17" s="95" t="s">
        <v>66</v>
      </c>
      <c r="G17" s="47" t="s">
        <v>855</v>
      </c>
      <c r="H17" s="45">
        <v>730</v>
      </c>
      <c r="I17" s="167">
        <v>856</v>
      </c>
    </row>
    <row r="18" spans="1:9" ht="23.1" customHeight="1" x14ac:dyDescent="0.15">
      <c r="A18" s="41">
        <v>14</v>
      </c>
      <c r="B18" s="42" t="s">
        <v>11</v>
      </c>
      <c r="C18" s="33" t="s">
        <v>856</v>
      </c>
      <c r="D18" s="95">
        <v>6</v>
      </c>
      <c r="E18" s="95">
        <v>9</v>
      </c>
      <c r="F18" s="95" t="s">
        <v>66</v>
      </c>
      <c r="G18" s="47" t="s">
        <v>857</v>
      </c>
      <c r="H18" s="45">
        <v>277</v>
      </c>
      <c r="I18" s="167">
        <v>278</v>
      </c>
    </row>
    <row r="19" spans="1:9" ht="23.1" customHeight="1" x14ac:dyDescent="0.15">
      <c r="A19" s="41">
        <v>15</v>
      </c>
      <c r="B19" s="42" t="s">
        <v>5</v>
      </c>
      <c r="C19" s="33" t="s">
        <v>860</v>
      </c>
      <c r="D19" s="95">
        <v>4</v>
      </c>
      <c r="E19" s="95">
        <v>6</v>
      </c>
      <c r="F19" s="95" t="s">
        <v>66</v>
      </c>
      <c r="G19" s="47" t="s">
        <v>861</v>
      </c>
      <c r="H19" s="45">
        <v>1034</v>
      </c>
      <c r="I19" s="167">
        <v>1034</v>
      </c>
    </row>
    <row r="20" spans="1:9" ht="23.1" customHeight="1" x14ac:dyDescent="0.15">
      <c r="A20" s="60">
        <v>16</v>
      </c>
      <c r="B20" s="61" t="s">
        <v>6</v>
      </c>
      <c r="C20" s="62" t="s">
        <v>864</v>
      </c>
      <c r="D20" s="66">
        <v>-10</v>
      </c>
      <c r="E20" s="66">
        <v>4</v>
      </c>
      <c r="F20" s="66" t="s">
        <v>66</v>
      </c>
      <c r="G20" s="64" t="s">
        <v>858</v>
      </c>
      <c r="H20" s="65">
        <v>2156</v>
      </c>
      <c r="I20" s="168">
        <v>2482</v>
      </c>
    </row>
    <row r="21" spans="1:9" ht="23.1" customHeight="1" x14ac:dyDescent="0.15">
      <c r="A21" s="30">
        <v>17</v>
      </c>
      <c r="B21" s="24" t="s">
        <v>7</v>
      </c>
      <c r="C21" s="25" t="s">
        <v>865</v>
      </c>
      <c r="D21" s="26">
        <v>-12</v>
      </c>
      <c r="E21" s="26">
        <v>-6</v>
      </c>
      <c r="F21" s="26" t="s">
        <v>66</v>
      </c>
      <c r="G21" s="27" t="s">
        <v>859</v>
      </c>
      <c r="H21" s="28">
        <v>281</v>
      </c>
      <c r="I21" s="169">
        <v>511</v>
      </c>
    </row>
    <row r="22" spans="1:9" ht="23.1" customHeight="1" x14ac:dyDescent="0.15">
      <c r="A22" s="36">
        <v>18</v>
      </c>
      <c r="B22" s="37" t="s">
        <v>8</v>
      </c>
      <c r="C22" s="48" t="s">
        <v>866</v>
      </c>
      <c r="D22" s="38">
        <v>-12</v>
      </c>
      <c r="E22" s="38">
        <v>-4</v>
      </c>
      <c r="F22" s="38" t="s">
        <v>66</v>
      </c>
      <c r="G22" s="39" t="s">
        <v>862</v>
      </c>
      <c r="H22" s="40">
        <v>247</v>
      </c>
      <c r="I22" s="166">
        <v>266</v>
      </c>
    </row>
    <row r="23" spans="1:9" ht="23.1" customHeight="1" x14ac:dyDescent="0.15">
      <c r="A23" s="41">
        <v>19</v>
      </c>
      <c r="B23" s="42" t="s">
        <v>9</v>
      </c>
      <c r="C23" s="33" t="s">
        <v>863</v>
      </c>
      <c r="D23" s="95">
        <v>-8</v>
      </c>
      <c r="E23" s="95">
        <v>0</v>
      </c>
      <c r="F23" s="95" t="s">
        <v>66</v>
      </c>
      <c r="G23" s="47" t="s">
        <v>868</v>
      </c>
      <c r="H23" s="45">
        <v>329</v>
      </c>
      <c r="I23" s="167">
        <v>342</v>
      </c>
    </row>
    <row r="24" spans="1:9" ht="23.1" customHeight="1" x14ac:dyDescent="0.15">
      <c r="A24" s="41">
        <v>20</v>
      </c>
      <c r="B24" s="42" t="s">
        <v>10</v>
      </c>
      <c r="C24" s="33" t="s">
        <v>867</v>
      </c>
      <c r="D24" s="95">
        <v>-12</v>
      </c>
      <c r="E24" s="95">
        <f>-2</f>
        <v>-2</v>
      </c>
      <c r="F24" s="95" t="s">
        <v>66</v>
      </c>
      <c r="G24" s="47" t="s">
        <v>869</v>
      </c>
      <c r="H24" s="45">
        <v>234</v>
      </c>
      <c r="I24" s="167">
        <v>246</v>
      </c>
    </row>
    <row r="25" spans="1:9" ht="23.1" customHeight="1" x14ac:dyDescent="0.15">
      <c r="A25" s="41">
        <v>21</v>
      </c>
      <c r="B25" s="42" t="s">
        <v>11</v>
      </c>
      <c r="C25" s="33" t="s">
        <v>870</v>
      </c>
      <c r="D25" s="95">
        <v>-14</v>
      </c>
      <c r="E25" s="95">
        <v>-8</v>
      </c>
      <c r="F25" s="95" t="s">
        <v>66</v>
      </c>
      <c r="G25" s="47" t="s">
        <v>871</v>
      </c>
      <c r="H25" s="45">
        <v>494</v>
      </c>
      <c r="I25" s="167">
        <v>496</v>
      </c>
    </row>
    <row r="26" spans="1:9" ht="23.1" customHeight="1" x14ac:dyDescent="0.15">
      <c r="A26" s="41">
        <v>22</v>
      </c>
      <c r="B26" s="42" t="s">
        <v>5</v>
      </c>
      <c r="C26" s="33" t="s">
        <v>110</v>
      </c>
      <c r="D26" s="95">
        <v>-15</v>
      </c>
      <c r="E26" s="95">
        <v>-8</v>
      </c>
      <c r="F26" s="95" t="s">
        <v>66</v>
      </c>
      <c r="G26" s="47" t="s">
        <v>876</v>
      </c>
      <c r="H26" s="45">
        <v>258</v>
      </c>
      <c r="I26" s="167">
        <v>287</v>
      </c>
    </row>
    <row r="27" spans="1:9" ht="23.1" customHeight="1" x14ac:dyDescent="0.15">
      <c r="A27" s="60">
        <v>23</v>
      </c>
      <c r="B27" s="61" t="s">
        <v>6</v>
      </c>
      <c r="C27" s="62" t="s">
        <v>873</v>
      </c>
      <c r="D27" s="66">
        <v>-13</v>
      </c>
      <c r="E27" s="66">
        <v>-1</v>
      </c>
      <c r="F27" s="66" t="s">
        <v>66</v>
      </c>
      <c r="G27" s="64" t="s">
        <v>875</v>
      </c>
      <c r="H27" s="65">
        <v>2342</v>
      </c>
      <c r="I27" s="168">
        <v>2866</v>
      </c>
    </row>
    <row r="28" spans="1:9" ht="23.1" customHeight="1" x14ac:dyDescent="0.15">
      <c r="A28" s="30">
        <v>24</v>
      </c>
      <c r="B28" s="24" t="s">
        <v>7</v>
      </c>
      <c r="C28" s="25" t="s">
        <v>872</v>
      </c>
      <c r="D28" s="26">
        <v>-6</v>
      </c>
      <c r="E28" s="26">
        <v>3</v>
      </c>
      <c r="F28" s="26" t="s">
        <v>66</v>
      </c>
      <c r="G28" s="27" t="s">
        <v>874</v>
      </c>
      <c r="H28" s="28">
        <v>8991</v>
      </c>
      <c r="I28" s="169">
        <v>11233</v>
      </c>
    </row>
    <row r="29" spans="1:9" ht="23.1" customHeight="1" x14ac:dyDescent="0.15">
      <c r="A29" s="10">
        <v>25</v>
      </c>
      <c r="B29" s="11" t="s">
        <v>8</v>
      </c>
      <c r="C29" s="29" t="s">
        <v>877</v>
      </c>
      <c r="D29" s="21">
        <v>-3</v>
      </c>
      <c r="E29" s="21">
        <v>2</v>
      </c>
      <c r="F29" s="21" t="s">
        <v>66</v>
      </c>
      <c r="G29" s="22" t="s">
        <v>878</v>
      </c>
      <c r="H29" s="23">
        <v>5236</v>
      </c>
      <c r="I29" s="171">
        <v>6562</v>
      </c>
    </row>
    <row r="30" spans="1:9" ht="23.1" customHeight="1" x14ac:dyDescent="0.15">
      <c r="A30" s="41">
        <v>26</v>
      </c>
      <c r="B30" s="42" t="s">
        <v>9</v>
      </c>
      <c r="C30" s="33" t="s">
        <v>881</v>
      </c>
      <c r="D30" s="95">
        <v>-3</v>
      </c>
      <c r="E30" s="95">
        <v>7</v>
      </c>
      <c r="F30" s="95" t="s">
        <v>66</v>
      </c>
      <c r="G30" s="47" t="s">
        <v>879</v>
      </c>
      <c r="H30" s="45">
        <v>1902</v>
      </c>
      <c r="I30" s="167">
        <v>2179</v>
      </c>
    </row>
    <row r="31" spans="1:9" ht="23.1" customHeight="1" x14ac:dyDescent="0.15">
      <c r="A31" s="41">
        <v>27</v>
      </c>
      <c r="B31" s="42" t="s">
        <v>10</v>
      </c>
      <c r="C31" s="33" t="s">
        <v>880</v>
      </c>
      <c r="D31" s="95">
        <v>-3</v>
      </c>
      <c r="E31" s="95">
        <v>7</v>
      </c>
      <c r="F31" s="95" t="s">
        <v>66</v>
      </c>
      <c r="G31" s="47" t="s">
        <v>882</v>
      </c>
      <c r="H31" s="45">
        <v>1704</v>
      </c>
      <c r="I31" s="167">
        <v>1931</v>
      </c>
    </row>
    <row r="32" spans="1:9" ht="23.1" customHeight="1" x14ac:dyDescent="0.15">
      <c r="A32" s="41">
        <v>28</v>
      </c>
      <c r="B32" s="42" t="s">
        <v>11</v>
      </c>
      <c r="C32" s="33" t="s">
        <v>883</v>
      </c>
      <c r="D32" s="95">
        <v>-2</v>
      </c>
      <c r="E32" s="95">
        <v>4</v>
      </c>
      <c r="F32" s="95" t="s">
        <v>66</v>
      </c>
      <c r="G32" s="47" t="s">
        <v>884</v>
      </c>
      <c r="H32" s="45">
        <v>2145</v>
      </c>
      <c r="I32" s="167">
        <v>2429</v>
      </c>
    </row>
    <row r="33" spans="1:9" ht="23.1" customHeight="1" x14ac:dyDescent="0.15">
      <c r="A33" s="41">
        <v>29</v>
      </c>
      <c r="B33" s="42" t="s">
        <v>5</v>
      </c>
      <c r="C33" s="33" t="s">
        <v>887</v>
      </c>
      <c r="D33" s="95">
        <v>-1</v>
      </c>
      <c r="E33" s="95">
        <v>5</v>
      </c>
      <c r="F33" s="95" t="s">
        <v>66</v>
      </c>
      <c r="G33" s="47" t="s">
        <v>890</v>
      </c>
      <c r="H33" s="45">
        <v>4499</v>
      </c>
      <c r="I33" s="167">
        <v>4808</v>
      </c>
    </row>
    <row r="34" spans="1:9" ht="23.25" customHeight="1" x14ac:dyDescent="0.15">
      <c r="A34" s="60">
        <v>30</v>
      </c>
      <c r="B34" s="61" t="s">
        <v>6</v>
      </c>
      <c r="C34" s="62" t="s">
        <v>885</v>
      </c>
      <c r="D34" s="66">
        <v>-1</v>
      </c>
      <c r="E34" s="66">
        <v>2</v>
      </c>
      <c r="F34" s="66" t="s">
        <v>66</v>
      </c>
      <c r="G34" s="64" t="s">
        <v>889</v>
      </c>
      <c r="H34" s="65">
        <v>7493</v>
      </c>
      <c r="I34" s="168">
        <v>7900</v>
      </c>
    </row>
    <row r="35" spans="1:9" ht="23.1" customHeight="1" thickBot="1" x14ac:dyDescent="0.2">
      <c r="A35" s="79">
        <v>31</v>
      </c>
      <c r="B35" s="80" t="s">
        <v>7</v>
      </c>
      <c r="C35" s="81" t="s">
        <v>886</v>
      </c>
      <c r="D35" s="116">
        <v>1</v>
      </c>
      <c r="E35" s="116">
        <v>4</v>
      </c>
      <c r="F35" s="116" t="s">
        <v>66</v>
      </c>
      <c r="G35" s="117" t="s">
        <v>888</v>
      </c>
      <c r="H35" s="82">
        <v>4972</v>
      </c>
      <c r="I35" s="178">
        <v>6069</v>
      </c>
    </row>
    <row r="36" spans="1:9" s="3" customFormat="1" ht="21" customHeight="1" thickBot="1" x14ac:dyDescent="0.2">
      <c r="A36" s="152" t="s">
        <v>27</v>
      </c>
      <c r="B36" s="153"/>
      <c r="C36" s="153"/>
      <c r="D36" s="153"/>
      <c r="E36" s="153"/>
      <c r="F36" s="153"/>
      <c r="G36" s="154"/>
      <c r="H36" s="173">
        <f t="shared" ref="H36:I36" si="0">SUM(H5:H35)</f>
        <v>63708</v>
      </c>
      <c r="I36" s="174">
        <f t="shared" si="0"/>
        <v>76879</v>
      </c>
    </row>
    <row r="37" spans="1:9" s="3" customFormat="1" ht="21" customHeight="1" thickBot="1" x14ac:dyDescent="0.2">
      <c r="A37" s="136" t="s">
        <v>28</v>
      </c>
      <c r="B37" s="137"/>
      <c r="C37" s="137"/>
      <c r="D37" s="137"/>
      <c r="E37" s="137"/>
      <c r="F37" s="137"/>
      <c r="G37" s="138"/>
      <c r="H37" s="175">
        <f>H36+'11월'!H37</f>
        <v>1417869</v>
      </c>
      <c r="I37" s="176">
        <f>I36+'11월'!I37</f>
        <v>1590018</v>
      </c>
    </row>
    <row r="39" spans="1:9" x14ac:dyDescent="0.15">
      <c r="I39" s="1">
        <f>31877/20719</f>
        <v>1.5385395048023554</v>
      </c>
    </row>
    <row r="42" spans="1:9" x14ac:dyDescent="0.15">
      <c r="H42" s="93"/>
    </row>
  </sheetData>
  <mergeCells count="9">
    <mergeCell ref="A1:I1"/>
    <mergeCell ref="H3:H4"/>
    <mergeCell ref="A2:A4"/>
    <mergeCell ref="B2:B4"/>
    <mergeCell ref="C2:C4"/>
    <mergeCell ref="D2:E3"/>
    <mergeCell ref="F2:G3"/>
    <mergeCell ref="A36:G36"/>
    <mergeCell ref="A37:G37"/>
  </mergeCells>
  <phoneticPr fontId="3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1월</vt:lpstr>
      <vt:lpstr>2월</vt:lpstr>
      <vt:lpstr>3월</vt:lpstr>
      <vt:lpstr>4월</vt:lpstr>
      <vt:lpstr>5월</vt:lpstr>
      <vt:lpstr>6월</vt:lpstr>
      <vt:lpstr>7월</vt:lpstr>
      <vt:lpstr>8월</vt:lpstr>
      <vt:lpstr>9월</vt:lpstr>
      <vt:lpstr>10월</vt:lpstr>
      <vt:lpstr>11월</vt:lpstr>
      <vt:lpstr>12월</vt:lpstr>
    </vt:vector>
  </TitlesOfParts>
  <Company>한덕개발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김나영</dc:creator>
  <cp:lastModifiedBy>김묵주</cp:lastModifiedBy>
  <cp:lastPrinted>2023-01-12T03:59:01Z</cp:lastPrinted>
  <dcterms:created xsi:type="dcterms:W3CDTF">2011-01-18T02:58:02Z</dcterms:created>
  <dcterms:modified xsi:type="dcterms:W3CDTF">2026-01-16T08:53:02Z</dcterms:modified>
</cp:coreProperties>
</file>